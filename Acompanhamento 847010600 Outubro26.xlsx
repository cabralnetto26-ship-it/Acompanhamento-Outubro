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https://hypermarcas-my.sharepoint.com/personal/jose_cabral_hypera_com_br/Documents/Documentos/Aula IA/"/>
    </mc:Choice>
  </mc:AlternateContent>
  <xr:revisionPtr revIDLastSave="310" documentId="8_{8B0D3547-58BF-4E92-9D83-FD158BC420BF}" xr6:coauthVersionLast="47" xr6:coauthVersionMax="47" xr10:uidLastSave="{362FDC27-09D2-4FDE-98C0-0E04569CD81A}"/>
  <bookViews>
    <workbookView xWindow="-110" yWindow="-110" windowWidth="19420" windowHeight="10300" tabRatio="874" activeTab="1" xr2:uid="{B95500C0-538B-4397-A33D-DAF8FB36ADE9}"/>
  </bookViews>
  <sheets>
    <sheet name="CAMPANHA REBATE" sheetId="7" r:id="rId1"/>
    <sheet name="BASE 600" sheetId="1" r:id="rId2"/>
    <sheet name="RESUMO" sheetId="2" r:id="rId3"/>
    <sheet name="HYMPAR" sheetId="3" r:id="rId4"/>
    <sheet name="Dinâmica" sheetId="8" r:id="rId5"/>
  </sheets>
  <externalReferences>
    <externalReference r:id="rId6"/>
    <externalReference r:id="rId7"/>
  </externalReferences>
  <definedNames>
    <definedName name="_xlnm._FilterDatabase" localSheetId="1" hidden="1">'BASE 600'!$A$1:$U$1098</definedName>
  </definedNames>
  <calcPr calcId="191029"/>
  <pivotCaches>
    <pivotCache cacheId="19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2" i="1"/>
  <c r="D36" i="8"/>
  <c r="D35" i="8"/>
  <c r="D34" i="8"/>
  <c r="D33" i="8"/>
  <c r="D32" i="8"/>
  <c r="D31" i="8"/>
  <c r="D30" i="8"/>
  <c r="D29" i="8"/>
  <c r="D28" i="8"/>
  <c r="D27" i="8"/>
  <c r="D26" i="8"/>
  <c r="D25" i="8"/>
  <c r="D24" i="8"/>
  <c r="D23" i="8"/>
  <c r="D22" i="8"/>
  <c r="D21" i="8"/>
  <c r="D20" i="8"/>
  <c r="D19" i="8"/>
  <c r="D18" i="8"/>
  <c r="D17" i="8"/>
  <c r="D16" i="8"/>
  <c r="D15" i="8"/>
  <c r="D14" i="8"/>
  <c r="D13" i="8"/>
  <c r="D12" i="8"/>
  <c r="D11" i="8"/>
  <c r="D10" i="8"/>
  <c r="D9" i="8"/>
  <c r="D8" i="8"/>
  <c r="D7" i="8"/>
  <c r="D6" i="8"/>
  <c r="D5" i="8"/>
  <c r="D4" i="8"/>
  <c r="E48" i="2" l="1"/>
  <c r="C48" i="2"/>
  <c r="B48" i="2"/>
  <c r="G47" i="2"/>
  <c r="G46" i="2"/>
  <c r="G45" i="2"/>
  <c r="G44" i="2"/>
  <c r="G43" i="2"/>
  <c r="G42" i="2"/>
  <c r="G41" i="2"/>
  <c r="G40" i="2"/>
  <c r="I36" i="2"/>
  <c r="H36" i="2"/>
  <c r="E36" i="2"/>
  <c r="C36" i="2"/>
  <c r="B36" i="2"/>
  <c r="J35" i="2"/>
  <c r="K35" i="2" s="1"/>
  <c r="G35" i="2"/>
  <c r="J34" i="2"/>
  <c r="K34" i="2" s="1"/>
  <c r="G34" i="2"/>
  <c r="J33" i="2"/>
  <c r="K33" i="2" s="1"/>
  <c r="G33" i="2"/>
  <c r="J32" i="2"/>
  <c r="K32" i="2" s="1"/>
  <c r="G32" i="2"/>
  <c r="J31" i="2"/>
  <c r="K31" i="2" s="1"/>
  <c r="G31" i="2"/>
  <c r="J30" i="2"/>
  <c r="K30" i="2" s="1"/>
  <c r="G30" i="2"/>
  <c r="J29" i="2"/>
  <c r="K29" i="2" s="1"/>
  <c r="G29" i="2"/>
  <c r="J28" i="2"/>
  <c r="K28" i="2" s="1"/>
  <c r="G28" i="2"/>
  <c r="G48" i="2" l="1"/>
  <c r="F48" i="2"/>
  <c r="D48" i="2"/>
  <c r="J36" i="2"/>
  <c r="K36" i="2" s="1"/>
  <c r="G36" i="2"/>
  <c r="F36" i="2"/>
  <c r="D36" i="2"/>
  <c r="G10" i="3" l="1"/>
  <c r="H10" i="3" s="1"/>
  <c r="F10" i="3"/>
  <c r="B10" i="3"/>
  <c r="C10" i="3" l="1"/>
  <c r="D10" i="3" s="1"/>
  <c r="I9" i="3"/>
  <c r="E9" i="3"/>
  <c r="I8" i="3"/>
  <c r="E8" i="3"/>
  <c r="I7" i="3"/>
  <c r="E7" i="3"/>
  <c r="I6" i="3"/>
  <c r="E6" i="3"/>
  <c r="I5" i="3"/>
  <c r="E5" i="3"/>
  <c r="I4" i="3"/>
  <c r="E4" i="3"/>
  <c r="I3" i="3"/>
  <c r="E3" i="3"/>
  <c r="I2" i="3"/>
  <c r="E2" i="3"/>
  <c r="E23" i="2"/>
  <c r="C23" i="2"/>
  <c r="B23" i="2"/>
  <c r="G22" i="2"/>
  <c r="G21" i="2"/>
  <c r="G20" i="2"/>
  <c r="G19" i="2"/>
  <c r="G18" i="2"/>
  <c r="G17" i="2"/>
  <c r="G16" i="2"/>
  <c r="G15" i="2"/>
  <c r="H11" i="2"/>
  <c r="E11" i="2"/>
  <c r="C11" i="2"/>
  <c r="B11" i="2"/>
  <c r="I10" i="2"/>
  <c r="J10" i="2" s="1"/>
  <c r="G10" i="2"/>
  <c r="I9" i="2"/>
  <c r="J9" i="2" s="1"/>
  <c r="G9" i="2"/>
  <c r="I8" i="2"/>
  <c r="J8" i="2" s="1"/>
  <c r="G8" i="2"/>
  <c r="I7" i="2"/>
  <c r="J7" i="2" s="1"/>
  <c r="G7" i="2"/>
  <c r="I6" i="2"/>
  <c r="J6" i="2" s="1"/>
  <c r="G6" i="2"/>
  <c r="I5" i="2"/>
  <c r="J5" i="2" s="1"/>
  <c r="G5" i="2"/>
  <c r="I4" i="2"/>
  <c r="J4" i="2" s="1"/>
  <c r="G4" i="2"/>
  <c r="I3" i="2"/>
  <c r="J3" i="2" s="1"/>
  <c r="G3" i="2"/>
  <c r="E10" i="3" l="1"/>
  <c r="I10" i="3"/>
  <c r="F23" i="2"/>
  <c r="D11" i="2"/>
  <c r="G23" i="2"/>
  <c r="I11" i="2"/>
  <c r="J11" i="2" s="1"/>
  <c r="G11" i="2"/>
  <c r="L166" i="1"/>
  <c r="L86" i="1"/>
  <c r="L408" i="1"/>
  <c r="L288" i="1"/>
  <c r="L256" i="1"/>
  <c r="L240" i="1"/>
  <c r="L224" i="1"/>
  <c r="L208" i="1"/>
  <c r="L184" i="1"/>
  <c r="L176" i="1"/>
  <c r="L104" i="1"/>
  <c r="N88" i="1"/>
  <c r="N80" i="1"/>
  <c r="N56" i="1"/>
  <c r="N40" i="1"/>
  <c r="N32" i="1"/>
  <c r="N24" i="1"/>
  <c r="L69" i="1"/>
  <c r="L61" i="1"/>
  <c r="L299" i="1"/>
  <c r="L267" i="1"/>
  <c r="L51" i="1"/>
  <c r="N29" i="1"/>
  <c r="N5" i="1"/>
  <c r="L369" i="1"/>
  <c r="L1087" i="1"/>
  <c r="L1063" i="1"/>
  <c r="L999" i="1"/>
  <c r="L991" i="1"/>
  <c r="L967" i="1"/>
  <c r="L959" i="1"/>
  <c r="L935" i="1"/>
  <c r="L310" i="1"/>
  <c r="L919" i="1"/>
  <c r="L911" i="1"/>
  <c r="L903" i="1"/>
  <c r="L895" i="1"/>
  <c r="L871" i="1"/>
  <c r="L863" i="1"/>
  <c r="L855" i="1"/>
  <c r="L847" i="1"/>
  <c r="L839" i="1"/>
  <c r="L831" i="1"/>
  <c r="L807" i="1"/>
  <c r="L799" i="1"/>
  <c r="L791" i="1"/>
  <c r="L783" i="1"/>
  <c r="L775" i="1"/>
  <c r="L767" i="1"/>
  <c r="L743" i="1"/>
  <c r="L735" i="1"/>
  <c r="L727" i="1"/>
  <c r="L719" i="1"/>
  <c r="L711" i="1"/>
  <c r="L703" i="1"/>
  <c r="L679" i="1"/>
  <c r="L671" i="1"/>
  <c r="L663" i="1"/>
  <c r="L655" i="1"/>
  <c r="L647" i="1"/>
  <c r="L639" i="1"/>
  <c r="L615" i="1"/>
  <c r="L607" i="1"/>
  <c r="L599" i="1"/>
  <c r="L591" i="1"/>
  <c r="L583" i="1"/>
  <c r="L575" i="1"/>
  <c r="L551" i="1"/>
  <c r="L543" i="1"/>
  <c r="L535" i="1"/>
  <c r="L527" i="1"/>
  <c r="L519" i="1"/>
  <c r="L511" i="1"/>
  <c r="L514" i="1"/>
  <c r="L479" i="1"/>
  <c r="L471" i="1"/>
  <c r="L463" i="1"/>
  <c r="L455" i="1"/>
  <c r="L447" i="1"/>
  <c r="L423" i="1"/>
  <c r="L415" i="1"/>
  <c r="L407" i="1"/>
  <c r="L399" i="1"/>
  <c r="L391" i="1"/>
  <c r="L383" i="1"/>
  <c r="L359" i="1"/>
  <c r="L351" i="1"/>
  <c r="L343" i="1"/>
  <c r="L335" i="1"/>
  <c r="L311" i="1"/>
  <c r="L303" i="1"/>
  <c r="L366" i="1"/>
  <c r="L279" i="1"/>
  <c r="L271" i="1"/>
  <c r="L247" i="1"/>
  <c r="L239" i="1"/>
  <c r="L231" i="1"/>
  <c r="L215" i="1"/>
  <c r="L207" i="1"/>
  <c r="L199" i="1"/>
  <c r="L183" i="1"/>
  <c r="L175" i="1"/>
  <c r="L167" i="1"/>
  <c r="L151" i="1"/>
  <c r="L143" i="1"/>
  <c r="L241" i="1"/>
  <c r="L71" i="1"/>
  <c r="L23" i="1"/>
  <c r="L7" i="1"/>
  <c r="L1086" i="1"/>
  <c r="L1070" i="1"/>
  <c r="L1054" i="1"/>
  <c r="L1038" i="1"/>
  <c r="L638" i="1"/>
  <c r="L590" i="1"/>
  <c r="L582" i="1"/>
  <c r="L534" i="1"/>
  <c r="L198" i="1"/>
  <c r="L158" i="1"/>
  <c r="L142" i="1"/>
  <c r="L110" i="1"/>
  <c r="L78" i="1"/>
  <c r="L6" i="1"/>
  <c r="L1094" i="1"/>
  <c r="L1078" i="1"/>
  <c r="L1062" i="1"/>
  <c r="L1046" i="1"/>
  <c r="L1030" i="1"/>
  <c r="L630" i="1"/>
  <c r="L446" i="1"/>
  <c r="L564" i="1"/>
  <c r="L516" i="1"/>
  <c r="L460" i="1"/>
  <c r="L452" i="1"/>
  <c r="L428" i="1"/>
  <c r="L396" i="1"/>
  <c r="L388" i="1"/>
  <c r="L372" i="1"/>
  <c r="L748" i="1"/>
  <c r="L356" i="1"/>
  <c r="L340" i="1"/>
  <c r="L324" i="1"/>
  <c r="L308" i="1"/>
  <c r="L284" i="1"/>
  <c r="L268" i="1"/>
  <c r="L260" i="1"/>
  <c r="L188" i="1"/>
  <c r="L172" i="1"/>
  <c r="L156" i="1"/>
  <c r="L148" i="1"/>
  <c r="L132" i="1"/>
  <c r="L124" i="1"/>
  <c r="L116" i="1"/>
  <c r="L76" i="1"/>
  <c r="L68" i="1"/>
  <c r="L44" i="1"/>
  <c r="L20" i="1"/>
  <c r="D23" i="2"/>
  <c r="F11" i="2"/>
  <c r="N111" i="1"/>
  <c r="L111" i="1"/>
  <c r="N103" i="1"/>
  <c r="L103" i="1"/>
  <c r="N87" i="1"/>
  <c r="L87" i="1"/>
  <c r="N79" i="1"/>
  <c r="L79" i="1"/>
  <c r="N39" i="1"/>
  <c r="L39" i="1"/>
  <c r="L912" i="1"/>
  <c r="L816" i="1"/>
  <c r="L776" i="1"/>
  <c r="L736" i="1"/>
  <c r="L680" i="1"/>
  <c r="N21" i="1"/>
  <c r="L21" i="1"/>
  <c r="N254" i="1"/>
  <c r="L254" i="1"/>
  <c r="L1022" i="1"/>
  <c r="L220" i="1"/>
  <c r="L1006" i="1"/>
  <c r="L998" i="1"/>
  <c r="L990" i="1"/>
  <c r="L982" i="1"/>
  <c r="L974" i="1"/>
  <c r="L966" i="1"/>
  <c r="L958" i="1"/>
  <c r="L194" i="1"/>
  <c r="L942" i="1"/>
  <c r="L934" i="1"/>
  <c r="L926" i="1"/>
  <c r="L918" i="1"/>
  <c r="L910" i="1"/>
  <c r="L902" i="1"/>
  <c r="L894" i="1"/>
  <c r="L886" i="1"/>
  <c r="L878" i="1"/>
  <c r="L870" i="1"/>
  <c r="L862" i="1"/>
  <c r="L854" i="1"/>
  <c r="L846" i="1"/>
  <c r="L838" i="1"/>
  <c r="L830" i="1"/>
  <c r="L822" i="1"/>
  <c r="L814" i="1"/>
  <c r="L806" i="1"/>
  <c r="L798" i="1"/>
  <c r="L790" i="1"/>
  <c r="L782" i="1"/>
  <c r="L774" i="1"/>
  <c r="L766" i="1"/>
  <c r="L758" i="1"/>
  <c r="L750" i="1"/>
  <c r="L742" i="1"/>
  <c r="L734" i="1"/>
  <c r="L726" i="1"/>
  <c r="L718" i="1"/>
  <c r="L710" i="1"/>
  <c r="L1093" i="1"/>
  <c r="L1085" i="1"/>
  <c r="L1077" i="1"/>
  <c r="L1069" i="1"/>
  <c r="L1061" i="1"/>
  <c r="L1053" i="1"/>
  <c r="L1045" i="1"/>
  <c r="L1037" i="1"/>
  <c r="L1029" i="1"/>
  <c r="L1021" i="1"/>
  <c r="L1013" i="1"/>
  <c r="L1005" i="1"/>
  <c r="L997" i="1"/>
  <c r="L989" i="1"/>
  <c r="L981" i="1"/>
  <c r="L973" i="1"/>
  <c r="L965" i="1"/>
  <c r="L957" i="1"/>
  <c r="L949" i="1"/>
  <c r="L941" i="1"/>
  <c r="L933" i="1"/>
  <c r="L925" i="1"/>
  <c r="L917" i="1"/>
  <c r="L909" i="1"/>
  <c r="L901" i="1"/>
  <c r="L1014" i="1"/>
  <c r="L885" i="1"/>
  <c r="L877" i="1"/>
  <c r="L869" i="1"/>
  <c r="L861" i="1"/>
  <c r="L853" i="1"/>
  <c r="L845" i="1"/>
  <c r="L837" i="1"/>
  <c r="L829" i="1"/>
  <c r="L821" i="1"/>
  <c r="L813" i="1"/>
  <c r="L805" i="1"/>
  <c r="L797" i="1"/>
  <c r="L789" i="1"/>
  <c r="L781" i="1"/>
  <c r="L773" i="1"/>
  <c r="L765" i="1"/>
  <c r="L757" i="1"/>
  <c r="L749" i="1"/>
  <c r="L741" i="1"/>
  <c r="L733" i="1"/>
  <c r="L725" i="1"/>
  <c r="L929" i="1"/>
  <c r="L709" i="1"/>
  <c r="L701" i="1"/>
  <c r="L693" i="1"/>
  <c r="L685" i="1"/>
  <c r="L525" i="1"/>
  <c r="L501" i="1"/>
  <c r="L461" i="1"/>
  <c r="L325" i="1"/>
  <c r="L1076" i="1"/>
  <c r="L940" i="1"/>
  <c r="L844" i="1"/>
  <c r="L2" i="1"/>
  <c r="L1091" i="1"/>
  <c r="L1083" i="1"/>
  <c r="L1075" i="1"/>
  <c r="L1067" i="1"/>
  <c r="L108" i="1"/>
  <c r="L1051" i="1"/>
  <c r="L1043" i="1"/>
  <c r="L1035" i="1"/>
  <c r="L1027" i="1"/>
  <c r="L1019" i="1"/>
  <c r="L1011" i="1"/>
  <c r="L1003" i="1"/>
  <c r="L995" i="1"/>
  <c r="L987" i="1"/>
  <c r="L979" i="1"/>
  <c r="L971" i="1"/>
  <c r="L963" i="1"/>
  <c r="L955" i="1"/>
  <c r="L947" i="1"/>
  <c r="L939" i="1"/>
  <c r="L931" i="1"/>
  <c r="L923" i="1"/>
  <c r="L915" i="1"/>
  <c r="L907" i="1"/>
  <c r="L899" i="1"/>
  <c r="L1098" i="1"/>
  <c r="L1090" i="1"/>
  <c r="L1082" i="1"/>
  <c r="L1074" i="1"/>
  <c r="L1066" i="1"/>
  <c r="L1058" i="1"/>
  <c r="L1050" i="1"/>
  <c r="L1042" i="1"/>
  <c r="L1034" i="1"/>
  <c r="L1026" i="1"/>
  <c r="L1018" i="1"/>
  <c r="L1010" i="1"/>
  <c r="L1002" i="1"/>
  <c r="L994" i="1"/>
  <c r="L986" i="1"/>
  <c r="L978" i="1"/>
  <c r="L970" i="1"/>
  <c r="L962" i="1"/>
  <c r="L954" i="1"/>
  <c r="L946" i="1"/>
  <c r="L938" i="1"/>
  <c r="L930" i="1"/>
  <c r="L922" i="1"/>
  <c r="L914" i="1"/>
  <c r="L906" i="1"/>
  <c r="L898" i="1"/>
  <c r="L890" i="1"/>
  <c r="L882" i="1"/>
  <c r="L874" i="1"/>
  <c r="L866" i="1"/>
  <c r="L858" i="1"/>
  <c r="L850" i="1"/>
  <c r="L842" i="1"/>
  <c r="L834" i="1"/>
  <c r="L826" i="1"/>
  <c r="L818" i="1"/>
  <c r="L810" i="1"/>
  <c r="L802" i="1"/>
  <c r="L552" i="1"/>
  <c r="L786" i="1"/>
  <c r="L778" i="1"/>
  <c r="L770" i="1"/>
  <c r="L762" i="1"/>
  <c r="L754" i="1"/>
  <c r="L746" i="1"/>
  <c r="L738" i="1"/>
  <c r="L730" i="1"/>
  <c r="L722" i="1"/>
  <c r="L714" i="1"/>
  <c r="L706" i="1"/>
  <c r="L698" i="1"/>
  <c r="L690" i="1"/>
  <c r="L682" i="1"/>
  <c r="L674" i="1"/>
  <c r="L666" i="1"/>
  <c r="L658" i="1"/>
  <c r="L554" i="1"/>
  <c r="L282" i="1"/>
  <c r="L300" i="1"/>
  <c r="L122" i="1"/>
  <c r="L1057" i="1"/>
  <c r="L1049" i="1"/>
  <c r="L1017" i="1"/>
  <c r="L977" i="1"/>
  <c r="L953" i="1"/>
  <c r="L881" i="1"/>
  <c r="L745" i="1"/>
  <c r="N16" i="1"/>
  <c r="L16" i="1"/>
  <c r="L1097" i="1"/>
  <c r="L1089" i="1"/>
  <c r="L1081" i="1"/>
  <c r="L1073" i="1"/>
  <c r="L1065" i="1"/>
  <c r="L1041" i="1"/>
  <c r="L1033" i="1"/>
  <c r="L1025" i="1"/>
  <c r="L1009" i="1"/>
  <c r="L1001" i="1"/>
  <c r="L993" i="1"/>
  <c r="L985" i="1"/>
  <c r="L969" i="1"/>
  <c r="L961" i="1"/>
  <c r="L945" i="1"/>
  <c r="L937" i="1"/>
  <c r="L73" i="1"/>
  <c r="L1059" i="1"/>
  <c r="L913" i="1"/>
  <c r="L905" i="1"/>
  <c r="L897" i="1"/>
  <c r="L889" i="1"/>
  <c r="L873" i="1"/>
  <c r="L865" i="1"/>
  <c r="L857" i="1"/>
  <c r="L849" i="1"/>
  <c r="L841" i="1"/>
  <c r="L833" i="1"/>
  <c r="L825" i="1"/>
  <c r="L817" i="1"/>
  <c r="L809" i="1"/>
  <c r="L801" i="1"/>
  <c r="L793" i="1"/>
  <c r="L785" i="1"/>
  <c r="L777" i="1"/>
  <c r="L769" i="1"/>
  <c r="L761" i="1"/>
  <c r="L753" i="1"/>
  <c r="L737" i="1"/>
  <c r="L729" i="1"/>
  <c r="L721" i="1"/>
  <c r="L713" i="1"/>
  <c r="L705" i="1"/>
  <c r="L697" i="1"/>
  <c r="L689" i="1"/>
  <c r="L681" i="1"/>
  <c r="L673" i="1"/>
  <c r="L665" i="1"/>
  <c r="L657" i="1"/>
  <c r="L649" i="1"/>
  <c r="L641" i="1"/>
  <c r="L633" i="1"/>
  <c r="L625" i="1"/>
  <c r="L617" i="1"/>
  <c r="L609" i="1"/>
  <c r="L601" i="1"/>
  <c r="L593" i="1"/>
  <c r="L585" i="1"/>
  <c r="L577" i="1"/>
  <c r="L921" i="1"/>
  <c r="L561" i="1"/>
  <c r="L553" i="1"/>
  <c r="L545" i="1"/>
  <c r="L537" i="1"/>
  <c r="L529" i="1"/>
  <c r="L521" i="1"/>
  <c r="L513" i="1"/>
  <c r="L505" i="1"/>
  <c r="L497" i="1"/>
  <c r="L489" i="1"/>
  <c r="L481" i="1"/>
  <c r="L473" i="1"/>
  <c r="L465" i="1"/>
  <c r="L457" i="1"/>
  <c r="L449" i="1"/>
  <c r="L441" i="1"/>
  <c r="L433" i="1"/>
  <c r="L425" i="1"/>
  <c r="L417" i="1"/>
  <c r="L409" i="1"/>
  <c r="L401" i="1"/>
  <c r="L393" i="1"/>
  <c r="L385" i="1"/>
  <c r="L377" i="1"/>
  <c r="N31" i="1"/>
  <c r="L31" i="1"/>
  <c r="N15" i="1"/>
  <c r="L15" i="1"/>
  <c r="L1096" i="1"/>
  <c r="L1088" i="1"/>
  <c r="L1080" i="1"/>
  <c r="L1072" i="1"/>
  <c r="L1064" i="1"/>
  <c r="L1056" i="1"/>
  <c r="L1048" i="1"/>
  <c r="L1040" i="1"/>
  <c r="L1032" i="1"/>
  <c r="L1024" i="1"/>
  <c r="L1016" i="1"/>
  <c r="L1008" i="1"/>
  <c r="L1000" i="1"/>
  <c r="L992" i="1"/>
  <c r="L984" i="1"/>
  <c r="L976" i="1"/>
  <c r="L968" i="1"/>
  <c r="L960" i="1"/>
  <c r="L952" i="1"/>
  <c r="L944" i="1"/>
  <c r="L936" i="1"/>
  <c r="L928" i="1"/>
  <c r="L920" i="1"/>
  <c r="L904" i="1"/>
  <c r="L896" i="1"/>
  <c r="L888" i="1"/>
  <c r="L880" i="1"/>
  <c r="L872" i="1"/>
  <c r="L864" i="1"/>
  <c r="L856" i="1"/>
  <c r="L848" i="1"/>
  <c r="L840" i="1"/>
  <c r="L832" i="1"/>
  <c r="L824" i="1"/>
  <c r="L808" i="1"/>
  <c r="L800" i="1"/>
  <c r="L792" i="1"/>
  <c r="L784" i="1"/>
  <c r="L768" i="1"/>
  <c r="L760" i="1"/>
  <c r="L752" i="1"/>
  <c r="L744" i="1"/>
  <c r="L728" i="1"/>
  <c r="L720" i="1"/>
  <c r="L712" i="1"/>
  <c r="L704" i="1"/>
  <c r="L696" i="1"/>
  <c r="L688" i="1"/>
  <c r="L672" i="1"/>
  <c r="L664" i="1"/>
  <c r="L656" i="1"/>
  <c r="L648" i="1"/>
  <c r="L640" i="1"/>
  <c r="L632" i="1"/>
  <c r="L624" i="1"/>
  <c r="L616" i="1"/>
  <c r="L608" i="1"/>
  <c r="L600" i="1"/>
  <c r="L592" i="1"/>
  <c r="L584" i="1"/>
  <c r="L576" i="1"/>
  <c r="L568" i="1"/>
  <c r="L560" i="1"/>
  <c r="L99" i="1"/>
  <c r="L544" i="1"/>
  <c r="L536" i="1"/>
  <c r="L528" i="1"/>
  <c r="L520" i="1"/>
  <c r="L512" i="1"/>
  <c r="L504" i="1"/>
  <c r="L496" i="1"/>
  <c r="L28" i="1"/>
  <c r="L480" i="1"/>
  <c r="L472" i="1"/>
  <c r="L464" i="1"/>
  <c r="L456" i="1"/>
  <c r="L448" i="1"/>
  <c r="L440" i="1"/>
  <c r="L432" i="1"/>
  <c r="L424" i="1"/>
  <c r="L416" i="1"/>
  <c r="L400" i="1"/>
  <c r="L392" i="1"/>
  <c r="L384" i="1"/>
  <c r="L376" i="1"/>
  <c r="L368" i="1"/>
  <c r="L360" i="1"/>
  <c r="L352" i="1"/>
  <c r="L344" i="1"/>
  <c r="L336" i="1"/>
  <c r="L328" i="1"/>
  <c r="L320" i="1"/>
  <c r="L312" i="1"/>
  <c r="L304" i="1"/>
  <c r="L296" i="1"/>
  <c r="L280" i="1"/>
  <c r="L272" i="1"/>
  <c r="L168" i="1"/>
  <c r="L152" i="1"/>
  <c r="L144" i="1"/>
  <c r="L120" i="1"/>
  <c r="L80" i="1"/>
  <c r="L56" i="1"/>
  <c r="L32" i="1"/>
  <c r="L24" i="1"/>
  <c r="L1047" i="1"/>
  <c r="L1039" i="1"/>
  <c r="L702" i="1"/>
  <c r="L694" i="1"/>
  <c r="L686" i="1"/>
  <c r="L678" i="1"/>
  <c r="L670" i="1"/>
  <c r="L662" i="1"/>
  <c r="L654" i="1"/>
  <c r="L646" i="1"/>
  <c r="L622" i="1"/>
  <c r="L614" i="1"/>
  <c r="L606" i="1"/>
  <c r="L598" i="1"/>
  <c r="L574" i="1"/>
  <c r="L566" i="1"/>
  <c r="L558" i="1"/>
  <c r="L550" i="1"/>
  <c r="L542" i="1"/>
  <c r="L526" i="1"/>
  <c r="L518" i="1"/>
  <c r="L764" i="1"/>
  <c r="L502" i="1"/>
  <c r="L494" i="1"/>
  <c r="L486" i="1"/>
  <c r="L478" i="1"/>
  <c r="L470" i="1"/>
  <c r="L462" i="1"/>
  <c r="L454" i="1"/>
  <c r="L438" i="1"/>
  <c r="L430" i="1"/>
  <c r="L422" i="1"/>
  <c r="L414" i="1"/>
  <c r="L406" i="1"/>
  <c r="L398" i="1"/>
  <c r="L390" i="1"/>
  <c r="L382" i="1"/>
  <c r="L374" i="1"/>
  <c r="L510" i="1"/>
  <c r="L358" i="1"/>
  <c r="L350" i="1"/>
  <c r="L342" i="1"/>
  <c r="L334" i="1"/>
  <c r="L326" i="1"/>
  <c r="L318" i="1"/>
  <c r="L19" i="1"/>
  <c r="L302" i="1"/>
  <c r="L294" i="1"/>
  <c r="L286" i="1"/>
  <c r="L278" i="1"/>
  <c r="N1094" i="1"/>
  <c r="N1086" i="1"/>
  <c r="N1078" i="1"/>
  <c r="N1070" i="1"/>
  <c r="N1062" i="1"/>
  <c r="N1054" i="1"/>
  <c r="N1046" i="1"/>
  <c r="N1038" i="1"/>
  <c r="N1030" i="1"/>
  <c r="N1022" i="1"/>
  <c r="N220" i="1"/>
  <c r="N1006" i="1"/>
  <c r="N998" i="1"/>
  <c r="N990" i="1"/>
  <c r="N982" i="1"/>
  <c r="N974" i="1"/>
  <c r="N966" i="1"/>
  <c r="N958" i="1"/>
  <c r="N194" i="1"/>
  <c r="N942" i="1"/>
  <c r="N934" i="1"/>
  <c r="N926" i="1"/>
  <c r="N918" i="1"/>
  <c r="L677" i="1"/>
  <c r="L669" i="1"/>
  <c r="L661" i="1"/>
  <c r="L653" i="1"/>
  <c r="L645" i="1"/>
  <c r="L637" i="1"/>
  <c r="L629" i="1"/>
  <c r="L621" i="1"/>
  <c r="L613" i="1"/>
  <c r="L927" i="1"/>
  <c r="L597" i="1"/>
  <c r="L589" i="1"/>
  <c r="L581" i="1"/>
  <c r="L573" i="1"/>
  <c r="L565" i="1"/>
  <c r="L557" i="1"/>
  <c r="L549" i="1"/>
  <c r="L541" i="1"/>
  <c r="L533" i="1"/>
  <c r="L517" i="1"/>
  <c r="L509" i="1"/>
  <c r="L493" i="1"/>
  <c r="L485" i="1"/>
  <c r="L477" i="1"/>
  <c r="L469" i="1"/>
  <c r="L453" i="1"/>
  <c r="L445" i="1"/>
  <c r="L437" i="1"/>
  <c r="L429" i="1"/>
  <c r="L421" i="1"/>
  <c r="L413" i="1"/>
  <c r="L405" i="1"/>
  <c r="L397" i="1"/>
  <c r="L389" i="1"/>
  <c r="L381" i="1"/>
  <c r="L373" i="1"/>
  <c r="L365" i="1"/>
  <c r="L357" i="1"/>
  <c r="L349" i="1"/>
  <c r="L341" i="1"/>
  <c r="L333" i="1"/>
  <c r="L317" i="1"/>
  <c r="L309" i="1"/>
  <c r="L301" i="1"/>
  <c r="L293" i="1"/>
  <c r="L285" i="1"/>
  <c r="L277" i="1"/>
  <c r="L269" i="1"/>
  <c r="L261" i="1"/>
  <c r="L253" i="1"/>
  <c r="L245" i="1"/>
  <c r="L237" i="1"/>
  <c r="L229" i="1"/>
  <c r="L221" i="1"/>
  <c r="L213" i="1"/>
  <c r="L205" i="1"/>
  <c r="L197" i="1"/>
  <c r="L189" i="1"/>
  <c r="L181" i="1"/>
  <c r="L173" i="1"/>
  <c r="L165" i="1"/>
  <c r="L157" i="1"/>
  <c r="L149" i="1"/>
  <c r="L141" i="1"/>
  <c r="L133" i="1"/>
  <c r="L125" i="1"/>
  <c r="L117" i="1"/>
  <c r="L109" i="1"/>
  <c r="L93" i="1"/>
  <c r="L53" i="1"/>
  <c r="L5" i="1"/>
  <c r="L1092" i="1"/>
  <c r="L1084" i="1"/>
  <c r="L1068" i="1"/>
  <c r="L1060" i="1"/>
  <c r="L1052" i="1"/>
  <c r="L1044" i="1"/>
  <c r="L1036" i="1"/>
  <c r="L1028" i="1"/>
  <c r="L1020" i="1"/>
  <c r="L1012" i="1"/>
  <c r="L1004" i="1"/>
  <c r="L996" i="1"/>
  <c r="L988" i="1"/>
  <c r="L980" i="1"/>
  <c r="L972" i="1"/>
  <c r="L964" i="1"/>
  <c r="L956" i="1"/>
  <c r="L948" i="1"/>
  <c r="L932" i="1"/>
  <c r="L924" i="1"/>
  <c r="L916" i="1"/>
  <c r="L908" i="1"/>
  <c r="L900" i="1"/>
  <c r="L892" i="1"/>
  <c r="L884" i="1"/>
  <c r="L876" i="1"/>
  <c r="L868" i="1"/>
  <c r="L860" i="1"/>
  <c r="L852" i="1"/>
  <c r="L836" i="1"/>
  <c r="L828" i="1"/>
  <c r="L820" i="1"/>
  <c r="L812" i="1"/>
  <c r="L804" i="1"/>
  <c r="L796" i="1"/>
  <c r="L788" i="1"/>
  <c r="L780" i="1"/>
  <c r="L772" i="1"/>
  <c r="L539" i="1"/>
  <c r="L756" i="1"/>
  <c r="L950" i="1"/>
  <c r="L740" i="1"/>
  <c r="L732" i="1"/>
  <c r="L724" i="1"/>
  <c r="L716" i="1"/>
  <c r="L708" i="1"/>
  <c r="L700" i="1"/>
  <c r="L692" i="1"/>
  <c r="L684" i="1"/>
  <c r="L676" i="1"/>
  <c r="L668" i="1"/>
  <c r="L660" i="1"/>
  <c r="L652" i="1"/>
  <c r="L644" i="1"/>
  <c r="L636" i="1"/>
  <c r="L628" i="1"/>
  <c r="L620" i="1"/>
  <c r="L612" i="1"/>
  <c r="L588" i="1"/>
  <c r="L548" i="1"/>
  <c r="L891" i="1"/>
  <c r="L883" i="1"/>
  <c r="L875" i="1"/>
  <c r="L867" i="1"/>
  <c r="L859" i="1"/>
  <c r="L851" i="1"/>
  <c r="L843" i="1"/>
  <c r="L835" i="1"/>
  <c r="L827" i="1"/>
  <c r="L819" i="1"/>
  <c r="L811" i="1"/>
  <c r="L803" i="1"/>
  <c r="L795" i="1"/>
  <c r="L787" i="1"/>
  <c r="L779" i="1"/>
  <c r="L771" i="1"/>
  <c r="L763" i="1"/>
  <c r="L755" i="1"/>
  <c r="L747" i="1"/>
  <c r="L739" i="1"/>
  <c r="L731" i="1"/>
  <c r="L723" i="1"/>
  <c r="L715" i="1"/>
  <c r="L707" i="1"/>
  <c r="L699" i="1"/>
  <c r="L691" i="1"/>
  <c r="L683" i="1"/>
  <c r="L675" i="1"/>
  <c r="L667" i="1"/>
  <c r="L659" i="1"/>
  <c r="L651" i="1"/>
  <c r="L643" i="1"/>
  <c r="L635" i="1"/>
  <c r="L627" i="1"/>
  <c r="L619" i="1"/>
  <c r="L611" i="1"/>
  <c r="L603" i="1"/>
  <c r="L595" i="1"/>
  <c r="L587" i="1"/>
  <c r="L579" i="1"/>
  <c r="L571" i="1"/>
  <c r="L563" i="1"/>
  <c r="L555" i="1"/>
  <c r="L547" i="1"/>
  <c r="L893" i="1"/>
  <c r="L531" i="1"/>
  <c r="L523" i="1"/>
  <c r="L515" i="1"/>
  <c r="L507" i="1"/>
  <c r="L499" i="1"/>
  <c r="L491" i="1"/>
  <c r="L483" i="1"/>
  <c r="L475" i="1"/>
  <c r="L467" i="1"/>
  <c r="L459" i="1"/>
  <c r="L451" i="1"/>
  <c r="L443" i="1"/>
  <c r="L435" i="1"/>
  <c r="L427" i="1"/>
  <c r="L419" i="1"/>
  <c r="L411" i="1"/>
  <c r="L403" i="1"/>
  <c r="L395" i="1"/>
  <c r="L387" i="1"/>
  <c r="L379" i="1"/>
  <c r="L371" i="1"/>
  <c r="L363" i="1"/>
  <c r="L323" i="1"/>
  <c r="L315" i="1"/>
  <c r="L115" i="1"/>
  <c r="L67" i="1"/>
  <c r="N2" i="1"/>
  <c r="N1091" i="1"/>
  <c r="N1083" i="1"/>
  <c r="N1075" i="1"/>
  <c r="N1067" i="1"/>
  <c r="L650" i="1"/>
  <c r="L642" i="1"/>
  <c r="L634" i="1"/>
  <c r="L626" i="1"/>
  <c r="L618" i="1"/>
  <c r="L610" i="1"/>
  <c r="L602" i="1"/>
  <c r="L594" i="1"/>
  <c r="L586" i="1"/>
  <c r="L578" i="1"/>
  <c r="L570" i="1"/>
  <c r="L562" i="1"/>
  <c r="L546" i="1"/>
  <c r="L538" i="1"/>
  <c r="L530" i="1"/>
  <c r="L522" i="1"/>
  <c r="L794" i="1"/>
  <c r="L506" i="1"/>
  <c r="L498" i="1"/>
  <c r="L490" i="1"/>
  <c r="L482" i="1"/>
  <c r="L474" i="1"/>
  <c r="L466" i="1"/>
  <c r="L458" i="1"/>
  <c r="L450" i="1"/>
  <c r="L442" i="1"/>
  <c r="L434" i="1"/>
  <c r="L426" i="1"/>
  <c r="L418" i="1"/>
  <c r="L410" i="1"/>
  <c r="L402" i="1"/>
  <c r="L394" i="1"/>
  <c r="L386" i="1"/>
  <c r="L378" i="1"/>
  <c r="L370" i="1"/>
  <c r="L362" i="1"/>
  <c r="L354" i="1"/>
  <c r="L346" i="1"/>
  <c r="L338" i="1"/>
  <c r="L330" i="1"/>
  <c r="L322" i="1"/>
  <c r="L314" i="1"/>
  <c r="L306" i="1"/>
  <c r="L298" i="1"/>
  <c r="L290" i="1"/>
  <c r="L274" i="1"/>
  <c r="L266" i="1"/>
  <c r="L258" i="1"/>
  <c r="L250" i="1"/>
  <c r="L242" i="1"/>
  <c r="L234" i="1"/>
  <c r="L226" i="1"/>
  <c r="L218" i="1"/>
  <c r="L210" i="1"/>
  <c r="L202" i="1"/>
  <c r="L186" i="1"/>
  <c r="L178" i="1"/>
  <c r="L170" i="1"/>
  <c r="L162" i="1"/>
  <c r="L154" i="1"/>
  <c r="L146" i="1"/>
  <c r="L138" i="1"/>
  <c r="L130" i="1"/>
  <c r="L114" i="1"/>
  <c r="L106" i="1"/>
  <c r="L98" i="1"/>
  <c r="L90" i="1"/>
  <c r="L82" i="1"/>
  <c r="L74" i="1"/>
  <c r="L66" i="1"/>
  <c r="L58" i="1"/>
  <c r="L50" i="1"/>
  <c r="L42" i="1"/>
  <c r="L34" i="1"/>
  <c r="L26" i="1"/>
  <c r="L18" i="1"/>
  <c r="L10" i="1"/>
  <c r="L355" i="1"/>
  <c r="L347" i="1"/>
  <c r="L339" i="1"/>
  <c r="L331" i="1"/>
  <c r="L307" i="1"/>
  <c r="L291" i="1"/>
  <c r="L283" i="1"/>
  <c r="L275" i="1"/>
  <c r="L259" i="1"/>
  <c r="L251" i="1"/>
  <c r="L243" i="1"/>
  <c r="L235" i="1"/>
  <c r="L227" i="1"/>
  <c r="L219" i="1"/>
  <c r="L211" i="1"/>
  <c r="L203" i="1"/>
  <c r="L195" i="1"/>
  <c r="L187" i="1"/>
  <c r="L179" i="1"/>
  <c r="L171" i="1"/>
  <c r="L163" i="1"/>
  <c r="L155" i="1"/>
  <c r="L147" i="1"/>
  <c r="L139" i="1"/>
  <c r="L131" i="1"/>
  <c r="L123" i="1"/>
  <c r="L107" i="1"/>
  <c r="L488" i="1"/>
  <c r="L91" i="1"/>
  <c r="L83" i="1"/>
  <c r="L75" i="1"/>
  <c r="L59" i="1"/>
  <c r="L43" i="1"/>
  <c r="L35" i="1"/>
  <c r="L27" i="1"/>
  <c r="L487" i="1"/>
  <c r="L11" i="1"/>
  <c r="L3" i="1"/>
  <c r="N1096" i="1"/>
  <c r="N1088" i="1"/>
  <c r="N1080" i="1"/>
  <c r="N1072" i="1"/>
  <c r="N1064" i="1"/>
  <c r="N1056" i="1"/>
  <c r="N1048" i="1"/>
  <c r="N1040" i="1"/>
  <c r="N1032" i="1"/>
  <c r="N1024" i="1"/>
  <c r="N1016" i="1"/>
  <c r="N1008" i="1"/>
  <c r="N1000" i="1"/>
  <c r="L361" i="1"/>
  <c r="L353" i="1"/>
  <c r="L345" i="1"/>
  <c r="L337" i="1"/>
  <c r="L329" i="1"/>
  <c r="L321" i="1"/>
  <c r="L313" i="1"/>
  <c r="L305" i="1"/>
  <c r="L297" i="1"/>
  <c r="L289" i="1"/>
  <c r="L281" i="1"/>
  <c r="L273" i="1"/>
  <c r="L265" i="1"/>
  <c r="L257" i="1"/>
  <c r="L249" i="1"/>
  <c r="L364" i="1"/>
  <c r="L233" i="1"/>
  <c r="L225" i="1"/>
  <c r="L217" i="1"/>
  <c r="L209" i="1"/>
  <c r="L201" i="1"/>
  <c r="L193" i="1"/>
  <c r="L185" i="1"/>
  <c r="L177" i="1"/>
  <c r="L169" i="1"/>
  <c r="L161" i="1"/>
  <c r="L153" i="1"/>
  <c r="L145" i="1"/>
  <c r="L137" i="1"/>
  <c r="L129" i="1"/>
  <c r="L121" i="1"/>
  <c r="L113" i="1"/>
  <c r="L105" i="1"/>
  <c r="L97" i="1"/>
  <c r="L89" i="1"/>
  <c r="L81" i="1"/>
  <c r="L569" i="1"/>
  <c r="L65" i="1"/>
  <c r="L57" i="1"/>
  <c r="L49" i="1"/>
  <c r="L41" i="1"/>
  <c r="L33" i="1"/>
  <c r="L25" i="1"/>
  <c r="L17" i="1"/>
  <c r="L9" i="1"/>
  <c r="N910" i="1"/>
  <c r="N902" i="1"/>
  <c r="N894" i="1"/>
  <c r="N886" i="1"/>
  <c r="N878" i="1"/>
  <c r="N870" i="1"/>
  <c r="N862" i="1"/>
  <c r="N854" i="1"/>
  <c r="N846" i="1"/>
  <c r="N838" i="1"/>
  <c r="N830" i="1"/>
  <c r="N822" i="1"/>
  <c r="N814" i="1"/>
  <c r="N806" i="1"/>
  <c r="N798" i="1"/>
  <c r="N790" i="1"/>
  <c r="N782" i="1"/>
  <c r="N774" i="1"/>
  <c r="N766" i="1"/>
  <c r="N758" i="1"/>
  <c r="L1095" i="1"/>
  <c r="L1079" i="1"/>
  <c r="L1071" i="1"/>
  <c r="L1055" i="1"/>
  <c r="L1031" i="1"/>
  <c r="L1023" i="1"/>
  <c r="L1015" i="1"/>
  <c r="L1007" i="1"/>
  <c r="L983" i="1"/>
  <c r="L975" i="1"/>
  <c r="L951" i="1"/>
  <c r="L943" i="1"/>
  <c r="L887" i="1"/>
  <c r="L879" i="1"/>
  <c r="L823" i="1"/>
  <c r="L815" i="1"/>
  <c r="L759" i="1"/>
  <c r="L751" i="1"/>
  <c r="L695" i="1"/>
  <c r="L687" i="1"/>
  <c r="L631" i="1"/>
  <c r="L623" i="1"/>
  <c r="L567" i="1"/>
  <c r="L559" i="1"/>
  <c r="L503" i="1"/>
  <c r="L495" i="1"/>
  <c r="L439" i="1"/>
  <c r="L431" i="1"/>
  <c r="L375" i="1"/>
  <c r="L367" i="1"/>
  <c r="L327" i="1"/>
  <c r="L295" i="1"/>
  <c r="L263" i="1"/>
  <c r="L223" i="1"/>
  <c r="L159" i="1"/>
  <c r="L119" i="1"/>
  <c r="L95" i="1"/>
  <c r="L47" i="1"/>
  <c r="L270" i="1"/>
  <c r="L262" i="1"/>
  <c r="L717" i="1"/>
  <c r="L246" i="1"/>
  <c r="L238" i="1"/>
  <c r="L230" i="1"/>
  <c r="L222" i="1"/>
  <c r="L214" i="1"/>
  <c r="L206" i="1"/>
  <c r="L190" i="1"/>
  <c r="L182" i="1"/>
  <c r="L174" i="1"/>
  <c r="L150" i="1"/>
  <c r="L134" i="1"/>
  <c r="L126" i="1"/>
  <c r="L118" i="1"/>
  <c r="L102" i="1"/>
  <c r="L94" i="1"/>
  <c r="L70" i="1"/>
  <c r="L62" i="1"/>
  <c r="L54" i="1"/>
  <c r="L46" i="1"/>
  <c r="L38" i="1"/>
  <c r="L30" i="1"/>
  <c r="L22" i="1"/>
  <c r="L14" i="1"/>
  <c r="N108" i="1"/>
  <c r="N1051" i="1"/>
  <c r="N1043" i="1"/>
  <c r="N1035" i="1"/>
  <c r="N1027" i="1"/>
  <c r="N1019" i="1"/>
  <c r="N1011" i="1"/>
  <c r="N1003" i="1"/>
  <c r="N995" i="1"/>
  <c r="N987" i="1"/>
  <c r="N979" i="1"/>
  <c r="N971" i="1"/>
  <c r="N963" i="1"/>
  <c r="N955" i="1"/>
  <c r="N947" i="1"/>
  <c r="N939" i="1"/>
  <c r="N931" i="1"/>
  <c r="N923" i="1"/>
  <c r="N915" i="1"/>
  <c r="L604" i="1"/>
  <c r="L596" i="1"/>
  <c r="L580" i="1"/>
  <c r="L572" i="1"/>
  <c r="L556" i="1"/>
  <c r="L540" i="1"/>
  <c r="L524" i="1"/>
  <c r="L500" i="1"/>
  <c r="L492" i="1"/>
  <c r="L484" i="1"/>
  <c r="L436" i="1"/>
  <c r="L420" i="1"/>
  <c r="L252" i="1"/>
  <c r="L236" i="1"/>
  <c r="L605" i="1"/>
  <c r="L204" i="1"/>
  <c r="L532" i="1"/>
  <c r="L508" i="1"/>
  <c r="L476" i="1"/>
  <c r="L468" i="1"/>
  <c r="L444" i="1"/>
  <c r="L412" i="1"/>
  <c r="L404" i="1"/>
  <c r="L380" i="1"/>
  <c r="L348" i="1"/>
  <c r="L332" i="1"/>
  <c r="L316" i="1"/>
  <c r="L13" i="1"/>
  <c r="L292" i="1"/>
  <c r="L276" i="1"/>
  <c r="L244" i="1"/>
  <c r="L228" i="1"/>
  <c r="L212" i="1"/>
  <c r="L196" i="1"/>
  <c r="L180" i="1"/>
  <c r="L164" i="1"/>
  <c r="L140" i="1"/>
  <c r="L135" i="1"/>
  <c r="L100" i="1"/>
  <c r="L92" i="1"/>
  <c r="L84" i="1"/>
  <c r="L60" i="1"/>
  <c r="L52" i="1"/>
  <c r="L36" i="1"/>
  <c r="L287" i="1"/>
  <c r="L12" i="1"/>
  <c r="L4" i="1"/>
  <c r="N992" i="1"/>
  <c r="N984" i="1"/>
  <c r="N976" i="1"/>
  <c r="N968" i="1"/>
  <c r="N960" i="1"/>
  <c r="N952" i="1"/>
  <c r="N944" i="1"/>
  <c r="N936" i="1"/>
  <c r="N928" i="1"/>
  <c r="N920" i="1"/>
  <c r="N912" i="1"/>
  <c r="N904" i="1"/>
  <c r="N896" i="1"/>
  <c r="N888" i="1"/>
  <c r="N880" i="1"/>
  <c r="N872" i="1"/>
  <c r="N864" i="1"/>
  <c r="N856" i="1"/>
  <c r="N848" i="1"/>
  <c r="N840" i="1"/>
  <c r="N1095" i="1"/>
  <c r="N1087" i="1"/>
  <c r="N1079" i="1"/>
  <c r="N1071" i="1"/>
  <c r="N1063" i="1"/>
  <c r="N1055" i="1"/>
  <c r="N1047" i="1"/>
  <c r="N1039" i="1"/>
  <c r="N1031" i="1"/>
  <c r="N1023" i="1"/>
  <c r="N1015" i="1"/>
  <c r="N1007" i="1"/>
  <c r="N999" i="1"/>
  <c r="N991" i="1"/>
  <c r="N983" i="1"/>
  <c r="N975" i="1"/>
  <c r="N967" i="1"/>
  <c r="N959" i="1"/>
  <c r="N951" i="1"/>
  <c r="N943" i="1"/>
  <c r="N935" i="1"/>
  <c r="N310" i="1"/>
  <c r="N919" i="1"/>
  <c r="N911" i="1"/>
  <c r="N750" i="1"/>
  <c r="N742" i="1"/>
  <c r="N734" i="1"/>
  <c r="N726" i="1"/>
  <c r="N718" i="1"/>
  <c r="N710" i="1"/>
  <c r="N702" i="1"/>
  <c r="N694" i="1"/>
  <c r="N686" i="1"/>
  <c r="N678" i="1"/>
  <c r="N670" i="1"/>
  <c r="N662" i="1"/>
  <c r="N654" i="1"/>
  <c r="N646" i="1"/>
  <c r="N638" i="1"/>
  <c r="N630" i="1"/>
  <c r="N622" i="1"/>
  <c r="N614" i="1"/>
  <c r="N606" i="1"/>
  <c r="N598" i="1"/>
  <c r="N590" i="1"/>
  <c r="N582" i="1"/>
  <c r="N574" i="1"/>
  <c r="N566" i="1"/>
  <c r="N558" i="1"/>
  <c r="N550" i="1"/>
  <c r="N542" i="1"/>
  <c r="N534" i="1"/>
  <c r="N526" i="1"/>
  <c r="N518" i="1"/>
  <c r="N764" i="1"/>
  <c r="N502" i="1"/>
  <c r="N494" i="1"/>
  <c r="N486" i="1"/>
  <c r="N478" i="1"/>
  <c r="N470" i="1"/>
  <c r="N462" i="1"/>
  <c r="N454" i="1"/>
  <c r="N446" i="1"/>
  <c r="N438" i="1"/>
  <c r="N430" i="1"/>
  <c r="N422" i="1"/>
  <c r="N414" i="1"/>
  <c r="N406" i="1"/>
  <c r="N398" i="1"/>
  <c r="N390" i="1"/>
  <c r="N382" i="1"/>
  <c r="N374" i="1"/>
  <c r="N510" i="1"/>
  <c r="N358" i="1"/>
  <c r="N350" i="1"/>
  <c r="N342" i="1"/>
  <c r="N334" i="1"/>
  <c r="N326" i="1"/>
  <c r="N318" i="1"/>
  <c r="N19" i="1"/>
  <c r="N302" i="1"/>
  <c r="N294" i="1"/>
  <c r="N286" i="1"/>
  <c r="N278" i="1"/>
  <c r="N270" i="1"/>
  <c r="N262" i="1"/>
  <c r="N717" i="1"/>
  <c r="N246" i="1"/>
  <c r="N238" i="1"/>
  <c r="N230" i="1"/>
  <c r="N222" i="1"/>
  <c r="N214" i="1"/>
  <c r="N206" i="1"/>
  <c r="N198" i="1"/>
  <c r="N190" i="1"/>
  <c r="N182" i="1"/>
  <c r="N174" i="1"/>
  <c r="N166" i="1"/>
  <c r="L264" i="1"/>
  <c r="L248" i="1"/>
  <c r="L232" i="1"/>
  <c r="L216" i="1"/>
  <c r="L200" i="1"/>
  <c r="L192" i="1"/>
  <c r="L160" i="1"/>
  <c r="L136" i="1"/>
  <c r="L128" i="1"/>
  <c r="L112" i="1"/>
  <c r="L96" i="1"/>
  <c r="L88" i="1"/>
  <c r="L72" i="1"/>
  <c r="L64" i="1"/>
  <c r="L48" i="1"/>
  <c r="L40" i="1"/>
  <c r="N1092" i="1"/>
  <c r="N1084" i="1"/>
  <c r="N1076" i="1"/>
  <c r="N1068" i="1"/>
  <c r="N1060" i="1"/>
  <c r="N1052" i="1"/>
  <c r="N1044" i="1"/>
  <c r="N1036" i="1"/>
  <c r="N1028" i="1"/>
  <c r="N1020" i="1"/>
  <c r="N1012" i="1"/>
  <c r="N1004" i="1"/>
  <c r="N996" i="1"/>
  <c r="N988" i="1"/>
  <c r="N980" i="1"/>
  <c r="N972" i="1"/>
  <c r="N964" i="1"/>
  <c r="N956" i="1"/>
  <c r="N948" i="1"/>
  <c r="N940" i="1"/>
  <c r="N932" i="1"/>
  <c r="N924" i="1"/>
  <c r="N916" i="1"/>
  <c r="N908" i="1"/>
  <c r="N900" i="1"/>
  <c r="N892" i="1"/>
  <c r="N884" i="1"/>
  <c r="N876" i="1"/>
  <c r="N868" i="1"/>
  <c r="N860" i="1"/>
  <c r="N852" i="1"/>
  <c r="N844" i="1"/>
  <c r="N836" i="1"/>
  <c r="N828" i="1"/>
  <c r="N820" i="1"/>
  <c r="N812" i="1"/>
  <c r="N804" i="1"/>
  <c r="N796" i="1"/>
  <c r="N788" i="1"/>
  <c r="N780" i="1"/>
  <c r="N772" i="1"/>
  <c r="N907" i="1"/>
  <c r="N899" i="1"/>
  <c r="N891" i="1"/>
  <c r="N883" i="1"/>
  <c r="N875" i="1"/>
  <c r="N867" i="1"/>
  <c r="N859" i="1"/>
  <c r="N851" i="1"/>
  <c r="N843" i="1"/>
  <c r="N835" i="1"/>
  <c r="N827" i="1"/>
  <c r="N819" i="1"/>
  <c r="N811" i="1"/>
  <c r="N803" i="1"/>
  <c r="N795" i="1"/>
  <c r="N787" i="1"/>
  <c r="N779" i="1"/>
  <c r="N771" i="1"/>
  <c r="N763" i="1"/>
  <c r="N755" i="1"/>
  <c r="L101" i="1"/>
  <c r="L85" i="1"/>
  <c r="L77" i="1"/>
  <c r="L45" i="1"/>
  <c r="L37" i="1"/>
  <c r="L29" i="1"/>
  <c r="L319" i="1"/>
  <c r="L255" i="1"/>
  <c r="L191" i="1"/>
  <c r="L127" i="1"/>
  <c r="L63" i="1"/>
  <c r="L55" i="1"/>
  <c r="N832" i="1"/>
  <c r="N824" i="1"/>
  <c r="N816" i="1"/>
  <c r="N808" i="1"/>
  <c r="N800" i="1"/>
  <c r="N792" i="1"/>
  <c r="N784" i="1"/>
  <c r="N776" i="1"/>
  <c r="N768" i="1"/>
  <c r="N760" i="1"/>
  <c r="N752" i="1"/>
  <c r="N744" i="1"/>
  <c r="N736" i="1"/>
  <c r="N728" i="1"/>
  <c r="N720" i="1"/>
  <c r="N712" i="1"/>
  <c r="N704" i="1"/>
  <c r="N696" i="1"/>
  <c r="N688" i="1"/>
  <c r="N680" i="1"/>
  <c r="N672" i="1"/>
  <c r="N664" i="1"/>
  <c r="N656" i="1"/>
  <c r="N648" i="1"/>
  <c r="N640" i="1"/>
  <c r="N632" i="1"/>
  <c r="N624" i="1"/>
  <c r="N616" i="1"/>
  <c r="N608" i="1"/>
  <c r="N600" i="1"/>
  <c r="N592" i="1"/>
  <c r="N584" i="1"/>
  <c r="N576" i="1"/>
  <c r="N568" i="1"/>
  <c r="N560" i="1"/>
  <c r="N99" i="1"/>
  <c r="N544" i="1"/>
  <c r="N536" i="1"/>
  <c r="N528" i="1"/>
  <c r="N520" i="1"/>
  <c r="N512" i="1"/>
  <c r="N504" i="1"/>
  <c r="N496" i="1"/>
  <c r="N28" i="1"/>
  <c r="N480" i="1"/>
  <c r="N472" i="1"/>
  <c r="N464" i="1"/>
  <c r="N456" i="1"/>
  <c r="N448" i="1"/>
  <c r="N440" i="1"/>
  <c r="N432" i="1"/>
  <c r="N424" i="1"/>
  <c r="N416" i="1"/>
  <c r="N408" i="1"/>
  <c r="N400" i="1"/>
  <c r="N392" i="1"/>
  <c r="N384" i="1"/>
  <c r="N376" i="1"/>
  <c r="N368" i="1"/>
  <c r="N360" i="1"/>
  <c r="N352" i="1"/>
  <c r="N344" i="1"/>
  <c r="N336" i="1"/>
  <c r="N328" i="1"/>
  <c r="N320" i="1"/>
  <c r="N312" i="1"/>
  <c r="N304" i="1"/>
  <c r="N296" i="1"/>
  <c r="N288" i="1"/>
  <c r="N280" i="1"/>
  <c r="N272" i="1"/>
  <c r="N264" i="1"/>
  <c r="N256" i="1"/>
  <c r="N248" i="1"/>
  <c r="N240" i="1"/>
  <c r="N232" i="1"/>
  <c r="N224" i="1"/>
  <c r="N903" i="1"/>
  <c r="N895" i="1"/>
  <c r="N887" i="1"/>
  <c r="N879" i="1"/>
  <c r="N871" i="1"/>
  <c r="N863" i="1"/>
  <c r="N855" i="1"/>
  <c r="N847" i="1"/>
  <c r="N839" i="1"/>
  <c r="N831" i="1"/>
  <c r="N823" i="1"/>
  <c r="N815" i="1"/>
  <c r="N807" i="1"/>
  <c r="N799" i="1"/>
  <c r="N791" i="1"/>
  <c r="N783" i="1"/>
  <c r="N775" i="1"/>
  <c r="N767" i="1"/>
  <c r="N759" i="1"/>
  <c r="N751" i="1"/>
  <c r="N743" i="1"/>
  <c r="N735" i="1"/>
  <c r="N727" i="1"/>
  <c r="N719" i="1"/>
  <c r="N711" i="1"/>
  <c r="N703" i="1"/>
  <c r="N695" i="1"/>
  <c r="N687" i="1"/>
  <c r="N679" i="1"/>
  <c r="N671" i="1"/>
  <c r="N663" i="1"/>
  <c r="N655" i="1"/>
  <c r="N647" i="1"/>
  <c r="N639" i="1"/>
  <c r="N631" i="1"/>
  <c r="N623" i="1"/>
  <c r="N615" i="1"/>
  <c r="N607" i="1"/>
  <c r="N599" i="1"/>
  <c r="N591" i="1"/>
  <c r="N583" i="1"/>
  <c r="N575" i="1"/>
  <c r="N567" i="1"/>
  <c r="N559" i="1"/>
  <c r="N551" i="1"/>
  <c r="N543" i="1"/>
  <c r="N535" i="1"/>
  <c r="N527" i="1"/>
  <c r="N519" i="1"/>
  <c r="N511" i="1"/>
  <c r="N503" i="1"/>
  <c r="N495" i="1"/>
  <c r="N514" i="1"/>
  <c r="N479" i="1"/>
  <c r="N471" i="1"/>
  <c r="N463" i="1"/>
  <c r="N455" i="1"/>
  <c r="N447" i="1"/>
  <c r="N439" i="1"/>
  <c r="N431" i="1"/>
  <c r="N423" i="1"/>
  <c r="N415" i="1"/>
  <c r="N407" i="1"/>
  <c r="N399" i="1"/>
  <c r="N391" i="1"/>
  <c r="N383" i="1"/>
  <c r="N375" i="1"/>
  <c r="N367" i="1"/>
  <c r="N359" i="1"/>
  <c r="N351" i="1"/>
  <c r="N343" i="1"/>
  <c r="N335" i="1"/>
  <c r="N327" i="1"/>
  <c r="N319" i="1"/>
  <c r="N311" i="1"/>
  <c r="N303" i="1"/>
  <c r="N295" i="1"/>
  <c r="N158" i="1"/>
  <c r="N1093" i="1"/>
  <c r="N1085" i="1"/>
  <c r="N1077" i="1"/>
  <c r="N1069" i="1"/>
  <c r="N1061" i="1"/>
  <c r="N1053" i="1"/>
  <c r="N1045" i="1"/>
  <c r="N1037" i="1"/>
  <c r="N1029" i="1"/>
  <c r="N1021" i="1"/>
  <c r="N1013" i="1"/>
  <c r="N1005" i="1"/>
  <c r="N997" i="1"/>
  <c r="N989" i="1"/>
  <c r="N981" i="1"/>
  <c r="N973" i="1"/>
  <c r="N965" i="1"/>
  <c r="N957" i="1"/>
  <c r="N949" i="1"/>
  <c r="N941" i="1"/>
  <c r="N933" i="1"/>
  <c r="N925" i="1"/>
  <c r="N917" i="1"/>
  <c r="N909" i="1"/>
  <c r="N901" i="1"/>
  <c r="N1014" i="1"/>
  <c r="N885" i="1"/>
  <c r="N877" i="1"/>
  <c r="N869" i="1"/>
  <c r="N861" i="1"/>
  <c r="N853" i="1"/>
  <c r="N845" i="1"/>
  <c r="N837" i="1"/>
  <c r="N829" i="1"/>
  <c r="N821" i="1"/>
  <c r="N813" i="1"/>
  <c r="N805" i="1"/>
  <c r="N797" i="1"/>
  <c r="N789" i="1"/>
  <c r="N781" i="1"/>
  <c r="N773" i="1"/>
  <c r="N765" i="1"/>
  <c r="N757" i="1"/>
  <c r="N749" i="1"/>
  <c r="N741" i="1"/>
  <c r="N733" i="1"/>
  <c r="N725" i="1"/>
  <c r="N929" i="1"/>
  <c r="N709" i="1"/>
  <c r="N701" i="1"/>
  <c r="N693" i="1"/>
  <c r="N685" i="1"/>
  <c r="N677" i="1"/>
  <c r="N669" i="1"/>
  <c r="N661" i="1"/>
  <c r="N653" i="1"/>
  <c r="N645" i="1"/>
  <c r="N637" i="1"/>
  <c r="N629" i="1"/>
  <c r="N621" i="1"/>
  <c r="N613" i="1"/>
  <c r="N927" i="1"/>
  <c r="N597" i="1"/>
  <c r="N589" i="1"/>
  <c r="N581" i="1"/>
  <c r="N573" i="1"/>
  <c r="N565" i="1"/>
  <c r="N557" i="1"/>
  <c r="N549" i="1"/>
  <c r="N541" i="1"/>
  <c r="N533" i="1"/>
  <c r="N525" i="1"/>
  <c r="N517" i="1"/>
  <c r="N509" i="1"/>
  <c r="N501" i="1"/>
  <c r="N493" i="1"/>
  <c r="N485" i="1"/>
  <c r="N477" i="1"/>
  <c r="N469" i="1"/>
  <c r="N461" i="1"/>
  <c r="N453" i="1"/>
  <c r="N445" i="1"/>
  <c r="N437" i="1"/>
  <c r="N429" i="1"/>
  <c r="N421" i="1"/>
  <c r="N413" i="1"/>
  <c r="N405" i="1"/>
  <c r="N397" i="1"/>
  <c r="N389" i="1"/>
  <c r="N381" i="1"/>
  <c r="N373" i="1"/>
  <c r="N365" i="1"/>
  <c r="N357" i="1"/>
  <c r="N349" i="1"/>
  <c r="N341" i="1"/>
  <c r="N333" i="1"/>
  <c r="N325" i="1"/>
  <c r="N317" i="1"/>
  <c r="N309" i="1"/>
  <c r="N301" i="1"/>
  <c r="N293" i="1"/>
  <c r="N285" i="1"/>
  <c r="N277" i="1"/>
  <c r="N269" i="1"/>
  <c r="N261" i="1"/>
  <c r="N253" i="1"/>
  <c r="N245" i="1"/>
  <c r="N237" i="1"/>
  <c r="N229" i="1"/>
  <c r="N221" i="1"/>
  <c r="N213" i="1"/>
  <c r="N205" i="1"/>
  <c r="N197" i="1"/>
  <c r="N539" i="1"/>
  <c r="N756" i="1"/>
  <c r="N950" i="1"/>
  <c r="N740" i="1"/>
  <c r="N732" i="1"/>
  <c r="N724" i="1"/>
  <c r="N716" i="1"/>
  <c r="N708" i="1"/>
  <c r="N700" i="1"/>
  <c r="N692" i="1"/>
  <c r="N684" i="1"/>
  <c r="N676" i="1"/>
  <c r="N668" i="1"/>
  <c r="N660" i="1"/>
  <c r="N652" i="1"/>
  <c r="N644" i="1"/>
  <c r="N636" i="1"/>
  <c r="N628" i="1"/>
  <c r="N620" i="1"/>
  <c r="N612" i="1"/>
  <c r="N604" i="1"/>
  <c r="N596" i="1"/>
  <c r="N588" i="1"/>
  <c r="N580" i="1"/>
  <c r="N572" i="1"/>
  <c r="N564" i="1"/>
  <c r="N556" i="1"/>
  <c r="N548" i="1"/>
  <c r="N540" i="1"/>
  <c r="N532" i="1"/>
  <c r="N524" i="1"/>
  <c r="N516" i="1"/>
  <c r="N508" i="1"/>
  <c r="N500" i="1"/>
  <c r="N492" i="1"/>
  <c r="N484" i="1"/>
  <c r="N476" i="1"/>
  <c r="N468" i="1"/>
  <c r="N460" i="1"/>
  <c r="N452" i="1"/>
  <c r="N444" i="1"/>
  <c r="N436" i="1"/>
  <c r="N428" i="1"/>
  <c r="N420" i="1"/>
  <c r="N412" i="1"/>
  <c r="N404" i="1"/>
  <c r="N396" i="1"/>
  <c r="N388" i="1"/>
  <c r="N380" i="1"/>
  <c r="N372" i="1"/>
  <c r="N748" i="1"/>
  <c r="N356" i="1"/>
  <c r="N348" i="1"/>
  <c r="N340" i="1"/>
  <c r="N332" i="1"/>
  <c r="N324" i="1"/>
  <c r="N316" i="1"/>
  <c r="N308" i="1"/>
  <c r="N13" i="1"/>
  <c r="N292" i="1"/>
  <c r="N284" i="1"/>
  <c r="N276" i="1"/>
  <c r="N268" i="1"/>
  <c r="N260" i="1"/>
  <c r="N252" i="1"/>
  <c r="N244" i="1"/>
  <c r="N236" i="1"/>
  <c r="N228" i="1"/>
  <c r="N605" i="1"/>
  <c r="N212" i="1"/>
  <c r="N204" i="1"/>
  <c r="N196" i="1"/>
  <c r="N188" i="1"/>
  <c r="N180" i="1"/>
  <c r="N172" i="1"/>
  <c r="N164" i="1"/>
  <c r="N156" i="1"/>
  <c r="N148" i="1"/>
  <c r="N140" i="1"/>
  <c r="N132" i="1"/>
  <c r="N747" i="1"/>
  <c r="N739" i="1"/>
  <c r="N731" i="1"/>
  <c r="N723" i="1"/>
  <c r="N715" i="1"/>
  <c r="N707" i="1"/>
  <c r="N699" i="1"/>
  <c r="N691" i="1"/>
  <c r="N683" i="1"/>
  <c r="N675" i="1"/>
  <c r="N667" i="1"/>
  <c r="N659" i="1"/>
  <c r="N651" i="1"/>
  <c r="N643" i="1"/>
  <c r="N635" i="1"/>
  <c r="N627" i="1"/>
  <c r="N619" i="1"/>
  <c r="N611" i="1"/>
  <c r="N603" i="1"/>
  <c r="N595" i="1"/>
  <c r="N587" i="1"/>
  <c r="N579" i="1"/>
  <c r="N571" i="1"/>
  <c r="N563" i="1"/>
  <c r="N555" i="1"/>
  <c r="N547" i="1"/>
  <c r="N893" i="1"/>
  <c r="N531" i="1"/>
  <c r="N523" i="1"/>
  <c r="N515" i="1"/>
  <c r="N507" i="1"/>
  <c r="N499" i="1"/>
  <c r="N491" i="1"/>
  <c r="N483" i="1"/>
  <c r="N475" i="1"/>
  <c r="N467" i="1"/>
  <c r="N459" i="1"/>
  <c r="N451" i="1"/>
  <c r="N443" i="1"/>
  <c r="N435" i="1"/>
  <c r="N427" i="1"/>
  <c r="N419" i="1"/>
  <c r="N411" i="1"/>
  <c r="N403" i="1"/>
  <c r="N395" i="1"/>
  <c r="N387" i="1"/>
  <c r="N379" i="1"/>
  <c r="N371" i="1"/>
  <c r="N363" i="1"/>
  <c r="N355" i="1"/>
  <c r="N347" i="1"/>
  <c r="N339" i="1"/>
  <c r="N331" i="1"/>
  <c r="N323" i="1"/>
  <c r="N315" i="1"/>
  <c r="N307" i="1"/>
  <c r="N299" i="1"/>
  <c r="N291" i="1"/>
  <c r="N283" i="1"/>
  <c r="N275" i="1"/>
  <c r="N267" i="1"/>
  <c r="N259" i="1"/>
  <c r="N251" i="1"/>
  <c r="N243" i="1"/>
  <c r="N235" i="1"/>
  <c r="N227" i="1"/>
  <c r="N219" i="1"/>
  <c r="N211" i="1"/>
  <c r="N203" i="1"/>
  <c r="N195" i="1"/>
  <c r="N187" i="1"/>
  <c r="N179" i="1"/>
  <c r="N171" i="1"/>
  <c r="N163" i="1"/>
  <c r="N155" i="1"/>
  <c r="N147" i="1"/>
  <c r="N139" i="1"/>
  <c r="N131" i="1"/>
  <c r="N123" i="1"/>
  <c r="N115" i="1"/>
  <c r="L8" i="1"/>
  <c r="N1097" i="1"/>
  <c r="N1089" i="1"/>
  <c r="N1081" i="1"/>
  <c r="N1073" i="1"/>
  <c r="N1065" i="1"/>
  <c r="N1057" i="1"/>
  <c r="N1049" i="1"/>
  <c r="N1041" i="1"/>
  <c r="N1033" i="1"/>
  <c r="N1025" i="1"/>
  <c r="N1017" i="1"/>
  <c r="N1009" i="1"/>
  <c r="N1001" i="1"/>
  <c r="N993" i="1"/>
  <c r="N985" i="1"/>
  <c r="N961" i="1"/>
  <c r="N953" i="1"/>
  <c r="N945" i="1"/>
  <c r="N73" i="1"/>
  <c r="N1059" i="1"/>
  <c r="N897" i="1"/>
  <c r="N889" i="1"/>
  <c r="N881" i="1"/>
  <c r="N865" i="1"/>
  <c r="N857" i="1"/>
  <c r="N833" i="1"/>
  <c r="N825" i="1"/>
  <c r="N817" i="1"/>
  <c r="N801" i="1"/>
  <c r="N793" i="1"/>
  <c r="N769" i="1"/>
  <c r="N761" i="1"/>
  <c r="N753" i="1"/>
  <c r="N737" i="1"/>
  <c r="N729" i="1"/>
  <c r="N721" i="1"/>
  <c r="N705" i="1"/>
  <c r="N697" i="1"/>
  <c r="N689" i="1"/>
  <c r="N216" i="1"/>
  <c r="N208" i="1"/>
  <c r="N184" i="1"/>
  <c r="N160" i="1"/>
  <c r="N152" i="1"/>
  <c r="N112" i="1"/>
  <c r="N104" i="1"/>
  <c r="N366" i="1"/>
  <c r="N279" i="1"/>
  <c r="N271" i="1"/>
  <c r="N263" i="1"/>
  <c r="N255" i="1"/>
  <c r="N247" i="1"/>
  <c r="N239" i="1"/>
  <c r="N231" i="1"/>
  <c r="N223" i="1"/>
  <c r="N215" i="1"/>
  <c r="N207" i="1"/>
  <c r="N175" i="1"/>
  <c r="N167" i="1"/>
  <c r="N159" i="1"/>
  <c r="N241" i="1"/>
  <c r="N150" i="1"/>
  <c r="N142" i="1"/>
  <c r="N134" i="1"/>
  <c r="N126" i="1"/>
  <c r="N102" i="1"/>
  <c r="N94" i="1"/>
  <c r="N86" i="1"/>
  <c r="N62" i="1"/>
  <c r="N38" i="1"/>
  <c r="N14" i="1"/>
  <c r="N189" i="1"/>
  <c r="N181" i="1"/>
  <c r="N173" i="1"/>
  <c r="N165" i="1"/>
  <c r="N157" i="1"/>
  <c r="N149" i="1"/>
  <c r="N141" i="1"/>
  <c r="N125" i="1"/>
  <c r="N117" i="1"/>
  <c r="N93" i="1"/>
  <c r="N77" i="1"/>
  <c r="N69" i="1"/>
  <c r="N61" i="1"/>
  <c r="N124" i="1"/>
  <c r="N116" i="1"/>
  <c r="N76" i="1"/>
  <c r="N68" i="1"/>
  <c r="N52" i="1"/>
  <c r="N44" i="1"/>
  <c r="N20" i="1"/>
  <c r="N107" i="1"/>
  <c r="N488" i="1"/>
  <c r="N75" i="1"/>
  <c r="N51" i="1"/>
  <c r="N43" i="1"/>
  <c r="N1098" i="1"/>
  <c r="N1090" i="1"/>
  <c r="N1082" i="1"/>
  <c r="N1074" i="1"/>
  <c r="N1066" i="1"/>
  <c r="N1058" i="1"/>
  <c r="N1034" i="1"/>
  <c r="N1026" i="1"/>
  <c r="N1018" i="1"/>
  <c r="N1010" i="1"/>
  <c r="N1002" i="1"/>
  <c r="N994" i="1"/>
  <c r="N970" i="1"/>
  <c r="N962" i="1"/>
  <c r="N954" i="1"/>
  <c r="N938" i="1"/>
  <c r="N930" i="1"/>
  <c r="N906" i="1"/>
  <c r="N898" i="1"/>
  <c r="N890" i="1"/>
  <c r="N874" i="1"/>
  <c r="N866" i="1"/>
  <c r="N842" i="1"/>
  <c r="N834" i="1"/>
  <c r="N826" i="1"/>
  <c r="N810" i="1"/>
  <c r="N802" i="1"/>
  <c r="N778" i="1"/>
  <c r="N770" i="1"/>
  <c r="N754" i="1"/>
  <c r="N738" i="1"/>
  <c r="N722" i="1"/>
  <c r="N706" i="1"/>
  <c r="N690" i="1"/>
  <c r="N674" i="1"/>
  <c r="N666" i="1"/>
  <c r="N642" i="1"/>
  <c r="N626" i="1"/>
  <c r="N618" i="1"/>
  <c r="N610" i="1"/>
  <c r="N578" i="1"/>
  <c r="N570" i="1"/>
  <c r="N562" i="1"/>
  <c r="N538" i="1"/>
  <c r="N794" i="1"/>
  <c r="N490" i="1"/>
  <c r="N482" i="1"/>
  <c r="N442" i="1"/>
  <c r="N434" i="1"/>
  <c r="N418" i="1"/>
  <c r="N410" i="1"/>
  <c r="N386" i="1"/>
  <c r="N370" i="1"/>
  <c r="N362" i="1"/>
  <c r="N354" i="1"/>
  <c r="N322" i="1"/>
  <c r="N314" i="1"/>
  <c r="N306" i="1"/>
  <c r="N282" i="1"/>
  <c r="N258" i="1"/>
  <c r="N234" i="1"/>
  <c r="N226" i="1"/>
  <c r="N186" i="1"/>
  <c r="N178" i="1"/>
  <c r="N162" i="1"/>
  <c r="N154" i="1"/>
  <c r="N130" i="1"/>
  <c r="N114" i="1"/>
  <c r="N106" i="1"/>
  <c r="N98" i="1"/>
  <c r="N66" i="1"/>
  <c r="N58" i="1"/>
  <c r="N50" i="1"/>
  <c r="N26" i="1"/>
  <c r="N1050" i="1"/>
  <c r="N1042" i="1"/>
  <c r="N986" i="1"/>
  <c r="N978" i="1"/>
  <c r="N946" i="1"/>
  <c r="N922" i="1"/>
  <c r="N914" i="1"/>
  <c r="N882" i="1"/>
  <c r="N858" i="1"/>
  <c r="N850" i="1"/>
  <c r="N818" i="1"/>
  <c r="N552" i="1"/>
  <c r="N786" i="1"/>
  <c r="N762" i="1"/>
  <c r="N746" i="1"/>
  <c r="N730" i="1"/>
  <c r="N714" i="1"/>
  <c r="N698" i="1"/>
  <c r="N682" i="1"/>
  <c r="N658" i="1"/>
  <c r="N650" i="1"/>
  <c r="N634" i="1"/>
  <c r="N602" i="1"/>
  <c r="N594" i="1"/>
  <c r="N586" i="1"/>
  <c r="N554" i="1"/>
  <c r="N546" i="1"/>
  <c r="N530" i="1"/>
  <c r="N522" i="1"/>
  <c r="N506" i="1"/>
  <c r="N498" i="1"/>
  <c r="N474" i="1"/>
  <c r="N466" i="1"/>
  <c r="N458" i="1"/>
  <c r="N450" i="1"/>
  <c r="N426" i="1"/>
  <c r="N402" i="1"/>
  <c r="N394" i="1"/>
  <c r="N378" i="1"/>
  <c r="N346" i="1"/>
  <c r="N338" i="1"/>
  <c r="N330" i="1"/>
  <c r="N298" i="1"/>
  <c r="N290" i="1"/>
  <c r="N274" i="1"/>
  <c r="N266" i="1"/>
  <c r="N250" i="1"/>
  <c r="N242" i="1"/>
  <c r="N218" i="1"/>
  <c r="N210" i="1"/>
  <c r="N202" i="1"/>
  <c r="N300" i="1"/>
  <c r="N170" i="1"/>
  <c r="N146" i="1"/>
  <c r="N138" i="1"/>
  <c r="N122" i="1"/>
  <c r="N90" i="1"/>
  <c r="N82" i="1"/>
  <c r="N74" i="1"/>
  <c r="N42" i="1"/>
  <c r="N34" i="1"/>
  <c r="N18" i="1"/>
  <c r="N10" i="1"/>
  <c r="N977" i="1"/>
  <c r="N969" i="1"/>
  <c r="N937" i="1"/>
  <c r="N913" i="1"/>
  <c r="N905" i="1"/>
  <c r="N873" i="1"/>
  <c r="N849" i="1"/>
  <c r="N841" i="1"/>
  <c r="N809" i="1"/>
  <c r="N785" i="1"/>
  <c r="N777" i="1"/>
  <c r="N745" i="1"/>
  <c r="N713" i="1"/>
  <c r="N681" i="1"/>
  <c r="N673" i="1"/>
  <c r="N665" i="1"/>
  <c r="N657" i="1"/>
  <c r="N649" i="1"/>
  <c r="N641" i="1"/>
  <c r="N633" i="1"/>
  <c r="N625" i="1"/>
  <c r="N617" i="1"/>
  <c r="N609" i="1"/>
  <c r="N601" i="1"/>
  <c r="N593" i="1"/>
  <c r="N585" i="1"/>
  <c r="N577" i="1"/>
  <c r="N921" i="1"/>
  <c r="N561" i="1"/>
  <c r="N553" i="1"/>
  <c r="N545" i="1"/>
  <c r="N537" i="1"/>
  <c r="N529" i="1"/>
  <c r="N521" i="1"/>
  <c r="N513" i="1"/>
  <c r="N505" i="1"/>
  <c r="N497" i="1"/>
  <c r="N489" i="1"/>
  <c r="N481" i="1"/>
  <c r="N473" i="1"/>
  <c r="N465" i="1"/>
  <c r="N457" i="1"/>
  <c r="N449" i="1"/>
  <c r="N441" i="1"/>
  <c r="N433" i="1"/>
  <c r="N425" i="1"/>
  <c r="N417" i="1"/>
  <c r="N409" i="1"/>
  <c r="N401" i="1"/>
  <c r="N393" i="1"/>
  <c r="N385" i="1"/>
  <c r="N377" i="1"/>
  <c r="N369" i="1"/>
  <c r="N361" i="1"/>
  <c r="N353" i="1"/>
  <c r="N345" i="1"/>
  <c r="N337" i="1"/>
  <c r="N329" i="1"/>
  <c r="N321" i="1"/>
  <c r="N313" i="1"/>
  <c r="N305" i="1"/>
  <c r="N297" i="1"/>
  <c r="N289" i="1"/>
  <c r="N281" i="1"/>
  <c r="N273" i="1"/>
  <c r="N265" i="1"/>
  <c r="N257" i="1"/>
  <c r="N249" i="1"/>
  <c r="N364" i="1"/>
  <c r="N233" i="1"/>
  <c r="N225" i="1"/>
  <c r="N217" i="1"/>
  <c r="N209" i="1"/>
  <c r="N201" i="1"/>
  <c r="N193" i="1"/>
  <c r="N185" i="1"/>
  <c r="N177" i="1"/>
  <c r="N169" i="1"/>
  <c r="N161" i="1"/>
  <c r="N153" i="1"/>
  <c r="N145" i="1"/>
  <c r="N137" i="1"/>
  <c r="N129" i="1"/>
  <c r="N121" i="1"/>
  <c r="N113" i="1"/>
  <c r="N105" i="1"/>
  <c r="N97" i="1"/>
  <c r="N89" i="1"/>
  <c r="N81" i="1"/>
  <c r="N569" i="1"/>
  <c r="N65" i="1"/>
  <c r="N57" i="1"/>
  <c r="N49" i="1"/>
  <c r="N41" i="1"/>
  <c r="N33" i="1"/>
  <c r="N25" i="1"/>
  <c r="N17" i="1"/>
  <c r="N9" i="1"/>
  <c r="N200" i="1"/>
  <c r="N192" i="1"/>
  <c r="N176" i="1"/>
  <c r="N168" i="1"/>
  <c r="N144" i="1"/>
  <c r="N136" i="1"/>
  <c r="N128" i="1"/>
  <c r="N120" i="1"/>
  <c r="N96" i="1"/>
  <c r="N48" i="1"/>
  <c r="N199" i="1"/>
  <c r="N191" i="1"/>
  <c r="N183" i="1"/>
  <c r="N151" i="1"/>
  <c r="N143" i="1"/>
  <c r="N127" i="1"/>
  <c r="N95" i="1"/>
  <c r="N71" i="1"/>
  <c r="N47" i="1"/>
  <c r="N23" i="1"/>
  <c r="N7" i="1"/>
  <c r="N118" i="1"/>
  <c r="N110" i="1"/>
  <c r="N78" i="1"/>
  <c r="N70" i="1"/>
  <c r="N54" i="1"/>
  <c r="N46" i="1"/>
  <c r="N30" i="1"/>
  <c r="N22" i="1"/>
  <c r="N6" i="1"/>
  <c r="N133" i="1"/>
  <c r="N109" i="1"/>
  <c r="N101" i="1"/>
  <c r="N85" i="1"/>
  <c r="N53" i="1"/>
  <c r="N45" i="1"/>
  <c r="N37" i="1"/>
  <c r="N135" i="1"/>
  <c r="N100" i="1"/>
  <c r="N92" i="1"/>
  <c r="N84" i="1"/>
  <c r="N60" i="1"/>
  <c r="N36" i="1"/>
  <c r="N287" i="1"/>
  <c r="N12" i="1"/>
  <c r="N4" i="1"/>
  <c r="N91" i="1"/>
  <c r="N83" i="1"/>
  <c r="N67" i="1"/>
  <c r="N59" i="1"/>
  <c r="N35" i="1"/>
  <c r="N27" i="1"/>
  <c r="N487" i="1"/>
  <c r="N11" i="1"/>
  <c r="N3" i="1"/>
  <c r="N72" i="1"/>
  <c r="N64" i="1"/>
  <c r="N8" i="1"/>
  <c r="N119" i="1"/>
  <c r="N63" i="1"/>
  <c r="N55" i="1"/>
</calcChain>
</file>

<file path=xl/sharedStrings.xml><?xml version="1.0" encoding="utf-8"?>
<sst xmlns="http://schemas.openxmlformats.org/spreadsheetml/2006/main" count="15423" uniqueCount="1107">
  <si>
    <t>cnpj</t>
  </si>
  <si>
    <t>razao_social</t>
  </si>
  <si>
    <t>cidade</t>
  </si>
  <si>
    <t>uf</t>
  </si>
  <si>
    <t>rede</t>
  </si>
  <si>
    <t>tipo_informante</t>
  </si>
  <si>
    <t>ULTRA POPULAR BRASNORTE</t>
  </si>
  <si>
    <t>BRASNORTE</t>
  </si>
  <si>
    <t>MT</t>
  </si>
  <si>
    <t>FARMARCAS</t>
  </si>
  <si>
    <t>SELL OUT</t>
  </si>
  <si>
    <t>C. J. DA SILVA &amp; CIA</t>
  </si>
  <si>
    <t>DIAMANTINO</t>
  </si>
  <si>
    <t>DROGARIA SEMPRE POPULAR</t>
  </si>
  <si>
    <t>CAMPO GRANDE</t>
  </si>
  <si>
    <t>MS</t>
  </si>
  <si>
    <t>MASTERFARMA</t>
  </si>
  <si>
    <t>SELL IN</t>
  </si>
  <si>
    <t>DROGAMED POPULAR</t>
  </si>
  <si>
    <t>COXIM</t>
  </si>
  <si>
    <t>INDEPENDENTES VIN</t>
  </si>
  <si>
    <t>DROGABEL</t>
  </si>
  <si>
    <t>CANARANA</t>
  </si>
  <si>
    <t>FCIA DROGAMARA</t>
  </si>
  <si>
    <t>MARACAJU</t>
  </si>
  <si>
    <t>DROGARIA ULTRAPOPULAR</t>
  </si>
  <si>
    <t>ARENAPOLIS</t>
  </si>
  <si>
    <t>FARMACIA GAUCHA</t>
  </si>
  <si>
    <t>IGUATEMI</t>
  </si>
  <si>
    <t>ULTRAPOPULAR</t>
  </si>
  <si>
    <t>MUNDO NOVO</t>
  </si>
  <si>
    <t>FCIA MARIALVA LTDA</t>
  </si>
  <si>
    <t>AQUIDAUANA</t>
  </si>
  <si>
    <t>HIPER SAUDE</t>
  </si>
  <si>
    <t>FARMACIAS SUPRAVITA</t>
  </si>
  <si>
    <t>SINOP</t>
  </si>
  <si>
    <t>ASSOCIADAS</t>
  </si>
  <si>
    <t>DROGARIA FARMALUZ</t>
  </si>
  <si>
    <t>DSG FARMA</t>
  </si>
  <si>
    <t>FARMACIA POPULAR</t>
  </si>
  <si>
    <t>SORRISO</t>
  </si>
  <si>
    <t>DROG NOSSO LAR</t>
  </si>
  <si>
    <t>DROGACERTA</t>
  </si>
  <si>
    <t>BARRA DO GARCAS</t>
  </si>
  <si>
    <t>DROGARIA CENTRAL</t>
  </si>
  <si>
    <t>RIBEIRAO CASCALHEIRA</t>
  </si>
  <si>
    <t>REAL FARMA</t>
  </si>
  <si>
    <t>TEODORO SAMPAIO</t>
  </si>
  <si>
    <t>SP</t>
  </si>
  <si>
    <t>DROGARIA MARE MANSA</t>
  </si>
  <si>
    <t>PRESIDENTE PRUDENTE</t>
  </si>
  <si>
    <t>DROGARIA DR FABIO</t>
  </si>
  <si>
    <t>CUIABA</t>
  </si>
  <si>
    <t>DROGARIA SAO JORGE</t>
  </si>
  <si>
    <t>JUTI</t>
  </si>
  <si>
    <t>DROGARIA MAX PROMISSAO</t>
  </si>
  <si>
    <t>PROMISSAO</t>
  </si>
  <si>
    <t>FARMACIA ULTRA POPULAR</t>
  </si>
  <si>
    <t>BARRA DO BUGRES</t>
  </si>
  <si>
    <t>DROGARIA ULTRA POPULAR</t>
  </si>
  <si>
    <t>DROGAPLUS POPULAR</t>
  </si>
  <si>
    <t>TANGARA DA SERRA</t>
  </si>
  <si>
    <t>DROGASHOP</t>
  </si>
  <si>
    <t>FARMACIAS DESCONTO FACIL</t>
  </si>
  <si>
    <t>ECONOMIZE RONDONOPOLIS</t>
  </si>
  <si>
    <t>FARMA SAUDE</t>
  </si>
  <si>
    <t>FARMACIA FLOR DE MAIO</t>
  </si>
  <si>
    <t>DROGARIA A MAIS POPULAR</t>
  </si>
  <si>
    <t>SETE QUEDAS</t>
  </si>
  <si>
    <t>DROGARIAS FARMARELA</t>
  </si>
  <si>
    <t>FCIA BIOFARMA</t>
  </si>
  <si>
    <t>AMAMBAI</t>
  </si>
  <si>
    <t>DROGARIA SANTA MARIA</t>
  </si>
  <si>
    <t>DROGARIA EVANGELICA</t>
  </si>
  <si>
    <t>COMPRE BEM</t>
  </si>
  <si>
    <t>BIOFARDROGAS</t>
  </si>
  <si>
    <t>DROGA SERV</t>
  </si>
  <si>
    <t>DROGARIAS BEM POPULAR BRASIL</t>
  </si>
  <si>
    <t>DROGARIA NOVA FORMULA</t>
  </si>
  <si>
    <t>CLEMENTINA</t>
  </si>
  <si>
    <t>DROGARIA TOTAL</t>
  </si>
  <si>
    <t>DROG MATO GROSSO</t>
  </si>
  <si>
    <t>LUCAS DO RIO VERDE</t>
  </si>
  <si>
    <t>POSTO DE MEDICAMENTOS NIAGARA</t>
  </si>
  <si>
    <t>SAO JOSE DO POVO</t>
  </si>
  <si>
    <t>FARMACIA VIDEIRA</t>
  </si>
  <si>
    <t>VALPARAISO</t>
  </si>
  <si>
    <t>MULTIDROGAS</t>
  </si>
  <si>
    <t>FARMACIA DO JOAO E DROGARIA</t>
  </si>
  <si>
    <t>AGUA CLARA</t>
  </si>
  <si>
    <t>FARMACIA ECONOMIZE</t>
  </si>
  <si>
    <t>FARMACIA SANTA CATARINA DE PRESIDENTE PRUDENTE</t>
  </si>
  <si>
    <t>REDE SANTA CATARINA</t>
  </si>
  <si>
    <t>FARMA REAL</t>
  </si>
  <si>
    <t>DOURADOS</t>
  </si>
  <si>
    <t>FARMACIA FLOR DE LIS</t>
  </si>
  <si>
    <t>PORTO ESPERIDIAO</t>
  </si>
  <si>
    <t>FCIA INOFARMA</t>
  </si>
  <si>
    <t>INOCENCIA</t>
  </si>
  <si>
    <t>DROGA LIDER</t>
  </si>
  <si>
    <t>PARANAIBA</t>
  </si>
  <si>
    <t>NAIARA BELON DE ALBUQUERQUE CARNIATO - DROGARIA</t>
  </si>
  <si>
    <t>SANTO ANASTACIO</t>
  </si>
  <si>
    <t>FARMAIS</t>
  </si>
  <si>
    <t>DROGARIAS ULTRA POPULAR</t>
  </si>
  <si>
    <t xml:space="preserve">SINOP                                             </t>
  </si>
  <si>
    <t>ASTOLFI DROGARIA</t>
  </si>
  <si>
    <t>TRIUNFO FARMACIAS</t>
  </si>
  <si>
    <t>SCALLA PRODUTOS MEDICOS E HOSPITALARES</t>
  </si>
  <si>
    <t>NOVA PHARMA</t>
  </si>
  <si>
    <t>IVINHEMA</t>
  </si>
  <si>
    <t>DROGARIA EXTRA POPULAR</t>
  </si>
  <si>
    <t>DROGARIA TALHAMARES II</t>
  </si>
  <si>
    <t>CACERES</t>
  </si>
  <si>
    <t>DORGA NOSSA</t>
  </si>
  <si>
    <t>JUINA</t>
  </si>
  <si>
    <t>REDE POPULAR DROGA10</t>
  </si>
  <si>
    <t>DROGA 10</t>
  </si>
  <si>
    <t>DROGARIA PRIMAVERAS</t>
  </si>
  <si>
    <t>DROGARIA MAIS POPULAR</t>
  </si>
  <si>
    <t>NIOAQUE</t>
  </si>
  <si>
    <t>FCIA DROGACITY</t>
  </si>
  <si>
    <t>CAMPO NOVO DO PARECIS</t>
  </si>
  <si>
    <t>ULTRA POPULAR BRASNORTE FILIAL LL</t>
  </si>
  <si>
    <t>FARMACIA + ECONOMICA</t>
  </si>
  <si>
    <t>CORUMBA</t>
  </si>
  <si>
    <t>DROGA CERTA</t>
  </si>
  <si>
    <t>AGUA BOA</t>
  </si>
  <si>
    <t>FARMACIA AVENIDA</t>
  </si>
  <si>
    <t>DEODAPOLIS</t>
  </si>
  <si>
    <t>DROGARIA DENISE</t>
  </si>
  <si>
    <t>DENISE</t>
  </si>
  <si>
    <t>FCIA ALTERNATIVA</t>
  </si>
  <si>
    <t>SELVIRIA</t>
  </si>
  <si>
    <t>FARMACIA MADEIRA</t>
  </si>
  <si>
    <t>REDE MADEIRA</t>
  </si>
  <si>
    <t>DROGARIA POUPE JA - MAX FARMA</t>
  </si>
  <si>
    <t>FCIA MARLEY ZEILINGER</t>
  </si>
  <si>
    <t>NOVA ANDRADINA</t>
  </si>
  <si>
    <t>FARMACIA FARMAMED</t>
  </si>
  <si>
    <t>DROGAO + INTERIOR</t>
  </si>
  <si>
    <t>DROGARIA DO AIRTON</t>
  </si>
  <si>
    <t>DROGARIA PROGRESSO</t>
  </si>
  <si>
    <t>MURUTINGA DO SUL</t>
  </si>
  <si>
    <t>QUATA</t>
  </si>
  <si>
    <t>DROGARIAS ULTRAFORT POPULAR</t>
  </si>
  <si>
    <t>RONDONOPOLIS</t>
  </si>
  <si>
    <t>DROGARIA TALHAMARES</t>
  </si>
  <si>
    <t>FARMACIA PRO VIDA</t>
  </si>
  <si>
    <t>MIRASSOL D'OESTE</t>
  </si>
  <si>
    <t>HIPER POPULAR</t>
  </si>
  <si>
    <t>FARMACIA ULTRA POPULAR DE ALTO ARAGUAIA</t>
  </si>
  <si>
    <t>ALTO ARAGUAIA</t>
  </si>
  <si>
    <t>LC COMERCIO DE MED LTDA ME</t>
  </si>
  <si>
    <t>FARMA VIDA</t>
  </si>
  <si>
    <t>CAARAPO</t>
  </si>
  <si>
    <t>DROGARIA SANTA CATARINA</t>
  </si>
  <si>
    <t>MARTINOPOLIS</t>
  </si>
  <si>
    <t>FARMA POPULAR</t>
  </si>
  <si>
    <t>DROGARIA BOM PRECO</t>
  </si>
  <si>
    <t>ALTO GARCAS</t>
  </si>
  <si>
    <t>DROGARIA POLO CENTRO</t>
  </si>
  <si>
    <t>NOBRES</t>
  </si>
  <si>
    <t>DROGARIA TOTAL - SATO</t>
  </si>
  <si>
    <t>DROGARIA ECONOMIA JURUMIRIM</t>
  </si>
  <si>
    <t>DROGARIA HIPER POPULAR</t>
  </si>
  <si>
    <t>PRIMAVERA DO LESTE</t>
  </si>
  <si>
    <t>FARMACIA MINI PRECO</t>
  </si>
  <si>
    <t>ULTRA MAX POPULAR</t>
  </si>
  <si>
    <t>DROGACENTER</t>
  </si>
  <si>
    <t>ULTRAFARMA</t>
  </si>
  <si>
    <t>PEIXOTO DE AZEVEDO</t>
  </si>
  <si>
    <t>FCIA FARMA</t>
  </si>
  <si>
    <t>FARMAR</t>
  </si>
  <si>
    <t>GUARARAPES</t>
  </si>
  <si>
    <t>FCIA EDMILSON N SANTOS</t>
  </si>
  <si>
    <t>CAIABU</t>
  </si>
  <si>
    <t>FCIA DROG VIDA</t>
  </si>
  <si>
    <t>CASSILANDIA</t>
  </si>
  <si>
    <t>FARMAVIDA</t>
  </si>
  <si>
    <t>NOVA ALVORADA DO SUL</t>
  </si>
  <si>
    <t>FARMAIS PARANAIBA</t>
  </si>
  <si>
    <t>VARZEA GRANDE</t>
  </si>
  <si>
    <t>FARMACIA GALENA MANIPULACAO DE FORMULAS</t>
  </si>
  <si>
    <t>DROGARIA FARMAFLORES</t>
  </si>
  <si>
    <t>FARMACIA SAO JOAO</t>
  </si>
  <si>
    <t>PEDRO GOMES</t>
  </si>
  <si>
    <t>FARMA LIFE</t>
  </si>
  <si>
    <t>REDES DROGARIAS ECONOMICAS</t>
  </si>
  <si>
    <t>FARMACIA FARMA +</t>
  </si>
  <si>
    <t>FARMA &amp; FARMA</t>
  </si>
  <si>
    <t>FARMA NOSSA</t>
  </si>
  <si>
    <t>DROGARIA MED FARMA</t>
  </si>
  <si>
    <t>ARAGARCAS</t>
  </si>
  <si>
    <t>GO</t>
  </si>
  <si>
    <t>DROGARIA MEGA POPULAR</t>
  </si>
  <si>
    <t>FLORIDA PAULISTA</t>
  </si>
  <si>
    <t>REDE INOVA</t>
  </si>
  <si>
    <t>FCIA BRASIL</t>
  </si>
  <si>
    <t>ELDORADO</t>
  </si>
  <si>
    <t>DROGARIA AMERICAURILIA</t>
  </si>
  <si>
    <t>ABRE FARMA</t>
  </si>
  <si>
    <t>DROGARIA BEM POPULAR BRASIL</t>
  </si>
  <si>
    <t>PONTES E LACERDA</t>
  </si>
  <si>
    <t>MAXIFARMA POPULAR</t>
  </si>
  <si>
    <t>FARMACIA E DROGARIA XAVIER</t>
  </si>
  <si>
    <t>ANDRADINA</t>
  </si>
  <si>
    <t>DROGAMED</t>
  </si>
  <si>
    <t>SAO GABRIEL DO OESTE</t>
  </si>
  <si>
    <t>DROGARIA BOM JESUS</t>
  </si>
  <si>
    <t>PONTE BRANCA</t>
  </si>
  <si>
    <t>DROGA BRASILEIRA</t>
  </si>
  <si>
    <t>BANDEIRANTES</t>
  </si>
  <si>
    <t>DROG PALMEIRA</t>
  </si>
  <si>
    <t>DROG VELASQUES</t>
  </si>
  <si>
    <t>SUPER POPULAR</t>
  </si>
  <si>
    <t>BRASILANDIA</t>
  </si>
  <si>
    <t>FARMACIA BEM ESTAR</t>
  </si>
  <si>
    <t>REDE DE FARMACIAS ECONOMIZAR</t>
  </si>
  <si>
    <t>GUARANTA DO NORTE</t>
  </si>
  <si>
    <t>BIOFARMA</t>
  </si>
  <si>
    <t>APARECIDA DO TABOADO</t>
  </si>
  <si>
    <t>DROGARIA AVENIDA</t>
  </si>
  <si>
    <t>DROGARIA MODELO</t>
  </si>
  <si>
    <t>FARMACIA PIONEIRA</t>
  </si>
  <si>
    <t>FCIA NAJA III</t>
  </si>
  <si>
    <t>GLORIA DE DOURADOS</t>
  </si>
  <si>
    <t>CENTRAL FARMA</t>
  </si>
  <si>
    <t>DROGARIA COMPRE CERTO</t>
  </si>
  <si>
    <t>REDE COMPRE CERTO</t>
  </si>
  <si>
    <t>MAX FARMA</t>
  </si>
  <si>
    <t>MULTI+FARMA</t>
  </si>
  <si>
    <t>QUERENCIA</t>
  </si>
  <si>
    <t>DROGARIA REGIANE</t>
  </si>
  <si>
    <t>FARMA LIMA</t>
  </si>
  <si>
    <t>DROG NACIONAL</t>
  </si>
  <si>
    <t>FARMA LISBOA POPULAR</t>
  </si>
  <si>
    <t>IORI FARMA</t>
  </si>
  <si>
    <t>FARMACIA POPULAR DOM ANTONIO LTDA</t>
  </si>
  <si>
    <t>DROGARIA A</t>
  </si>
  <si>
    <t>TORIXOREU</t>
  </si>
  <si>
    <t>JAQUINTA &amp; SILVA</t>
  </si>
  <si>
    <t>IDEAL FARMA</t>
  </si>
  <si>
    <t>SLC DROGARIA - EIRELLI</t>
  </si>
  <si>
    <t>ARAL FARMA</t>
  </si>
  <si>
    <t>ARAL MOREIRA</t>
  </si>
  <si>
    <t>DROGATOP</t>
  </si>
  <si>
    <t>FARMATOTAL</t>
  </si>
  <si>
    <t>DROG SAN MARINO</t>
  </si>
  <si>
    <t>FCIA MODERNA</t>
  </si>
  <si>
    <t>DROGAVITA</t>
  </si>
  <si>
    <t>DROG ITAPORA LTDA</t>
  </si>
  <si>
    <t>ITAPORA</t>
  </si>
  <si>
    <t>DROG CATARINENSE</t>
  </si>
  <si>
    <t>NOVA ESPERANCA</t>
  </si>
  <si>
    <t>PR</t>
  </si>
  <si>
    <t>DROGARIA VITORIA</t>
  </si>
  <si>
    <t>ARAPUTANGA</t>
  </si>
  <si>
    <t>FARMACIA FARMACLIN</t>
  </si>
  <si>
    <t>PONTA PORA</t>
  </si>
  <si>
    <t>NOVA MUTUM</t>
  </si>
  <si>
    <t>DROG LUCIA</t>
  </si>
  <si>
    <t>DOSE UNICA MEDICAMENTOS</t>
  </si>
  <si>
    <t>FARMACIA DOIS IRMAOS</t>
  </si>
  <si>
    <t>TOP FARMA POPULAR</t>
  </si>
  <si>
    <t>JARDIM</t>
  </si>
  <si>
    <t>DROGARIA BEM-ESTTAR</t>
  </si>
  <si>
    <t>DROG LIMA</t>
  </si>
  <si>
    <t>DROG BRASIL</t>
  </si>
  <si>
    <t>DROGAPLIS</t>
  </si>
  <si>
    <t>PENAPOLIS</t>
  </si>
  <si>
    <t>DROG FARMALAR</t>
  </si>
  <si>
    <t>ADAMANTINA</t>
  </si>
  <si>
    <t>GT COMERCIO DE MEDICAMENTOS</t>
  </si>
  <si>
    <t>FARMACIA SANRIVAL III</t>
  </si>
  <si>
    <t>CHAPADAO DO SUL</t>
  </si>
  <si>
    <t>REDE SMALLFARMA</t>
  </si>
  <si>
    <t>FARMACIA ALAMEDA</t>
  </si>
  <si>
    <t>FARMACIA VITA FARMA</t>
  </si>
  <si>
    <t>ASFAR FARMACIAS</t>
  </si>
  <si>
    <t>DROGARIA DOS TRABALHADORES</t>
  </si>
  <si>
    <t>DROGA VIDA POPULAR</t>
  </si>
  <si>
    <t>DROGARIA ALVORADA</t>
  </si>
  <si>
    <t>DROGARIA DAVI PAJU</t>
  </si>
  <si>
    <t>FARMACIA AMARELINHA POPULAR</t>
  </si>
  <si>
    <t>NOVA OLIMPIA</t>
  </si>
  <si>
    <t>BEM POPULAR BRASIL</t>
  </si>
  <si>
    <t>DROGARIA FELIPE</t>
  </si>
  <si>
    <t>FARMACIA UNIAO</t>
  </si>
  <si>
    <t>DROGARIA FARMALIMA</t>
  </si>
  <si>
    <t>PARANAITA</t>
  </si>
  <si>
    <t>COMODORO</t>
  </si>
  <si>
    <t>FCIA NSA SRA APARECIDA</t>
  </si>
  <si>
    <t>MIRANDA</t>
  </si>
  <si>
    <t>DROGARIA DELTA MED</t>
  </si>
  <si>
    <t>PRESIDENTE BERNARDES</t>
  </si>
  <si>
    <t>ALTO PARAGUAI</t>
  </si>
  <si>
    <t>M. G. DROGARIA</t>
  </si>
  <si>
    <t>FCIA FARMAUTIL</t>
  </si>
  <si>
    <t>PREVI SAUDE</t>
  </si>
  <si>
    <t>DROG NATALIA</t>
  </si>
  <si>
    <t>DROG MIRASSOL</t>
  </si>
  <si>
    <t>DROG POPULAR</t>
  </si>
  <si>
    <t>JUNQUEIROPOLIS</t>
  </si>
  <si>
    <t>FARMACIA BRASIL</t>
  </si>
  <si>
    <t>ITAQUIRAI</t>
  </si>
  <si>
    <t>DROGARIA CONCORDIA</t>
  </si>
  <si>
    <t>PARANATINGA</t>
  </si>
  <si>
    <t>DROGARIA POUPE MAIS</t>
  </si>
  <si>
    <t>DROGARIA ESTRELA</t>
  </si>
  <si>
    <t>DROGARIA FARMAX</t>
  </si>
  <si>
    <t>DROG BOM JESUS PREVER</t>
  </si>
  <si>
    <t>AVANHANDAVA</t>
  </si>
  <si>
    <t>DROGARIA ULTRA POPULAR DE PARANATINGA</t>
  </si>
  <si>
    <t>VITOR FARMA</t>
  </si>
  <si>
    <t>ANAFARMA</t>
  </si>
  <si>
    <t>PIRAPOZINHO</t>
  </si>
  <si>
    <t>FARMACIAS MEIO PRECO INGAS</t>
  </si>
  <si>
    <t>DROGA PRACA</t>
  </si>
  <si>
    <t>FARMACIA ROMANA</t>
  </si>
  <si>
    <t>DROGALAB</t>
  </si>
  <si>
    <t>DROGARIA NOSSA SENHORA SANTANA</t>
  </si>
  <si>
    <t>NORTELANDIA</t>
  </si>
  <si>
    <t>DROG SIDRO</t>
  </si>
  <si>
    <t>SIDROLANDIA</t>
  </si>
  <si>
    <t>FCIA PARANA</t>
  </si>
  <si>
    <t>FCIA PROGRESSO</t>
  </si>
  <si>
    <t>RIO BRILHANTE</t>
  </si>
  <si>
    <t>FARMACIA E DROGARIA BIOTEC</t>
  </si>
  <si>
    <t>ALTA FLORESTA</t>
  </si>
  <si>
    <t>NAVIRAI</t>
  </si>
  <si>
    <t>ALTA FARMA</t>
  </si>
  <si>
    <t>CAMPO VERDE</t>
  </si>
  <si>
    <t>DROGA CENTER</t>
  </si>
  <si>
    <t>SONORA</t>
  </si>
  <si>
    <t>DROGARIA FLORAIS</t>
  </si>
  <si>
    <t>CONCEITO</t>
  </si>
  <si>
    <t>DROGARIA CONFIANCA</t>
  </si>
  <si>
    <t>MAIS HIPER POPULAR</t>
  </si>
  <si>
    <t>VILA BELA DA SANTISSIMA TRINDADE</t>
  </si>
  <si>
    <t>TRI FARMA</t>
  </si>
  <si>
    <t>DROGARIA SEMPREAMERICA</t>
  </si>
  <si>
    <t>FARMACIA GERALDO TOMAS</t>
  </si>
  <si>
    <t>ARAGUAIANA</t>
  </si>
  <si>
    <t>DROGARIAS MAXI POPULAR</t>
  </si>
  <si>
    <t>DROGA BOX</t>
  </si>
  <si>
    <t>FARMA FACIL</t>
  </si>
  <si>
    <t>JP MEDICAMENTOS E PERFUMARIAS</t>
  </si>
  <si>
    <t>DROGARIA IMPERATRIZ</t>
  </si>
  <si>
    <t>FARMANIA</t>
  </si>
  <si>
    <t>DROGARIA DROGA BARAO</t>
  </si>
  <si>
    <t>FARMACIA SAO MATEUS</t>
  </si>
  <si>
    <t>BIODROGAS</t>
  </si>
  <si>
    <t>ESSENCIAL VIDA</t>
  </si>
  <si>
    <t>BIRIGUI</t>
  </si>
  <si>
    <t>FCIA ANHANI &amp; LISBOA</t>
  </si>
  <si>
    <t>MIRANDOPOLIS</t>
  </si>
  <si>
    <t>FARMACIA PROGRESSO</t>
  </si>
  <si>
    <t>FATIMA DO SUL</t>
  </si>
  <si>
    <t>DROGARIA TOTAL PIACATU</t>
  </si>
  <si>
    <t>PIACATU</t>
  </si>
  <si>
    <t>OSVALDO CRUZ</t>
  </si>
  <si>
    <t>FARMA MIL</t>
  </si>
  <si>
    <t>DROGARIA PARANATINGA</t>
  </si>
  <si>
    <t>NOVO DIAMANTINO (DIAMANTINO)</t>
  </si>
  <si>
    <t>FARMACIA CENTRAL</t>
  </si>
  <si>
    <t>DROGARIA DMD</t>
  </si>
  <si>
    <t>DROGARIA ESPIRITO SANTO EIRELI</t>
  </si>
  <si>
    <t>DROGARIA MAIS GERAL</t>
  </si>
  <si>
    <t>DROGARIA RIO FARMA</t>
  </si>
  <si>
    <t>PANORAMA</t>
  </si>
  <si>
    <t>DROGARIA SAO LUIZ</t>
  </si>
  <si>
    <t>DROGARIA CENTRALFARMA</t>
  </si>
  <si>
    <t>FARMACIA PRIVATIVA UNIMED</t>
  </si>
  <si>
    <t>DRACENA</t>
  </si>
  <si>
    <t>UNIMED</t>
  </si>
  <si>
    <t>DROGARIA MS POPULAR</t>
  </si>
  <si>
    <t>PRESIDENTE VENCESLAU</t>
  </si>
  <si>
    <t>FARMACIA ODEON</t>
  </si>
  <si>
    <t>TRES LAGOAS</t>
  </si>
  <si>
    <t>DROGARIA RODRIGUES</t>
  </si>
  <si>
    <t>DROGARIA BETEL</t>
  </si>
  <si>
    <t>DROGARIA NOVA VIDA</t>
  </si>
  <si>
    <t>EMILIANOPOLIS</t>
  </si>
  <si>
    <t>PRESIDENTE EPITACIO</t>
  </si>
  <si>
    <t>DROG SANTO ANTONIO</t>
  </si>
  <si>
    <t>ROSARIO OESTE</t>
  </si>
  <si>
    <t>DROGARIA DO RUBENS</t>
  </si>
  <si>
    <t>COLIDER</t>
  </si>
  <si>
    <t>DROGA VIDA</t>
  </si>
  <si>
    <t>NOVA XAVANTINA</t>
  </si>
  <si>
    <t>GUIRATINGA</t>
  </si>
  <si>
    <t>DROGARIA NANDA</t>
  </si>
  <si>
    <t>DROGARIA BIOFARMA</t>
  </si>
  <si>
    <t>POCONE</t>
  </si>
  <si>
    <t>FARMACIA MATOGROSSENSE</t>
  </si>
  <si>
    <t>FCIA NAJA</t>
  </si>
  <si>
    <t>DROGARIA BEM ESTAR</t>
  </si>
  <si>
    <t>PONTAL DO ARAGUAIA</t>
  </si>
  <si>
    <t>DROGARIA SAO LUCAS</t>
  </si>
  <si>
    <t>PEDRA PRETA</t>
  </si>
  <si>
    <t>DROG RIZZO</t>
  </si>
  <si>
    <t>DROGARIA MEGA SAUDE POPULAR</t>
  </si>
  <si>
    <t>DROGARIA DROGAMED</t>
  </si>
  <si>
    <t>FARMACIA MODERNA</t>
  </si>
  <si>
    <t>LUCELIA</t>
  </si>
  <si>
    <t>TARABAI</t>
  </si>
  <si>
    <t>DROG MACHADO</t>
  </si>
  <si>
    <t>DROGARIA SILVA</t>
  </si>
  <si>
    <t>FCIA SANTA TEREZINHA</t>
  </si>
  <si>
    <t>DROG NOSSA SENHORA APAREC</t>
  </si>
  <si>
    <t>BELLA PHARMA - FARMACIA E MANIPULACAO</t>
  </si>
  <si>
    <t>JOTAFARMA</t>
  </si>
  <si>
    <t>FARMACIA VITA FARMA II</t>
  </si>
  <si>
    <t>FUZAFARMA</t>
  </si>
  <si>
    <t>DROGARIA NOVA FARMA</t>
  </si>
  <si>
    <t>DROGAMIX</t>
  </si>
  <si>
    <t>FARMACIA ECCOCHAPADA</t>
  </si>
  <si>
    <t>DROGARIA LIDER</t>
  </si>
  <si>
    <t>DROGARIA CUSTO POPULAR</t>
  </si>
  <si>
    <t>DROG DROGATEM</t>
  </si>
  <si>
    <t>DROGA SOL</t>
  </si>
  <si>
    <t>PACAEMBU</t>
  </si>
  <si>
    <t>BETAFARMA</t>
  </si>
  <si>
    <t>DROGARIAS COMPRE MAIS VG</t>
  </si>
  <si>
    <t>DROGARIAS COMPRE MAIS</t>
  </si>
  <si>
    <t>DROGARIA DROGANOSSA</t>
  </si>
  <si>
    <t>GUARACAI</t>
  </si>
  <si>
    <t>DROG AGUAPE</t>
  </si>
  <si>
    <t>DROGARIA AMERICANA</t>
  </si>
  <si>
    <t>SAO JOSE DO RIO CLARO</t>
  </si>
  <si>
    <t>FCIA DO EDSON</t>
  </si>
  <si>
    <t>DROG L S DO NASCIMENTO</t>
  </si>
  <si>
    <t>FARMINEI POPULAR</t>
  </si>
  <si>
    <t>FARMACIA PLANALTO</t>
  </si>
  <si>
    <t>DROGARIA DO FERNANDINHO</t>
  </si>
  <si>
    <t>CARLINDA</t>
  </si>
  <si>
    <t>DROGARIA AQUIDAUANA</t>
  </si>
  <si>
    <t>DROGARIA NS</t>
  </si>
  <si>
    <t>FARMACIA MARACAJU FARMA</t>
  </si>
  <si>
    <t xml:space="preserve">MATUPA                                            </t>
  </si>
  <si>
    <t>DROG MILENA</t>
  </si>
  <si>
    <t>FARMACIA VASCO</t>
  </si>
  <si>
    <t>BONITO</t>
  </si>
  <si>
    <t>DROGARIA PARANA</t>
  </si>
  <si>
    <t>DROGARIA DO POVO</t>
  </si>
  <si>
    <t>RIO VERDE DE MATO GROSSO</t>
  </si>
  <si>
    <t>FARMAZIL</t>
  </si>
  <si>
    <t>DROGA VIVA</t>
  </si>
  <si>
    <t>DROGARIA POUPE JA</t>
  </si>
  <si>
    <t>DROGARIA ATIVA</t>
  </si>
  <si>
    <t>MEGA FARMA</t>
  </si>
  <si>
    <t>CULTURAMA (FATIMA DO SUL)</t>
  </si>
  <si>
    <t>DROGARIA ATIVA SAUDE</t>
  </si>
  <si>
    <t>DROGARIAS MOURA</t>
  </si>
  <si>
    <t>FARMACIA MAIS ECONOMICA</t>
  </si>
  <si>
    <t>FARMACIA E DROGARIA DROGACERTA</t>
  </si>
  <si>
    <t>CLAUDINEI SARTORI DROGARIA</t>
  </si>
  <si>
    <t>ARACATUBA</t>
  </si>
  <si>
    <t>TIAGO DE JESUS MOREIRA</t>
  </si>
  <si>
    <t>SEVEN PHARMA</t>
  </si>
  <si>
    <t>DROGARIA MAIS AMERICA</t>
  </si>
  <si>
    <t>DROG NEIDE M S P CAMARGO</t>
  </si>
  <si>
    <t>FARMACIA SANTA CATARINA DE PRESIDENTE PRUDENTE LTD</t>
  </si>
  <si>
    <t>NARANDIBA</t>
  </si>
  <si>
    <t>DROG SOLUCAO</t>
  </si>
  <si>
    <t>FARMACIA CENTRO AMERICA</t>
  </si>
  <si>
    <t>BENTO DE ABREU</t>
  </si>
  <si>
    <t>DROGARIA BRASNORTE</t>
  </si>
  <si>
    <t>FARMASUL</t>
  </si>
  <si>
    <t>FARMACIA POPULAR MENDONCA</t>
  </si>
  <si>
    <t>DROGARIA MAIS VIDA</t>
  </si>
  <si>
    <t>ODEON</t>
  </si>
  <si>
    <t>DROGARIA LIBERAL</t>
  </si>
  <si>
    <t>JUARA</t>
  </si>
  <si>
    <t>FCIA SAO MARCOS</t>
  </si>
  <si>
    <t>DROGA MERY</t>
  </si>
  <si>
    <t>DROGARIA SEIS IRMAOS</t>
  </si>
  <si>
    <t>DROGAFARMA</t>
  </si>
  <si>
    <t>DROGAVIDA CENTRO</t>
  </si>
  <si>
    <t>FARMACIA ECONOMIZE SINOP</t>
  </si>
  <si>
    <t>NOVA MONTE VERDE</t>
  </si>
  <si>
    <t>FARMACIA DO ZENILDO</t>
  </si>
  <si>
    <t>DROGA LUZ</t>
  </si>
  <si>
    <t>SZOCHALEWICZ, VALESSI &amp; CIA</t>
  </si>
  <si>
    <t>FARMACIA POUP AQUI</t>
  </si>
  <si>
    <t>REDE POUPE AQUI</t>
  </si>
  <si>
    <t>FARMACIA + SAUDE</t>
  </si>
  <si>
    <t>DROGARIAS FL DO LUIZINHO</t>
  </si>
  <si>
    <t>EDU FARMA</t>
  </si>
  <si>
    <t>FARMACIA POPULAR SANTA LUZIA</t>
  </si>
  <si>
    <t>DROGARIA DROGA VIDA</t>
  </si>
  <si>
    <t>DROGAZE</t>
  </si>
  <si>
    <t>FARMACIAS MAIS ECONOMICA</t>
  </si>
  <si>
    <t xml:space="preserve">BARRA DO BUGRES                                   </t>
  </si>
  <si>
    <t>DROGARIA BEM POPULAR</t>
  </si>
  <si>
    <t>DROG OPERARIA</t>
  </si>
  <si>
    <t>DROG SAO LUCAS</t>
  </si>
  <si>
    <t>DROGARIA E CIRURGICA SANTA CECILIA</t>
  </si>
  <si>
    <t>FARMA LIVIA</t>
  </si>
  <si>
    <t>MIRANTE DO PARANAPANEMA</t>
  </si>
  <si>
    <t>DROGARIA NEBRASCA 24H</t>
  </si>
  <si>
    <t>DROGARIA BOM PASTOR</t>
  </si>
  <si>
    <t>DROGARIA LOCATELLI</t>
  </si>
  <si>
    <t>FARMACIA DO POLACO</t>
  </si>
  <si>
    <t>PRAMYM DROGARIAS</t>
  </si>
  <si>
    <t>DROGARIA NOVAPHARMA</t>
  </si>
  <si>
    <t>DROGARIA SANTA LUZIA</t>
  </si>
  <si>
    <t>ESPACO FARMACIA SAUDE</t>
  </si>
  <si>
    <t>CAASP</t>
  </si>
  <si>
    <t>J.F MEDICAMENTOS E PERFUMARIA</t>
  </si>
  <si>
    <t>FARMACIA MAIS VIDA</t>
  </si>
  <si>
    <t>NOVA FARMA</t>
  </si>
  <si>
    <t>FARMACIA MACHADO</t>
  </si>
  <si>
    <t>DROGA VITA</t>
  </si>
  <si>
    <t>BIG FARMA POPULAR</t>
  </si>
  <si>
    <t>FARMACIA SANTA LUCIA</t>
  </si>
  <si>
    <t>GRUPO MULTIFARMA - UNIDADE PRACA</t>
  </si>
  <si>
    <t>GRUPO MF</t>
  </si>
  <si>
    <t>REDE MARIA S - FARMACIA GLOBO</t>
  </si>
  <si>
    <t>RANCHARIA</t>
  </si>
  <si>
    <t>ROSANA</t>
  </si>
  <si>
    <t>FARMACIA LUZ E VIDA</t>
  </si>
  <si>
    <t>FCIA FARMASSIST</t>
  </si>
  <si>
    <t>GUIA LOPES DA LAGUNA</t>
  </si>
  <si>
    <t>FARMACIA FARMAVIDA</t>
  </si>
  <si>
    <t>FARMACIA UNIVERSAL</t>
  </si>
  <si>
    <t>DROGARIA SAO JOAO</t>
  </si>
  <si>
    <t>DROGA MASTER</t>
  </si>
  <si>
    <t>MOREIRA FARMA</t>
  </si>
  <si>
    <t>INDIANA</t>
  </si>
  <si>
    <t>FARMACIA UNIFARMA</t>
  </si>
  <si>
    <t>FARMACIAS POPULAR BAIRRO</t>
  </si>
  <si>
    <t>INOVA FARMA</t>
  </si>
  <si>
    <t>DROGARIA PLANALTO</t>
  </si>
  <si>
    <t>FARMACIA PRO SAUDE</t>
  </si>
  <si>
    <t>DROGARIA ULTRA POPULAR PENAPOLIS</t>
  </si>
  <si>
    <t>DROGARIA ULTRA NACIONAL</t>
  </si>
  <si>
    <t>DROGARIA DROGAGIL</t>
  </si>
  <si>
    <t>FARMACIA DO ADILSON</t>
  </si>
  <si>
    <t>ITIQUIRA</t>
  </si>
  <si>
    <t>FCIA SAO JOAO</t>
  </si>
  <si>
    <t>BATAGUASSU</t>
  </si>
  <si>
    <t>FARMACIA SAO JOSE</t>
  </si>
  <si>
    <t>COSTA RICA</t>
  </si>
  <si>
    <t>FARMACIA MEGA POPULAR</t>
  </si>
  <si>
    <t>CLAUDIA</t>
  </si>
  <si>
    <t>DROGARIA TALHAMARES III</t>
  </si>
  <si>
    <t>FARMACIA SUPER POPULAR</t>
  </si>
  <si>
    <t>DROGARIA FARMELHOR</t>
  </si>
  <si>
    <t>FARMELHOR</t>
  </si>
  <si>
    <t>RINOPOLIS</t>
  </si>
  <si>
    <t>FARMACIA BIOFARMA</t>
  </si>
  <si>
    <t>FARMAIS TEODORO SAMPAIO</t>
  </si>
  <si>
    <t>FARMACIA FLORAL</t>
  </si>
  <si>
    <t>FCIA SANTA ISABEL</t>
  </si>
  <si>
    <t>MONTE CASTELO</t>
  </si>
  <si>
    <t>TARUMA</t>
  </si>
  <si>
    <t>FCIA SANTO ANTONIO</t>
  </si>
  <si>
    <t>ULTRA POPULAR</t>
  </si>
  <si>
    <t>DROGARIA IGUATEMI</t>
  </si>
  <si>
    <t>DROGARIA COHAB LTDA ME</t>
  </si>
  <si>
    <t>DROGARIA SANTOS TORRES E OLIVEIRA</t>
  </si>
  <si>
    <t>CENTROFARMA</t>
  </si>
  <si>
    <t>FARMACIA PLURI PHARMA</t>
  </si>
  <si>
    <t>DROGARIA PALMIER</t>
  </si>
  <si>
    <t>DROGARIA VIDA E SAUDE TOTAL UNIDADE LEONOR</t>
  </si>
  <si>
    <t>FARMACIA POPULAR EM CASA</t>
  </si>
  <si>
    <t>SUPREMA FARMA SORRISO</t>
  </si>
  <si>
    <t>FARMACIA MODERNA + POPULAR DOIS</t>
  </si>
  <si>
    <t>FARMABEM</t>
  </si>
  <si>
    <t>DROGARIA SAUDE POPULAR</t>
  </si>
  <si>
    <t>FARMACIA FAR MED</t>
  </si>
  <si>
    <t>W M S DROGARIA</t>
  </si>
  <si>
    <t>DROGARIA NOSSA SENHORA DAS GRACAS</t>
  </si>
  <si>
    <t>PHARMA VIDA III</t>
  </si>
  <si>
    <t>FARMARCIA GERIZIM</t>
  </si>
  <si>
    <t>RIBAS DO RIO PARDO</t>
  </si>
  <si>
    <t>MEDEIROS &amp; GALINDO</t>
  </si>
  <si>
    <t>DROGARIA DO LAR</t>
  </si>
  <si>
    <t>LABOR/FARMACIA ANA JACINTA</t>
  </si>
  <si>
    <t>DROG DROGA NOVA</t>
  </si>
  <si>
    <t>DROG SANTA EFIGENIA</t>
  </si>
  <si>
    <t>DROG JANINI</t>
  </si>
  <si>
    <t>CASTILHO</t>
  </si>
  <si>
    <t>DROG LIVRAMENTO</t>
  </si>
  <si>
    <t>NOSSA SENHORA DO LIVRAMENTO</t>
  </si>
  <si>
    <t>FARMAVIDA FARMACIA</t>
  </si>
  <si>
    <t>SAPEZAL</t>
  </si>
  <si>
    <t>DROG PRUDENFARMA</t>
  </si>
  <si>
    <t>DROG DROGA BOM JESUS</t>
  </si>
  <si>
    <t>DROGARIA VIOLETAS</t>
  </si>
  <si>
    <t>DROGARIA I&amp;E KROLING</t>
  </si>
  <si>
    <t>COMERCIAL DE MEDICAMENTOS E PERFUMARIA CANAZUE</t>
  </si>
  <si>
    <t>FARMA DELTA</t>
  </si>
  <si>
    <t>CAMPOS DE JULIO</t>
  </si>
  <si>
    <t>REGENTE FEIJO</t>
  </si>
  <si>
    <t>7 PHARMA</t>
  </si>
  <si>
    <t>FARMASUSI</t>
  </si>
  <si>
    <t>ALVARES MACHADO</t>
  </si>
  <si>
    <t>G S C TREIS</t>
  </si>
  <si>
    <t>DROGARIA BRASIL SUL</t>
  </si>
  <si>
    <t>FARMACIA ESSENCIAL</t>
  </si>
  <si>
    <t>FCIA RANGDORF</t>
  </si>
  <si>
    <t>DR DIELGUE FARMA</t>
  </si>
  <si>
    <t>VGFARMA</t>
  </si>
  <si>
    <t>PARAGUACU PAULISTA</t>
  </si>
  <si>
    <t>FCIA MARCONDENSE</t>
  </si>
  <si>
    <t>ALFREDO MARCONDES</t>
  </si>
  <si>
    <t>DROGARIA CORACAO DE JESUS</t>
  </si>
  <si>
    <t>DROG SANTA RITA</t>
  </si>
  <si>
    <t>DROGARIA G PHARMA</t>
  </si>
  <si>
    <t>FARMACIA POPULAR BOA SAUDE</t>
  </si>
  <si>
    <t>LIDER FARMA</t>
  </si>
  <si>
    <t>SISFARMA</t>
  </si>
  <si>
    <t>FARMA 10</t>
  </si>
  <si>
    <t>DROGARIA MAIS SAUDE</t>
  </si>
  <si>
    <t>DROGARIA BEM MAIS POPULAR</t>
  </si>
  <si>
    <t>DROGARIA PORTO X LTDA</t>
  </si>
  <si>
    <t>FARMANOVA</t>
  </si>
  <si>
    <t>DROGARIA DROGA FACIL</t>
  </si>
  <si>
    <t>REDE SOMA</t>
  </si>
  <si>
    <t>DROGARIA FAMILIA</t>
  </si>
  <si>
    <t>FARMALINE</t>
  </si>
  <si>
    <t>DROGALIN</t>
  </si>
  <si>
    <t>FCIA SANRIVAL</t>
  </si>
  <si>
    <t>FARMACIA MAIS</t>
  </si>
  <si>
    <t>FARMACIA ROMA</t>
  </si>
  <si>
    <t>DROGARIA MENOR PRECO</t>
  </si>
  <si>
    <t>FCIA ANTONINHO LTDA</t>
  </si>
  <si>
    <t>ANTONIO CLAUDIO TALON</t>
  </si>
  <si>
    <t>FARMACIA KASPEICHAKI</t>
  </si>
  <si>
    <t>DROGARIA NOVA AMERICA</t>
  </si>
  <si>
    <t>FARMA TCHE</t>
  </si>
  <si>
    <t>FARMACIA SANTA CRUZ</t>
  </si>
  <si>
    <t>MARACAI</t>
  </si>
  <si>
    <t>DROGARIA POPULAR</t>
  </si>
  <si>
    <t>DROGARIA DR. FABIO</t>
  </si>
  <si>
    <t>REDE MASTER FARMA</t>
  </si>
  <si>
    <t>DROGARIA ECONOMIZE</t>
  </si>
  <si>
    <t>DISC FARMA</t>
  </si>
  <si>
    <t>FARMACIA INDEPENDENCIA</t>
  </si>
  <si>
    <t>MATUPA</t>
  </si>
  <si>
    <t>DROGARIA MERIDIONAL</t>
  </si>
  <si>
    <t>DROGARIA ARARAS</t>
  </si>
  <si>
    <t>VISTA BELA DROGARIA</t>
  </si>
  <si>
    <t>LUCREMAIS</t>
  </si>
  <si>
    <t>FARMACIA CV POPULAR</t>
  </si>
  <si>
    <t>M. A. GIACOMETTI DROGARIA</t>
  </si>
  <si>
    <t>J FARMA POPULAR</t>
  </si>
  <si>
    <t>AMERICANA SAUDE</t>
  </si>
  <si>
    <t>DROGARIA SAO GERONIMO</t>
  </si>
  <si>
    <t>TACIBA</t>
  </si>
  <si>
    <t>FARMACIA SANRIVAL II</t>
  </si>
  <si>
    <t>DROGARIA CRISTAL</t>
  </si>
  <si>
    <t>DROGARIA PRIMAVERA</t>
  </si>
  <si>
    <t>DROGARIA AVENIDA LTDA</t>
  </si>
  <si>
    <t>DROGARIA SONORA SUPER POPULAR</t>
  </si>
  <si>
    <t>DROGARIA ULTRA ECONOMICA</t>
  </si>
  <si>
    <t>DIVINA FARMA</t>
  </si>
  <si>
    <t>DROGARIA DOS AMIGOS FILIAL III</t>
  </si>
  <si>
    <t>DROGARIA POLIFARMA</t>
  </si>
  <si>
    <t>DROG AVENIDA</t>
  </si>
  <si>
    <t>FARMACIA SANTO ANTONIO</t>
  </si>
  <si>
    <t>FARMACIA ALMEIDA + POPULAR</t>
  </si>
  <si>
    <t>DROGARIA UNIFARMA</t>
  </si>
  <si>
    <t>DROG ARENAPOLIS</t>
  </si>
  <si>
    <t>FARMA JARDIM</t>
  </si>
  <si>
    <t>DROGARIA RONDONOPOLIS</t>
  </si>
  <si>
    <t>DROGARIA BELA VISTA</t>
  </si>
  <si>
    <t>DROGAO POPULAR</t>
  </si>
  <si>
    <t>FARMA POP</t>
  </si>
  <si>
    <t>PARAISO DAS AGUAS</t>
  </si>
  <si>
    <t>DROGARIA SAO GERALDO</t>
  </si>
  <si>
    <t>DROGARIA POUPA LAR</t>
  </si>
  <si>
    <t>POUPE MAIS FARMA</t>
  </si>
  <si>
    <t>SANTA RITA DO PARDO</t>
  </si>
  <si>
    <t>GRUPO MELHOR COMPRA</t>
  </si>
  <si>
    <t>BEC COMERCIO DE MEDICAMENTOS FARMACIA</t>
  </si>
  <si>
    <t>FARMACIA DROGACITY</t>
  </si>
  <si>
    <t>FCIA DROGA CRUZ</t>
  </si>
  <si>
    <t>DROG SAO JOSE MANIP</t>
  </si>
  <si>
    <t>DROGARIA VIDA &amp; SAUDE</t>
  </si>
  <si>
    <t>SANTO EXPEDITO</t>
  </si>
  <si>
    <t>DROGARIA DOSE CERTA</t>
  </si>
  <si>
    <t>DROGARIA MEIO PRECO</t>
  </si>
  <si>
    <t>DROGARIA ULTRA POPULAR DE AGUA BOA</t>
  </si>
  <si>
    <t>DROGARIA NIPON</t>
  </si>
  <si>
    <t>DROGARIA DESTRO</t>
  </si>
  <si>
    <t>FARMACIA DO CLOVIS</t>
  </si>
  <si>
    <t>TUPI PAULISTA</t>
  </si>
  <si>
    <t>MARCELANDIA</t>
  </si>
  <si>
    <t>DROGARIAS VIP</t>
  </si>
  <si>
    <t>DROGARIA POPULAR JD. AEROPORTO</t>
  </si>
  <si>
    <t>USIFARMA</t>
  </si>
  <si>
    <t>DROGARIA BARAO</t>
  </si>
  <si>
    <t>HIPERPOPULAR DROGARIA AF</t>
  </si>
  <si>
    <t>FCIA HILDA F S OLIVEIRA</t>
  </si>
  <si>
    <t>FARMACIA IRAPURU</t>
  </si>
  <si>
    <t>IRAPURU</t>
  </si>
  <si>
    <t>DROGA BEM</t>
  </si>
  <si>
    <t>DROGARIA FARMACIL II</t>
  </si>
  <si>
    <t>DROGA ASSIS</t>
  </si>
  <si>
    <t>DROGARIA NEDER</t>
  </si>
  <si>
    <t>DROGA FARMAKO</t>
  </si>
  <si>
    <t>DROGARIA DROGANORTE</t>
  </si>
  <si>
    <t>TAPURAH</t>
  </si>
  <si>
    <t>FORMULA FARMA</t>
  </si>
  <si>
    <t>DROGARIA VIVA MAIS</t>
  </si>
  <si>
    <t>DROGARIA MEGA ECONOMICA</t>
  </si>
  <si>
    <t>TABAPORA</t>
  </si>
  <si>
    <t>FARMACIA BEM MAIS POPULAR</t>
  </si>
  <si>
    <t>FARMACIA POPULAR MAIS SAUDE</t>
  </si>
  <si>
    <t>NAYARA F. S. BRITTO</t>
  </si>
  <si>
    <t>FARMACIA + POPULAR</t>
  </si>
  <si>
    <t>DROGARIA TOTAL JUSSARA</t>
  </si>
  <si>
    <t>DROGARIA UNIVERSO</t>
  </si>
  <si>
    <t>DROGARIA LIDER II</t>
  </si>
  <si>
    <t>FARMACIA MOURA E ASSIS</t>
  </si>
  <si>
    <t>FDA PRODUTOS FARMACEUTICOS</t>
  </si>
  <si>
    <t>CARLOS EDUARDO MARCILIO ANHANI &amp; CIA (FARMACIA)</t>
  </si>
  <si>
    <t>UP 2</t>
  </si>
  <si>
    <t>DROGARIA BIG MAIS</t>
  </si>
  <si>
    <t>DROGARIA ELDORADO PENAPOLIS</t>
  </si>
  <si>
    <t>PANTANAL COMERCIO DE MEDICAMENTOS</t>
  </si>
  <si>
    <t>DROGARIA CERTA</t>
  </si>
  <si>
    <t>F. H. S. MATRICARDI DROGARIA PIRAPOZINHO</t>
  </si>
  <si>
    <t>DROGARIA NOVA ESPERANCA</t>
  </si>
  <si>
    <t>VENCESLAU FARMA</t>
  </si>
  <si>
    <t>PFR COMERCIO DE MEDICAMENTOS E PERFUMARIA</t>
  </si>
  <si>
    <t>VICENTINA</t>
  </si>
  <si>
    <t>MINAS FARMA CARMINDO</t>
  </si>
  <si>
    <t>FARMACIA HIPER POPULAR</t>
  </si>
  <si>
    <t>DROGARIA GLOBO</t>
  </si>
  <si>
    <t>DROGARIA CLAUDIAFARMA</t>
  </si>
  <si>
    <t>FCIA MANIP ALQUIMIA</t>
  </si>
  <si>
    <t>DROG ODEON II</t>
  </si>
  <si>
    <t>DROGARIA OPERARIA II</t>
  </si>
  <si>
    <t>MASTER FARMA</t>
  </si>
  <si>
    <t>PRIME FARMA</t>
  </si>
  <si>
    <t>DROGARIA PARAISO</t>
  </si>
  <si>
    <t>DROGARIA MAIS SAUDE POPULAR</t>
  </si>
  <si>
    <t>HIPER POPULAR DROGARIA</t>
  </si>
  <si>
    <t>DROGARIA POPULAR SAUDE FARMA FILIAL 2</t>
  </si>
  <si>
    <t>FARMAVOCE</t>
  </si>
  <si>
    <t>DROGARIA BEM MAIS POPULAR BRASIL</t>
  </si>
  <si>
    <t>INOVEFARMA</t>
  </si>
  <si>
    <t>DROGARIA SAO LOURENCO</t>
  </si>
  <si>
    <t>DROGARIA MONTALVAO</t>
  </si>
  <si>
    <t>DROGARIA PRO VIDA</t>
  </si>
  <si>
    <t>CRIS FARMA</t>
  </si>
  <si>
    <t>REDE ANAFARMA - UNIDADE PRESIDENTE</t>
  </si>
  <si>
    <t>DROGARIA ULTRA + VIDA</t>
  </si>
  <si>
    <t>DROGARIAS MATOS</t>
  </si>
  <si>
    <t>DROGARIA DINAMICA</t>
  </si>
  <si>
    <t>DROGARIA UNIAO</t>
  </si>
  <si>
    <t>DROGARIA RODOVIARIA</t>
  </si>
  <si>
    <t>DRUGSTORE NEBRASCA 24H</t>
  </si>
  <si>
    <t>DROGARIA SANTO ANTONIO</t>
  </si>
  <si>
    <t>FCIA CENTRAL</t>
  </si>
  <si>
    <t>BRAUNA</t>
  </si>
  <si>
    <t>DROGARIA MAXIMO</t>
  </si>
  <si>
    <t>FLEXXI FARMA E BENEFICIOS</t>
  </si>
  <si>
    <t>FCIA VICENTE L LENTE</t>
  </si>
  <si>
    <t>FARMACIA SANTA CATARINA</t>
  </si>
  <si>
    <t>FCIA VALDIR JACINTO</t>
  </si>
  <si>
    <t>INDAPOLIS (DOURADOS)</t>
  </si>
  <si>
    <t>DROGALAR</t>
  </si>
  <si>
    <t>FCIA POPULAR</t>
  </si>
  <si>
    <t>DROGARIA TARUMA</t>
  </si>
  <si>
    <t>DROGARIA POPULAR II</t>
  </si>
  <si>
    <t>DROGARIA OPCAO</t>
  </si>
  <si>
    <t>DROGARIA DROGA TEM</t>
  </si>
  <si>
    <t>FARMAIVI</t>
  </si>
  <si>
    <t>FARMACIA REZENFARMA</t>
  </si>
  <si>
    <t>FCIA CITELI &amp; CIA</t>
  </si>
  <si>
    <t>FARMARELA</t>
  </si>
  <si>
    <t>CONSULTE FARMA</t>
  </si>
  <si>
    <t>DROG LEITE BARBOSA</t>
  </si>
  <si>
    <t>DROGARIA DO PAULINHO</t>
  </si>
  <si>
    <t>DROGARIA IBIRAPUERA</t>
  </si>
  <si>
    <t>FCIA FARMA FACIL</t>
  </si>
  <si>
    <t>FARMAJULIA</t>
  </si>
  <si>
    <t>MULTI FARMA</t>
  </si>
  <si>
    <t>DROGARIA ESTRELA GUIA</t>
  </si>
  <si>
    <t>FAMARCIA CENTRAL</t>
  </si>
  <si>
    <t>SANTOPOLIS DO AGUAPEI</t>
  </si>
  <si>
    <t>ALVORADA FARMA</t>
  </si>
  <si>
    <t>AMPLA FARMA</t>
  </si>
  <si>
    <t>L. I. MEGA POPULAR</t>
  </si>
  <si>
    <t>ULTRA POPULAR SAO JOSE DO RIO CLARO</t>
  </si>
  <si>
    <t>ULTRA POPULAR COLIDER FILIAL 05</t>
  </si>
  <si>
    <t>RM FARMA RONDONOPOLIS</t>
  </si>
  <si>
    <t>DROGARIA+SAUDE</t>
  </si>
  <si>
    <t>FARMACIA DOM ORIONE</t>
  </si>
  <si>
    <t>FARMAMIL</t>
  </si>
  <si>
    <t>MEGA DESCONTAO FARMA</t>
  </si>
  <si>
    <t>DROG RODOFARMA</t>
  </si>
  <si>
    <t>TUPA</t>
  </si>
  <si>
    <t>DROG ATUAL</t>
  </si>
  <si>
    <t>DROG SILVA</t>
  </si>
  <si>
    <t>PAULICEIA</t>
  </si>
  <si>
    <t>SAO JOSE I</t>
  </si>
  <si>
    <t>DROG BOA ESPERANCA</t>
  </si>
  <si>
    <t>OLIVEIRA FARMA</t>
  </si>
  <si>
    <t>FARMACIA MEDICAMENTO BARATO</t>
  </si>
  <si>
    <t>ATUAL FARMA</t>
  </si>
  <si>
    <t>DROGA MAIS SUPER POPULAR</t>
  </si>
  <si>
    <t>IRMAS GONCALVES PENAPOLIS</t>
  </si>
  <si>
    <t>DROGARIA ULTRAPOPULAR II</t>
  </si>
  <si>
    <t>DROGARIA GOIAS</t>
  </si>
  <si>
    <t>FARMACIA NAKAYAMA LTDA</t>
  </si>
  <si>
    <t>DROGARELLI</t>
  </si>
  <si>
    <t>NOVA GUATAPORANGA</t>
  </si>
  <si>
    <t>DROG SAO PAULO</t>
  </si>
  <si>
    <t>DROG SANTA LUZIA</t>
  </si>
  <si>
    <t>FCIA SANTA MONICA</t>
  </si>
  <si>
    <t>FARMA VIDA II</t>
  </si>
  <si>
    <t>DROG FABIANA</t>
  </si>
  <si>
    <t>EDUFARMA</t>
  </si>
  <si>
    <t>FCIA NAVIRAI</t>
  </si>
  <si>
    <t>DROGARIA BRASIL</t>
  </si>
  <si>
    <t>FCIA FARMA E CIA</t>
  </si>
  <si>
    <t>DROGARIA OPCAO POPULAR</t>
  </si>
  <si>
    <t>DROGARIA FARMA CENTER</t>
  </si>
  <si>
    <t>SUPER PRECO POPULAR</t>
  </si>
  <si>
    <t>DROGASUPER</t>
  </si>
  <si>
    <t>DROGARIA PAJU</t>
  </si>
  <si>
    <t>ABRE FARMA COMERCIO DE MEDICAMENTOS E PERFUMARIA</t>
  </si>
  <si>
    <t>DROGARIA FL DO LUIZINHO</t>
  </si>
  <si>
    <t>FARMACIA IMPERIAL</t>
  </si>
  <si>
    <t>ULTRAPOPULAR CACHOEIRA</t>
  </si>
  <si>
    <t>NERES &amp; NERES LTDA ME</t>
  </si>
  <si>
    <t>FSJ COMERCIO DE MEDICAMENTOS</t>
  </si>
  <si>
    <t>CIRURGICA VIANA LTDA</t>
  </si>
  <si>
    <t>ULTRAFARMA - FRANQUIA</t>
  </si>
  <si>
    <t>FCIA FUTURA</t>
  </si>
  <si>
    <t>ACAO FARMA</t>
  </si>
  <si>
    <t>DROGA SANTOS</t>
  </si>
  <si>
    <t>DROGACAN</t>
  </si>
  <si>
    <t>BASTOS</t>
  </si>
  <si>
    <t>FCIA GENERICO FARMA</t>
  </si>
  <si>
    <t>DROG SANTA ANA</t>
  </si>
  <si>
    <t>PRUDEN MEDICAMENTOS</t>
  </si>
  <si>
    <t>DROG CERTA</t>
  </si>
  <si>
    <t>QUEIROZ E SANTOS</t>
  </si>
  <si>
    <t>DROGARIA OURO FINO POPULAR</t>
  </si>
  <si>
    <t>DROGASETE FCIA LTDA</t>
  </si>
  <si>
    <t>FARMA KILL</t>
  </si>
  <si>
    <t>DROGARIA INTERNACIONAL</t>
  </si>
  <si>
    <t>FARMACIA FAVORITA</t>
  </si>
  <si>
    <t>FARMUTUM</t>
  </si>
  <si>
    <t>VIVAMAIS FARMA</t>
  </si>
  <si>
    <t>DROG SAUDE</t>
  </si>
  <si>
    <t>DROGARIA NOVAFARMA</t>
  </si>
  <si>
    <t>NOVA INDEPENDENCIA</t>
  </si>
  <si>
    <t>MAXPHARMA</t>
  </si>
  <si>
    <t>FARMACIA DROGANOSSA</t>
  </si>
  <si>
    <t>DROGARIA + SINOP</t>
  </si>
  <si>
    <t>DIFARMA</t>
  </si>
  <si>
    <t>DROGARIA LIDERANCA</t>
  </si>
  <si>
    <t>GLORIA D'OESTE</t>
  </si>
  <si>
    <t>DROGAVIDA CIDADE NOVA</t>
  </si>
  <si>
    <t>FCIA OURO PRETO</t>
  </si>
  <si>
    <t>FCIA SANTA LUZIA II</t>
  </si>
  <si>
    <t>DROGARIA SAO CRISTOVAO</t>
  </si>
  <si>
    <t>DROG E PERF AMERICA</t>
  </si>
  <si>
    <t>FARMACIA SAO VICENTE II</t>
  </si>
  <si>
    <t>FARMACIA PROGRESSO 2</t>
  </si>
  <si>
    <t>DROGARIA MAXIPOPULAR</t>
  </si>
  <si>
    <t>FCIA DO POVO</t>
  </si>
  <si>
    <t>PARAPUA</t>
  </si>
  <si>
    <t>FARMACIA &amp; SAUDE</t>
  </si>
  <si>
    <t>DROG CONFIANCA</t>
  </si>
  <si>
    <t>DROG FLAVIO ASANO</t>
  </si>
  <si>
    <t>DROGARIA DROGAO POPULAR</t>
  </si>
  <si>
    <t>DROGARIA AVIACAO</t>
  </si>
  <si>
    <t>FARMACIA + ECONOMICA LADARIO</t>
  </si>
  <si>
    <t>LADARIO</t>
  </si>
  <si>
    <t>ULTRA MAXI POPULAR</t>
  </si>
  <si>
    <t>MAXI POPULAR SINOP</t>
  </si>
  <si>
    <t>FARMACIA POUPE MAIS</t>
  </si>
  <si>
    <t>POPULAR FARMA</t>
  </si>
  <si>
    <t>DROGA MAIS</t>
  </si>
  <si>
    <t>DROGARIA DROGAO</t>
  </si>
  <si>
    <t>DROGA FACIL</t>
  </si>
  <si>
    <t>DROGARIA SUL AMERICA</t>
  </si>
  <si>
    <t>DROGARIA SEMPRE AMERICA</t>
  </si>
  <si>
    <t>MS PHARMA</t>
  </si>
  <si>
    <t>DROGARIA LEVERGER</t>
  </si>
  <si>
    <t>SANTO ANTONIO DO LEVERGER</t>
  </si>
  <si>
    <t>DROG BIOFARMA</t>
  </si>
  <si>
    <t>DROGARIA ACAO</t>
  </si>
  <si>
    <t>FCIA MANIP ANASFARMA</t>
  </si>
  <si>
    <t>DROGARIA MARTINS</t>
  </si>
  <si>
    <t>DROGARIA DENIZ FARMA</t>
  </si>
  <si>
    <t>FCIA MUNDO NOVO</t>
  </si>
  <si>
    <t>DROGARIA SAO JOSE</t>
  </si>
  <si>
    <t>DROGARIA G FARMA</t>
  </si>
  <si>
    <t>DROGARIA P. S. OLGEARIO</t>
  </si>
  <si>
    <t>FARMACIA DO POVO</t>
  </si>
  <si>
    <t>FARMACIAS POPULAR</t>
  </si>
  <si>
    <t>DROGARIA TRES IRMAOS</t>
  </si>
  <si>
    <t>DROGARIA ULTRAMED</t>
  </si>
  <si>
    <t>DROGARIA ESPERANCA</t>
  </si>
  <si>
    <t>DROGARIA UNIAO POPULAR</t>
  </si>
  <si>
    <t>LARIFARMA</t>
  </si>
  <si>
    <t>DROGARIA BONFIM</t>
  </si>
  <si>
    <t>CAMAPUA</t>
  </si>
  <si>
    <t>TERRA NOVA DO NORTE</t>
  </si>
  <si>
    <t>NOVA CANAA DO NORTE</t>
  </si>
  <si>
    <t>DROGARIA BIODROGAS</t>
  </si>
  <si>
    <t>DROGARIA BELLA FARMA</t>
  </si>
  <si>
    <t>FARMACIA POPULAR SANTA LUZIA - COMPER</t>
  </si>
  <si>
    <t>FARMACIA CONFIANCA</t>
  </si>
  <si>
    <t>POP CENTER POPULAR</t>
  </si>
  <si>
    <t>HIPER POPULAR DROGARIAS</t>
  </si>
  <si>
    <t>PHARMA SINOP</t>
  </si>
  <si>
    <t>REDE BEM DROGARIAS</t>
  </si>
  <si>
    <t>FARMACIA MAIS POPULAR</t>
  </si>
  <si>
    <t>FARMACIA NAJA V</t>
  </si>
  <si>
    <t>DROG REALEZA</t>
  </si>
  <si>
    <t>DROGARIA FARMABRAZ</t>
  </si>
  <si>
    <t>DOGRARIA MALACRIDA</t>
  </si>
  <si>
    <t>DROG NOGUCHI &amp; KATO LTDA</t>
  </si>
  <si>
    <t>OURO VERDE</t>
  </si>
  <si>
    <t>FCIA LUCINEIA FERREIRA</t>
  </si>
  <si>
    <t>FCIA SANTA TERESA</t>
  </si>
  <si>
    <t>DROGARIA NACIONAL 3</t>
  </si>
  <si>
    <t>DROGAMIL</t>
  </si>
  <si>
    <t>M &amp; G DROGARIA</t>
  </si>
  <si>
    <t>FARMACIA FARMA 1000</t>
  </si>
  <si>
    <t>VIVER MAIS</t>
  </si>
  <si>
    <t>DROG STO ANTONIO</t>
  </si>
  <si>
    <t>FARMACIA SANTA MONICA</t>
  </si>
  <si>
    <t>FCIA SANTA GEMA</t>
  </si>
  <si>
    <t>DROGARIA PRUDENTE LTDA</t>
  </si>
  <si>
    <t>FARMACIDADE</t>
  </si>
  <si>
    <t>DROGARIA CIDADE</t>
  </si>
  <si>
    <t>DROGA MAX</t>
  </si>
  <si>
    <t>DROGARIA POPULAR DO TRABALHADOR</t>
  </si>
  <si>
    <t>DROG FARMAVIDA</t>
  </si>
  <si>
    <t>ULTRA POPULAR 00129</t>
  </si>
  <si>
    <t>DROGAFIC</t>
  </si>
  <si>
    <t>DROGARIA AMERICA</t>
  </si>
  <si>
    <t>DROGARIA DROGADON</t>
  </si>
  <si>
    <t>DROGARIA ECONOMICA I I</t>
  </si>
  <si>
    <t>PEREIRA BARRETO</t>
  </si>
  <si>
    <t>FCIA DE MANIP ANGPHARMA</t>
  </si>
  <si>
    <t>FARMACIA POPULAR MAIS</t>
  </si>
  <si>
    <t>DROGARIA + ECONOMICA</t>
  </si>
  <si>
    <t>DROGARIA TREVAO</t>
  </si>
  <si>
    <t>DROG NSA SRA APARECIDA</t>
  </si>
  <si>
    <t>FARMACIA ECONOMICA</t>
  </si>
  <si>
    <t>DROGARIA REAL</t>
  </si>
  <si>
    <t>DROGARIA MENINO JESUS</t>
  </si>
  <si>
    <t>FARMACIA SAO PEDRO</t>
  </si>
  <si>
    <t>FCIA SAO JOSE</t>
  </si>
  <si>
    <t>FARMACIA UNIMED</t>
  </si>
  <si>
    <t>FCIA COMETE</t>
  </si>
  <si>
    <t>VILA VARGAS (DOURADOS)</t>
  </si>
  <si>
    <t>DROGACENTER RIBEIRO</t>
  </si>
  <si>
    <t>DROGARIA OLIRA</t>
  </si>
  <si>
    <t>IPE FARMA</t>
  </si>
  <si>
    <t>FARMACIA CRISTO REI LTDA-</t>
  </si>
  <si>
    <t>NEOFARMA POPULAR</t>
  </si>
  <si>
    <t>DROGAMAQ</t>
  </si>
  <si>
    <t>DROGARIA MARCELO</t>
  </si>
  <si>
    <t>MAIS DROGARIA AVENIDA</t>
  </si>
  <si>
    <t>FCIA SAO PAULO</t>
  </si>
  <si>
    <t>DROGARIA COHAB</t>
  </si>
  <si>
    <t>FARMACIA GERIZIM</t>
  </si>
  <si>
    <t>FARMACIA PRECO POPULAR</t>
  </si>
  <si>
    <t>DROGARIA PARECIS</t>
  </si>
  <si>
    <t>FARMACIA FARMALITTER</t>
  </si>
  <si>
    <t>BRANCO FARMA</t>
  </si>
  <si>
    <t>DROGARIAS FL DO LUIZINHO PIONEIRA</t>
  </si>
  <si>
    <t>PERRONI FARMA</t>
  </si>
  <si>
    <t>DROGARIAS POUPAQUI.</t>
  </si>
  <si>
    <t>DROGARIA SAO MARCOS</t>
  </si>
  <si>
    <t>FARMACIA SANTA LAURA</t>
  </si>
  <si>
    <t>FARMASINTESE</t>
  </si>
  <si>
    <t>ARAGUAIA FARMA</t>
  </si>
  <si>
    <t>DROGARIA FARMOVIDA</t>
  </si>
  <si>
    <t>DOIS IRMAOS DO BURITI</t>
  </si>
  <si>
    <t>NEI DROGAS II</t>
  </si>
  <si>
    <t>DROGARIA FARMACIA DO GILMAR</t>
  </si>
  <si>
    <t>FARMACIA SAGRADA FAMILIA</t>
  </si>
  <si>
    <t>FARMA PLUS</t>
  </si>
  <si>
    <t>G. E.</t>
  </si>
  <si>
    <t>SAP</t>
  </si>
  <si>
    <t>ULTRA POPULAR - GABRIELA</t>
  </si>
  <si>
    <t>ULTRA POPULAR - FERNANDA</t>
  </si>
  <si>
    <t>ULTRA POPULAR - DÉBORA</t>
  </si>
  <si>
    <t xml:space="preserve">SANTA CATARINA </t>
  </si>
  <si>
    <t>ULTRA POPULAR - DMD</t>
  </si>
  <si>
    <t>ULTRA POPULAR - ERICK</t>
  </si>
  <si>
    <t>ULTRA POPOLAR - MOLINA</t>
  </si>
  <si>
    <t>ULTRA POPULAR - MAYKEL</t>
  </si>
  <si>
    <t>ECONOMIZE - MAYCON</t>
  </si>
  <si>
    <t>ULTRA POPULAR - MAX</t>
  </si>
  <si>
    <t>REDE ECONOMIZAR</t>
  </si>
  <si>
    <t>MEGA POPULAR MT</t>
  </si>
  <si>
    <t>DROGARIA CIDADE - MT</t>
  </si>
  <si>
    <t>DROGARIA NEBRASCA</t>
  </si>
  <si>
    <t>ULTRA POPULAR - ANDREIA</t>
  </si>
  <si>
    <t>REDE ODEON</t>
  </si>
  <si>
    <t>ULTRA NACIONAL MT</t>
  </si>
  <si>
    <t>ECONOMIZE LRV</t>
  </si>
  <si>
    <t>ULTRA POPULAR - MIRANDA</t>
  </si>
  <si>
    <t>DROGAO MS</t>
  </si>
  <si>
    <t>ULTRA POPULAR - FAHD</t>
  </si>
  <si>
    <t>cota total</t>
  </si>
  <si>
    <t>mdtr total</t>
  </si>
  <si>
    <t>% MDTR</t>
  </si>
  <si>
    <t>sales total</t>
  </si>
  <si>
    <t>intermediação cota</t>
  </si>
  <si>
    <t>STATUS SCANTECH</t>
  </si>
  <si>
    <t>CLUBE DE PROMO</t>
  </si>
  <si>
    <t>TIRO CERTO</t>
  </si>
  <si>
    <t>POS. HYMPAR</t>
  </si>
  <si>
    <t>CLIENTES COM PBM</t>
  </si>
  <si>
    <t>SIM</t>
  </si>
  <si>
    <t>NÃO</t>
  </si>
  <si>
    <t>setor</t>
  </si>
  <si>
    <t>FORA SCANN</t>
  </si>
  <si>
    <t>Não</t>
  </si>
  <si>
    <t>ATIVO</t>
  </si>
  <si>
    <t>Sim</t>
  </si>
  <si>
    <t>TERMO DEVOLVIDO</t>
  </si>
  <si>
    <t>FILA DE ATIVAÇÃO</t>
  </si>
  <si>
    <t>NÃO HOMOLOGADO</t>
  </si>
  <si>
    <t>CONSULTOR</t>
  </si>
  <si>
    <t>COTA (RS)</t>
  </si>
  <si>
    <t>MDTR (RS)</t>
  </si>
  <si>
    <t>COB. MDTR RS (%)</t>
  </si>
  <si>
    <t>FAT BRUTO (RS)</t>
  </si>
  <si>
    <t>COB. (RS)</t>
  </si>
  <si>
    <t>GAP MÊS MDTR</t>
  </si>
  <si>
    <t>Meta Inter.</t>
  </si>
  <si>
    <t>Meta Inter. R$</t>
  </si>
  <si>
    <t>GAP Intermed.</t>
  </si>
  <si>
    <t>847010601-RAFAEL DE OLIVEIRA NASCIMENTO</t>
  </si>
  <si>
    <t>847010602-WELLINGTON DE MORAIS DO NASCIMENTO</t>
  </si>
  <si>
    <t>847010603-ERIVALDO DA SILVA MACIEL</t>
  </si>
  <si>
    <t>847010604-LEONARDO MAZZUCO</t>
  </si>
  <si>
    <t>847010605-ISABELA CAMILA CRUCCITTI</t>
  </si>
  <si>
    <t>847010607-MANUEL ARIEDE ARTERO</t>
  </si>
  <si>
    <t>847010608-VALTER PEREIRA DA SILVA JUNIOR</t>
  </si>
  <si>
    <t>JOSE CABRAL NETO</t>
  </si>
  <si>
    <t>847010606-PRICILA MOREIRA</t>
  </si>
  <si>
    <t>DIF. COTA X MDTR</t>
  </si>
  <si>
    <t>847010606 - PRICILA MOREIRA</t>
  </si>
  <si>
    <t>Nome</t>
  </si>
  <si>
    <t>Meta Positivação</t>
  </si>
  <si>
    <t>Positivação PH</t>
  </si>
  <si>
    <t>Ating. Positivação</t>
  </si>
  <si>
    <t>gap Posit.</t>
  </si>
  <si>
    <t>Meta Faturamento (R$)</t>
  </si>
  <si>
    <t>Valor Faturado (R$)</t>
  </si>
  <si>
    <t>Ating. Faturamento</t>
  </si>
  <si>
    <t>gap Faturamento</t>
  </si>
  <si>
    <t>847010606-PRICILA MOREIRA DOS SANTOS</t>
  </si>
  <si>
    <t>SEMAVY</t>
  </si>
  <si>
    <t>COTA (UN)</t>
  </si>
  <si>
    <t>MDTR (UN)</t>
  </si>
  <si>
    <t>847010604 - LEONARDO MAZZUCO</t>
  </si>
  <si>
    <t>847010602 - WELLINGTON DE MORAIS DO NASCIMENTO</t>
  </si>
  <si>
    <t>847010606 - PRICILA MOREIRA DOS SANTOS</t>
  </si>
  <si>
    <t>847010601 - RAFAEL DE OLIVEIRA NASCIMENTO</t>
  </si>
  <si>
    <t>847010605 - ISABELA CAMILA CRUCCITTI</t>
  </si>
  <si>
    <t>847010607 - MANUEL ARIEDE ARTERO</t>
  </si>
  <si>
    <t>847010603 - ERIVALDO DA SILVA MACIEL</t>
  </si>
  <si>
    <t>847010608 - VALTER PEREIRA DA SILVA JUNIOR</t>
  </si>
  <si>
    <t xml:space="preserve">LANÇAMENTO
</t>
  </si>
  <si>
    <t>FOCO</t>
  </si>
  <si>
    <t>847164 - LEONARDO MAZZUCO</t>
  </si>
  <si>
    <t>GAP</t>
  </si>
  <si>
    <t>Dia</t>
  </si>
  <si>
    <t>Rótulos de Linha</t>
  </si>
  <si>
    <t>Soma de cota total</t>
  </si>
  <si>
    <t>Total Geral</t>
  </si>
  <si>
    <t>Soma de mdtr total</t>
  </si>
  <si>
    <t>(vazio)</t>
  </si>
  <si>
    <t>%</t>
  </si>
  <si>
    <t>MDTR 18/10</t>
  </si>
  <si>
    <t>CNPJ</t>
  </si>
  <si>
    <t>REDE</t>
  </si>
  <si>
    <t>CANAL</t>
  </si>
  <si>
    <t>VENDAS MARCAS</t>
  </si>
  <si>
    <t>GRUPO ECONÔMICO</t>
  </si>
  <si>
    <t>ELEGIVEL</t>
  </si>
  <si>
    <t>DESAFIO DE REBATE PP</t>
  </si>
  <si>
    <t>DESAFIO DE REBATE CH</t>
  </si>
  <si>
    <t>DESAFIO DE REBATE TT</t>
  </si>
  <si>
    <t>VMA</t>
  </si>
  <si>
    <t>ELEGIVEL - PP</t>
  </si>
  <si>
    <t>VIN</t>
  </si>
  <si>
    <t>ELEGIVEL - COMO GRUPO ECONÔMICO</t>
  </si>
  <si>
    <t>ELEGIVEL TOTAL</t>
  </si>
  <si>
    <t>ELEGIVEL - CH</t>
  </si>
  <si>
    <t>VMR</t>
  </si>
  <si>
    <t>MDTR 20.10.2026</t>
  </si>
  <si>
    <t>SALES 22.10.2026</t>
  </si>
  <si>
    <t>MDTR Set Semavy</t>
  </si>
  <si>
    <t>SALES Out Semavy</t>
  </si>
  <si>
    <t>MDTR Out Semavy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</si>
</sst>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$&quot;\ * #,##0.00_-;\-&quot;R$&quot;\ * #,##0.00_-;_-&quot;R$&quot;\ * &quot;-&quot;??_-;_-@_-"/>
    <numFmt numFmtId="164" formatCode="0.0%;\-0.0%;0.0%"/>
    <numFmt numFmtId="165" formatCode="0.0%"/>
    <numFmt numFmtId="166" formatCode="0%;\-0%;0%"/>
    <numFmt numFmtId="175" formatCode="_-&quot;R$&quot;\ * #,##0_-;\-&quot;R$&quot;\ * #,##0_-;_-&quot;R$&quot;\ * &quot;-&quot;??_-;_-@_-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</font>
    <font>
      <b/>
      <sz val="11"/>
      <color rgb="FFFF0000"/>
      <name val="Aptos Narrow"/>
      <family val="2"/>
    </font>
    <font>
      <sz val="11"/>
      <color rgb="FFFF0000"/>
      <name val="Aptos Narrow"/>
      <family val="2"/>
    </font>
    <font>
      <b/>
      <sz val="12"/>
      <name val="Aptos Narrow"/>
      <family val="2"/>
      <scheme val="minor"/>
    </font>
    <font>
      <b/>
      <sz val="8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749992370372631"/>
        <bgColor theme="4" tint="0.79998168889431442"/>
      </patternFill>
    </fill>
    <fill>
      <patternFill patternType="solid">
        <fgColor theme="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theme="0" tint="-0.14999847407452621"/>
      </patternFill>
    </fill>
    <fill>
      <patternFill patternType="solid">
        <fgColor rgb="FF002060"/>
        <bgColor indexed="64"/>
      </patternFill>
    </fill>
    <fill>
      <patternFill patternType="solid">
        <fgColor theme="9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26">
    <xf numFmtId="0" fontId="0" fillId="0" borderId="0" xfId="0"/>
    <xf numFmtId="0" fontId="0" fillId="3" borderId="1" xfId="0" applyFill="1" applyBorder="1"/>
    <xf numFmtId="0" fontId="2" fillId="2" borderId="1" xfId="0" applyFont="1" applyFill="1" applyBorder="1" applyAlignment="1">
      <alignment horizontal="center"/>
    </xf>
    <xf numFmtId="0" fontId="0" fillId="0" borderId="1" xfId="0" applyBorder="1"/>
    <xf numFmtId="1" fontId="0" fillId="3" borderId="1" xfId="0" applyNumberFormat="1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0" fillId="4" borderId="1" xfId="0" applyFill="1" applyBorder="1"/>
    <xf numFmtId="1" fontId="0" fillId="3" borderId="1" xfId="0" applyNumberFormat="1" applyFill="1" applyBorder="1" applyAlignment="1">
      <alignment horizontal="left"/>
    </xf>
    <xf numFmtId="0" fontId="0" fillId="0" borderId="0" xfId="0" applyAlignment="1">
      <alignment horizontal="left"/>
    </xf>
    <xf numFmtId="0" fontId="2" fillId="2" borderId="2" xfId="0" applyFont="1" applyFill="1" applyBorder="1" applyAlignment="1">
      <alignment horizontal="center"/>
    </xf>
    <xf numFmtId="0" fontId="0" fillId="3" borderId="2" xfId="0" applyFill="1" applyBorder="1"/>
    <xf numFmtId="0" fontId="0" fillId="4" borderId="2" xfId="0" applyFill="1" applyBorder="1"/>
    <xf numFmtId="0" fontId="2" fillId="5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2" fillId="6" borderId="1" xfId="0" applyFont="1" applyFill="1" applyBorder="1"/>
    <xf numFmtId="0" fontId="0" fillId="0" borderId="1" xfId="0" applyBorder="1" applyAlignment="1">
      <alignment horizontal="center"/>
    </xf>
    <xf numFmtId="44" fontId="0" fillId="0" borderId="1" xfId="2" applyFont="1" applyBorder="1"/>
    <xf numFmtId="9" fontId="0" fillId="0" borderId="1" xfId="1" applyFont="1" applyBorder="1" applyAlignment="1">
      <alignment horizontal="center"/>
    </xf>
    <xf numFmtId="1" fontId="0" fillId="0" borderId="1" xfId="2" applyNumberFormat="1" applyFont="1" applyBorder="1" applyAlignment="1">
      <alignment horizontal="center"/>
    </xf>
    <xf numFmtId="0" fontId="3" fillId="8" borderId="1" xfId="0" applyFont="1" applyFill="1" applyBorder="1"/>
    <xf numFmtId="0" fontId="2" fillId="9" borderId="0" xfId="0" applyFont="1" applyFill="1"/>
    <xf numFmtId="0" fontId="0" fillId="0" borderId="0" xfId="0" applyAlignment="1">
      <alignment horizontal="center"/>
    </xf>
    <xf numFmtId="0" fontId="3" fillId="10" borderId="3" xfId="0" applyFont="1" applyFill="1" applyBorder="1" applyAlignment="1">
      <alignment horizontal="center"/>
    </xf>
    <xf numFmtId="0" fontId="6" fillId="10" borderId="3" xfId="0" applyFont="1" applyFill="1" applyBorder="1" applyAlignment="1">
      <alignment horizontal="center"/>
    </xf>
    <xf numFmtId="0" fontId="7" fillId="10" borderId="3" xfId="0" applyFont="1" applyFill="1" applyBorder="1" applyAlignment="1">
      <alignment horizontal="center"/>
    </xf>
    <xf numFmtId="0" fontId="0" fillId="4" borderId="3" xfId="0" applyFill="1" applyBorder="1"/>
    <xf numFmtId="44" fontId="1" fillId="4" borderId="3" xfId="2" applyFont="1" applyFill="1" applyBorder="1"/>
    <xf numFmtId="9" fontId="1" fillId="11" borderId="3" xfId="1" applyFont="1" applyFill="1" applyBorder="1" applyAlignment="1">
      <alignment horizontal="center"/>
    </xf>
    <xf numFmtId="164" fontId="1" fillId="4" borderId="3" xfId="1" applyNumberFormat="1" applyFont="1" applyFill="1" applyBorder="1" applyAlignment="1">
      <alignment horizontal="center"/>
    </xf>
    <xf numFmtId="44" fontId="5" fillId="4" borderId="3" xfId="0" applyNumberFormat="1" applyFont="1" applyFill="1" applyBorder="1"/>
    <xf numFmtId="0" fontId="8" fillId="4" borderId="3" xfId="0" applyFont="1" applyFill="1" applyBorder="1"/>
    <xf numFmtId="44" fontId="8" fillId="4" borderId="3" xfId="2" applyFont="1" applyFill="1" applyBorder="1"/>
    <xf numFmtId="164" fontId="8" fillId="4" borderId="3" xfId="1" applyNumberFormat="1" applyFont="1" applyFill="1" applyBorder="1" applyAlignment="1">
      <alignment horizontal="center"/>
    </xf>
    <xf numFmtId="44" fontId="9" fillId="10" borderId="3" xfId="2" applyFont="1" applyFill="1" applyBorder="1"/>
    <xf numFmtId="9" fontId="3" fillId="10" borderId="3" xfId="1" applyFont="1" applyFill="1" applyBorder="1" applyAlignment="1">
      <alignment horizontal="center"/>
    </xf>
    <xf numFmtId="164" fontId="9" fillId="10" borderId="3" xfId="0" applyNumberFormat="1" applyFont="1" applyFill="1" applyBorder="1" applyAlignment="1">
      <alignment horizontal="center"/>
    </xf>
    <xf numFmtId="44" fontId="10" fillId="10" borderId="3" xfId="2" applyFont="1" applyFill="1" applyBorder="1"/>
    <xf numFmtId="165" fontId="3" fillId="11" borderId="3" xfId="0" applyNumberFormat="1" applyFont="1" applyFill="1" applyBorder="1" applyAlignment="1">
      <alignment horizontal="center"/>
    </xf>
    <xf numFmtId="44" fontId="8" fillId="4" borderId="3" xfId="2" applyFont="1" applyFill="1" applyBorder="1" applyAlignment="1">
      <alignment horizontal="center"/>
    </xf>
    <xf numFmtId="164" fontId="8" fillId="4" borderId="3" xfId="0" applyNumberFormat="1" applyFont="1" applyFill="1" applyBorder="1" applyAlignment="1">
      <alignment horizontal="center"/>
    </xf>
    <xf numFmtId="44" fontId="3" fillId="10" borderId="3" xfId="2" applyFont="1" applyFill="1" applyBorder="1" applyAlignment="1">
      <alignment horizontal="center"/>
    </xf>
    <xf numFmtId="44" fontId="6" fillId="10" borderId="3" xfId="2" applyFont="1" applyFill="1" applyBorder="1" applyAlignment="1">
      <alignment horizontal="center"/>
    </xf>
    <xf numFmtId="0" fontId="8" fillId="4" borderId="5" xfId="0" applyFont="1" applyFill="1" applyBorder="1"/>
    <xf numFmtId="0" fontId="8" fillId="4" borderId="7" xfId="0" applyFont="1" applyFill="1" applyBorder="1"/>
    <xf numFmtId="0" fontId="4" fillId="12" borderId="4" xfId="0" applyFont="1" applyFill="1" applyBorder="1" applyAlignment="1">
      <alignment horizontal="center"/>
    </xf>
    <xf numFmtId="0" fontId="3" fillId="10" borderId="10" xfId="0" applyFont="1" applyFill="1" applyBorder="1" applyAlignment="1">
      <alignment horizontal="center"/>
    </xf>
    <xf numFmtId="44" fontId="5" fillId="4" borderId="10" xfId="0" applyNumberFormat="1" applyFont="1" applyFill="1" applyBorder="1"/>
    <xf numFmtId="44" fontId="6" fillId="10" borderId="10" xfId="2" applyFont="1" applyFill="1" applyBorder="1" applyAlignment="1">
      <alignment horizontal="center"/>
    </xf>
    <xf numFmtId="0" fontId="3" fillId="10" borderId="1" xfId="0" applyFont="1" applyFill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3" fontId="3" fillId="10" borderId="1" xfId="0" applyNumberFormat="1" applyFont="1" applyFill="1" applyBorder="1" applyAlignment="1">
      <alignment horizontal="center" vertical="center"/>
    </xf>
    <xf numFmtId="0" fontId="12" fillId="11" borderId="4" xfId="0" applyFont="1" applyFill="1" applyBorder="1" applyAlignment="1">
      <alignment horizontal="center"/>
    </xf>
    <xf numFmtId="0" fontId="4" fillId="13" borderId="4" xfId="0" applyFont="1" applyFill="1" applyBorder="1" applyAlignment="1">
      <alignment horizontal="center"/>
    </xf>
    <xf numFmtId="164" fontId="8" fillId="4" borderId="10" xfId="0" applyNumberFormat="1" applyFont="1" applyFill="1" applyBorder="1" applyAlignment="1">
      <alignment horizontal="center"/>
    </xf>
    <xf numFmtId="9" fontId="3" fillId="10" borderId="10" xfId="1" applyFont="1" applyFill="1" applyBorder="1" applyAlignment="1">
      <alignment horizontal="center"/>
    </xf>
    <xf numFmtId="0" fontId="3" fillId="10" borderId="1" xfId="0" applyFont="1" applyFill="1" applyBorder="1" applyAlignment="1">
      <alignment horizontal="center"/>
    </xf>
    <xf numFmtId="44" fontId="5" fillId="4" borderId="1" xfId="0" applyNumberFormat="1" applyFont="1" applyFill="1" applyBorder="1"/>
    <xf numFmtId="44" fontId="6" fillId="10" borderId="1" xfId="2" applyFont="1" applyFill="1" applyBorder="1" applyAlignment="1">
      <alignment horizontal="center"/>
    </xf>
    <xf numFmtId="3" fontId="3" fillId="10" borderId="3" xfId="0" applyNumberFormat="1" applyFont="1" applyFill="1" applyBorder="1" applyAlignment="1">
      <alignment horizontal="center"/>
    </xf>
    <xf numFmtId="3" fontId="6" fillId="10" borderId="3" xfId="0" applyNumberFormat="1" applyFont="1" applyFill="1" applyBorder="1" applyAlignment="1">
      <alignment horizontal="center"/>
    </xf>
    <xf numFmtId="44" fontId="0" fillId="14" borderId="3" xfId="0" applyNumberFormat="1" applyFill="1" applyBorder="1"/>
    <xf numFmtId="44" fontId="5" fillId="14" borderId="3" xfId="0" applyNumberFormat="1" applyFont="1" applyFill="1" applyBorder="1"/>
    <xf numFmtId="1" fontId="0" fillId="0" borderId="11" xfId="0" applyNumberFormat="1" applyBorder="1"/>
    <xf numFmtId="3" fontId="8" fillId="11" borderId="3" xfId="0" applyNumberFormat="1" applyFont="1" applyFill="1" applyBorder="1" applyAlignment="1">
      <alignment horizontal="center"/>
    </xf>
    <xf numFmtId="166" fontId="8" fillId="11" borderId="3" xfId="0" applyNumberFormat="1" applyFont="1" applyFill="1" applyBorder="1" applyAlignment="1">
      <alignment horizontal="center"/>
    </xf>
    <xf numFmtId="3" fontId="11" fillId="11" borderId="3" xfId="0" applyNumberFormat="1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9" fontId="0" fillId="0" borderId="3" xfId="1" applyFont="1" applyBorder="1" applyAlignment="1">
      <alignment horizontal="center"/>
    </xf>
    <xf numFmtId="0" fontId="0" fillId="0" borderId="3" xfId="0" pivotButton="1" applyBorder="1"/>
    <xf numFmtId="0" fontId="0" fillId="0" borderId="3" xfId="0" applyBorder="1"/>
    <xf numFmtId="0" fontId="0" fillId="0" borderId="3" xfId="0" applyBorder="1" applyAlignment="1">
      <alignment horizontal="left"/>
    </xf>
    <xf numFmtId="44" fontId="0" fillId="0" borderId="3" xfId="0" applyNumberFormat="1" applyBorder="1"/>
    <xf numFmtId="0" fontId="3" fillId="15" borderId="3" xfId="0" applyFont="1" applyFill="1" applyBorder="1" applyAlignment="1">
      <alignment horizontal="center"/>
    </xf>
    <xf numFmtId="9" fontId="3" fillId="15" borderId="3" xfId="1" applyFont="1" applyFill="1" applyBorder="1" applyAlignment="1">
      <alignment horizontal="center"/>
    </xf>
    <xf numFmtId="3" fontId="6" fillId="10" borderId="2" xfId="0" applyNumberFormat="1" applyFont="1" applyFill="1" applyBorder="1" applyAlignment="1">
      <alignment horizontal="center" vertical="center"/>
    </xf>
    <xf numFmtId="1" fontId="6" fillId="10" borderId="3" xfId="0" applyNumberFormat="1" applyFont="1" applyFill="1" applyBorder="1" applyAlignment="1">
      <alignment horizontal="center" vertical="center"/>
    </xf>
    <xf numFmtId="3" fontId="6" fillId="11" borderId="3" xfId="0" applyNumberFormat="1" applyFont="1" applyFill="1" applyBorder="1" applyAlignment="1">
      <alignment horizontal="center"/>
    </xf>
    <xf numFmtId="1" fontId="6" fillId="11" borderId="3" xfId="0" applyNumberFormat="1" applyFont="1" applyFill="1" applyBorder="1" applyAlignment="1">
      <alignment horizontal="center"/>
    </xf>
    <xf numFmtId="0" fontId="6" fillId="11" borderId="3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12" xfId="0" applyBorder="1" applyAlignment="1">
      <alignment horizontal="center"/>
    </xf>
    <xf numFmtId="0" fontId="0" fillId="0" borderId="11" xfId="0" applyBorder="1" applyAlignment="1">
      <alignment horizontal="center"/>
    </xf>
    <xf numFmtId="0" fontId="8" fillId="11" borderId="3" xfId="0" applyFont="1" applyFill="1" applyBorder="1"/>
    <xf numFmtId="44" fontId="8" fillId="11" borderId="3" xfId="2" applyFont="1" applyFill="1" applyBorder="1" applyAlignment="1">
      <alignment horizontal="center"/>
    </xf>
    <xf numFmtId="164" fontId="8" fillId="11" borderId="3" xfId="0" applyNumberFormat="1" applyFont="1" applyFill="1" applyBorder="1" applyAlignment="1">
      <alignment horizontal="center"/>
    </xf>
    <xf numFmtId="3" fontId="0" fillId="11" borderId="1" xfId="0" applyNumberFormat="1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9" fontId="1" fillId="4" borderId="3" xfId="1" applyNumberFormat="1" applyFont="1" applyFill="1" applyBorder="1" applyAlignment="1">
      <alignment horizontal="center"/>
    </xf>
    <xf numFmtId="9" fontId="8" fillId="4" borderId="3" xfId="1" applyNumberFormat="1" applyFont="1" applyFill="1" applyBorder="1" applyAlignment="1">
      <alignment horizontal="center"/>
    </xf>
    <xf numFmtId="166" fontId="8" fillId="4" borderId="3" xfId="0" applyNumberFormat="1" applyFont="1" applyFill="1" applyBorder="1" applyAlignment="1">
      <alignment horizontal="center"/>
    </xf>
    <xf numFmtId="44" fontId="5" fillId="11" borderId="10" xfId="0" applyNumberFormat="1" applyFont="1" applyFill="1" applyBorder="1"/>
    <xf numFmtId="44" fontId="6" fillId="11" borderId="10" xfId="0" applyNumberFormat="1" applyFont="1" applyFill="1" applyBorder="1"/>
    <xf numFmtId="3" fontId="8" fillId="16" borderId="3" xfId="0" applyNumberFormat="1" applyFont="1" applyFill="1" applyBorder="1" applyAlignment="1">
      <alignment horizontal="center"/>
    </xf>
    <xf numFmtId="166" fontId="8" fillId="16" borderId="3" xfId="0" applyNumberFormat="1" applyFont="1" applyFill="1" applyBorder="1" applyAlignment="1">
      <alignment horizontal="center"/>
    </xf>
    <xf numFmtId="3" fontId="11" fillId="16" borderId="3" xfId="0" applyNumberFormat="1" applyFont="1" applyFill="1" applyBorder="1" applyAlignment="1">
      <alignment horizontal="center"/>
    </xf>
    <xf numFmtId="3" fontId="8" fillId="16" borderId="8" xfId="0" applyNumberFormat="1" applyFont="1" applyFill="1" applyBorder="1" applyAlignment="1">
      <alignment horizontal="center"/>
    </xf>
    <xf numFmtId="3" fontId="11" fillId="16" borderId="8" xfId="0" applyNumberFormat="1" applyFont="1" applyFill="1" applyBorder="1" applyAlignment="1">
      <alignment horizontal="center"/>
    </xf>
    <xf numFmtId="44" fontId="8" fillId="16" borderId="3" xfId="2" applyFont="1" applyFill="1" applyBorder="1" applyAlignment="1">
      <alignment horizontal="center"/>
    </xf>
    <xf numFmtId="44" fontId="11" fillId="16" borderId="6" xfId="2" applyFont="1" applyFill="1" applyBorder="1" applyAlignment="1">
      <alignment horizontal="center"/>
    </xf>
    <xf numFmtId="44" fontId="8" fillId="16" borderId="8" xfId="2" applyFont="1" applyFill="1" applyBorder="1" applyAlignment="1">
      <alignment horizontal="center"/>
    </xf>
    <xf numFmtId="44" fontId="11" fillId="16" borderId="9" xfId="2" applyFont="1" applyFill="1" applyBorder="1" applyAlignment="1">
      <alignment horizontal="center"/>
    </xf>
    <xf numFmtId="0" fontId="8" fillId="11" borderId="5" xfId="0" applyFont="1" applyFill="1" applyBorder="1"/>
    <xf numFmtId="0" fontId="13" fillId="17" borderId="3" xfId="0" applyFont="1" applyFill="1" applyBorder="1" applyAlignment="1">
      <alignment horizontal="center" vertical="center"/>
    </xf>
    <xf numFmtId="0" fontId="14" fillId="18" borderId="3" xfId="0" applyFont="1" applyFill="1" applyBorder="1" applyAlignment="1">
      <alignment horizontal="center" vertical="center"/>
    </xf>
    <xf numFmtId="0" fontId="14" fillId="6" borderId="3" xfId="0" applyFont="1" applyFill="1" applyBorder="1" applyAlignment="1">
      <alignment horizontal="center" vertical="center"/>
    </xf>
    <xf numFmtId="0" fontId="14" fillId="19" borderId="3" xfId="0" applyFont="1" applyFill="1" applyBorder="1" applyAlignment="1">
      <alignment horizontal="center" vertical="center"/>
    </xf>
    <xf numFmtId="1" fontId="15" fillId="0" borderId="3" xfId="0" applyNumberFormat="1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15" fillId="0" borderId="3" xfId="0" applyFont="1" applyBorder="1" applyAlignment="1">
      <alignment horizontal="left"/>
    </xf>
    <xf numFmtId="0" fontId="15" fillId="0" borderId="3" xfId="0" applyFont="1" applyBorder="1"/>
    <xf numFmtId="175" fontId="15" fillId="0" borderId="3" xfId="0" applyNumberFormat="1" applyFont="1" applyBorder="1"/>
    <xf numFmtId="44" fontId="11" fillId="11" borderId="6" xfId="2" applyFont="1" applyFill="1" applyBorder="1" applyAlignment="1">
      <alignment horizontal="center"/>
    </xf>
    <xf numFmtId="44" fontId="5" fillId="11" borderId="3" xfId="0" applyNumberFormat="1" applyFont="1" applyFill="1" applyBorder="1"/>
    <xf numFmtId="0" fontId="8" fillId="13" borderId="3" xfId="0" applyFont="1" applyFill="1" applyBorder="1"/>
    <xf numFmtId="44" fontId="8" fillId="13" borderId="3" xfId="2" applyFont="1" applyFill="1" applyBorder="1" applyAlignment="1">
      <alignment horizontal="center"/>
    </xf>
    <xf numFmtId="166" fontId="8" fillId="13" borderId="3" xfId="0" applyNumberFormat="1" applyFont="1" applyFill="1" applyBorder="1" applyAlignment="1">
      <alignment horizontal="center"/>
    </xf>
    <xf numFmtId="164" fontId="8" fillId="13" borderId="3" xfId="0" applyNumberFormat="1" applyFont="1" applyFill="1" applyBorder="1" applyAlignment="1">
      <alignment horizontal="center"/>
    </xf>
    <xf numFmtId="44" fontId="6" fillId="13" borderId="10" xfId="0" applyNumberFormat="1" applyFont="1" applyFill="1" applyBorder="1"/>
    <xf numFmtId="3" fontId="0" fillId="13" borderId="1" xfId="0" applyNumberFormat="1" applyFill="1" applyBorder="1" applyAlignment="1">
      <alignment horizontal="center" vertical="center"/>
    </xf>
    <xf numFmtId="0" fontId="0" fillId="13" borderId="2" xfId="0" applyFill="1" applyBorder="1" applyAlignment="1">
      <alignment horizontal="center" vertical="center"/>
    </xf>
    <xf numFmtId="3" fontId="7" fillId="13" borderId="3" xfId="0" applyNumberFormat="1" applyFont="1" applyFill="1" applyBorder="1" applyAlignment="1">
      <alignment horizontal="center"/>
    </xf>
    <xf numFmtId="1" fontId="6" fillId="13" borderId="3" xfId="0" applyNumberFormat="1" applyFont="1" applyFill="1" applyBorder="1" applyAlignment="1">
      <alignment horizontal="center"/>
    </xf>
    <xf numFmtId="3" fontId="6" fillId="13" borderId="3" xfId="0" applyNumberFormat="1" applyFont="1" applyFill="1" applyBorder="1" applyAlignment="1">
      <alignment horizontal="center"/>
    </xf>
  </cellXfs>
  <cellStyles count="3">
    <cellStyle name="Moeda" xfId="2" builtinId="4"/>
    <cellStyle name="Normal" xfId="0" builtinId="0"/>
    <cellStyle name="Porcentagem" xfId="1" builtinId="5"/>
  </cellStyles>
  <dxfs count="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se.cabral\Downloads\data%20-%202026-10-22T173648.412.xlsx" TargetMode="External"/><Relationship Id="rId1" Type="http://schemas.openxmlformats.org/officeDocument/2006/relationships/externalLinkPath" Target="file:///C:\Users\jose.cabral\Downloads\data%20-%202026-10-22T173648.412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se.cabral\Downloads\data%20-%202026-10-23T062859.634.xlsx" TargetMode="External"/><Relationship Id="rId1" Type="http://schemas.openxmlformats.org/officeDocument/2006/relationships/externalLinkPath" Target="file:///C:\Users\jose.cabral\Downloads\data%20-%202026-10-23T062859.63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xport"/>
    </sheetNames>
    <sheetDataSet>
      <sheetData sheetId="0">
        <row r="1">
          <cell r="A1" t="str">
            <v>CNPJ</v>
          </cell>
          <cell r="B1" t="str">
            <v>Razão Social</v>
          </cell>
          <cell r="C1" t="str">
            <v>Bandeira</v>
          </cell>
          <cell r="D1" t="str">
            <v>Cidade</v>
          </cell>
          <cell r="E1" t="str">
            <v>UF</v>
          </cell>
          <cell r="F1" t="str">
            <v>Último Pedido</v>
          </cell>
          <cell r="G1" t="str">
            <v>Fat Marcas</v>
          </cell>
          <cell r="H1" t="str">
            <v>Fat SG</v>
          </cell>
          <cell r="I1" t="str">
            <v>Comprou?</v>
          </cell>
        </row>
        <row r="2">
          <cell r="A2">
            <v>36752663000100</v>
          </cell>
          <cell r="B2" t="str">
            <v>W M S DROGARIA</v>
          </cell>
          <cell r="C2" t="str">
            <v>MASTERFARMA</v>
          </cell>
          <cell r="D2" t="str">
            <v>PRIMAVERA DO LESTE</v>
          </cell>
          <cell r="E2" t="str">
            <v>MT</v>
          </cell>
          <cell r="F2">
            <v>46312</v>
          </cell>
          <cell r="G2">
            <v>5893.31</v>
          </cell>
          <cell r="I2" t="str">
            <v>Comprou Marcas</v>
          </cell>
        </row>
        <row r="3">
          <cell r="A3">
            <v>74641994000161</v>
          </cell>
          <cell r="B3" t="str">
            <v>VIVAMAIS FARMA</v>
          </cell>
          <cell r="C3" t="str">
            <v>DSG FARMA</v>
          </cell>
          <cell r="D3" t="str">
            <v>BIRIGUI</v>
          </cell>
          <cell r="E3" t="str">
            <v>SP</v>
          </cell>
          <cell r="I3" t="str">
            <v>Não Comprou</v>
          </cell>
        </row>
        <row r="4">
          <cell r="A4">
            <v>33587172000162</v>
          </cell>
          <cell r="B4" t="str">
            <v>VITOR FARMA</v>
          </cell>
          <cell r="C4" t="str">
            <v>DSG FARMA</v>
          </cell>
          <cell r="D4" t="str">
            <v>PARANAIBA</v>
          </cell>
          <cell r="E4" t="str">
            <v>MS</v>
          </cell>
          <cell r="F4">
            <v>46311</v>
          </cell>
          <cell r="G4">
            <v>1986.2399999999998</v>
          </cell>
          <cell r="I4" t="str">
            <v>Comprou Marcas</v>
          </cell>
        </row>
        <row r="5">
          <cell r="A5">
            <v>53532526000189</v>
          </cell>
          <cell r="B5" t="str">
            <v>VITOR FARMA</v>
          </cell>
          <cell r="C5" t="str">
            <v>DSG FARMA</v>
          </cell>
          <cell r="D5" t="str">
            <v>PARANAIBA</v>
          </cell>
          <cell r="E5" t="str">
            <v>MS</v>
          </cell>
          <cell r="I5" t="str">
            <v>Não Comprou</v>
          </cell>
        </row>
        <row r="6">
          <cell r="A6">
            <v>22836127000188</v>
          </cell>
          <cell r="B6" t="str">
            <v>VISTA BELA DROGARIA</v>
          </cell>
          <cell r="C6" t="str">
            <v>LUCREMAIS</v>
          </cell>
          <cell r="D6" t="str">
            <v>ARAGARCAS</v>
          </cell>
          <cell r="E6" t="str">
            <v>GO</v>
          </cell>
          <cell r="F6">
            <v>46315</v>
          </cell>
          <cell r="G6">
            <v>317.20999999999998</v>
          </cell>
          <cell r="I6" t="str">
            <v>Comprou Marcas</v>
          </cell>
        </row>
        <row r="7">
          <cell r="A7">
            <v>34738410000156</v>
          </cell>
          <cell r="B7" t="str">
            <v>VGFARMA</v>
          </cell>
          <cell r="C7" t="str">
            <v>INDEPENDENTES VIN</v>
          </cell>
          <cell r="D7" t="str">
            <v>VARZEA GRANDE</v>
          </cell>
          <cell r="E7" t="str">
            <v>MT</v>
          </cell>
          <cell r="F7">
            <v>46310</v>
          </cell>
          <cell r="G7">
            <v>137.85</v>
          </cell>
          <cell r="I7" t="str">
            <v>Comprou Marcas</v>
          </cell>
        </row>
        <row r="8">
          <cell r="A8">
            <v>55557060000100</v>
          </cell>
          <cell r="B8" t="str">
            <v>VENCESLAU FARMA</v>
          </cell>
          <cell r="C8" t="str">
            <v>INDEPENDENTES VIN</v>
          </cell>
          <cell r="D8" t="str">
            <v>PRESIDENTE VENCESLAU</v>
          </cell>
          <cell r="E8" t="str">
            <v>SP</v>
          </cell>
          <cell r="F8">
            <v>46311</v>
          </cell>
          <cell r="G8">
            <v>2283.5699999999993</v>
          </cell>
          <cell r="H8">
            <v>2171.6999999999998</v>
          </cell>
          <cell r="I8" t="str">
            <v>Comprou Marcas e SG</v>
          </cell>
        </row>
        <row r="9">
          <cell r="A9">
            <v>32203543000100</v>
          </cell>
          <cell r="B9" t="str">
            <v>UP 2</v>
          </cell>
          <cell r="C9" t="str">
            <v>MASTERFARMA</v>
          </cell>
          <cell r="D9" t="str">
            <v>PONTA PORA</v>
          </cell>
          <cell r="E9" t="str">
            <v>MS</v>
          </cell>
          <cell r="I9" t="str">
            <v>Não Comprou</v>
          </cell>
        </row>
        <row r="10">
          <cell r="A10">
            <v>50413414000110</v>
          </cell>
          <cell r="B10" t="str">
            <v>ULTRAPOPULAR CACHOEIRA</v>
          </cell>
          <cell r="C10" t="str">
            <v>HIPER SAUDE</v>
          </cell>
          <cell r="D10" t="str">
            <v>CAMPO GRANDE</v>
          </cell>
          <cell r="E10" t="str">
            <v>MS</v>
          </cell>
          <cell r="F10">
            <v>46316</v>
          </cell>
          <cell r="G10">
            <v>118.66</v>
          </cell>
          <cell r="I10" t="str">
            <v>Comprou Marcas</v>
          </cell>
        </row>
        <row r="11">
          <cell r="A11">
            <v>1938125000200</v>
          </cell>
          <cell r="B11" t="str">
            <v>ULTRAPOPULAR</v>
          </cell>
          <cell r="C11" t="str">
            <v>FARMARCAS</v>
          </cell>
          <cell r="D11" t="str">
            <v>MUNDO NOVO</v>
          </cell>
          <cell r="E11" t="str">
            <v>MS</v>
          </cell>
          <cell r="F11">
            <v>46314</v>
          </cell>
          <cell r="G11">
            <v>1697.1499999999999</v>
          </cell>
          <cell r="I11" t="str">
            <v>Comprou Marcas</v>
          </cell>
        </row>
        <row r="12">
          <cell r="A12">
            <v>34565893000215</v>
          </cell>
          <cell r="B12" t="str">
            <v>ULTRAPOPULAR</v>
          </cell>
          <cell r="C12" t="str">
            <v>FARMARCAS</v>
          </cell>
          <cell r="D12" t="str">
            <v>CAMPO GRANDE</v>
          </cell>
          <cell r="E12" t="str">
            <v>MS</v>
          </cell>
          <cell r="F12">
            <v>46303</v>
          </cell>
          <cell r="G12">
            <v>873.81999999999982</v>
          </cell>
          <cell r="I12" t="str">
            <v>Comprou Marcas</v>
          </cell>
        </row>
        <row r="13">
          <cell r="A13">
            <v>24769226000110</v>
          </cell>
          <cell r="B13" t="str">
            <v>ULTRAPOPULAR</v>
          </cell>
          <cell r="C13" t="str">
            <v>FARMARCAS</v>
          </cell>
          <cell r="D13" t="str">
            <v>JUINA</v>
          </cell>
          <cell r="E13" t="str">
            <v>MT</v>
          </cell>
          <cell r="F13">
            <v>46316</v>
          </cell>
          <cell r="G13">
            <v>14496.760000000004</v>
          </cell>
          <cell r="H13">
            <v>6386.4399999999987</v>
          </cell>
          <cell r="I13" t="str">
            <v>Comprou Marcas e SG</v>
          </cell>
        </row>
        <row r="14">
          <cell r="A14">
            <v>19651628000509</v>
          </cell>
          <cell r="B14" t="str">
            <v>ULTRAPOPULAR</v>
          </cell>
          <cell r="C14" t="str">
            <v>FARMARCAS</v>
          </cell>
          <cell r="D14" t="str">
            <v>SINOP</v>
          </cell>
          <cell r="E14" t="str">
            <v>MT</v>
          </cell>
          <cell r="F14">
            <v>46316</v>
          </cell>
          <cell r="G14">
            <v>3619.9799999999991</v>
          </cell>
          <cell r="H14">
            <v>9588.6000000000022</v>
          </cell>
          <cell r="I14" t="str">
            <v>Comprou Marcas e SG</v>
          </cell>
        </row>
        <row r="15">
          <cell r="A15">
            <v>44053810000181</v>
          </cell>
          <cell r="B15" t="str">
            <v>ULTRAFARMA</v>
          </cell>
          <cell r="C15" t="str">
            <v>ULTRAFARMA - FRANQUIA</v>
          </cell>
          <cell r="D15" t="str">
            <v>CAMPO GRANDE</v>
          </cell>
          <cell r="E15" t="str">
            <v>MS</v>
          </cell>
          <cell r="F15">
            <v>46316</v>
          </cell>
          <cell r="G15">
            <v>12512.33</v>
          </cell>
          <cell r="I15" t="str">
            <v>Comprou Marcas</v>
          </cell>
        </row>
        <row r="16">
          <cell r="A16">
            <v>3577994000282</v>
          </cell>
          <cell r="B16" t="str">
            <v>ULTRAFARMA</v>
          </cell>
          <cell r="C16" t="str">
            <v>ASSOCIADAS</v>
          </cell>
          <cell r="D16" t="str">
            <v>PEIXOTO DE AZEVEDO</v>
          </cell>
          <cell r="E16" t="str">
            <v>MT</v>
          </cell>
          <cell r="F16">
            <v>46311</v>
          </cell>
          <cell r="G16">
            <v>1728.3900000000003</v>
          </cell>
          <cell r="I16" t="str">
            <v>Comprou Marcas</v>
          </cell>
        </row>
        <row r="17">
          <cell r="A17">
            <v>27545412000244</v>
          </cell>
          <cell r="B17" t="str">
            <v>ULTRA POPULAR SAO JOSE DO RIO CLARO</v>
          </cell>
          <cell r="C17" t="str">
            <v>FARMARCAS</v>
          </cell>
          <cell r="D17" t="str">
            <v>SAO JOSE DO RIO CLARO</v>
          </cell>
          <cell r="E17" t="str">
            <v>MT</v>
          </cell>
          <cell r="F17">
            <v>46316</v>
          </cell>
          <cell r="G17">
            <v>3118.4100000000003</v>
          </cell>
          <cell r="I17" t="str">
            <v>Comprou Marcas</v>
          </cell>
        </row>
        <row r="18">
          <cell r="A18">
            <v>27545412000678</v>
          </cell>
          <cell r="B18" t="str">
            <v>ULTRA POPULAR COLIDER FILIAL 05</v>
          </cell>
          <cell r="C18" t="str">
            <v>FARMARCAS</v>
          </cell>
          <cell r="D18" t="str">
            <v>COLIDER</v>
          </cell>
          <cell r="E18" t="str">
            <v>MT</v>
          </cell>
          <cell r="F18">
            <v>46315</v>
          </cell>
          <cell r="G18">
            <v>1720.12</v>
          </cell>
          <cell r="I18" t="str">
            <v>Comprou Marcas</v>
          </cell>
        </row>
        <row r="19">
          <cell r="A19">
            <v>27545412000325</v>
          </cell>
          <cell r="B19" t="str">
            <v>ULTRA POPULAR BRASNORTE FILIAL LL</v>
          </cell>
          <cell r="C19" t="str">
            <v>FARMARCAS</v>
          </cell>
          <cell r="D19" t="str">
            <v>BRASNORTE</v>
          </cell>
          <cell r="E19" t="str">
            <v>MT</v>
          </cell>
          <cell r="F19">
            <v>46316</v>
          </cell>
          <cell r="G19">
            <v>10617.399999999998</v>
          </cell>
          <cell r="I19" t="str">
            <v>Comprou Marcas</v>
          </cell>
        </row>
        <row r="20">
          <cell r="A20">
            <v>27545412000163</v>
          </cell>
          <cell r="B20" t="str">
            <v>ULTRA POPULAR BRASNORTE</v>
          </cell>
          <cell r="C20" t="str">
            <v>FARMARCAS</v>
          </cell>
          <cell r="D20" t="str">
            <v>BRASNORTE</v>
          </cell>
          <cell r="E20" t="str">
            <v>MT</v>
          </cell>
          <cell r="F20">
            <v>46316</v>
          </cell>
          <cell r="G20">
            <v>2105.0299999999997</v>
          </cell>
          <cell r="I20" t="str">
            <v>Comprou Marcas</v>
          </cell>
        </row>
        <row r="21">
          <cell r="A21">
            <v>10378095000135</v>
          </cell>
          <cell r="B21" t="str">
            <v>ULTRA POPULAR 00129</v>
          </cell>
          <cell r="C21" t="str">
            <v>INDEPENDENTES VIN</v>
          </cell>
          <cell r="D21" t="str">
            <v>ARACATUBA</v>
          </cell>
          <cell r="E21" t="str">
            <v>SP</v>
          </cell>
          <cell r="F21">
            <v>46316</v>
          </cell>
          <cell r="G21">
            <v>8553.1299999999992</v>
          </cell>
          <cell r="H21">
            <v>6390.15</v>
          </cell>
          <cell r="I21" t="str">
            <v>Comprou Marcas e SG</v>
          </cell>
        </row>
        <row r="22">
          <cell r="A22">
            <v>4050862000694</v>
          </cell>
          <cell r="B22" t="str">
            <v>ULTRA POPULAR</v>
          </cell>
          <cell r="C22" t="str">
            <v>FARMARCAS</v>
          </cell>
          <cell r="D22" t="str">
            <v>CAMPO GRANDE</v>
          </cell>
          <cell r="E22" t="str">
            <v>MS</v>
          </cell>
          <cell r="F22">
            <v>46303</v>
          </cell>
          <cell r="G22">
            <v>817.56</v>
          </cell>
          <cell r="I22" t="str">
            <v>Comprou Marcas</v>
          </cell>
        </row>
        <row r="23">
          <cell r="A23">
            <v>4050862000775</v>
          </cell>
          <cell r="B23" t="str">
            <v>ULTRA POPULAR</v>
          </cell>
          <cell r="C23" t="str">
            <v>FARMARCAS</v>
          </cell>
          <cell r="D23" t="str">
            <v>AGUA CLARA</v>
          </cell>
          <cell r="E23" t="str">
            <v>MS</v>
          </cell>
          <cell r="F23">
            <v>46303</v>
          </cell>
          <cell r="G23">
            <v>2379.7599999999998</v>
          </cell>
          <cell r="I23" t="str">
            <v>Comprou Marcas</v>
          </cell>
        </row>
        <row r="24">
          <cell r="A24">
            <v>13938314000181</v>
          </cell>
          <cell r="B24" t="str">
            <v>ULTRA POPULAR</v>
          </cell>
          <cell r="C24" t="str">
            <v>FARMARCAS</v>
          </cell>
          <cell r="D24" t="str">
            <v>CAMPO GRANDE</v>
          </cell>
          <cell r="E24" t="str">
            <v>MS</v>
          </cell>
          <cell r="F24">
            <v>46303</v>
          </cell>
          <cell r="G24">
            <v>1056.7400000000002</v>
          </cell>
          <cell r="I24" t="str">
            <v>Comprou Marcas</v>
          </cell>
        </row>
        <row r="25">
          <cell r="A25">
            <v>19651628000266</v>
          </cell>
          <cell r="B25" t="str">
            <v>ULTRA POPULAR</v>
          </cell>
          <cell r="C25" t="str">
            <v>FARMARCAS</v>
          </cell>
          <cell r="D25" t="str">
            <v>SINOP</v>
          </cell>
          <cell r="E25" t="str">
            <v>MT</v>
          </cell>
          <cell r="F25">
            <v>46315</v>
          </cell>
          <cell r="G25">
            <v>2984.2099999999996</v>
          </cell>
          <cell r="H25">
            <v>11121.089999999998</v>
          </cell>
          <cell r="I25" t="str">
            <v>Comprou Marcas e SG</v>
          </cell>
        </row>
        <row r="26">
          <cell r="A26">
            <v>11051538000141</v>
          </cell>
          <cell r="B26" t="str">
            <v>ULTRA POPULAR</v>
          </cell>
          <cell r="C26" t="str">
            <v>FARMARCAS</v>
          </cell>
          <cell r="D26" t="str">
            <v>CANARANA</v>
          </cell>
          <cell r="E26" t="str">
            <v>MT</v>
          </cell>
          <cell r="F26">
            <v>46315</v>
          </cell>
          <cell r="G26">
            <v>6721.9299999999994</v>
          </cell>
          <cell r="I26" t="str">
            <v>Comprou Marcas</v>
          </cell>
        </row>
        <row r="27">
          <cell r="A27">
            <v>34565893000134</v>
          </cell>
          <cell r="B27" t="str">
            <v>ULTRA MAXI POPULAR</v>
          </cell>
          <cell r="C27" t="str">
            <v>FARMARCAS</v>
          </cell>
          <cell r="D27" t="str">
            <v>CAMPO GRANDE</v>
          </cell>
          <cell r="E27" t="str">
            <v>MS</v>
          </cell>
          <cell r="F27">
            <v>46303</v>
          </cell>
          <cell r="G27">
            <v>685.61</v>
          </cell>
          <cell r="I27" t="str">
            <v>Comprou Marcas</v>
          </cell>
        </row>
        <row r="28">
          <cell r="A28">
            <v>36728431000116</v>
          </cell>
          <cell r="B28" t="str">
            <v>ULTRA MAX POPULAR</v>
          </cell>
          <cell r="C28" t="str">
            <v>FARMARCAS</v>
          </cell>
          <cell r="D28" t="str">
            <v>CAMPO GRANDE</v>
          </cell>
          <cell r="E28" t="str">
            <v>MS</v>
          </cell>
          <cell r="F28">
            <v>46314</v>
          </cell>
          <cell r="G28">
            <v>4730.1599999999989</v>
          </cell>
          <cell r="I28" t="str">
            <v>Comprou Marcas</v>
          </cell>
        </row>
        <row r="29">
          <cell r="A29">
            <v>36728431000205</v>
          </cell>
          <cell r="B29" t="str">
            <v>ULTRA MAX POPULAR</v>
          </cell>
          <cell r="C29" t="str">
            <v>FARMARCAS</v>
          </cell>
          <cell r="D29" t="str">
            <v>CAMPO GRANDE</v>
          </cell>
          <cell r="E29" t="str">
            <v>MS</v>
          </cell>
          <cell r="F29">
            <v>46314</v>
          </cell>
          <cell r="G29">
            <v>8249.14</v>
          </cell>
          <cell r="I29" t="str">
            <v>Comprou Marcas</v>
          </cell>
        </row>
        <row r="30">
          <cell r="A30">
            <v>57259868000128</v>
          </cell>
          <cell r="B30" t="str">
            <v>TRIUNFO FARMACIAS</v>
          </cell>
          <cell r="C30" t="str">
            <v>INDEPENDENTES VIN</v>
          </cell>
          <cell r="D30" t="str">
            <v>TEODORO SAMPAIO</v>
          </cell>
          <cell r="E30" t="str">
            <v>SP</v>
          </cell>
          <cell r="F30">
            <v>46315</v>
          </cell>
          <cell r="G30">
            <v>246.82</v>
          </cell>
          <cell r="I30" t="str">
            <v>Comprou Marcas</v>
          </cell>
        </row>
        <row r="31">
          <cell r="A31">
            <v>7211143000191</v>
          </cell>
          <cell r="B31" t="str">
            <v>TRI FARMA</v>
          </cell>
          <cell r="C31" t="str">
            <v>DSG FARMA</v>
          </cell>
          <cell r="D31" t="str">
            <v>ALTO ARAGUAIA</v>
          </cell>
          <cell r="E31" t="str">
            <v>MT</v>
          </cell>
          <cell r="F31">
            <v>46302</v>
          </cell>
          <cell r="G31">
            <v>514.07999999999993</v>
          </cell>
          <cell r="I31" t="str">
            <v>Comprou Marcas</v>
          </cell>
        </row>
        <row r="32">
          <cell r="A32">
            <v>45924995000115</v>
          </cell>
          <cell r="B32" t="str">
            <v>TOP FARMA POPULAR</v>
          </cell>
          <cell r="C32" t="str">
            <v>HIPER SAUDE</v>
          </cell>
          <cell r="D32" t="str">
            <v>SINOP</v>
          </cell>
          <cell r="E32" t="str">
            <v>MT</v>
          </cell>
          <cell r="F32">
            <v>46304</v>
          </cell>
          <cell r="G32">
            <v>1376.7299999999998</v>
          </cell>
          <cell r="I32" t="str">
            <v>Comprou Marcas</v>
          </cell>
        </row>
        <row r="33">
          <cell r="A33">
            <v>55292481000148</v>
          </cell>
          <cell r="B33" t="str">
            <v>TIAGO DE JESUS MOREIRA</v>
          </cell>
          <cell r="C33" t="str">
            <v>INDEPENDENTES VIN</v>
          </cell>
          <cell r="D33" t="str">
            <v>ARAPUTANGA</v>
          </cell>
          <cell r="E33" t="str">
            <v>MT</v>
          </cell>
          <cell r="F33">
            <v>46310</v>
          </cell>
          <cell r="G33">
            <v>903</v>
          </cell>
          <cell r="I33" t="str">
            <v>Comprou Marcas</v>
          </cell>
        </row>
        <row r="34">
          <cell r="A34">
            <v>28800059000426</v>
          </cell>
          <cell r="B34" t="str">
            <v>SZOCHALEWICZ, VALESSI &amp; CIA</v>
          </cell>
          <cell r="C34" t="str">
            <v>INDEPENDENTES VIN</v>
          </cell>
          <cell r="D34" t="str">
            <v>CAMPO GRANDE</v>
          </cell>
          <cell r="E34" t="str">
            <v>MS</v>
          </cell>
          <cell r="F34">
            <v>46315</v>
          </cell>
          <cell r="G34">
            <v>1407.6499999999996</v>
          </cell>
          <cell r="H34">
            <v>3734.4599999999996</v>
          </cell>
          <cell r="I34" t="str">
            <v>Comprou Marcas e SG</v>
          </cell>
        </row>
        <row r="35">
          <cell r="A35">
            <v>52950355000145</v>
          </cell>
          <cell r="B35" t="str">
            <v>SUPREMA FARMA SORRISO</v>
          </cell>
          <cell r="C35" t="str">
            <v>COMPRE BEM</v>
          </cell>
          <cell r="D35" t="str">
            <v>SORRISO</v>
          </cell>
          <cell r="E35" t="str">
            <v>MT</v>
          </cell>
          <cell r="F35">
            <v>46303</v>
          </cell>
          <cell r="G35">
            <v>439.1</v>
          </cell>
          <cell r="I35" t="str">
            <v>Comprou Marcas</v>
          </cell>
        </row>
        <row r="36">
          <cell r="A36">
            <v>52950355000226</v>
          </cell>
          <cell r="B36" t="str">
            <v>SUPREMA FARMA SORRISO</v>
          </cell>
          <cell r="C36" t="str">
            <v>COMPRE BEM</v>
          </cell>
          <cell r="D36" t="str">
            <v>SORRISO</v>
          </cell>
          <cell r="E36" t="str">
            <v>MT</v>
          </cell>
          <cell r="I36" t="str">
            <v>Não Comprou</v>
          </cell>
        </row>
        <row r="37">
          <cell r="A37">
            <v>11190148000152</v>
          </cell>
          <cell r="B37" t="str">
            <v>SUPER PRECO POPULAR</v>
          </cell>
          <cell r="C37" t="str">
            <v>HIPER SAUDE</v>
          </cell>
          <cell r="D37" t="str">
            <v>LUCAS DO RIO VERDE</v>
          </cell>
          <cell r="E37" t="str">
            <v>MT</v>
          </cell>
          <cell r="F37">
            <v>46315</v>
          </cell>
          <cell r="G37">
            <v>5951.5599999999977</v>
          </cell>
          <cell r="I37" t="str">
            <v>Comprou Marcas</v>
          </cell>
        </row>
        <row r="38">
          <cell r="A38">
            <v>11190148000233</v>
          </cell>
          <cell r="B38" t="str">
            <v>SUPER PRECO POPULAR</v>
          </cell>
          <cell r="C38" t="str">
            <v>HIPER SAUDE</v>
          </cell>
          <cell r="D38" t="str">
            <v>LUCAS DO RIO VERDE</v>
          </cell>
          <cell r="E38" t="str">
            <v>MT</v>
          </cell>
          <cell r="F38">
            <v>46315</v>
          </cell>
          <cell r="G38">
            <v>3714.02</v>
          </cell>
          <cell r="I38" t="str">
            <v>Comprou Marcas</v>
          </cell>
        </row>
        <row r="39">
          <cell r="A39">
            <v>2222873000174</v>
          </cell>
          <cell r="B39" t="str">
            <v>SUPER POPULAR</v>
          </cell>
          <cell r="C39" t="str">
            <v>MASTERFARMA</v>
          </cell>
          <cell r="D39" t="str">
            <v>BRASILANDIA</v>
          </cell>
          <cell r="E39" t="str">
            <v>MS</v>
          </cell>
          <cell r="F39">
            <v>46310</v>
          </cell>
          <cell r="G39">
            <v>291.87</v>
          </cell>
          <cell r="I39" t="str">
            <v>Comprou Marcas</v>
          </cell>
        </row>
        <row r="40">
          <cell r="A40">
            <v>29576260000191</v>
          </cell>
          <cell r="B40" t="str">
            <v>SLC DROGARIA - EIRELLI</v>
          </cell>
          <cell r="C40" t="str">
            <v>INDEPENDENTES VIN</v>
          </cell>
          <cell r="D40" t="str">
            <v>CAMPO GRANDE</v>
          </cell>
          <cell r="E40" t="str">
            <v>MS</v>
          </cell>
          <cell r="I40" t="str">
            <v>Não Comprou</v>
          </cell>
        </row>
        <row r="41">
          <cell r="A41">
            <v>65824591000167</v>
          </cell>
          <cell r="B41" t="str">
            <v>SEVEN PHARMA</v>
          </cell>
          <cell r="C41" t="str">
            <v>DSG FARMA</v>
          </cell>
          <cell r="D41" t="str">
            <v>MARTINOPOLIS</v>
          </cell>
          <cell r="E41" t="str">
            <v>SP</v>
          </cell>
          <cell r="F41">
            <v>46301</v>
          </cell>
          <cell r="G41">
            <v>1503.71</v>
          </cell>
          <cell r="I41" t="str">
            <v>Comprou Marcas</v>
          </cell>
        </row>
        <row r="42">
          <cell r="A42">
            <v>54297138000123</v>
          </cell>
          <cell r="B42" t="str">
            <v>SCALLA PRODUTOS MEDICOS E HOSPITALARES</v>
          </cell>
          <cell r="C42" t="str">
            <v>INDEPENDENTES VIN</v>
          </cell>
          <cell r="D42" t="str">
            <v>CAMPO GRANDE</v>
          </cell>
          <cell r="E42" t="str">
            <v>MS</v>
          </cell>
          <cell r="F42">
            <v>46303</v>
          </cell>
          <cell r="G42">
            <v>335.71000000000004</v>
          </cell>
          <cell r="I42" t="str">
            <v>Comprou Marcas</v>
          </cell>
        </row>
        <row r="43">
          <cell r="A43">
            <v>3480787000124</v>
          </cell>
          <cell r="B43" t="str">
            <v>SAO JOSE I</v>
          </cell>
          <cell r="C43" t="str">
            <v>INDEPENDENTES VIN</v>
          </cell>
          <cell r="D43" t="str">
            <v>APARECIDA DO TABOADO</v>
          </cell>
          <cell r="E43" t="str">
            <v>MS</v>
          </cell>
          <cell r="I43" t="str">
            <v>Não Comprou</v>
          </cell>
        </row>
        <row r="44">
          <cell r="A44">
            <v>48143588000169</v>
          </cell>
          <cell r="B44" t="str">
            <v>RM FARMA RONDONOPOLIS</v>
          </cell>
          <cell r="C44" t="str">
            <v>HIPER SAUDE</v>
          </cell>
          <cell r="D44" t="str">
            <v>RONDONOPOLIS</v>
          </cell>
          <cell r="E44" t="str">
            <v>MT</v>
          </cell>
          <cell r="F44">
            <v>46304</v>
          </cell>
          <cell r="G44">
            <v>3881.4799999999996</v>
          </cell>
          <cell r="H44">
            <v>2027.19</v>
          </cell>
          <cell r="I44" t="str">
            <v>Comprou Marcas e SG</v>
          </cell>
        </row>
        <row r="45">
          <cell r="A45">
            <v>26034403000145</v>
          </cell>
          <cell r="B45" t="str">
            <v>REDES DROGARIAS ECONOMICAS</v>
          </cell>
          <cell r="C45" t="str">
            <v>MASTERFARMA</v>
          </cell>
          <cell r="D45" t="str">
            <v>CUIABA</v>
          </cell>
          <cell r="E45" t="str">
            <v>MT</v>
          </cell>
          <cell r="F45">
            <v>46303</v>
          </cell>
          <cell r="G45">
            <v>137.85</v>
          </cell>
          <cell r="I45" t="str">
            <v>Comprou Marcas</v>
          </cell>
        </row>
        <row r="46">
          <cell r="A46">
            <v>40727407000130</v>
          </cell>
          <cell r="B46" t="str">
            <v>REDE POPULAR DROGA10</v>
          </cell>
          <cell r="C46" t="str">
            <v>DROGA 10</v>
          </cell>
          <cell r="D46" t="str">
            <v>CAMPO GRANDE</v>
          </cell>
          <cell r="E46" t="str">
            <v>MS</v>
          </cell>
          <cell r="F46">
            <v>46309</v>
          </cell>
          <cell r="G46">
            <v>1837.5400000000004</v>
          </cell>
          <cell r="I46" t="str">
            <v>Comprou Marcas</v>
          </cell>
        </row>
        <row r="47">
          <cell r="A47">
            <v>51041632000134</v>
          </cell>
          <cell r="B47" t="str">
            <v>REDE MASTER FARMA</v>
          </cell>
          <cell r="C47" t="str">
            <v>MASTERFARMA</v>
          </cell>
          <cell r="D47" t="str">
            <v>CUIABA</v>
          </cell>
          <cell r="E47" t="str">
            <v>MT</v>
          </cell>
          <cell r="I47" t="str">
            <v>Não Comprou</v>
          </cell>
        </row>
        <row r="48">
          <cell r="A48">
            <v>4201690000106</v>
          </cell>
          <cell r="B48" t="str">
            <v>REDE MARIA S - FARMACIA GLOBO</v>
          </cell>
          <cell r="C48" t="str">
            <v>INDEPENDENTES VIN</v>
          </cell>
          <cell r="D48" t="str">
            <v>SINOP</v>
          </cell>
          <cell r="E48" t="str">
            <v>MT</v>
          </cell>
          <cell r="I48" t="str">
            <v>Não Comprou</v>
          </cell>
        </row>
        <row r="49">
          <cell r="A49">
            <v>8087667000185</v>
          </cell>
          <cell r="B49" t="str">
            <v>REDE DE FARMACIAS ECONOMIZAR</v>
          </cell>
          <cell r="C49" t="str">
            <v>ASSOCIADAS</v>
          </cell>
          <cell r="D49" t="str">
            <v>PEIXOTO DE AZEVEDO</v>
          </cell>
          <cell r="E49" t="str">
            <v>MT</v>
          </cell>
          <cell r="F49">
            <v>46316</v>
          </cell>
          <cell r="G49">
            <v>4182.0600000000004</v>
          </cell>
          <cell r="I49" t="str">
            <v>Comprou Marcas</v>
          </cell>
        </row>
        <row r="50">
          <cell r="A50">
            <v>8087667000266</v>
          </cell>
          <cell r="B50" t="str">
            <v>REDE DE FARMACIAS ECONOMIZAR</v>
          </cell>
          <cell r="C50" t="str">
            <v>ASSOCIADAS</v>
          </cell>
          <cell r="D50" t="str">
            <v>GUARANTA DO NORTE</v>
          </cell>
          <cell r="E50" t="str">
            <v>MT</v>
          </cell>
          <cell r="F50">
            <v>46316</v>
          </cell>
          <cell r="G50">
            <v>8259.91</v>
          </cell>
          <cell r="I50" t="str">
            <v>Comprou Marcas</v>
          </cell>
        </row>
        <row r="51">
          <cell r="A51">
            <v>8087667000347</v>
          </cell>
          <cell r="B51" t="str">
            <v>REDE DE FARMACIAS ECONOMIZAR</v>
          </cell>
          <cell r="C51" t="str">
            <v>ASSOCIADAS</v>
          </cell>
          <cell r="D51" t="str">
            <v>PEIXOTO DE AZEVEDO</v>
          </cell>
          <cell r="E51" t="str">
            <v>MT</v>
          </cell>
          <cell r="F51">
            <v>46316</v>
          </cell>
          <cell r="G51">
            <v>4655.7999999999993</v>
          </cell>
          <cell r="I51" t="str">
            <v>Comprou Marcas</v>
          </cell>
        </row>
        <row r="52">
          <cell r="A52">
            <v>8087667000428</v>
          </cell>
          <cell r="B52" t="str">
            <v>REDE DE FARMACIAS ECONOMIZAR</v>
          </cell>
          <cell r="C52" t="str">
            <v>ASSOCIADAS</v>
          </cell>
          <cell r="D52" t="str">
            <v>ALTA FLORESTA</v>
          </cell>
          <cell r="E52" t="str">
            <v>MT</v>
          </cell>
          <cell r="F52">
            <v>46316</v>
          </cell>
          <cell r="G52">
            <v>2917.78</v>
          </cell>
          <cell r="I52" t="str">
            <v>Comprou Marcas</v>
          </cell>
        </row>
        <row r="53">
          <cell r="A53">
            <v>8087667000509</v>
          </cell>
          <cell r="B53" t="str">
            <v>REDE DE FARMACIAS ECONOMIZAR</v>
          </cell>
          <cell r="C53" t="str">
            <v>ASSOCIADAS</v>
          </cell>
          <cell r="D53" t="str">
            <v>SINOP</v>
          </cell>
          <cell r="E53" t="str">
            <v>MT</v>
          </cell>
          <cell r="F53">
            <v>46316</v>
          </cell>
          <cell r="G53">
            <v>7009.68</v>
          </cell>
          <cell r="I53" t="str">
            <v>Comprou Marcas</v>
          </cell>
        </row>
        <row r="54">
          <cell r="A54">
            <v>8087667000690</v>
          </cell>
          <cell r="B54" t="str">
            <v>REDE DE FARMACIAS ECONOMIZAR</v>
          </cell>
          <cell r="C54" t="str">
            <v>ASSOCIADAS</v>
          </cell>
          <cell r="D54" t="str">
            <v>SINOP</v>
          </cell>
          <cell r="E54" t="str">
            <v>MT</v>
          </cell>
          <cell r="F54">
            <v>46316</v>
          </cell>
          <cell r="G54">
            <v>8386.06</v>
          </cell>
          <cell r="I54" t="str">
            <v>Comprou Marcas</v>
          </cell>
        </row>
        <row r="55">
          <cell r="A55">
            <v>8087667000770</v>
          </cell>
          <cell r="B55" t="str">
            <v>REDE DE FARMACIAS ECONOMIZAR</v>
          </cell>
          <cell r="C55" t="str">
            <v>ASSOCIADAS</v>
          </cell>
          <cell r="D55" t="str">
            <v>SINOP</v>
          </cell>
          <cell r="E55" t="str">
            <v>MT</v>
          </cell>
          <cell r="F55">
            <v>46315</v>
          </cell>
          <cell r="G55">
            <v>2719.7899999999995</v>
          </cell>
          <cell r="I55" t="str">
            <v>Comprou Marcas</v>
          </cell>
        </row>
        <row r="56">
          <cell r="A56">
            <v>8087667000851</v>
          </cell>
          <cell r="B56" t="str">
            <v>REDE DE FARMACIAS ECONOMIZAR</v>
          </cell>
          <cell r="C56" t="str">
            <v>ASSOCIADAS</v>
          </cell>
          <cell r="D56" t="str">
            <v>COLIDER</v>
          </cell>
          <cell r="E56" t="str">
            <v>MT</v>
          </cell>
          <cell r="F56">
            <v>46316</v>
          </cell>
          <cell r="G56">
            <v>3583.9199999999996</v>
          </cell>
          <cell r="I56" t="str">
            <v>Comprou Marcas</v>
          </cell>
        </row>
        <row r="57">
          <cell r="A57">
            <v>8087667000932</v>
          </cell>
          <cell r="B57" t="str">
            <v>REDE DE FARMACIAS ECONOMIZAR</v>
          </cell>
          <cell r="C57" t="str">
            <v>ASSOCIADAS</v>
          </cell>
          <cell r="D57" t="str">
            <v>SINOP</v>
          </cell>
          <cell r="E57" t="str">
            <v>MT</v>
          </cell>
          <cell r="F57">
            <v>46316</v>
          </cell>
          <cell r="G57">
            <v>9380.8299999999981</v>
          </cell>
          <cell r="I57" t="str">
            <v>Comprou Marcas</v>
          </cell>
        </row>
        <row r="58">
          <cell r="A58">
            <v>8087667001076</v>
          </cell>
          <cell r="B58" t="str">
            <v>REDE DE FARMACIAS ECONOMIZAR</v>
          </cell>
          <cell r="C58" t="str">
            <v>ASSOCIADAS</v>
          </cell>
          <cell r="D58" t="str">
            <v>COLIDER</v>
          </cell>
          <cell r="E58" t="str">
            <v>MT</v>
          </cell>
          <cell r="F58">
            <v>46316</v>
          </cell>
          <cell r="G58">
            <v>3725.0200000000013</v>
          </cell>
          <cell r="I58" t="str">
            <v>Comprou Marcas</v>
          </cell>
        </row>
        <row r="59">
          <cell r="A59">
            <v>8087667001157</v>
          </cell>
          <cell r="B59" t="str">
            <v>REDE DE FARMACIAS ECONOMIZAR</v>
          </cell>
          <cell r="C59" t="str">
            <v>INDEPENDENTES VIN</v>
          </cell>
          <cell r="D59" t="str">
            <v>MATUPA</v>
          </cell>
          <cell r="E59" t="str">
            <v>MT</v>
          </cell>
          <cell r="F59">
            <v>46316</v>
          </cell>
          <cell r="G59">
            <v>5519.24</v>
          </cell>
          <cell r="I59" t="str">
            <v>Comprou Marcas</v>
          </cell>
        </row>
        <row r="60">
          <cell r="A60">
            <v>48798235000105</v>
          </cell>
          <cell r="B60" t="str">
            <v>REDE ANAFARMA - UNIDADE PRESIDENTE</v>
          </cell>
          <cell r="C60" t="str">
            <v>MULTIDROGAS</v>
          </cell>
          <cell r="D60" t="str">
            <v>PRESIDENTE PRUDENTE</v>
          </cell>
          <cell r="E60" t="str">
            <v>SP</v>
          </cell>
          <cell r="I60" t="str">
            <v>Não Comprou</v>
          </cell>
        </row>
        <row r="61">
          <cell r="A61">
            <v>14178866000100</v>
          </cell>
          <cell r="B61" t="str">
            <v>REAL FARMA</v>
          </cell>
          <cell r="C61" t="str">
            <v>INDEPENDENTES VIN</v>
          </cell>
          <cell r="D61" t="str">
            <v>TEODORO SAMPAIO</v>
          </cell>
          <cell r="E61" t="str">
            <v>SP</v>
          </cell>
          <cell r="I61" t="str">
            <v>Não Comprou</v>
          </cell>
        </row>
        <row r="62">
          <cell r="A62">
            <v>1878521000109</v>
          </cell>
          <cell r="B62" t="str">
            <v>QUEIROZ E SANTOS</v>
          </cell>
          <cell r="C62" t="str">
            <v>INDEPENDENTES VIN</v>
          </cell>
          <cell r="D62" t="str">
            <v>RIBAS DO RIO PARDO</v>
          </cell>
          <cell r="E62" t="str">
            <v>MS</v>
          </cell>
          <cell r="F62">
            <v>46308</v>
          </cell>
          <cell r="G62">
            <v>671.55000000000007</v>
          </cell>
          <cell r="I62" t="str">
            <v>Comprou Marcas</v>
          </cell>
        </row>
        <row r="63">
          <cell r="A63">
            <v>5255309000146</v>
          </cell>
          <cell r="B63" t="str">
            <v>PRUDEN MEDICAMENTOS</v>
          </cell>
          <cell r="C63" t="str">
            <v>MASTERFARMA</v>
          </cell>
          <cell r="D63" t="str">
            <v>BATAGUASSU</v>
          </cell>
          <cell r="E63" t="str">
            <v>MS</v>
          </cell>
          <cell r="F63">
            <v>46316</v>
          </cell>
          <cell r="G63">
            <v>1064.0500000000002</v>
          </cell>
          <cell r="I63" t="str">
            <v>Comprou Marcas</v>
          </cell>
        </row>
        <row r="64">
          <cell r="A64">
            <v>62145174000108</v>
          </cell>
          <cell r="B64" t="str">
            <v>PRIME FARMA</v>
          </cell>
          <cell r="C64" t="str">
            <v>INDEPENDENTES VIN</v>
          </cell>
          <cell r="D64" t="str">
            <v>PRIMAVERA DO LESTE</v>
          </cell>
          <cell r="E64" t="str">
            <v>MT</v>
          </cell>
          <cell r="I64" t="str">
            <v>Não Comprou</v>
          </cell>
        </row>
        <row r="65">
          <cell r="A65">
            <v>23288222000157</v>
          </cell>
          <cell r="B65" t="str">
            <v>PREVI SAUDE</v>
          </cell>
          <cell r="C65" t="str">
            <v>ASSOCIADAS</v>
          </cell>
          <cell r="D65" t="str">
            <v>VARZEA GRANDE</v>
          </cell>
          <cell r="E65" t="str">
            <v>MT</v>
          </cell>
          <cell r="I65" t="str">
            <v>Não Comprou</v>
          </cell>
        </row>
        <row r="66">
          <cell r="A66">
            <v>17684597000133</v>
          </cell>
          <cell r="B66" t="str">
            <v>PRAMYM DROGARIAS</v>
          </cell>
          <cell r="C66" t="str">
            <v>ASSOCIADAS</v>
          </cell>
          <cell r="D66" t="str">
            <v>CUIABA</v>
          </cell>
          <cell r="E66" t="str">
            <v>MT</v>
          </cell>
          <cell r="F66">
            <v>46303</v>
          </cell>
          <cell r="G66">
            <v>3393.68</v>
          </cell>
          <cell r="I66" t="str">
            <v>Comprou Marcas</v>
          </cell>
        </row>
        <row r="67">
          <cell r="A67">
            <v>17684597000214</v>
          </cell>
          <cell r="B67" t="str">
            <v>PRAMYM DROGARIAS</v>
          </cell>
          <cell r="C67" t="str">
            <v>ASSOCIADAS</v>
          </cell>
          <cell r="D67" t="str">
            <v>CUIABA</v>
          </cell>
          <cell r="E67" t="str">
            <v>MT</v>
          </cell>
          <cell r="F67">
            <v>46303</v>
          </cell>
          <cell r="G67">
            <v>1584.6599999999999</v>
          </cell>
          <cell r="I67" t="str">
            <v>Comprou Marcas</v>
          </cell>
        </row>
        <row r="68">
          <cell r="A68">
            <v>39834323000116</v>
          </cell>
          <cell r="B68" t="str">
            <v>POUPE MAIS FARMA</v>
          </cell>
          <cell r="C68" t="str">
            <v>GRUPO MELHOR COMPRA</v>
          </cell>
          <cell r="D68" t="str">
            <v>SANTA RITA DO PARDO</v>
          </cell>
          <cell r="E68" t="str">
            <v>MS</v>
          </cell>
          <cell r="I68" t="str">
            <v>Não Comprou</v>
          </cell>
        </row>
        <row r="69">
          <cell r="A69">
            <v>9447656000121</v>
          </cell>
          <cell r="B69" t="str">
            <v>POSTO DE MEDICAMENTOS NIAGARA</v>
          </cell>
          <cell r="C69" t="str">
            <v>ASSOCIADAS</v>
          </cell>
          <cell r="D69" t="str">
            <v>SAO JOSE DO POVO</v>
          </cell>
          <cell r="E69" t="str">
            <v>MT</v>
          </cell>
          <cell r="F69">
            <v>46310</v>
          </cell>
          <cell r="G69">
            <v>137.85</v>
          </cell>
          <cell r="I69" t="str">
            <v>Comprou Marcas</v>
          </cell>
        </row>
        <row r="70">
          <cell r="A70">
            <v>29606556000108</v>
          </cell>
          <cell r="B70" t="str">
            <v>POPULAR FARMA</v>
          </cell>
          <cell r="C70" t="str">
            <v>INDEPENDENTES VIN</v>
          </cell>
          <cell r="D70" t="str">
            <v>SINOP</v>
          </cell>
          <cell r="E70" t="str">
            <v>MT</v>
          </cell>
          <cell r="F70">
            <v>46303</v>
          </cell>
          <cell r="G70">
            <v>546.78</v>
          </cell>
          <cell r="I70" t="str">
            <v>Comprou Marcas</v>
          </cell>
        </row>
        <row r="71">
          <cell r="A71">
            <v>43857147000105</v>
          </cell>
          <cell r="B71" t="str">
            <v>POP CENTER POPULAR</v>
          </cell>
          <cell r="C71" t="str">
            <v>MASTERFARMA</v>
          </cell>
          <cell r="D71" t="str">
            <v>NOVA XAVANTINA</v>
          </cell>
          <cell r="E71" t="str">
            <v>MT</v>
          </cell>
          <cell r="I71" t="str">
            <v>Não Comprou</v>
          </cell>
        </row>
        <row r="72">
          <cell r="A72">
            <v>60042541000104</v>
          </cell>
          <cell r="B72" t="str">
            <v>PHARMA VIDA III</v>
          </cell>
          <cell r="C72" t="str">
            <v>INDEPENDENTES VIN</v>
          </cell>
          <cell r="D72" t="str">
            <v>TRES LAGOAS</v>
          </cell>
          <cell r="E72" t="str">
            <v>MS</v>
          </cell>
          <cell r="F72">
            <v>46316</v>
          </cell>
          <cell r="G72">
            <v>905.07</v>
          </cell>
          <cell r="I72" t="str">
            <v>Comprou Marcas</v>
          </cell>
        </row>
        <row r="73">
          <cell r="A73">
            <v>21483918000109</v>
          </cell>
          <cell r="B73" t="str">
            <v>PHARMA SINOP</v>
          </cell>
          <cell r="C73" t="str">
            <v>REDE BEM DROGARIAS</v>
          </cell>
          <cell r="D73" t="str">
            <v>SINOP</v>
          </cell>
          <cell r="E73" t="str">
            <v>MT</v>
          </cell>
          <cell r="I73" t="str">
            <v>Não Comprou</v>
          </cell>
        </row>
        <row r="74">
          <cell r="A74">
            <v>56129324000189</v>
          </cell>
          <cell r="B74" t="str">
            <v>PFR COMERCIO DE MEDICAMENTOS E PERFUMARIA</v>
          </cell>
          <cell r="C74" t="str">
            <v>INDEPENDENTES VIN</v>
          </cell>
          <cell r="D74" t="str">
            <v>CAMPO GRANDE</v>
          </cell>
          <cell r="E74" t="str">
            <v>MS</v>
          </cell>
          <cell r="I74" t="str">
            <v>Não Comprou</v>
          </cell>
        </row>
        <row r="75">
          <cell r="A75">
            <v>62210039000190</v>
          </cell>
          <cell r="B75" t="str">
            <v>PERRONI FARMA</v>
          </cell>
          <cell r="C75" t="str">
            <v>INDEPENDENTES VIN</v>
          </cell>
          <cell r="D75" t="str">
            <v>INOCENCIA</v>
          </cell>
          <cell r="E75" t="str">
            <v>MS</v>
          </cell>
          <cell r="I75" t="str">
            <v>Não Comprou</v>
          </cell>
        </row>
        <row r="76">
          <cell r="A76">
            <v>46237162000149</v>
          </cell>
          <cell r="B76" t="str">
            <v>PANTANAL COMERCIO DE MEDICAMENTOS</v>
          </cell>
          <cell r="C76" t="str">
            <v>MASTERFARMA</v>
          </cell>
          <cell r="D76" t="str">
            <v>CAMPO GRANDE</v>
          </cell>
          <cell r="E76" t="str">
            <v>MS</v>
          </cell>
          <cell r="F76">
            <v>46310</v>
          </cell>
          <cell r="G76">
            <v>793.83000000000015</v>
          </cell>
          <cell r="I76" t="str">
            <v>Comprou Marcas</v>
          </cell>
        </row>
        <row r="77">
          <cell r="A77">
            <v>12026397000170</v>
          </cell>
          <cell r="B77" t="str">
            <v>OLIVEIRA FARMA</v>
          </cell>
          <cell r="C77" t="str">
            <v>ASSOCIADAS</v>
          </cell>
          <cell r="D77" t="str">
            <v>CAMPO GRANDE</v>
          </cell>
          <cell r="E77" t="str">
            <v>MS</v>
          </cell>
          <cell r="I77" t="str">
            <v>Não Comprou</v>
          </cell>
        </row>
        <row r="78">
          <cell r="A78">
            <v>23566528000128</v>
          </cell>
          <cell r="B78" t="str">
            <v>NOVA PHARMA</v>
          </cell>
          <cell r="C78" t="str">
            <v>MASTERFARMA</v>
          </cell>
          <cell r="D78" t="str">
            <v>IVINHEMA</v>
          </cell>
          <cell r="E78" t="str">
            <v>MS</v>
          </cell>
          <cell r="I78" t="str">
            <v>Não Comprou</v>
          </cell>
        </row>
        <row r="79">
          <cell r="A79">
            <v>35447691000150</v>
          </cell>
          <cell r="B79" t="str">
            <v>NOVA FARMA</v>
          </cell>
          <cell r="C79" t="str">
            <v>INDEPENDENTES VIN</v>
          </cell>
          <cell r="D79" t="str">
            <v>TANGARA DA SERRA</v>
          </cell>
          <cell r="E79" t="str">
            <v>MT</v>
          </cell>
          <cell r="F79">
            <v>46303</v>
          </cell>
          <cell r="G79">
            <v>883.64999999999986</v>
          </cell>
          <cell r="I79" t="str">
            <v>Comprou Marcas</v>
          </cell>
        </row>
        <row r="80">
          <cell r="A80">
            <v>51996536000140</v>
          </cell>
          <cell r="B80" t="str">
            <v>NERES &amp; NERES LTDA ME</v>
          </cell>
          <cell r="C80" t="str">
            <v>INDEPENDENTES VIN</v>
          </cell>
          <cell r="D80" t="str">
            <v>ARACATUBA</v>
          </cell>
          <cell r="E80" t="str">
            <v>SP</v>
          </cell>
          <cell r="F80">
            <v>46297</v>
          </cell>
          <cell r="G80">
            <v>309.18</v>
          </cell>
          <cell r="I80" t="str">
            <v>Comprou Marcas</v>
          </cell>
        </row>
        <row r="81">
          <cell r="A81">
            <v>59454115000107</v>
          </cell>
          <cell r="B81" t="str">
            <v>NEOFARMA POPULAR</v>
          </cell>
          <cell r="C81" t="str">
            <v>ASSOCIADAS</v>
          </cell>
          <cell r="D81" t="str">
            <v>PRIMAVERA DO LESTE</v>
          </cell>
          <cell r="E81" t="str">
            <v>MT</v>
          </cell>
          <cell r="I81" t="str">
            <v>Não Comprou</v>
          </cell>
        </row>
        <row r="82">
          <cell r="A82">
            <v>13435712000185</v>
          </cell>
          <cell r="B82" t="str">
            <v>NEI DROGAS II</v>
          </cell>
          <cell r="C82" t="str">
            <v>COMPRE BEM</v>
          </cell>
          <cell r="D82" t="str">
            <v>JUARA</v>
          </cell>
          <cell r="E82" t="str">
            <v>MT</v>
          </cell>
          <cell r="F82">
            <v>46316</v>
          </cell>
          <cell r="G82">
            <v>15729.539999999999</v>
          </cell>
          <cell r="I82" t="str">
            <v>Comprou Marcas</v>
          </cell>
        </row>
        <row r="83">
          <cell r="A83">
            <v>21082444000274</v>
          </cell>
          <cell r="B83" t="str">
            <v>NAYARA F. S. BRITTO</v>
          </cell>
          <cell r="C83" t="str">
            <v>ASSOCIADAS</v>
          </cell>
          <cell r="D83" t="str">
            <v>AQUIDAUANA</v>
          </cell>
          <cell r="E83" t="str">
            <v>MS</v>
          </cell>
          <cell r="F83">
            <v>46308</v>
          </cell>
          <cell r="G83">
            <v>462.22</v>
          </cell>
          <cell r="I83" t="str">
            <v>Comprou Marcas</v>
          </cell>
        </row>
        <row r="84">
          <cell r="A84">
            <v>17241854000162</v>
          </cell>
          <cell r="B84" t="str">
            <v>NAIARA BELON DE ALBUQUERQUE CARNIATO - DROGARIA</v>
          </cell>
          <cell r="C84" t="str">
            <v>FARMAIS</v>
          </cell>
          <cell r="D84" t="str">
            <v>SANTO ANASTACIO</v>
          </cell>
          <cell r="E84" t="str">
            <v>SP</v>
          </cell>
          <cell r="F84">
            <v>46316</v>
          </cell>
          <cell r="G84">
            <v>11180.09</v>
          </cell>
          <cell r="H84">
            <v>16455.480000000003</v>
          </cell>
          <cell r="I84" t="str">
            <v>Comprou Marcas e SG</v>
          </cell>
        </row>
        <row r="85">
          <cell r="A85">
            <v>23088454000161</v>
          </cell>
          <cell r="B85" t="str">
            <v>MULTI+FARMA</v>
          </cell>
          <cell r="C85" t="str">
            <v>ASSOCIADAS</v>
          </cell>
          <cell r="D85" t="str">
            <v>QUERENCIA</v>
          </cell>
          <cell r="E85" t="str">
            <v>MT</v>
          </cell>
          <cell r="F85">
            <v>46310</v>
          </cell>
          <cell r="G85">
            <v>871.99</v>
          </cell>
          <cell r="I85" t="str">
            <v>Comprou Marcas</v>
          </cell>
        </row>
        <row r="86">
          <cell r="A86">
            <v>10680159000158</v>
          </cell>
          <cell r="B86" t="str">
            <v>MULTI FARMA</v>
          </cell>
          <cell r="C86" t="str">
            <v>ASSOCIADAS</v>
          </cell>
          <cell r="D86" t="str">
            <v>DEODAPOLIS</v>
          </cell>
          <cell r="E86" t="str">
            <v>MS</v>
          </cell>
          <cell r="F86">
            <v>46310</v>
          </cell>
          <cell r="G86">
            <v>6413.1699999999992</v>
          </cell>
          <cell r="I86" t="str">
            <v>Comprou Marcas</v>
          </cell>
        </row>
        <row r="87">
          <cell r="A87">
            <v>31230095000163</v>
          </cell>
          <cell r="B87" t="str">
            <v>MS PHARMA</v>
          </cell>
          <cell r="C87" t="str">
            <v>INDEPENDENTES VIN</v>
          </cell>
          <cell r="D87" t="str">
            <v>COSTA RICA</v>
          </cell>
          <cell r="E87" t="str">
            <v>MS</v>
          </cell>
          <cell r="F87">
            <v>46315</v>
          </cell>
          <cell r="G87">
            <v>2753.63</v>
          </cell>
          <cell r="I87" t="str">
            <v>Comprou Marcas</v>
          </cell>
        </row>
        <row r="88">
          <cell r="A88">
            <v>11740637000130</v>
          </cell>
          <cell r="B88" t="str">
            <v>MOREIRA FARMA</v>
          </cell>
          <cell r="C88" t="str">
            <v>ASFAR FARMACIAS</v>
          </cell>
          <cell r="D88" t="str">
            <v>JUINA</v>
          </cell>
          <cell r="E88" t="str">
            <v>MT</v>
          </cell>
          <cell r="F88">
            <v>46310</v>
          </cell>
          <cell r="G88">
            <v>1402.07</v>
          </cell>
          <cell r="I88" t="str">
            <v>Comprou Marcas</v>
          </cell>
        </row>
        <row r="89">
          <cell r="A89">
            <v>51601157000103</v>
          </cell>
          <cell r="B89" t="str">
            <v>MINAS FARMA CARMINDO</v>
          </cell>
          <cell r="C89" t="str">
            <v>HIPER SAUDE</v>
          </cell>
          <cell r="D89" t="str">
            <v>CUIABA</v>
          </cell>
          <cell r="E89" t="str">
            <v>MT</v>
          </cell>
          <cell r="I89" t="str">
            <v>Não Comprou</v>
          </cell>
        </row>
        <row r="90">
          <cell r="A90">
            <v>12090789000106</v>
          </cell>
          <cell r="B90" t="str">
            <v>MEGA FARMA</v>
          </cell>
          <cell r="C90" t="str">
            <v>INDEPENDENTES VIN</v>
          </cell>
          <cell r="D90" t="str">
            <v>CULTURAMA (FATIMA DO SUL)</v>
          </cell>
          <cell r="E90" t="str">
            <v>MS</v>
          </cell>
          <cell r="I90" t="str">
            <v>Não Comprou</v>
          </cell>
        </row>
        <row r="91">
          <cell r="A91">
            <v>40883240000104</v>
          </cell>
          <cell r="B91" t="str">
            <v>MEGA DESCONTAO FARMA</v>
          </cell>
          <cell r="C91" t="str">
            <v>INDEPENDENTES VIN</v>
          </cell>
          <cell r="D91" t="str">
            <v>SINOP</v>
          </cell>
          <cell r="E91" t="str">
            <v>MT</v>
          </cell>
          <cell r="I91" t="str">
            <v>Não Comprou</v>
          </cell>
        </row>
        <row r="92">
          <cell r="A92">
            <v>63937486000109</v>
          </cell>
          <cell r="B92" t="str">
            <v>MEDEIROS &amp; GALINDO</v>
          </cell>
          <cell r="C92" t="str">
            <v>DROGARIA TOTAL</v>
          </cell>
          <cell r="D92" t="str">
            <v>PRESIDENTE PRUDENTE</v>
          </cell>
          <cell r="E92" t="str">
            <v>SP</v>
          </cell>
          <cell r="F92">
            <v>46314</v>
          </cell>
          <cell r="H92">
            <v>4947.3100000000004</v>
          </cell>
          <cell r="I92" t="str">
            <v>Comprou SG</v>
          </cell>
        </row>
        <row r="93">
          <cell r="A93">
            <v>10440010000100</v>
          </cell>
          <cell r="B93" t="str">
            <v>MAXPHARMA</v>
          </cell>
          <cell r="C93" t="str">
            <v>INDEPENDENTES VIN</v>
          </cell>
          <cell r="D93" t="str">
            <v>SORRISO</v>
          </cell>
          <cell r="E93" t="str">
            <v>MT</v>
          </cell>
          <cell r="I93" t="str">
            <v>Não Comprou</v>
          </cell>
        </row>
        <row r="94">
          <cell r="A94">
            <v>42162995000137</v>
          </cell>
          <cell r="B94" t="str">
            <v>MAXIFARMA POPULAR</v>
          </cell>
          <cell r="C94" t="str">
            <v>ASSOCIADAS</v>
          </cell>
          <cell r="D94" t="str">
            <v>CAMPO GRANDE</v>
          </cell>
          <cell r="E94" t="str">
            <v>MS</v>
          </cell>
          <cell r="F94">
            <v>46304</v>
          </cell>
          <cell r="G94">
            <v>889.92000000000007</v>
          </cell>
          <cell r="I94" t="str">
            <v>Comprou Marcas</v>
          </cell>
        </row>
        <row r="95">
          <cell r="A95">
            <v>27545412000597</v>
          </cell>
          <cell r="B95" t="str">
            <v>MAXI POPULAR SINOP</v>
          </cell>
          <cell r="C95" t="str">
            <v>FARMARCAS</v>
          </cell>
          <cell r="D95" t="str">
            <v>SINOP</v>
          </cell>
          <cell r="E95" t="str">
            <v>MT</v>
          </cell>
          <cell r="F95">
            <v>46316</v>
          </cell>
          <cell r="G95">
            <v>1555.3999999999996</v>
          </cell>
          <cell r="I95" t="str">
            <v>Comprou Marcas</v>
          </cell>
        </row>
        <row r="96">
          <cell r="A96">
            <v>6213559000186</v>
          </cell>
          <cell r="B96" t="str">
            <v>MAX FARMA</v>
          </cell>
          <cell r="C96" t="str">
            <v>REDE SMALLFARMA</v>
          </cell>
          <cell r="D96" t="str">
            <v>PRESIDENTE PRUDENTE</v>
          </cell>
          <cell r="E96" t="str">
            <v>SP</v>
          </cell>
          <cell r="I96" t="str">
            <v>Não Comprou</v>
          </cell>
        </row>
        <row r="97">
          <cell r="A97">
            <v>10309726000164</v>
          </cell>
          <cell r="B97" t="str">
            <v>MAX FARMA</v>
          </cell>
          <cell r="C97" t="str">
            <v>DROGARIA TOTAL</v>
          </cell>
          <cell r="D97" t="str">
            <v>TEODORO SAMPAIO</v>
          </cell>
          <cell r="E97" t="str">
            <v>SP</v>
          </cell>
          <cell r="F97">
            <v>46314</v>
          </cell>
          <cell r="G97">
            <v>45.41</v>
          </cell>
          <cell r="H97">
            <v>6202.24</v>
          </cell>
          <cell r="I97" t="str">
            <v>Comprou Marcas e SG</v>
          </cell>
        </row>
        <row r="98">
          <cell r="A98">
            <v>49182677000187</v>
          </cell>
          <cell r="B98" t="str">
            <v>MAX FARMA</v>
          </cell>
          <cell r="C98" t="str">
            <v>REDE SMALLFARMA</v>
          </cell>
          <cell r="D98" t="str">
            <v>PRESIDENTE PRUDENTE</v>
          </cell>
          <cell r="E98" t="str">
            <v>SP</v>
          </cell>
          <cell r="I98" t="str">
            <v>Não Comprou</v>
          </cell>
        </row>
        <row r="99">
          <cell r="A99">
            <v>3577994000100</v>
          </cell>
          <cell r="B99" t="str">
            <v>MASTER FARMA</v>
          </cell>
          <cell r="C99" t="str">
            <v>MASTERFARMA</v>
          </cell>
          <cell r="D99" t="str">
            <v>MATUPA</v>
          </cell>
          <cell r="E99" t="str">
            <v>MT</v>
          </cell>
          <cell r="F99">
            <v>46311</v>
          </cell>
          <cell r="G99">
            <v>1888.01</v>
          </cell>
          <cell r="I99" t="str">
            <v>Comprou Marcas</v>
          </cell>
        </row>
        <row r="100">
          <cell r="A100">
            <v>1478274000153</v>
          </cell>
          <cell r="B100" t="str">
            <v>MASTER FARMA</v>
          </cell>
          <cell r="C100" t="str">
            <v>MASTERFARMA</v>
          </cell>
          <cell r="D100" t="str">
            <v>CASSILANDIA</v>
          </cell>
          <cell r="E100" t="str">
            <v>MS</v>
          </cell>
          <cell r="I100" t="str">
            <v>Não Comprou</v>
          </cell>
        </row>
        <row r="101">
          <cell r="A101">
            <v>22315443000104</v>
          </cell>
          <cell r="B101" t="str">
            <v>MAIS HIPER POPULAR</v>
          </cell>
          <cell r="C101" t="str">
            <v>HIPER SAUDE</v>
          </cell>
          <cell r="D101" t="str">
            <v>VILA BELA DA SANTISSIMA TRINDADE</v>
          </cell>
          <cell r="E101" t="str">
            <v>MT</v>
          </cell>
          <cell r="F101">
            <v>46303</v>
          </cell>
          <cell r="G101">
            <v>1669.95</v>
          </cell>
          <cell r="I101" t="str">
            <v>Comprou Marcas</v>
          </cell>
        </row>
        <row r="102">
          <cell r="A102">
            <v>53933707000117</v>
          </cell>
          <cell r="B102" t="str">
            <v>MAIS DROGARIA AVENIDA</v>
          </cell>
          <cell r="C102" t="str">
            <v>INDEPENDENTES VIN</v>
          </cell>
          <cell r="D102" t="str">
            <v>NORTELANDIA</v>
          </cell>
          <cell r="E102" t="str">
            <v>MT</v>
          </cell>
          <cell r="I102" t="str">
            <v>Não Comprou</v>
          </cell>
        </row>
        <row r="103">
          <cell r="A103">
            <v>7236140000374</v>
          </cell>
          <cell r="B103" t="str">
            <v>M. G. DROGARIA</v>
          </cell>
          <cell r="C103" t="str">
            <v>FARMA &amp; FARMA</v>
          </cell>
          <cell r="D103" t="str">
            <v>PEIXOTO DE AZEVEDO</v>
          </cell>
          <cell r="E103" t="str">
            <v>MT</v>
          </cell>
          <cell r="F103">
            <v>46304</v>
          </cell>
          <cell r="G103">
            <v>5529.7200000000021</v>
          </cell>
          <cell r="I103" t="str">
            <v>Comprou Marcas</v>
          </cell>
        </row>
        <row r="104">
          <cell r="A104">
            <v>27855189000150</v>
          </cell>
          <cell r="B104" t="str">
            <v>M. A. GIACOMETTI DROGARIA</v>
          </cell>
          <cell r="C104" t="str">
            <v>REDE POUPE AQUI</v>
          </cell>
          <cell r="D104" t="str">
            <v>GUARARAPES</v>
          </cell>
          <cell r="E104" t="str">
            <v>SP</v>
          </cell>
          <cell r="F104">
            <v>46308</v>
          </cell>
          <cell r="H104">
            <v>4730.3999999999996</v>
          </cell>
          <cell r="I104" t="str">
            <v>Comprou SG</v>
          </cell>
        </row>
        <row r="105">
          <cell r="A105">
            <v>19942147000129</v>
          </cell>
          <cell r="B105" t="str">
            <v>M &amp; G DROGARIA</v>
          </cell>
          <cell r="C105" t="str">
            <v>INDEPENDENTES VIN</v>
          </cell>
          <cell r="D105" t="str">
            <v>CASSILANDIA</v>
          </cell>
          <cell r="E105" t="str">
            <v>MS</v>
          </cell>
          <cell r="F105">
            <v>46315</v>
          </cell>
          <cell r="G105">
            <v>314.10000000000002</v>
          </cell>
          <cell r="I105" t="str">
            <v>Comprou Marcas</v>
          </cell>
        </row>
        <row r="106">
          <cell r="A106">
            <v>58694365000143</v>
          </cell>
          <cell r="B106" t="str">
            <v>LIDER FARMA</v>
          </cell>
          <cell r="C106" t="str">
            <v>SISFARMA</v>
          </cell>
          <cell r="D106" t="str">
            <v>ANDRADINA</v>
          </cell>
          <cell r="E106" t="str">
            <v>SP</v>
          </cell>
          <cell r="F106">
            <v>46315</v>
          </cell>
          <cell r="G106">
            <v>1743.8000000000002</v>
          </cell>
          <cell r="H106">
            <v>1253.7</v>
          </cell>
          <cell r="I106" t="str">
            <v>Comprou Marcas e SG</v>
          </cell>
        </row>
        <row r="107">
          <cell r="A107">
            <v>11411195000189</v>
          </cell>
          <cell r="B107" t="str">
            <v>LC COMERCIO DE MED LTDA ME</v>
          </cell>
          <cell r="C107" t="str">
            <v>INDEPENDENTES VIN</v>
          </cell>
          <cell r="D107" t="str">
            <v>CAMPO GRANDE</v>
          </cell>
          <cell r="E107" t="str">
            <v>MS</v>
          </cell>
          <cell r="F107">
            <v>46310</v>
          </cell>
          <cell r="G107">
            <v>1782.69</v>
          </cell>
          <cell r="I107" t="str">
            <v>Comprou Marcas</v>
          </cell>
        </row>
        <row r="108">
          <cell r="A108">
            <v>32666944000199</v>
          </cell>
          <cell r="B108" t="str">
            <v>LARIFARMA</v>
          </cell>
          <cell r="C108" t="str">
            <v>ASSOCIADAS</v>
          </cell>
          <cell r="D108" t="str">
            <v>PONTA PORA</v>
          </cell>
          <cell r="E108" t="str">
            <v>MS</v>
          </cell>
          <cell r="F108">
            <v>46310</v>
          </cell>
          <cell r="G108">
            <v>5734.86</v>
          </cell>
          <cell r="I108" t="str">
            <v>Comprou Marcas</v>
          </cell>
        </row>
        <row r="109">
          <cell r="A109">
            <v>1374296000173</v>
          </cell>
          <cell r="B109" t="str">
            <v>LABOR/FARMACIA ANA JACINTA</v>
          </cell>
          <cell r="C109" t="str">
            <v>BIODROGAS</v>
          </cell>
          <cell r="D109" t="str">
            <v>PRESIDENTE PRUDENTE</v>
          </cell>
          <cell r="E109" t="str">
            <v>SP</v>
          </cell>
          <cell r="F109">
            <v>46314</v>
          </cell>
          <cell r="G109">
            <v>766.36</v>
          </cell>
          <cell r="I109" t="str">
            <v>Comprou Marcas</v>
          </cell>
        </row>
        <row r="110">
          <cell r="A110">
            <v>24415425000200</v>
          </cell>
          <cell r="B110" t="str">
            <v>L. I. MEGA POPULAR</v>
          </cell>
          <cell r="C110" t="str">
            <v>MASTERFARMA</v>
          </cell>
          <cell r="D110" t="str">
            <v>DOURADOS</v>
          </cell>
          <cell r="E110" t="str">
            <v>MS</v>
          </cell>
          <cell r="I110" t="str">
            <v>Não Comprou</v>
          </cell>
        </row>
        <row r="111">
          <cell r="A111">
            <v>64799330000171</v>
          </cell>
          <cell r="B111" t="str">
            <v>JP MEDICAMENTOS E PERFUMARIAS</v>
          </cell>
          <cell r="C111" t="str">
            <v>INDEPENDENTES VIN</v>
          </cell>
          <cell r="D111" t="str">
            <v>CAMPO GRANDE</v>
          </cell>
          <cell r="E111" t="str">
            <v>MS</v>
          </cell>
          <cell r="F111">
            <v>46309</v>
          </cell>
          <cell r="G111">
            <v>589.80000000000007</v>
          </cell>
          <cell r="I111" t="str">
            <v>Comprou Marcas</v>
          </cell>
        </row>
        <row r="112">
          <cell r="A112">
            <v>4252211000172</v>
          </cell>
          <cell r="B112" t="str">
            <v>JOTAFARMA</v>
          </cell>
          <cell r="C112" t="str">
            <v>MASTERFARMA</v>
          </cell>
          <cell r="D112" t="str">
            <v>CANARANA</v>
          </cell>
          <cell r="E112" t="str">
            <v>MT</v>
          </cell>
          <cell r="F112">
            <v>46316</v>
          </cell>
          <cell r="G112">
            <v>1973.65</v>
          </cell>
          <cell r="I112" t="str">
            <v>Comprou Marcas</v>
          </cell>
        </row>
        <row r="113">
          <cell r="A113">
            <v>27717961000178</v>
          </cell>
          <cell r="B113" t="str">
            <v>JAQUINTA &amp; SILVA</v>
          </cell>
          <cell r="C113" t="str">
            <v>ASSOCIADAS</v>
          </cell>
          <cell r="D113" t="str">
            <v>ELDORADO</v>
          </cell>
          <cell r="E113" t="str">
            <v>MS</v>
          </cell>
          <cell r="F113">
            <v>46309</v>
          </cell>
          <cell r="G113">
            <v>4913.0399999999991</v>
          </cell>
          <cell r="I113" t="str">
            <v>Comprou Marcas</v>
          </cell>
        </row>
        <row r="114">
          <cell r="A114">
            <v>46197707000130</v>
          </cell>
          <cell r="B114" t="str">
            <v>J.F MEDICAMENTOS E PERFUMARIA</v>
          </cell>
          <cell r="C114" t="str">
            <v>HIPER SAUDE</v>
          </cell>
          <cell r="D114" t="str">
            <v>VARZEA GRANDE</v>
          </cell>
          <cell r="E114" t="str">
            <v>MT</v>
          </cell>
          <cell r="F114">
            <v>46310</v>
          </cell>
          <cell r="G114">
            <v>137.85</v>
          </cell>
          <cell r="I114" t="str">
            <v>Comprou Marcas</v>
          </cell>
        </row>
        <row r="115">
          <cell r="A115">
            <v>28031224000180</v>
          </cell>
          <cell r="B115" t="str">
            <v>J FARMA POPULAR</v>
          </cell>
          <cell r="C115" t="str">
            <v>MASTERFARMA</v>
          </cell>
          <cell r="D115" t="str">
            <v>BARRA DO GARCAS</v>
          </cell>
          <cell r="E115" t="str">
            <v>MT</v>
          </cell>
          <cell r="F115">
            <v>46311</v>
          </cell>
          <cell r="G115">
            <v>1751.85</v>
          </cell>
          <cell r="I115" t="str">
            <v>Comprou Marcas</v>
          </cell>
        </row>
        <row r="116">
          <cell r="A116">
            <v>52464336000109</v>
          </cell>
          <cell r="B116" t="str">
            <v>IRMAS GONCALVES PENAPOLIS</v>
          </cell>
          <cell r="C116" t="str">
            <v>INDEPENDENTES VIN</v>
          </cell>
          <cell r="D116" t="str">
            <v>PENAPOLIS</v>
          </cell>
          <cell r="E116" t="str">
            <v>SP</v>
          </cell>
          <cell r="F116">
            <v>46301</v>
          </cell>
          <cell r="H116">
            <v>3848</v>
          </cell>
          <cell r="I116" t="str">
            <v>Comprou SG</v>
          </cell>
        </row>
        <row r="117">
          <cell r="A117">
            <v>62668131000107</v>
          </cell>
          <cell r="B117" t="str">
            <v>IPE FARMA</v>
          </cell>
          <cell r="C117" t="str">
            <v>INDEPENDENTES VIN</v>
          </cell>
          <cell r="D117" t="str">
            <v>TRES LAGOAS</v>
          </cell>
          <cell r="E117" t="str">
            <v>MS</v>
          </cell>
          <cell r="I117" t="str">
            <v>Não Comprou</v>
          </cell>
        </row>
        <row r="118">
          <cell r="A118">
            <v>30425108000197</v>
          </cell>
          <cell r="B118" t="str">
            <v>IORI FARMA</v>
          </cell>
          <cell r="C118" t="str">
            <v>INDEPENDENTES VIN</v>
          </cell>
          <cell r="D118" t="str">
            <v>SINOP</v>
          </cell>
          <cell r="E118" t="str">
            <v>MT</v>
          </cell>
          <cell r="I118" t="str">
            <v>Não Comprou</v>
          </cell>
        </row>
        <row r="119">
          <cell r="A119">
            <v>30425108000278</v>
          </cell>
          <cell r="B119" t="str">
            <v>IORI FARMA</v>
          </cell>
          <cell r="C119" t="str">
            <v>INDEPENDENTES VIN</v>
          </cell>
          <cell r="D119" t="str">
            <v>SINOP</v>
          </cell>
          <cell r="E119" t="str">
            <v>MT</v>
          </cell>
          <cell r="I119" t="str">
            <v>Não Comprou</v>
          </cell>
        </row>
        <row r="120">
          <cell r="A120">
            <v>56193995000109</v>
          </cell>
          <cell r="B120" t="str">
            <v>INOVEFARMA</v>
          </cell>
          <cell r="C120" t="str">
            <v>INDEPENDENTES VIN</v>
          </cell>
          <cell r="D120" t="str">
            <v>PEDRO GOMES</v>
          </cell>
          <cell r="E120" t="str">
            <v>MS</v>
          </cell>
          <cell r="I120" t="str">
            <v>Não Comprou</v>
          </cell>
        </row>
        <row r="121">
          <cell r="A121">
            <v>27127481000157</v>
          </cell>
          <cell r="B121" t="str">
            <v>INOVA FARMA</v>
          </cell>
          <cell r="C121" t="str">
            <v>INDEPENDENTES VIN</v>
          </cell>
          <cell r="D121" t="str">
            <v>TANGARA DA SERRA</v>
          </cell>
          <cell r="E121" t="str">
            <v>MT</v>
          </cell>
          <cell r="F121">
            <v>46303</v>
          </cell>
          <cell r="G121">
            <v>679.21</v>
          </cell>
          <cell r="I121" t="str">
            <v>Comprou Marcas</v>
          </cell>
        </row>
        <row r="122">
          <cell r="A122">
            <v>29041586000114</v>
          </cell>
          <cell r="B122" t="str">
            <v>IDEAL FARMA</v>
          </cell>
          <cell r="C122" t="str">
            <v>INDEPENDENTES VIN</v>
          </cell>
          <cell r="D122" t="str">
            <v>TANGARA DA SERRA</v>
          </cell>
          <cell r="E122" t="str">
            <v>MT</v>
          </cell>
          <cell r="I122" t="str">
            <v>Não Comprou</v>
          </cell>
        </row>
        <row r="123">
          <cell r="A123">
            <v>57680804000104</v>
          </cell>
          <cell r="B123" t="str">
            <v>HIPERPOPULAR DROGARIA AF</v>
          </cell>
          <cell r="C123" t="str">
            <v>HIPER SAUDE</v>
          </cell>
          <cell r="D123" t="str">
            <v>ALTA FLORESTA</v>
          </cell>
          <cell r="E123" t="str">
            <v>MT</v>
          </cell>
          <cell r="I123" t="str">
            <v>Não Comprou</v>
          </cell>
        </row>
        <row r="124">
          <cell r="A124">
            <v>64494102000193</v>
          </cell>
          <cell r="B124" t="str">
            <v>HIPER SAUDE</v>
          </cell>
          <cell r="C124" t="str">
            <v>HIPER SAUDE</v>
          </cell>
          <cell r="D124" t="str">
            <v>SINOP</v>
          </cell>
          <cell r="E124" t="str">
            <v>MT</v>
          </cell>
          <cell r="F124">
            <v>46315</v>
          </cell>
          <cell r="G124">
            <v>5958.06</v>
          </cell>
          <cell r="H124">
            <v>1160.27</v>
          </cell>
          <cell r="I124" t="str">
            <v>Comprou Marcas e SG</v>
          </cell>
        </row>
        <row r="125">
          <cell r="A125">
            <v>59535889000154</v>
          </cell>
          <cell r="B125" t="str">
            <v>HIPER SAUDE</v>
          </cell>
          <cell r="C125" t="str">
            <v>HIPER SAUDE</v>
          </cell>
          <cell r="D125" t="str">
            <v>NOVA XAVANTINA</v>
          </cell>
          <cell r="E125" t="str">
            <v>MT</v>
          </cell>
          <cell r="I125" t="str">
            <v>Não Comprou</v>
          </cell>
        </row>
        <row r="126">
          <cell r="A126">
            <v>19825473000318</v>
          </cell>
          <cell r="B126" t="str">
            <v>HIPER POPULAR DROGARIAS</v>
          </cell>
          <cell r="C126" t="str">
            <v>HIPER SAUDE</v>
          </cell>
          <cell r="D126" t="str">
            <v>NOVA MUTUM</v>
          </cell>
          <cell r="E126" t="str">
            <v>MT</v>
          </cell>
          <cell r="F126">
            <v>46316</v>
          </cell>
          <cell r="G126">
            <v>12156.21</v>
          </cell>
          <cell r="I126" t="str">
            <v>Comprou Marcas</v>
          </cell>
        </row>
        <row r="127">
          <cell r="A127">
            <v>49340554000127</v>
          </cell>
          <cell r="B127" t="str">
            <v>HIPER POPULAR DROGARIA</v>
          </cell>
          <cell r="C127" t="str">
            <v>HIPER SAUDE</v>
          </cell>
          <cell r="D127" t="str">
            <v>SAPEZAL</v>
          </cell>
          <cell r="E127" t="str">
            <v>MT</v>
          </cell>
          <cell r="F127">
            <v>46316</v>
          </cell>
          <cell r="G127">
            <v>3446.2900000000004</v>
          </cell>
          <cell r="I127" t="str">
            <v>Comprou Marcas</v>
          </cell>
        </row>
        <row r="128">
          <cell r="A128">
            <v>35835186000183</v>
          </cell>
          <cell r="B128" t="str">
            <v>HIPER POPULAR</v>
          </cell>
          <cell r="C128" t="str">
            <v>HIPER SAUDE</v>
          </cell>
          <cell r="D128" t="str">
            <v>AMAMBAI</v>
          </cell>
          <cell r="E128" t="str">
            <v>MS</v>
          </cell>
          <cell r="I128" t="str">
            <v>Não Comprou</v>
          </cell>
        </row>
        <row r="129">
          <cell r="A129">
            <v>43054517000176</v>
          </cell>
          <cell r="B129" t="str">
            <v>HIPER POPULAR</v>
          </cell>
          <cell r="C129" t="str">
            <v>HIPER SAUDE</v>
          </cell>
          <cell r="D129" t="str">
            <v>FATIMA DO SUL</v>
          </cell>
          <cell r="E129" t="str">
            <v>MS</v>
          </cell>
          <cell r="F129">
            <v>46316</v>
          </cell>
          <cell r="G129">
            <v>7825.0600000000013</v>
          </cell>
          <cell r="I129" t="str">
            <v>Comprou Marcas</v>
          </cell>
        </row>
        <row r="130">
          <cell r="A130">
            <v>43054517000257</v>
          </cell>
          <cell r="B130" t="str">
            <v>HIPER POPULAR</v>
          </cell>
          <cell r="C130" t="str">
            <v>HIPER SAUDE</v>
          </cell>
          <cell r="D130" t="str">
            <v>DEODAPOLIS</v>
          </cell>
          <cell r="E130" t="str">
            <v>MS</v>
          </cell>
          <cell r="F130">
            <v>46316</v>
          </cell>
          <cell r="G130">
            <v>10213.400000000005</v>
          </cell>
          <cell r="I130" t="str">
            <v>Comprou Marcas</v>
          </cell>
        </row>
        <row r="131">
          <cell r="A131">
            <v>57862460000146</v>
          </cell>
          <cell r="B131" t="str">
            <v>HIPER POPULAR</v>
          </cell>
          <cell r="C131" t="str">
            <v>HIPER SAUDE</v>
          </cell>
          <cell r="D131" t="str">
            <v>DOURADOS</v>
          </cell>
          <cell r="E131" t="str">
            <v>MS</v>
          </cell>
          <cell r="I131" t="str">
            <v>Não Comprou</v>
          </cell>
        </row>
        <row r="132">
          <cell r="A132">
            <v>29630512000113</v>
          </cell>
          <cell r="B132" t="str">
            <v>HIPER POPULAR</v>
          </cell>
          <cell r="C132" t="str">
            <v>HIPER SAUDE</v>
          </cell>
          <cell r="D132" t="str">
            <v>CUIABA</v>
          </cell>
          <cell r="E132" t="str">
            <v>MT</v>
          </cell>
          <cell r="F132">
            <v>46303</v>
          </cell>
          <cell r="G132">
            <v>137.85</v>
          </cell>
          <cell r="I132" t="str">
            <v>Comprou Marcas</v>
          </cell>
        </row>
        <row r="133">
          <cell r="A133">
            <v>52330020000124</v>
          </cell>
          <cell r="B133" t="str">
            <v>HIPER POPULAR</v>
          </cell>
          <cell r="C133" t="str">
            <v>HIPER SAUDE</v>
          </cell>
          <cell r="D133" t="str">
            <v>VARZEA GRANDE</v>
          </cell>
          <cell r="E133" t="str">
            <v>MT</v>
          </cell>
          <cell r="F133">
            <v>46314</v>
          </cell>
          <cell r="G133">
            <v>4516.9799999999996</v>
          </cell>
          <cell r="I133" t="str">
            <v>Comprou Marcas</v>
          </cell>
        </row>
        <row r="134">
          <cell r="A134">
            <v>35720208000160</v>
          </cell>
          <cell r="B134" t="str">
            <v>HIPER POPULAR</v>
          </cell>
          <cell r="C134" t="str">
            <v>HIPER SAUDE</v>
          </cell>
          <cell r="D134" t="str">
            <v>TANGARA DA SERRA</v>
          </cell>
          <cell r="E134" t="str">
            <v>MT</v>
          </cell>
          <cell r="I134" t="str">
            <v>Não Comprou</v>
          </cell>
        </row>
        <row r="135">
          <cell r="A135">
            <v>36014287000156</v>
          </cell>
          <cell r="B135" t="str">
            <v>HIPER POPULAR</v>
          </cell>
          <cell r="C135" t="str">
            <v>HIPER SAUDE</v>
          </cell>
          <cell r="D135" t="str">
            <v>PARAGUACU PAULISTA</v>
          </cell>
          <cell r="E135" t="str">
            <v>SP</v>
          </cell>
          <cell r="F135">
            <v>46310</v>
          </cell>
          <cell r="G135">
            <v>18154.129999999997</v>
          </cell>
          <cell r="H135">
            <v>3387</v>
          </cell>
          <cell r="I135" t="str">
            <v>Comprou Marcas e SG</v>
          </cell>
        </row>
        <row r="136">
          <cell r="A136">
            <v>60919809000143</v>
          </cell>
          <cell r="B136" t="str">
            <v>GT COMERCIO DE MEDICAMENTOS</v>
          </cell>
          <cell r="C136" t="str">
            <v>ASSOCIADAS</v>
          </cell>
          <cell r="D136" t="str">
            <v>DOURADOS</v>
          </cell>
          <cell r="E136" t="str">
            <v>MS</v>
          </cell>
          <cell r="I136" t="str">
            <v>Não Comprou</v>
          </cell>
        </row>
        <row r="137">
          <cell r="A137">
            <v>2560437000105</v>
          </cell>
          <cell r="B137" t="str">
            <v>GRUPO MULTIFARMA - UNIDADE PRACA</v>
          </cell>
          <cell r="C137" t="str">
            <v>GRUPO MF</v>
          </cell>
          <cell r="D137" t="str">
            <v>PIRAPOZINHO</v>
          </cell>
          <cell r="E137" t="str">
            <v>SP</v>
          </cell>
          <cell r="F137">
            <v>46316</v>
          </cell>
          <cell r="G137">
            <v>922.76</v>
          </cell>
          <cell r="I137" t="str">
            <v>Comprou Marcas</v>
          </cell>
        </row>
        <row r="138">
          <cell r="A138">
            <v>53039511000183</v>
          </cell>
          <cell r="B138" t="str">
            <v>G S C TREIS</v>
          </cell>
          <cell r="C138" t="str">
            <v>INDEPENDENTES VIN</v>
          </cell>
          <cell r="D138" t="str">
            <v>PRESIDENTE PRUDENTE</v>
          </cell>
          <cell r="E138" t="str">
            <v>SP</v>
          </cell>
          <cell r="F138">
            <v>46315</v>
          </cell>
          <cell r="G138">
            <v>1664.02</v>
          </cell>
          <cell r="I138" t="str">
            <v>Comprou Marcas</v>
          </cell>
        </row>
        <row r="139">
          <cell r="A139">
            <v>14132723000159</v>
          </cell>
          <cell r="B139" t="str">
            <v>FUZAFARMA</v>
          </cell>
          <cell r="C139" t="str">
            <v>DSG FARMA</v>
          </cell>
          <cell r="D139" t="str">
            <v>MUNDO NOVO</v>
          </cell>
          <cell r="E139" t="str">
            <v>MS</v>
          </cell>
          <cell r="F139">
            <v>46310</v>
          </cell>
          <cell r="G139">
            <v>7329.2900000000036</v>
          </cell>
          <cell r="I139" t="str">
            <v>Comprou Marcas</v>
          </cell>
        </row>
        <row r="140">
          <cell r="A140">
            <v>14132723000230</v>
          </cell>
          <cell r="B140" t="str">
            <v>FUZAFARMA</v>
          </cell>
          <cell r="C140" t="str">
            <v>DSG FARMA</v>
          </cell>
          <cell r="D140" t="str">
            <v>NAVIRAI</v>
          </cell>
          <cell r="E140" t="str">
            <v>MS</v>
          </cell>
          <cell r="F140">
            <v>46310</v>
          </cell>
          <cell r="G140">
            <v>9806.7000000000007</v>
          </cell>
          <cell r="I140" t="str">
            <v>Comprou Marcas</v>
          </cell>
        </row>
        <row r="141">
          <cell r="A141">
            <v>42286411000135</v>
          </cell>
          <cell r="B141" t="str">
            <v>FSJ COMERCIO DE MEDICAMENTOS</v>
          </cell>
          <cell r="C141" t="str">
            <v>COMPRE BEM</v>
          </cell>
          <cell r="D141" t="str">
            <v>JARDIM</v>
          </cell>
          <cell r="E141" t="str">
            <v>MS</v>
          </cell>
          <cell r="I141" t="str">
            <v>Não Comprou</v>
          </cell>
        </row>
        <row r="142">
          <cell r="A142">
            <v>9272038000198</v>
          </cell>
          <cell r="B142" t="str">
            <v>FORMULA FARMA</v>
          </cell>
          <cell r="C142" t="str">
            <v>MASTERFARMA</v>
          </cell>
          <cell r="D142" t="str">
            <v>LUCAS DO RIO VERDE</v>
          </cell>
          <cell r="E142" t="str">
            <v>MT</v>
          </cell>
          <cell r="F142">
            <v>46316</v>
          </cell>
          <cell r="G142">
            <v>2348.0600000000004</v>
          </cell>
          <cell r="I142" t="str">
            <v>Comprou Marcas</v>
          </cell>
        </row>
        <row r="143">
          <cell r="A143">
            <v>67778728000110</v>
          </cell>
          <cell r="B143" t="str">
            <v>FLEXXI FARMA E BENEFICIOS</v>
          </cell>
          <cell r="C143" t="str">
            <v>MASTERFARMA</v>
          </cell>
          <cell r="D143" t="str">
            <v>CAMPO NOVO DO PARECIS</v>
          </cell>
          <cell r="E143" t="str">
            <v>MT</v>
          </cell>
          <cell r="F143">
            <v>46303</v>
          </cell>
          <cell r="G143">
            <v>304.85000000000002</v>
          </cell>
          <cell r="I143" t="str">
            <v>Comprou Marcas</v>
          </cell>
        </row>
        <row r="144">
          <cell r="A144">
            <v>54172723000105</v>
          </cell>
          <cell r="B144" t="str">
            <v>FDA PRODUTOS FARMACEUTICOS</v>
          </cell>
          <cell r="C144" t="str">
            <v>MASTERFARMA</v>
          </cell>
          <cell r="D144" t="str">
            <v>CAMPO GRANDE</v>
          </cell>
          <cell r="E144" t="str">
            <v>MS</v>
          </cell>
          <cell r="F144">
            <v>46316</v>
          </cell>
          <cell r="G144">
            <v>1147.1199999999999</v>
          </cell>
          <cell r="I144" t="str">
            <v>Comprou Marcas</v>
          </cell>
        </row>
        <row r="145">
          <cell r="A145">
            <v>4641689000194</v>
          </cell>
          <cell r="B145" t="str">
            <v>FCIA VICENTE L LENTE</v>
          </cell>
          <cell r="C145" t="str">
            <v>MASTERFARMA</v>
          </cell>
          <cell r="D145" t="str">
            <v>NOVA OLIMPIA</v>
          </cell>
          <cell r="E145" t="str">
            <v>MT</v>
          </cell>
          <cell r="I145" t="str">
            <v>Não Comprou</v>
          </cell>
        </row>
        <row r="146">
          <cell r="A146">
            <v>4994525000140</v>
          </cell>
          <cell r="B146" t="str">
            <v>FCIA VALDIR JACINTO</v>
          </cell>
          <cell r="C146" t="str">
            <v>INDEPENDENTES VIN</v>
          </cell>
          <cell r="D146" t="str">
            <v>INDAPOLIS (DOURADOS)</v>
          </cell>
          <cell r="E146" t="str">
            <v>MS</v>
          </cell>
          <cell r="I146" t="str">
            <v>Não Comprou</v>
          </cell>
        </row>
        <row r="147">
          <cell r="A147">
            <v>55288708000181</v>
          </cell>
          <cell r="B147" t="str">
            <v>FCIA SAO PAULO</v>
          </cell>
          <cell r="C147" t="str">
            <v>INDEPENDENTES VIN</v>
          </cell>
          <cell r="D147" t="str">
            <v>PRESIDENTE EPITACIO</v>
          </cell>
          <cell r="E147" t="str">
            <v>SP</v>
          </cell>
          <cell r="F147">
            <v>46316</v>
          </cell>
          <cell r="G147">
            <v>4976.6699999999992</v>
          </cell>
          <cell r="H147">
            <v>2947.3199999999997</v>
          </cell>
          <cell r="I147" t="str">
            <v>Comprou Marcas e SG</v>
          </cell>
        </row>
        <row r="148">
          <cell r="A148">
            <v>2330943000108</v>
          </cell>
          <cell r="B148" t="str">
            <v>FCIA SAO MARCOS</v>
          </cell>
          <cell r="C148" t="str">
            <v>ASSOCIADAS</v>
          </cell>
          <cell r="D148" t="str">
            <v>AMAMBAI</v>
          </cell>
          <cell r="E148" t="str">
            <v>MS</v>
          </cell>
          <cell r="F148">
            <v>46309</v>
          </cell>
          <cell r="G148">
            <v>2009.4199999999998</v>
          </cell>
          <cell r="I148" t="str">
            <v>Comprou Marcas</v>
          </cell>
        </row>
        <row r="149">
          <cell r="A149">
            <v>24622755000196</v>
          </cell>
          <cell r="B149" t="str">
            <v>FCIA SAO JOSE</v>
          </cell>
          <cell r="C149" t="str">
            <v>REDE SOMA</v>
          </cell>
          <cell r="D149" t="str">
            <v>INOCENCIA</v>
          </cell>
          <cell r="E149" t="str">
            <v>MS</v>
          </cell>
          <cell r="F149">
            <v>46309</v>
          </cell>
          <cell r="G149">
            <v>828.32</v>
          </cell>
          <cell r="I149" t="str">
            <v>Comprou Marcas</v>
          </cell>
        </row>
        <row r="150">
          <cell r="A150">
            <v>6316789000170</v>
          </cell>
          <cell r="B150" t="str">
            <v>FCIA SAO JOAO</v>
          </cell>
          <cell r="C150" t="str">
            <v>INDEPENDENTES VIN</v>
          </cell>
          <cell r="D150" t="str">
            <v>BATAGUASSU</v>
          </cell>
          <cell r="E150" t="str">
            <v>MS</v>
          </cell>
          <cell r="I150" t="str">
            <v>Não Comprou</v>
          </cell>
        </row>
        <row r="151">
          <cell r="A151">
            <v>4745484000159</v>
          </cell>
          <cell r="B151" t="str">
            <v>FCIA SANTO ANTONIO</v>
          </cell>
          <cell r="C151" t="str">
            <v>INDEPENDENTES VIN</v>
          </cell>
          <cell r="D151" t="str">
            <v>JUTI</v>
          </cell>
          <cell r="E151" t="str">
            <v>MS</v>
          </cell>
          <cell r="I151" t="str">
            <v>Não Comprou</v>
          </cell>
        </row>
        <row r="152">
          <cell r="A152">
            <v>7110508000191</v>
          </cell>
          <cell r="B152" t="str">
            <v>FCIA SANTO ANTONIO</v>
          </cell>
          <cell r="C152" t="str">
            <v>INDEPENDENTES VIN</v>
          </cell>
          <cell r="D152" t="str">
            <v>ITAPORA</v>
          </cell>
          <cell r="E152" t="str">
            <v>MS</v>
          </cell>
          <cell r="F152">
            <v>46304</v>
          </cell>
          <cell r="G152">
            <v>197.26999999999998</v>
          </cell>
          <cell r="I152" t="str">
            <v>Comprou Marcas</v>
          </cell>
        </row>
        <row r="153">
          <cell r="A153">
            <v>1090014000106</v>
          </cell>
          <cell r="B153" t="str">
            <v>FCIA SANTA TEREZINHA</v>
          </cell>
          <cell r="C153" t="str">
            <v>ASSOCIADAS</v>
          </cell>
          <cell r="D153" t="str">
            <v>DOURADOS</v>
          </cell>
          <cell r="E153" t="str">
            <v>MS</v>
          </cell>
          <cell r="I153" t="str">
            <v>Não Comprou</v>
          </cell>
        </row>
        <row r="154">
          <cell r="A154">
            <v>8966998000195</v>
          </cell>
          <cell r="B154" t="str">
            <v>FCIA SANTA TEREZINHA</v>
          </cell>
          <cell r="C154" t="str">
            <v>INDEPENDENTES VIN</v>
          </cell>
          <cell r="D154" t="str">
            <v>PACAEMBU</v>
          </cell>
          <cell r="E154" t="str">
            <v>SP</v>
          </cell>
          <cell r="F154">
            <v>46302</v>
          </cell>
          <cell r="G154">
            <v>3225.96</v>
          </cell>
          <cell r="I154" t="str">
            <v>Comprou Marcas</v>
          </cell>
        </row>
        <row r="155">
          <cell r="A155">
            <v>5335462000183</v>
          </cell>
          <cell r="B155" t="str">
            <v>FCIA SANTA TERESA</v>
          </cell>
          <cell r="C155" t="str">
            <v>INDEPENDENTES VIN</v>
          </cell>
          <cell r="D155" t="str">
            <v>CORUMBA</v>
          </cell>
          <cell r="E155" t="str">
            <v>MS</v>
          </cell>
          <cell r="I155" t="str">
            <v>Não Comprou</v>
          </cell>
        </row>
        <row r="156">
          <cell r="A156">
            <v>3476160000108</v>
          </cell>
          <cell r="B156" t="str">
            <v>FCIA SANTA MONICA</v>
          </cell>
          <cell r="C156" t="str">
            <v>ASSOCIADAS</v>
          </cell>
          <cell r="D156" t="str">
            <v>CHAPADAO DO SUL</v>
          </cell>
          <cell r="E156" t="str">
            <v>MS</v>
          </cell>
          <cell r="F156">
            <v>46311</v>
          </cell>
          <cell r="G156">
            <v>6150.63</v>
          </cell>
          <cell r="H156">
            <v>1628</v>
          </cell>
          <cell r="I156" t="str">
            <v>Comprou Marcas e SG</v>
          </cell>
        </row>
        <row r="157">
          <cell r="A157">
            <v>8596888000189</v>
          </cell>
          <cell r="B157" t="str">
            <v>FCIA SANTA LUZIA II</v>
          </cell>
          <cell r="C157" t="str">
            <v>MASTERFARMA</v>
          </cell>
          <cell r="D157" t="str">
            <v>FATIMA DO SUL</v>
          </cell>
          <cell r="E157" t="str">
            <v>MS</v>
          </cell>
          <cell r="I157" t="str">
            <v>Não Comprou</v>
          </cell>
        </row>
        <row r="158">
          <cell r="A158">
            <v>4621137000114</v>
          </cell>
          <cell r="B158" t="str">
            <v>FCIA SANTA ISABEL</v>
          </cell>
          <cell r="C158" t="str">
            <v>INDEPENDENTES VIN</v>
          </cell>
          <cell r="D158" t="str">
            <v>CAMPO GRANDE</v>
          </cell>
          <cell r="E158" t="str">
            <v>MS</v>
          </cell>
          <cell r="F158">
            <v>46314</v>
          </cell>
          <cell r="G158">
            <v>3266.6400000000008</v>
          </cell>
          <cell r="I158" t="str">
            <v>Comprou Marcas</v>
          </cell>
        </row>
        <row r="159">
          <cell r="A159">
            <v>36876993000107</v>
          </cell>
          <cell r="B159" t="str">
            <v>FCIA SANTA GEMA</v>
          </cell>
          <cell r="C159" t="str">
            <v>ASSOCIADAS</v>
          </cell>
          <cell r="D159" t="str">
            <v>JUINA</v>
          </cell>
          <cell r="E159" t="str">
            <v>MT</v>
          </cell>
          <cell r="F159">
            <v>46303</v>
          </cell>
          <cell r="G159">
            <v>1977.2799999999997</v>
          </cell>
          <cell r="I159" t="str">
            <v>Comprou Marcas</v>
          </cell>
        </row>
        <row r="160">
          <cell r="A160">
            <v>15910375000166</v>
          </cell>
          <cell r="B160" t="str">
            <v>FCIA SANRIVAL</v>
          </cell>
          <cell r="C160" t="str">
            <v>HIPER SAUDE</v>
          </cell>
          <cell r="D160" t="str">
            <v>CHAPADAO DO SUL</v>
          </cell>
          <cell r="E160" t="str">
            <v>MS</v>
          </cell>
          <cell r="F160">
            <v>46303</v>
          </cell>
          <cell r="G160">
            <v>2280.9000000000005</v>
          </cell>
          <cell r="I160" t="str">
            <v>Comprou Marcas</v>
          </cell>
        </row>
        <row r="161">
          <cell r="A161">
            <v>5052802000169</v>
          </cell>
          <cell r="B161" t="str">
            <v>FCIA RANGDORF</v>
          </cell>
          <cell r="C161" t="str">
            <v>MASTERFARMA</v>
          </cell>
          <cell r="D161" t="str">
            <v>FATIMA DO SUL</v>
          </cell>
          <cell r="E161" t="str">
            <v>MS</v>
          </cell>
          <cell r="I161" t="str">
            <v>Não Comprou</v>
          </cell>
        </row>
        <row r="162">
          <cell r="A162">
            <v>15900640000125</v>
          </cell>
          <cell r="B162" t="str">
            <v>FCIA PROGRESSO</v>
          </cell>
          <cell r="C162" t="str">
            <v>INDEPENDENTES VIN</v>
          </cell>
          <cell r="D162" t="str">
            <v>RIO BRILHANTE</v>
          </cell>
          <cell r="E162" t="str">
            <v>MS</v>
          </cell>
          <cell r="I162" t="str">
            <v>Não Comprou</v>
          </cell>
        </row>
        <row r="163">
          <cell r="A163">
            <v>5867754000167</v>
          </cell>
          <cell r="B163" t="str">
            <v>FCIA POPULAR</v>
          </cell>
          <cell r="C163" t="str">
            <v>INDEPENDENTES VIN</v>
          </cell>
          <cell r="D163" t="str">
            <v>DOURADOS</v>
          </cell>
          <cell r="E163" t="str">
            <v>MS</v>
          </cell>
          <cell r="F163">
            <v>46309</v>
          </cell>
          <cell r="G163">
            <v>5525.4300000000012</v>
          </cell>
          <cell r="I163" t="str">
            <v>Comprou Marcas</v>
          </cell>
        </row>
        <row r="164">
          <cell r="A164">
            <v>5558461000106</v>
          </cell>
          <cell r="B164" t="str">
            <v>FCIA POPULAR</v>
          </cell>
          <cell r="C164" t="str">
            <v>INDEPENDENTES VIN</v>
          </cell>
          <cell r="D164" t="str">
            <v>SINOP</v>
          </cell>
          <cell r="E164" t="str">
            <v>MT</v>
          </cell>
          <cell r="I164" t="str">
            <v>Não Comprou</v>
          </cell>
        </row>
        <row r="165">
          <cell r="A165">
            <v>1738769000174</v>
          </cell>
          <cell r="B165" t="str">
            <v>FCIA PARANA</v>
          </cell>
          <cell r="C165" t="str">
            <v>INDEPENDENTES VIN</v>
          </cell>
          <cell r="D165" t="str">
            <v>CAMPO NOVO DO PARECIS</v>
          </cell>
          <cell r="E165" t="str">
            <v>MT</v>
          </cell>
          <cell r="F165">
            <v>46315</v>
          </cell>
          <cell r="G165">
            <v>2090.61</v>
          </cell>
          <cell r="I165" t="str">
            <v>Comprou Marcas</v>
          </cell>
        </row>
        <row r="166">
          <cell r="A166">
            <v>8143052000129</v>
          </cell>
          <cell r="B166" t="str">
            <v>FCIA OURO PRETO</v>
          </cell>
          <cell r="C166" t="str">
            <v>REDE COMPRE CERTO</v>
          </cell>
          <cell r="D166" t="str">
            <v>CASTILHO</v>
          </cell>
          <cell r="E166" t="str">
            <v>SP</v>
          </cell>
          <cell r="F166">
            <v>46303</v>
          </cell>
          <cell r="G166">
            <v>3663.5599999999995</v>
          </cell>
          <cell r="I166" t="str">
            <v>Comprou Marcas</v>
          </cell>
        </row>
        <row r="167">
          <cell r="A167">
            <v>4427375000193</v>
          </cell>
          <cell r="B167" t="str">
            <v>FCIA NSA SRA APARECIDA</v>
          </cell>
          <cell r="C167" t="str">
            <v>ASSOCIADAS</v>
          </cell>
          <cell r="D167" t="str">
            <v>MIRANDA</v>
          </cell>
          <cell r="E167" t="str">
            <v>MS</v>
          </cell>
          <cell r="F167">
            <v>46311</v>
          </cell>
          <cell r="G167">
            <v>7364.9499999999989</v>
          </cell>
          <cell r="H167">
            <v>3611.4599999999996</v>
          </cell>
          <cell r="I167" t="str">
            <v>Comprou Marcas e SG</v>
          </cell>
        </row>
        <row r="168">
          <cell r="A168">
            <v>818504000113</v>
          </cell>
          <cell r="B168" t="str">
            <v>FCIA NAVIRAI</v>
          </cell>
          <cell r="C168" t="str">
            <v>INDEPENDENTES VIN</v>
          </cell>
          <cell r="D168" t="str">
            <v>NAVIRAI</v>
          </cell>
          <cell r="E168" t="str">
            <v>MS</v>
          </cell>
          <cell r="I168" t="str">
            <v>Não Comprou</v>
          </cell>
        </row>
        <row r="169">
          <cell r="A169">
            <v>8226395000157</v>
          </cell>
          <cell r="B169" t="str">
            <v>FCIA NAJA III</v>
          </cell>
          <cell r="C169" t="str">
            <v>ASSOCIADAS</v>
          </cell>
          <cell r="D169" t="str">
            <v>GLORIA DE DOURADOS</v>
          </cell>
          <cell r="E169" t="str">
            <v>MS</v>
          </cell>
          <cell r="I169" t="str">
            <v>Não Comprou</v>
          </cell>
        </row>
        <row r="170">
          <cell r="A170">
            <v>26829291000119</v>
          </cell>
          <cell r="B170" t="str">
            <v>FCIA NAJA</v>
          </cell>
          <cell r="C170" t="str">
            <v>ASSOCIADAS</v>
          </cell>
          <cell r="D170" t="str">
            <v>ITAQUIRAI</v>
          </cell>
          <cell r="E170" t="str">
            <v>MS</v>
          </cell>
          <cell r="F170">
            <v>46310</v>
          </cell>
          <cell r="G170">
            <v>1393.1100000000001</v>
          </cell>
          <cell r="I170" t="str">
            <v>Comprou Marcas</v>
          </cell>
        </row>
        <row r="171">
          <cell r="A171">
            <v>3961703000174</v>
          </cell>
          <cell r="B171" t="str">
            <v>FCIA MUNDO NOVO</v>
          </cell>
          <cell r="C171" t="str">
            <v>ASSOCIADAS</v>
          </cell>
          <cell r="D171" t="str">
            <v>MUNDO NOVO</v>
          </cell>
          <cell r="E171" t="str">
            <v>MS</v>
          </cell>
          <cell r="I171" t="str">
            <v>Não Comprou</v>
          </cell>
        </row>
        <row r="172">
          <cell r="A172">
            <v>5562705000116</v>
          </cell>
          <cell r="B172" t="str">
            <v>FCIA MODERNA</v>
          </cell>
          <cell r="C172" t="str">
            <v>ASSOCIADAS</v>
          </cell>
          <cell r="D172" t="str">
            <v>CAMPO NOVO DO PARECIS</v>
          </cell>
          <cell r="E172" t="str">
            <v>MT</v>
          </cell>
          <cell r="F172">
            <v>46310</v>
          </cell>
          <cell r="G172">
            <v>758.37</v>
          </cell>
          <cell r="I172" t="str">
            <v>Comprou Marcas</v>
          </cell>
        </row>
        <row r="173">
          <cell r="A173">
            <v>5015978000140</v>
          </cell>
          <cell r="B173" t="str">
            <v>FCIA MARLEY ZEILINGER</v>
          </cell>
          <cell r="C173" t="str">
            <v>ASSOCIADAS</v>
          </cell>
          <cell r="D173" t="str">
            <v>NOVA ANDRADINA</v>
          </cell>
          <cell r="E173" t="str">
            <v>MS</v>
          </cell>
          <cell r="I173" t="str">
            <v>Não Comprou</v>
          </cell>
        </row>
        <row r="174">
          <cell r="A174">
            <v>1956853000164</v>
          </cell>
          <cell r="B174" t="str">
            <v>FCIA MARIALVA LTDA</v>
          </cell>
          <cell r="C174" t="str">
            <v>HIPER SAUDE</v>
          </cell>
          <cell r="D174" t="str">
            <v>AQUIDAUANA</v>
          </cell>
          <cell r="E174" t="str">
            <v>MS</v>
          </cell>
          <cell r="I174" t="str">
            <v>Não Comprou</v>
          </cell>
        </row>
        <row r="175">
          <cell r="A175">
            <v>43162536000116</v>
          </cell>
          <cell r="B175" t="str">
            <v>FCIA MARCONDENSE</v>
          </cell>
          <cell r="C175" t="str">
            <v>INDEPENDENTES VIN</v>
          </cell>
          <cell r="D175" t="str">
            <v>ALFREDO MARCONDES</v>
          </cell>
          <cell r="E175" t="str">
            <v>SP</v>
          </cell>
          <cell r="F175">
            <v>46303</v>
          </cell>
          <cell r="H175">
            <v>6564.58</v>
          </cell>
          <cell r="I175" t="str">
            <v>Comprou SG</v>
          </cell>
        </row>
        <row r="176">
          <cell r="A176">
            <v>1203805000103</v>
          </cell>
          <cell r="B176" t="str">
            <v>FCIA MANIP ANASFARMA</v>
          </cell>
          <cell r="C176" t="str">
            <v>INDEPENDENTES VIN</v>
          </cell>
          <cell r="D176" t="str">
            <v>SANTO ANASTACIO</v>
          </cell>
          <cell r="E176" t="str">
            <v>SP</v>
          </cell>
          <cell r="F176">
            <v>46311</v>
          </cell>
          <cell r="G176">
            <v>979.68000000000006</v>
          </cell>
          <cell r="I176" t="str">
            <v>Comprou Marcas</v>
          </cell>
        </row>
        <row r="177">
          <cell r="A177">
            <v>3484949000100</v>
          </cell>
          <cell r="B177" t="str">
            <v>FCIA MANIP ALQUIMIA</v>
          </cell>
          <cell r="C177" t="str">
            <v>INDEPENDENTES VIN</v>
          </cell>
          <cell r="D177" t="str">
            <v>CASSILANDIA</v>
          </cell>
          <cell r="E177" t="str">
            <v>MS</v>
          </cell>
          <cell r="F177">
            <v>46302</v>
          </cell>
          <cell r="G177">
            <v>883.63</v>
          </cell>
          <cell r="I177" t="str">
            <v>Comprou Marcas</v>
          </cell>
        </row>
        <row r="178">
          <cell r="A178">
            <v>2291187000155</v>
          </cell>
          <cell r="B178" t="str">
            <v>FCIA LUCINEIA FERREIRA</v>
          </cell>
          <cell r="C178" t="str">
            <v>INDEPENDENTES VIN</v>
          </cell>
          <cell r="D178" t="str">
            <v>PIRAPOZINHO</v>
          </cell>
          <cell r="E178" t="str">
            <v>SP</v>
          </cell>
          <cell r="F178">
            <v>46310</v>
          </cell>
          <cell r="G178">
            <v>212.07</v>
          </cell>
          <cell r="I178" t="str">
            <v>Comprou Marcas</v>
          </cell>
        </row>
        <row r="179">
          <cell r="A179">
            <v>16042681000190</v>
          </cell>
          <cell r="B179" t="str">
            <v>FCIA INOFARMA</v>
          </cell>
          <cell r="C179" t="str">
            <v>INDEPENDENTES VIN</v>
          </cell>
          <cell r="D179" t="str">
            <v>INOCENCIA</v>
          </cell>
          <cell r="E179" t="str">
            <v>MS</v>
          </cell>
          <cell r="F179">
            <v>46309</v>
          </cell>
          <cell r="G179">
            <v>951.62999999999988</v>
          </cell>
          <cell r="I179" t="str">
            <v>Comprou Marcas</v>
          </cell>
        </row>
        <row r="180">
          <cell r="A180">
            <v>37203809000120</v>
          </cell>
          <cell r="B180" t="str">
            <v>FCIA HILDA F S OLIVEIRA</v>
          </cell>
          <cell r="C180" t="str">
            <v>INDEPENDENTES VIN</v>
          </cell>
          <cell r="D180" t="str">
            <v>PEDRO GOMES</v>
          </cell>
          <cell r="E180" t="str">
            <v>MS</v>
          </cell>
          <cell r="I180" t="str">
            <v>Não Comprou</v>
          </cell>
        </row>
        <row r="181">
          <cell r="A181">
            <v>4877066000115</v>
          </cell>
          <cell r="B181" t="str">
            <v>FCIA GENERICO FARMA</v>
          </cell>
          <cell r="C181" t="str">
            <v>INDEPENDENTES VIN</v>
          </cell>
          <cell r="D181" t="str">
            <v>COSTA RICA</v>
          </cell>
          <cell r="E181" t="str">
            <v>MS</v>
          </cell>
          <cell r="I181" t="str">
            <v>Não Comprou</v>
          </cell>
        </row>
        <row r="182">
          <cell r="A182">
            <v>3318604000179</v>
          </cell>
          <cell r="B182" t="str">
            <v>FCIA FUTURA</v>
          </cell>
          <cell r="C182" t="str">
            <v>INDEPENDENTES VIN</v>
          </cell>
          <cell r="D182" t="str">
            <v>BIRIGUI</v>
          </cell>
          <cell r="E182" t="str">
            <v>SP</v>
          </cell>
          <cell r="F182">
            <v>46314</v>
          </cell>
          <cell r="G182">
            <v>1125.04</v>
          </cell>
          <cell r="I182" t="str">
            <v>Comprou Marcas</v>
          </cell>
        </row>
        <row r="183">
          <cell r="A183">
            <v>7284256000117</v>
          </cell>
          <cell r="B183" t="str">
            <v>FCIA FARMAUTIL</v>
          </cell>
          <cell r="C183" t="str">
            <v>MASTERFARMA</v>
          </cell>
          <cell r="D183" t="str">
            <v>DOURADOS</v>
          </cell>
          <cell r="E183" t="str">
            <v>MS</v>
          </cell>
          <cell r="F183">
            <v>46304</v>
          </cell>
          <cell r="G183">
            <v>1406.6400000000003</v>
          </cell>
          <cell r="I183" t="str">
            <v>Comprou Marcas</v>
          </cell>
        </row>
        <row r="184">
          <cell r="A184">
            <v>8984188000161</v>
          </cell>
          <cell r="B184" t="str">
            <v>FCIA FARMASSIST</v>
          </cell>
          <cell r="C184" t="str">
            <v>HIPER SAUDE</v>
          </cell>
          <cell r="D184" t="str">
            <v>GUIA LOPES DA LAGUNA</v>
          </cell>
          <cell r="E184" t="str">
            <v>MS</v>
          </cell>
          <cell r="F184">
            <v>46316</v>
          </cell>
          <cell r="G184">
            <v>1118.1200000000001</v>
          </cell>
          <cell r="H184">
            <v>3652.5099999999993</v>
          </cell>
          <cell r="I184" t="str">
            <v>Comprou Marcas e SG</v>
          </cell>
        </row>
        <row r="185">
          <cell r="A185">
            <v>7625132000158</v>
          </cell>
          <cell r="B185" t="str">
            <v>FCIA FARMA FACIL</v>
          </cell>
          <cell r="C185" t="str">
            <v>ASSOCIADAS</v>
          </cell>
          <cell r="D185" t="str">
            <v>CUIABA</v>
          </cell>
          <cell r="E185" t="str">
            <v>MT</v>
          </cell>
          <cell r="F185">
            <v>46310</v>
          </cell>
          <cell r="G185">
            <v>137.85</v>
          </cell>
          <cell r="I185" t="str">
            <v>Comprou Marcas</v>
          </cell>
        </row>
        <row r="186">
          <cell r="A186">
            <v>2441488000118</v>
          </cell>
          <cell r="B186" t="str">
            <v>FCIA FARMA E CIA</v>
          </cell>
          <cell r="C186" t="str">
            <v>ASSOCIADAS</v>
          </cell>
          <cell r="D186" t="str">
            <v>RIO BRILHANTE</v>
          </cell>
          <cell r="E186" t="str">
            <v>MS</v>
          </cell>
          <cell r="F186">
            <v>46300</v>
          </cell>
          <cell r="G186">
            <v>360.46999999999997</v>
          </cell>
          <cell r="I186" t="str">
            <v>Comprou Marcas</v>
          </cell>
        </row>
        <row r="187">
          <cell r="A187">
            <v>3836752000185</v>
          </cell>
          <cell r="B187" t="str">
            <v>FCIA FARMA</v>
          </cell>
          <cell r="C187" t="str">
            <v>ASSOCIADAS</v>
          </cell>
          <cell r="D187" t="str">
            <v>DOURADOS</v>
          </cell>
          <cell r="E187" t="str">
            <v>MS</v>
          </cell>
          <cell r="I187" t="str">
            <v>Não Comprou</v>
          </cell>
        </row>
        <row r="188">
          <cell r="A188">
            <v>4822740000164</v>
          </cell>
          <cell r="B188" t="str">
            <v>FCIA EDMILSON N SANTOS</v>
          </cell>
          <cell r="C188" t="str">
            <v>DSG FARMA</v>
          </cell>
          <cell r="D188" t="str">
            <v>CAIABU</v>
          </cell>
          <cell r="E188" t="str">
            <v>SP</v>
          </cell>
          <cell r="F188">
            <v>46311</v>
          </cell>
          <cell r="H188">
            <v>6587.4</v>
          </cell>
          <cell r="I188" t="str">
            <v>Comprou SG</v>
          </cell>
        </row>
        <row r="189">
          <cell r="A189">
            <v>982959000170</v>
          </cell>
          <cell r="B189" t="str">
            <v>FCIA DROGAMARA</v>
          </cell>
          <cell r="C189" t="str">
            <v>INDEPENDENTES VIN</v>
          </cell>
          <cell r="D189" t="str">
            <v>MARACAJU</v>
          </cell>
          <cell r="E189" t="str">
            <v>MS</v>
          </cell>
          <cell r="I189" t="str">
            <v>Não Comprou</v>
          </cell>
        </row>
        <row r="190">
          <cell r="A190">
            <v>26543256000139</v>
          </cell>
          <cell r="B190" t="str">
            <v>FCIA DROGACITY</v>
          </cell>
          <cell r="C190" t="str">
            <v>INDEPENDENTES VIN</v>
          </cell>
          <cell r="D190" t="str">
            <v>CAMPO NOVO DO PARECIS</v>
          </cell>
          <cell r="E190" t="str">
            <v>MT</v>
          </cell>
          <cell r="I190" t="str">
            <v>Não Comprou</v>
          </cell>
        </row>
        <row r="191">
          <cell r="A191">
            <v>2917723000185</v>
          </cell>
          <cell r="B191" t="str">
            <v>FCIA DROGA CRUZ</v>
          </cell>
          <cell r="C191" t="str">
            <v>ASSOCIADAS</v>
          </cell>
          <cell r="D191" t="str">
            <v>BONITO</v>
          </cell>
          <cell r="E191" t="str">
            <v>MS</v>
          </cell>
          <cell r="F191">
            <v>46311</v>
          </cell>
          <cell r="G191">
            <v>27991.370000000003</v>
          </cell>
          <cell r="H191">
            <v>6997.6600000000008</v>
          </cell>
          <cell r="I191" t="str">
            <v>Comprou Marcas e SG</v>
          </cell>
        </row>
        <row r="192">
          <cell r="A192">
            <v>5674541000119</v>
          </cell>
          <cell r="B192" t="str">
            <v>FCIA DROG VIDA</v>
          </cell>
          <cell r="C192" t="str">
            <v>ASSOCIADAS</v>
          </cell>
          <cell r="D192" t="str">
            <v>CASSILANDIA</v>
          </cell>
          <cell r="E192" t="str">
            <v>MS</v>
          </cell>
          <cell r="F192">
            <v>46315</v>
          </cell>
          <cell r="G192">
            <v>419.21</v>
          </cell>
          <cell r="I192" t="str">
            <v>Comprou Marcas</v>
          </cell>
        </row>
        <row r="193">
          <cell r="A193">
            <v>7056130000195</v>
          </cell>
          <cell r="B193" t="str">
            <v>FCIA DO POVO</v>
          </cell>
          <cell r="C193" t="str">
            <v>DSG FARMA</v>
          </cell>
          <cell r="D193" t="str">
            <v>SINOP</v>
          </cell>
          <cell r="E193" t="str">
            <v>MT</v>
          </cell>
          <cell r="I193" t="str">
            <v>Não Comprou</v>
          </cell>
        </row>
        <row r="194">
          <cell r="A194">
            <v>3100938000171</v>
          </cell>
          <cell r="B194" t="str">
            <v>FCIA DO EDSON</v>
          </cell>
          <cell r="C194" t="str">
            <v>INDEPENDENTES VIN</v>
          </cell>
          <cell r="D194" t="str">
            <v>AMAMBAI</v>
          </cell>
          <cell r="E194" t="str">
            <v>MS</v>
          </cell>
          <cell r="F194">
            <v>46303</v>
          </cell>
          <cell r="G194">
            <v>2428.31</v>
          </cell>
          <cell r="I194" t="str">
            <v>Comprou Marcas</v>
          </cell>
        </row>
        <row r="195">
          <cell r="A195">
            <v>5438909000140</v>
          </cell>
          <cell r="B195" t="str">
            <v>FCIA DE MANIP ANGPHARMA</v>
          </cell>
          <cell r="C195" t="str">
            <v>INDEPENDENTES VIN</v>
          </cell>
          <cell r="D195" t="str">
            <v>BIRIGUI</v>
          </cell>
          <cell r="E195" t="str">
            <v>SP</v>
          </cell>
          <cell r="F195">
            <v>46309</v>
          </cell>
          <cell r="G195">
            <v>1890.6000000000004</v>
          </cell>
          <cell r="I195" t="str">
            <v>Comprou Marcas</v>
          </cell>
        </row>
        <row r="196">
          <cell r="A196">
            <v>26860338000107</v>
          </cell>
          <cell r="B196" t="str">
            <v>FCIA COMETE</v>
          </cell>
          <cell r="C196" t="str">
            <v>ASSOCIADAS</v>
          </cell>
          <cell r="D196" t="str">
            <v>VILA VARGAS (DOURADOS)</v>
          </cell>
          <cell r="E196" t="str">
            <v>MS</v>
          </cell>
          <cell r="I196" t="str">
            <v>Não Comprou</v>
          </cell>
        </row>
        <row r="197">
          <cell r="A197">
            <v>18715418000140</v>
          </cell>
          <cell r="B197" t="str">
            <v>FCIA CITELI &amp; CIA</v>
          </cell>
          <cell r="C197" t="str">
            <v>DSG FARMA</v>
          </cell>
          <cell r="D197" t="str">
            <v>LUCELIA</v>
          </cell>
          <cell r="E197" t="str">
            <v>SP</v>
          </cell>
          <cell r="F197">
            <v>46316</v>
          </cell>
          <cell r="G197">
            <v>2387.4100000000003</v>
          </cell>
          <cell r="H197">
            <v>3948.6999999999994</v>
          </cell>
          <cell r="I197" t="str">
            <v>Comprou Marcas e SG</v>
          </cell>
        </row>
        <row r="198">
          <cell r="A198">
            <v>55733059000180</v>
          </cell>
          <cell r="B198" t="str">
            <v>FCIA CENTRAL</v>
          </cell>
          <cell r="C198" t="str">
            <v>DSG FARMA</v>
          </cell>
          <cell r="D198" t="str">
            <v>BRAUNA</v>
          </cell>
          <cell r="E198" t="str">
            <v>SP</v>
          </cell>
          <cell r="I198" t="str">
            <v>Não Comprou</v>
          </cell>
        </row>
        <row r="199">
          <cell r="A199">
            <v>15448038000107</v>
          </cell>
          <cell r="B199" t="str">
            <v>FCIA BRASIL</v>
          </cell>
          <cell r="C199" t="str">
            <v>INDEPENDENTES VIN</v>
          </cell>
          <cell r="D199" t="str">
            <v>ELDORADO</v>
          </cell>
          <cell r="E199" t="str">
            <v>MS</v>
          </cell>
          <cell r="F199">
            <v>46311</v>
          </cell>
          <cell r="G199">
            <v>1048.9599999999998</v>
          </cell>
          <cell r="I199" t="str">
            <v>Comprou Marcas</v>
          </cell>
        </row>
        <row r="200">
          <cell r="A200">
            <v>260180000140</v>
          </cell>
          <cell r="B200" t="str">
            <v>FCIA BRASIL</v>
          </cell>
          <cell r="C200" t="str">
            <v>ASSOCIADAS</v>
          </cell>
          <cell r="D200" t="str">
            <v>JUINA</v>
          </cell>
          <cell r="E200" t="str">
            <v>MT</v>
          </cell>
          <cell r="F200">
            <v>46309</v>
          </cell>
          <cell r="G200">
            <v>2484.89</v>
          </cell>
          <cell r="I200" t="str">
            <v>Comprou Marcas</v>
          </cell>
        </row>
        <row r="201">
          <cell r="A201">
            <v>33193160000153</v>
          </cell>
          <cell r="B201" t="str">
            <v>FCIA BIOFARMA</v>
          </cell>
          <cell r="C201" t="str">
            <v>ASSOCIADAS</v>
          </cell>
          <cell r="D201" t="str">
            <v>AMAMBAI</v>
          </cell>
          <cell r="E201" t="str">
            <v>MS</v>
          </cell>
          <cell r="I201" t="str">
            <v>Não Comprou</v>
          </cell>
        </row>
        <row r="202">
          <cell r="A202">
            <v>55354724000125</v>
          </cell>
          <cell r="B202" t="str">
            <v>FCIA ANTONINHO LTDA</v>
          </cell>
          <cell r="C202" t="str">
            <v>INDEPENDENTES VIN</v>
          </cell>
          <cell r="D202" t="str">
            <v>PRESIDENTE PRUDENTE</v>
          </cell>
          <cell r="E202" t="str">
            <v>SP</v>
          </cell>
          <cell r="I202" t="str">
            <v>Não Comprou</v>
          </cell>
        </row>
        <row r="203">
          <cell r="A203">
            <v>4383728000109</v>
          </cell>
          <cell r="B203" t="str">
            <v>FCIA ANHANI &amp; LISBOA</v>
          </cell>
          <cell r="C203" t="str">
            <v>DSG FARMA</v>
          </cell>
          <cell r="D203" t="str">
            <v>MIRANDOPOLIS</v>
          </cell>
          <cell r="E203" t="str">
            <v>SP</v>
          </cell>
          <cell r="F203">
            <v>46315</v>
          </cell>
          <cell r="G203">
            <v>3329.9600000000009</v>
          </cell>
          <cell r="H203">
            <v>1100.49</v>
          </cell>
          <cell r="I203" t="str">
            <v>Comprou Marcas e SG</v>
          </cell>
        </row>
        <row r="204">
          <cell r="A204">
            <v>3070289000103</v>
          </cell>
          <cell r="B204" t="str">
            <v>FCIA ALTERNATIVA</v>
          </cell>
          <cell r="C204" t="str">
            <v>HIPER SAUDE</v>
          </cell>
          <cell r="D204" t="str">
            <v>SELVIRIA</v>
          </cell>
          <cell r="E204" t="str">
            <v>MS</v>
          </cell>
          <cell r="F204">
            <v>46297</v>
          </cell>
          <cell r="G204">
            <v>314.10000000000002</v>
          </cell>
          <cell r="I204" t="str">
            <v>Comprou Marcas</v>
          </cell>
        </row>
        <row r="205">
          <cell r="A205">
            <v>64096542000192</v>
          </cell>
          <cell r="B205" t="str">
            <v>FARMUTUM</v>
          </cell>
          <cell r="C205" t="str">
            <v>INDEPENDENTES VIN</v>
          </cell>
          <cell r="D205" t="str">
            <v>NOVA MUTUM</v>
          </cell>
          <cell r="E205" t="str">
            <v>MT</v>
          </cell>
          <cell r="F205">
            <v>46308</v>
          </cell>
          <cell r="G205">
            <v>432.17</v>
          </cell>
          <cell r="I205" t="str">
            <v>Comprou Marcas</v>
          </cell>
        </row>
        <row r="206">
          <cell r="A206">
            <v>3511815000123</v>
          </cell>
          <cell r="B206" t="str">
            <v>FARMINEI POPULAR</v>
          </cell>
          <cell r="C206" t="str">
            <v>INDEPENDENTES VIN</v>
          </cell>
          <cell r="D206" t="str">
            <v>CAMPO GRANDE</v>
          </cell>
          <cell r="E206" t="str">
            <v>MS</v>
          </cell>
          <cell r="F206">
            <v>46304</v>
          </cell>
          <cell r="G206">
            <v>2900.1</v>
          </cell>
          <cell r="I206" t="str">
            <v>Comprou Marcas</v>
          </cell>
        </row>
        <row r="207">
          <cell r="A207">
            <v>38662089000124</v>
          </cell>
          <cell r="B207" t="str">
            <v>FARMELHOR</v>
          </cell>
          <cell r="C207" t="str">
            <v>FARMELHOR</v>
          </cell>
          <cell r="D207" t="str">
            <v>QUERENCIA</v>
          </cell>
          <cell r="E207" t="str">
            <v>MT</v>
          </cell>
          <cell r="F207">
            <v>46311</v>
          </cell>
          <cell r="G207">
            <v>2018.6100000000006</v>
          </cell>
          <cell r="I207" t="str">
            <v>Comprou Marcas</v>
          </cell>
        </row>
        <row r="208">
          <cell r="A208">
            <v>29301968000130</v>
          </cell>
          <cell r="B208" t="str">
            <v>FARMAZIL</v>
          </cell>
          <cell r="C208" t="str">
            <v>INDEPENDENTES VIN</v>
          </cell>
          <cell r="D208" t="str">
            <v>CUIABA</v>
          </cell>
          <cell r="E208" t="str">
            <v>MT</v>
          </cell>
          <cell r="F208">
            <v>46307</v>
          </cell>
          <cell r="G208">
            <v>2940.6700000000005</v>
          </cell>
          <cell r="I208" t="str">
            <v>Comprou Marcas</v>
          </cell>
        </row>
        <row r="209">
          <cell r="A209">
            <v>50963555000107</v>
          </cell>
          <cell r="B209" t="str">
            <v>FARMAVOCE</v>
          </cell>
          <cell r="C209" t="str">
            <v>INDEPENDENTES VIN</v>
          </cell>
          <cell r="D209" t="str">
            <v>COLIDER</v>
          </cell>
          <cell r="E209" t="str">
            <v>MT</v>
          </cell>
          <cell r="F209">
            <v>46314</v>
          </cell>
          <cell r="G209">
            <v>3669.1400000000003</v>
          </cell>
          <cell r="I209" t="str">
            <v>Comprou Marcas</v>
          </cell>
        </row>
        <row r="210">
          <cell r="A210">
            <v>5939112000126</v>
          </cell>
          <cell r="B210" t="str">
            <v>FARMAVIDA FARMACIA</v>
          </cell>
          <cell r="C210" t="str">
            <v>FARMARCAS</v>
          </cell>
          <cell r="D210" t="str">
            <v>SAPEZAL</v>
          </cell>
          <cell r="E210" t="str">
            <v>MT</v>
          </cell>
          <cell r="I210" t="str">
            <v>Não Comprou</v>
          </cell>
        </row>
        <row r="211">
          <cell r="A211">
            <v>531367000131</v>
          </cell>
          <cell r="B211" t="str">
            <v>FARMAVIDA</v>
          </cell>
          <cell r="C211" t="str">
            <v>FARMARCAS</v>
          </cell>
          <cell r="D211" t="str">
            <v>NOVA ALVORADA DO SUL</v>
          </cell>
          <cell r="E211" t="str">
            <v>MS</v>
          </cell>
          <cell r="F211">
            <v>46316</v>
          </cell>
          <cell r="G211">
            <v>996.67000000000007</v>
          </cell>
          <cell r="I211" t="str">
            <v>Comprou Marcas</v>
          </cell>
        </row>
        <row r="212">
          <cell r="A212">
            <v>531367000212</v>
          </cell>
          <cell r="B212" t="str">
            <v>FARMAVIDA</v>
          </cell>
          <cell r="C212" t="str">
            <v>FARMARCAS</v>
          </cell>
          <cell r="D212" t="str">
            <v>NOVA ALVORADA DO SUL</v>
          </cell>
          <cell r="E212" t="str">
            <v>MS</v>
          </cell>
          <cell r="F212">
            <v>46316</v>
          </cell>
          <cell r="G212">
            <v>3726.3999999999992</v>
          </cell>
          <cell r="I212" t="str">
            <v>Comprou Marcas</v>
          </cell>
        </row>
        <row r="213">
          <cell r="A213">
            <v>531367000301</v>
          </cell>
          <cell r="B213" t="str">
            <v>FARMAVIDA</v>
          </cell>
          <cell r="C213" t="str">
            <v>FARMARCAS</v>
          </cell>
          <cell r="D213" t="str">
            <v>NOVA ALVORADA DO SUL</v>
          </cell>
          <cell r="E213" t="str">
            <v>MS</v>
          </cell>
          <cell r="F213">
            <v>46316</v>
          </cell>
          <cell r="G213">
            <v>6833.8200000000006</v>
          </cell>
          <cell r="I213" t="str">
            <v>Comprou Marcas</v>
          </cell>
        </row>
        <row r="214">
          <cell r="A214">
            <v>15317875000199</v>
          </cell>
          <cell r="B214" t="str">
            <v>FARMAVIDA</v>
          </cell>
          <cell r="C214" t="str">
            <v>ASSOCIADAS</v>
          </cell>
          <cell r="D214" t="str">
            <v>FATIMA DO SUL</v>
          </cell>
          <cell r="E214" t="str">
            <v>MS</v>
          </cell>
          <cell r="F214">
            <v>46315</v>
          </cell>
          <cell r="G214">
            <v>2869.7799999999997</v>
          </cell>
          <cell r="I214" t="str">
            <v>Comprou Marcas</v>
          </cell>
        </row>
        <row r="215">
          <cell r="A215">
            <v>7865786000159</v>
          </cell>
          <cell r="B215" t="str">
            <v>FARMAVIDA</v>
          </cell>
          <cell r="C215" t="str">
            <v>INDEPENDENTES VIN</v>
          </cell>
          <cell r="D215" t="str">
            <v>MIRANDA</v>
          </cell>
          <cell r="E215" t="str">
            <v>MS</v>
          </cell>
          <cell r="F215">
            <v>46314</v>
          </cell>
          <cell r="G215">
            <v>2760.0099999999998</v>
          </cell>
          <cell r="I215" t="str">
            <v>Comprou Marcas</v>
          </cell>
        </row>
        <row r="216">
          <cell r="A216">
            <v>13159261000109</v>
          </cell>
          <cell r="B216" t="str">
            <v>FARMAVIDA</v>
          </cell>
          <cell r="C216" t="str">
            <v>ASSOCIADAS</v>
          </cell>
          <cell r="D216" t="str">
            <v>DOIS IRMAOS DO BURITI</v>
          </cell>
          <cell r="E216" t="str">
            <v>MS</v>
          </cell>
          <cell r="F216">
            <v>46316</v>
          </cell>
          <cell r="G216">
            <v>7159.2900000000018</v>
          </cell>
          <cell r="I216" t="str">
            <v>Comprou Marcas</v>
          </cell>
        </row>
        <row r="217">
          <cell r="A217">
            <v>9101173000170</v>
          </cell>
          <cell r="B217" t="str">
            <v>FARMAVIDA</v>
          </cell>
          <cell r="C217" t="str">
            <v>DROGARIA TOTAL</v>
          </cell>
          <cell r="D217" t="str">
            <v>BIRIGUI</v>
          </cell>
          <cell r="E217" t="str">
            <v>SP</v>
          </cell>
          <cell r="I217" t="str">
            <v>Não Comprou</v>
          </cell>
        </row>
        <row r="218">
          <cell r="A218">
            <v>9417126000130</v>
          </cell>
          <cell r="B218" t="str">
            <v>FARMAVIDA</v>
          </cell>
          <cell r="C218" t="str">
            <v>MULTIDROGAS</v>
          </cell>
          <cell r="D218" t="str">
            <v>GUARACAI</v>
          </cell>
          <cell r="E218" t="str">
            <v>SP</v>
          </cell>
          <cell r="F218">
            <v>46316</v>
          </cell>
          <cell r="G218">
            <v>3489.4099999999994</v>
          </cell>
          <cell r="H218">
            <v>5018.68</v>
          </cell>
          <cell r="I218" t="str">
            <v>Comprou Marcas e SG</v>
          </cell>
        </row>
        <row r="219">
          <cell r="A219">
            <v>4050862000180</v>
          </cell>
          <cell r="B219" t="str">
            <v>FARMATOTAL</v>
          </cell>
          <cell r="C219" t="str">
            <v>FARMARCAS</v>
          </cell>
          <cell r="D219" t="str">
            <v>CAMPO GRANDE</v>
          </cell>
          <cell r="E219" t="str">
            <v>MS</v>
          </cell>
          <cell r="F219">
            <v>46303</v>
          </cell>
          <cell r="G219">
            <v>866.25000000000011</v>
          </cell>
          <cell r="I219" t="str">
            <v>Comprou Marcas</v>
          </cell>
        </row>
        <row r="220">
          <cell r="A220">
            <v>4050862000260</v>
          </cell>
          <cell r="B220" t="str">
            <v>FARMATOTAL</v>
          </cell>
          <cell r="C220" t="str">
            <v>FARMARCAS</v>
          </cell>
          <cell r="D220" t="str">
            <v>CAMPO GRANDE</v>
          </cell>
          <cell r="E220" t="str">
            <v>MS</v>
          </cell>
          <cell r="F220">
            <v>46303</v>
          </cell>
          <cell r="G220">
            <v>1324.78</v>
          </cell>
          <cell r="I220" t="str">
            <v>Comprou Marcas</v>
          </cell>
        </row>
        <row r="221">
          <cell r="A221">
            <v>4050862000341</v>
          </cell>
          <cell r="B221" t="str">
            <v>FARMATOTAL</v>
          </cell>
          <cell r="C221" t="str">
            <v>FARMARCAS</v>
          </cell>
          <cell r="D221" t="str">
            <v>CAMPO GRANDE</v>
          </cell>
          <cell r="E221" t="str">
            <v>MS</v>
          </cell>
          <cell r="F221">
            <v>46303</v>
          </cell>
          <cell r="G221">
            <v>2756.5500000000006</v>
          </cell>
          <cell r="I221" t="str">
            <v>Comprou Marcas</v>
          </cell>
        </row>
        <row r="222">
          <cell r="A222">
            <v>13938314000262</v>
          </cell>
          <cell r="B222" t="str">
            <v>FARMATOTAL</v>
          </cell>
          <cell r="C222" t="str">
            <v>FARMARCAS</v>
          </cell>
          <cell r="D222" t="str">
            <v>CAMPO GRANDE</v>
          </cell>
          <cell r="E222" t="str">
            <v>MS</v>
          </cell>
          <cell r="F222">
            <v>46303</v>
          </cell>
          <cell r="G222">
            <v>1087.56</v>
          </cell>
          <cell r="I222" t="str">
            <v>Comprou Marcas</v>
          </cell>
        </row>
        <row r="223">
          <cell r="A223">
            <v>20119949000112</v>
          </cell>
          <cell r="B223" t="str">
            <v>FARMATOTAL</v>
          </cell>
          <cell r="C223" t="str">
            <v>ASSOCIADAS</v>
          </cell>
          <cell r="D223" t="str">
            <v>CAMPO GRANDE</v>
          </cell>
          <cell r="E223" t="str">
            <v>MS</v>
          </cell>
          <cell r="I223" t="str">
            <v>Não Comprou</v>
          </cell>
        </row>
        <row r="224">
          <cell r="A224">
            <v>96252382000110</v>
          </cell>
          <cell r="B224" t="str">
            <v>FARMASUSI</v>
          </cell>
          <cell r="C224" t="str">
            <v>INDEPENDENTES VIN</v>
          </cell>
          <cell r="D224" t="str">
            <v>ALVARES MACHADO</v>
          </cell>
          <cell r="E224" t="str">
            <v>SP</v>
          </cell>
          <cell r="F224">
            <v>46316</v>
          </cell>
          <cell r="G224">
            <v>1182.75</v>
          </cell>
          <cell r="I224" t="str">
            <v>Comprou Marcas</v>
          </cell>
        </row>
        <row r="225">
          <cell r="A225">
            <v>1357742000131</v>
          </cell>
          <cell r="B225" t="str">
            <v>FARMASUL</v>
          </cell>
          <cell r="C225" t="str">
            <v>REDE MADEIRA</v>
          </cell>
          <cell r="D225" t="str">
            <v>SINOP</v>
          </cell>
          <cell r="E225" t="str">
            <v>MT</v>
          </cell>
          <cell r="F225">
            <v>46315</v>
          </cell>
          <cell r="G225">
            <v>29134.47</v>
          </cell>
          <cell r="H225">
            <v>10550.28</v>
          </cell>
          <cell r="I225" t="str">
            <v>Comprou Marcas e SG</v>
          </cell>
        </row>
        <row r="226">
          <cell r="A226">
            <v>37563038000182</v>
          </cell>
          <cell r="B226" t="str">
            <v>FARMASINTESE</v>
          </cell>
          <cell r="C226" t="str">
            <v>MASTERFARMA</v>
          </cell>
          <cell r="D226" t="str">
            <v>MARACAJU</v>
          </cell>
          <cell r="E226" t="str">
            <v>MS</v>
          </cell>
          <cell r="I226" t="str">
            <v>Não Comprou</v>
          </cell>
        </row>
        <row r="227">
          <cell r="A227">
            <v>55913843000170</v>
          </cell>
          <cell r="B227" t="str">
            <v>FARMARELA</v>
          </cell>
          <cell r="C227" t="str">
            <v>ECONOMIZE RONDONOPOLIS</v>
          </cell>
          <cell r="D227" t="str">
            <v>CUIABA</v>
          </cell>
          <cell r="E227" t="str">
            <v>MT</v>
          </cell>
          <cell r="I227" t="str">
            <v>Não Comprou</v>
          </cell>
        </row>
        <row r="228">
          <cell r="A228">
            <v>62464432000100</v>
          </cell>
          <cell r="B228" t="str">
            <v>FARMARCIA GERIZIM</v>
          </cell>
          <cell r="C228" t="str">
            <v>ASSOCIADAS</v>
          </cell>
          <cell r="D228" t="str">
            <v>RIBAS DO RIO PARDO</v>
          </cell>
          <cell r="E228" t="str">
            <v>MS</v>
          </cell>
          <cell r="I228" t="str">
            <v>Não Comprou</v>
          </cell>
        </row>
        <row r="229">
          <cell r="A229">
            <v>4564557000106</v>
          </cell>
          <cell r="B229" t="str">
            <v>FARMAR</v>
          </cell>
          <cell r="C229" t="str">
            <v>INDEPENDENTES VIN</v>
          </cell>
          <cell r="D229" t="str">
            <v>GUARARAPES</v>
          </cell>
          <cell r="E229" t="str">
            <v>SP</v>
          </cell>
          <cell r="F229">
            <v>46302</v>
          </cell>
          <cell r="G229">
            <v>267.67</v>
          </cell>
          <cell r="H229">
            <v>1175</v>
          </cell>
          <cell r="I229" t="str">
            <v>Comprou Marcas e SG</v>
          </cell>
        </row>
        <row r="230">
          <cell r="A230">
            <v>86309000146</v>
          </cell>
          <cell r="B230" t="str">
            <v>FARMANOVA</v>
          </cell>
          <cell r="C230" t="str">
            <v>MASTERFARMA</v>
          </cell>
          <cell r="D230" t="str">
            <v>AGUA CLARA</v>
          </cell>
          <cell r="E230" t="str">
            <v>MS</v>
          </cell>
          <cell r="F230">
            <v>46310</v>
          </cell>
          <cell r="G230">
            <v>1131.56</v>
          </cell>
          <cell r="I230" t="str">
            <v>Comprou Marcas</v>
          </cell>
        </row>
        <row r="231">
          <cell r="A231">
            <v>56129324000260</v>
          </cell>
          <cell r="B231" t="str">
            <v>FARMANIA</v>
          </cell>
          <cell r="C231" t="str">
            <v>INDEPENDENTES VIN</v>
          </cell>
          <cell r="D231" t="str">
            <v>CAMPO GRANDE</v>
          </cell>
          <cell r="E231" t="str">
            <v>MS</v>
          </cell>
          <cell r="I231" t="str">
            <v>Não Comprou</v>
          </cell>
        </row>
        <row r="232">
          <cell r="A232">
            <v>40627707000147</v>
          </cell>
          <cell r="B232" t="str">
            <v>FARMAMIL</v>
          </cell>
          <cell r="C232" t="str">
            <v>MASTERFARMA</v>
          </cell>
          <cell r="D232" t="str">
            <v>PONTA PORA</v>
          </cell>
          <cell r="E232" t="str">
            <v>MS</v>
          </cell>
          <cell r="I232" t="str">
            <v>Não Comprou</v>
          </cell>
        </row>
        <row r="233">
          <cell r="A233">
            <v>14511974000144</v>
          </cell>
          <cell r="B233" t="str">
            <v>FARMALINE</v>
          </cell>
          <cell r="C233" t="str">
            <v>DSG FARMA</v>
          </cell>
          <cell r="D233" t="str">
            <v>CAMPO GRANDE</v>
          </cell>
          <cell r="E233" t="str">
            <v>MS</v>
          </cell>
          <cell r="I233" t="str">
            <v>Não Comprou</v>
          </cell>
        </row>
        <row r="234">
          <cell r="A234">
            <v>10673419000168</v>
          </cell>
          <cell r="B234" t="str">
            <v>FARMAJULIA</v>
          </cell>
          <cell r="C234" t="str">
            <v>INDEPENDENTES VIN</v>
          </cell>
          <cell r="D234" t="str">
            <v>SINOP</v>
          </cell>
          <cell r="E234" t="str">
            <v>MT</v>
          </cell>
          <cell r="I234" t="str">
            <v>Não Comprou</v>
          </cell>
        </row>
        <row r="235">
          <cell r="A235">
            <v>17176661000175</v>
          </cell>
          <cell r="B235" t="str">
            <v>FARMAIVI</v>
          </cell>
          <cell r="C235" t="str">
            <v>ASSOCIADAS</v>
          </cell>
          <cell r="D235" t="str">
            <v>IVINHEMA</v>
          </cell>
          <cell r="E235" t="str">
            <v>MS</v>
          </cell>
          <cell r="F235">
            <v>46310</v>
          </cell>
          <cell r="G235">
            <v>7025.119999999999</v>
          </cell>
          <cell r="I235" t="str">
            <v>Comprou Marcas</v>
          </cell>
        </row>
        <row r="236">
          <cell r="A236">
            <v>17176661000256</v>
          </cell>
          <cell r="B236" t="str">
            <v>FARMAIVI</v>
          </cell>
          <cell r="C236" t="str">
            <v>ASSOCIADAS</v>
          </cell>
          <cell r="D236" t="str">
            <v>IVINHEMA</v>
          </cell>
          <cell r="E236" t="str">
            <v>MS</v>
          </cell>
          <cell r="I236" t="str">
            <v>Não Comprou</v>
          </cell>
        </row>
        <row r="237">
          <cell r="A237">
            <v>3921201000110</v>
          </cell>
          <cell r="B237" t="str">
            <v>FARMAIS TEODORO SAMPAIO</v>
          </cell>
          <cell r="C237" t="str">
            <v>FARMAIS</v>
          </cell>
          <cell r="D237" t="str">
            <v>TEODORO SAMPAIO</v>
          </cell>
          <cell r="E237" t="str">
            <v>SP</v>
          </cell>
          <cell r="F237">
            <v>46316</v>
          </cell>
          <cell r="G237">
            <v>3493.7799999999997</v>
          </cell>
          <cell r="H237">
            <v>602.42000000000007</v>
          </cell>
          <cell r="I237" t="str">
            <v>Comprou Marcas e SG</v>
          </cell>
        </row>
        <row r="238">
          <cell r="A238">
            <v>10309605000112</v>
          </cell>
          <cell r="B238" t="str">
            <v>FARMAIS PARANAIBA</v>
          </cell>
          <cell r="C238" t="str">
            <v>FARMAIS</v>
          </cell>
          <cell r="D238" t="str">
            <v>PARANAIBA</v>
          </cell>
          <cell r="E238" t="str">
            <v>MS</v>
          </cell>
          <cell r="F238">
            <v>46316</v>
          </cell>
          <cell r="G238">
            <v>5764.8099999999995</v>
          </cell>
          <cell r="I238" t="str">
            <v>Comprou Marcas</v>
          </cell>
        </row>
        <row r="239">
          <cell r="A239">
            <v>48808406000121</v>
          </cell>
          <cell r="B239" t="str">
            <v>FARMAIS</v>
          </cell>
          <cell r="C239" t="str">
            <v>FARMAIS</v>
          </cell>
          <cell r="D239" t="str">
            <v>TUPI PAULISTA</v>
          </cell>
          <cell r="E239" t="str">
            <v>SP</v>
          </cell>
          <cell r="I239" t="str">
            <v>Não Comprou</v>
          </cell>
        </row>
        <row r="240">
          <cell r="A240">
            <v>72855430000104</v>
          </cell>
          <cell r="B240" t="str">
            <v>FARMAIS</v>
          </cell>
          <cell r="C240" t="str">
            <v>FARMAIS</v>
          </cell>
          <cell r="D240" t="str">
            <v>PRESIDENTE EPITACIO</v>
          </cell>
          <cell r="E240" t="str">
            <v>SP</v>
          </cell>
          <cell r="F240">
            <v>46314</v>
          </cell>
          <cell r="G240">
            <v>1729.2900000000004</v>
          </cell>
          <cell r="H240">
            <v>2772.6</v>
          </cell>
          <cell r="I240" t="str">
            <v>Comprou Marcas e SG</v>
          </cell>
        </row>
        <row r="241">
          <cell r="A241">
            <v>22073444000190</v>
          </cell>
          <cell r="B241" t="str">
            <v>FARMACIDADE</v>
          </cell>
          <cell r="C241" t="str">
            <v>MASTERFARMA</v>
          </cell>
          <cell r="D241" t="str">
            <v>SINOP</v>
          </cell>
          <cell r="E241" t="str">
            <v>MT</v>
          </cell>
          <cell r="F241">
            <v>46314</v>
          </cell>
          <cell r="G241">
            <v>160.08000000000001</v>
          </cell>
          <cell r="I241" t="str">
            <v>Comprou Marcas</v>
          </cell>
        </row>
        <row r="242">
          <cell r="A242">
            <v>13289540000189</v>
          </cell>
          <cell r="B242" t="str">
            <v>FARMACIAS SUPRAVITA</v>
          </cell>
          <cell r="C242" t="str">
            <v>ASSOCIADAS</v>
          </cell>
          <cell r="D242" t="str">
            <v>SINOP</v>
          </cell>
          <cell r="E242" t="str">
            <v>MT</v>
          </cell>
          <cell r="I242" t="str">
            <v>Não Comprou</v>
          </cell>
        </row>
        <row r="243">
          <cell r="A243">
            <v>24920461000221</v>
          </cell>
          <cell r="B243" t="str">
            <v>FARMACIAS POPULAR BAIRRO</v>
          </cell>
          <cell r="C243" t="str">
            <v>ECONOMIZE RONDONOPOLIS</v>
          </cell>
          <cell r="D243" t="str">
            <v>NOVA MUTUM</v>
          </cell>
          <cell r="E243" t="str">
            <v>MT</v>
          </cell>
          <cell r="F243">
            <v>46315</v>
          </cell>
          <cell r="G243">
            <v>3129.34</v>
          </cell>
          <cell r="I243" t="str">
            <v>Comprou Marcas</v>
          </cell>
        </row>
        <row r="244">
          <cell r="A244">
            <v>24920461000140</v>
          </cell>
          <cell r="B244" t="str">
            <v>FARMACIAS POPULAR</v>
          </cell>
          <cell r="C244" t="str">
            <v>ECONOMIZE RONDONOPOLIS</v>
          </cell>
          <cell r="D244" t="str">
            <v>NOVA MUTUM</v>
          </cell>
          <cell r="E244" t="str">
            <v>MT</v>
          </cell>
          <cell r="F244">
            <v>46316</v>
          </cell>
          <cell r="G244">
            <v>13902.97000000001</v>
          </cell>
          <cell r="I244" t="str">
            <v>Comprou Marcas</v>
          </cell>
        </row>
        <row r="245">
          <cell r="A245">
            <v>6368293000140</v>
          </cell>
          <cell r="B245" t="str">
            <v>FARMACIAS MEIO PRECO INGAS</v>
          </cell>
          <cell r="C245" t="str">
            <v>INDEPENDENTES VIN</v>
          </cell>
          <cell r="D245" t="str">
            <v>SINOP</v>
          </cell>
          <cell r="E245" t="str">
            <v>MT</v>
          </cell>
          <cell r="I245" t="str">
            <v>Não Comprou</v>
          </cell>
        </row>
        <row r="246">
          <cell r="A246">
            <v>65892972000183</v>
          </cell>
          <cell r="B246" t="str">
            <v>FARMACIAS MAIS ECONOMICA</v>
          </cell>
          <cell r="C246" t="str">
            <v>INDEPENDENTES VIN</v>
          </cell>
          <cell r="D246" t="str">
            <v>BARRA DO BUGRES</v>
          </cell>
          <cell r="E246" t="str">
            <v>MT</v>
          </cell>
          <cell r="F246">
            <v>46303</v>
          </cell>
          <cell r="G246">
            <v>1724.05</v>
          </cell>
          <cell r="I246" t="str">
            <v>Comprou Marcas</v>
          </cell>
        </row>
        <row r="247">
          <cell r="A247">
            <v>33019679000110</v>
          </cell>
          <cell r="B247" t="str">
            <v>FARMACIAS DESCONTO FACIL</v>
          </cell>
          <cell r="C247" t="str">
            <v>ECONOMIZE RONDONOPOLIS</v>
          </cell>
          <cell r="D247" t="str">
            <v>TANGARA DA SERRA</v>
          </cell>
          <cell r="E247" t="str">
            <v>MT</v>
          </cell>
          <cell r="F247">
            <v>46316</v>
          </cell>
          <cell r="G247">
            <v>4924.2500000000018</v>
          </cell>
          <cell r="I247" t="str">
            <v>Comprou Marcas</v>
          </cell>
        </row>
        <row r="248">
          <cell r="A248">
            <v>13874468000238</v>
          </cell>
          <cell r="B248" t="str">
            <v>FARMACIA VITA FARMA II</v>
          </cell>
          <cell r="C248" t="str">
            <v>ASFAR FARMACIAS</v>
          </cell>
          <cell r="D248" t="str">
            <v>SINOP</v>
          </cell>
          <cell r="E248" t="str">
            <v>MT</v>
          </cell>
          <cell r="F248">
            <v>46316</v>
          </cell>
          <cell r="G248">
            <v>964.92000000000007</v>
          </cell>
          <cell r="I248" t="str">
            <v>Comprou Marcas</v>
          </cell>
        </row>
        <row r="249">
          <cell r="A249">
            <v>13874468000157</v>
          </cell>
          <cell r="B249" t="str">
            <v>FARMACIA VITA FARMA</v>
          </cell>
          <cell r="C249" t="str">
            <v>ASFAR FARMACIAS</v>
          </cell>
          <cell r="D249" t="str">
            <v>SINOP</v>
          </cell>
          <cell r="E249" t="str">
            <v>MT</v>
          </cell>
          <cell r="F249">
            <v>46316</v>
          </cell>
          <cell r="G249">
            <v>3098.3399999999997</v>
          </cell>
          <cell r="I249" t="str">
            <v>Comprou Marcas</v>
          </cell>
        </row>
        <row r="250">
          <cell r="A250">
            <v>53284997000115</v>
          </cell>
          <cell r="B250" t="str">
            <v>FARMACIA VITA FARMA</v>
          </cell>
          <cell r="C250" t="str">
            <v>ASFAR FARMACIAS</v>
          </cell>
          <cell r="D250" t="str">
            <v>SINOP</v>
          </cell>
          <cell r="E250" t="str">
            <v>MT</v>
          </cell>
          <cell r="I250" t="str">
            <v>Não Comprou</v>
          </cell>
        </row>
        <row r="251">
          <cell r="A251">
            <v>1770218000198</v>
          </cell>
          <cell r="B251" t="str">
            <v>FARMACIA VIDEIRA</v>
          </cell>
          <cell r="C251" t="str">
            <v>MULTIDROGAS</v>
          </cell>
          <cell r="D251" t="str">
            <v>VALPARAISO</v>
          </cell>
          <cell r="E251" t="str">
            <v>SP</v>
          </cell>
          <cell r="F251">
            <v>46303</v>
          </cell>
          <cell r="G251">
            <v>176.63000000000002</v>
          </cell>
          <cell r="I251" t="str">
            <v>Comprou Marcas</v>
          </cell>
        </row>
        <row r="252">
          <cell r="A252">
            <v>10488667000139</v>
          </cell>
          <cell r="B252" t="str">
            <v>FARMACIA VASCO</v>
          </cell>
          <cell r="C252" t="str">
            <v>ASSOCIADAS</v>
          </cell>
          <cell r="D252" t="str">
            <v>INOCENCIA</v>
          </cell>
          <cell r="E252" t="str">
            <v>MS</v>
          </cell>
          <cell r="F252">
            <v>46310</v>
          </cell>
          <cell r="G252">
            <v>5176.2899999999991</v>
          </cell>
          <cell r="I252" t="str">
            <v>Comprou Marcas</v>
          </cell>
        </row>
        <row r="253">
          <cell r="A253">
            <v>10299122000184</v>
          </cell>
          <cell r="B253" t="str">
            <v>FARMACIA UNIVERSAL</v>
          </cell>
          <cell r="C253" t="str">
            <v>INDEPENDENTES VIN</v>
          </cell>
          <cell r="D253" t="str">
            <v>COXIM</v>
          </cell>
          <cell r="E253" t="str">
            <v>MS</v>
          </cell>
          <cell r="F253">
            <v>46300</v>
          </cell>
          <cell r="G253">
            <v>548.76</v>
          </cell>
          <cell r="I253" t="str">
            <v>Comprou Marcas</v>
          </cell>
        </row>
        <row r="254">
          <cell r="A254">
            <v>24676884000248</v>
          </cell>
          <cell r="B254" t="str">
            <v>FARMACIA UNIMED</v>
          </cell>
          <cell r="C254" t="str">
            <v>INDEPENDENTES VIN</v>
          </cell>
          <cell r="D254" t="str">
            <v>RONDONOPOLIS</v>
          </cell>
          <cell r="E254" t="str">
            <v>MT</v>
          </cell>
          <cell r="F254">
            <v>46315</v>
          </cell>
          <cell r="G254">
            <v>4232.51</v>
          </cell>
          <cell r="I254" t="str">
            <v>Comprou Marcas</v>
          </cell>
        </row>
        <row r="255">
          <cell r="A255">
            <v>5778971000180</v>
          </cell>
          <cell r="B255" t="str">
            <v>FARMACIA UNIFARMA</v>
          </cell>
          <cell r="C255" t="str">
            <v>MULTIDROGAS</v>
          </cell>
          <cell r="D255" t="str">
            <v>IVINHEMA</v>
          </cell>
          <cell r="E255" t="str">
            <v>MS</v>
          </cell>
          <cell r="F255">
            <v>46303</v>
          </cell>
          <cell r="G255">
            <v>1530.0299999999997</v>
          </cell>
          <cell r="I255" t="str">
            <v>Comprou Marcas</v>
          </cell>
        </row>
        <row r="256">
          <cell r="A256">
            <v>43002849000107</v>
          </cell>
          <cell r="B256" t="str">
            <v>FARMACIA UNIAO</v>
          </cell>
          <cell r="C256" t="str">
            <v>INDEPENDENTES VIN</v>
          </cell>
          <cell r="D256" t="str">
            <v>ADAMANTINA</v>
          </cell>
          <cell r="E256" t="str">
            <v>SP</v>
          </cell>
          <cell r="F256">
            <v>46314</v>
          </cell>
          <cell r="G256">
            <v>1413.9200000000003</v>
          </cell>
          <cell r="I256" t="str">
            <v>Comprou Marcas</v>
          </cell>
        </row>
        <row r="257">
          <cell r="A257">
            <v>32162131000161</v>
          </cell>
          <cell r="B257" t="str">
            <v>FARMACIA ULTRA POPULAR DE ALTO ARAGUAIA</v>
          </cell>
          <cell r="C257" t="str">
            <v>FARMARCAS</v>
          </cell>
          <cell r="D257" t="str">
            <v>ALTO ARAGUAIA</v>
          </cell>
          <cell r="E257" t="str">
            <v>MT</v>
          </cell>
          <cell r="F257">
            <v>46316</v>
          </cell>
          <cell r="G257">
            <v>4852.3899999999994</v>
          </cell>
          <cell r="I257" t="str">
            <v>Comprou Marcas</v>
          </cell>
        </row>
        <row r="258">
          <cell r="A258">
            <v>18806193000138</v>
          </cell>
          <cell r="B258" t="str">
            <v>FARMACIA ULTRA POPULAR</v>
          </cell>
          <cell r="C258" t="str">
            <v>FARMARCAS</v>
          </cell>
          <cell r="D258" t="str">
            <v>TANGARA DA SERRA</v>
          </cell>
          <cell r="E258" t="str">
            <v>MT</v>
          </cell>
          <cell r="F258">
            <v>46314</v>
          </cell>
          <cell r="G258">
            <v>11468.57</v>
          </cell>
          <cell r="I258" t="str">
            <v>Comprou Marcas</v>
          </cell>
        </row>
        <row r="259">
          <cell r="A259">
            <v>18806193000219</v>
          </cell>
          <cell r="B259" t="str">
            <v>FARMACIA ULTRA POPULAR</v>
          </cell>
          <cell r="C259" t="str">
            <v>FARMARCAS</v>
          </cell>
          <cell r="D259" t="str">
            <v>TANGARA DA SERRA</v>
          </cell>
          <cell r="E259" t="str">
            <v>MT</v>
          </cell>
          <cell r="F259">
            <v>46314</v>
          </cell>
          <cell r="G259">
            <v>3208.2200000000012</v>
          </cell>
          <cell r="I259" t="str">
            <v>Comprou Marcas</v>
          </cell>
        </row>
        <row r="260">
          <cell r="A260">
            <v>18806193000308</v>
          </cell>
          <cell r="B260" t="str">
            <v>FARMACIA ULTRA POPULAR</v>
          </cell>
          <cell r="C260" t="str">
            <v>FARMARCAS</v>
          </cell>
          <cell r="D260" t="str">
            <v>NOVA OLIMPIA</v>
          </cell>
          <cell r="E260" t="str">
            <v>MT</v>
          </cell>
          <cell r="F260">
            <v>46314</v>
          </cell>
          <cell r="G260">
            <v>6967.4500000000016</v>
          </cell>
          <cell r="I260" t="str">
            <v>Comprou Marcas</v>
          </cell>
        </row>
        <row r="261">
          <cell r="A261">
            <v>18806193000561</v>
          </cell>
          <cell r="B261" t="str">
            <v>FARMACIA ULTRA POPULAR</v>
          </cell>
          <cell r="C261" t="str">
            <v>FARMARCAS</v>
          </cell>
          <cell r="D261" t="str">
            <v>TANGARA DA SERRA</v>
          </cell>
          <cell r="E261" t="str">
            <v>MT</v>
          </cell>
          <cell r="F261">
            <v>46314</v>
          </cell>
          <cell r="G261">
            <v>7637.2499999999982</v>
          </cell>
          <cell r="I261" t="str">
            <v>Comprou Marcas</v>
          </cell>
        </row>
        <row r="262">
          <cell r="A262">
            <v>18806193000642</v>
          </cell>
          <cell r="B262" t="str">
            <v>FARMACIA ULTRA POPULAR</v>
          </cell>
          <cell r="C262" t="str">
            <v>FARMARCAS</v>
          </cell>
          <cell r="D262" t="str">
            <v>TANGARA DA SERRA</v>
          </cell>
          <cell r="E262" t="str">
            <v>MT</v>
          </cell>
          <cell r="F262">
            <v>46314</v>
          </cell>
          <cell r="G262">
            <v>2762.7400000000007</v>
          </cell>
          <cell r="I262" t="str">
            <v>Comprou Marcas</v>
          </cell>
        </row>
        <row r="263">
          <cell r="A263">
            <v>18806193000723</v>
          </cell>
          <cell r="B263" t="str">
            <v>FARMACIA ULTRA POPULAR</v>
          </cell>
          <cell r="C263" t="str">
            <v>FARMARCAS</v>
          </cell>
          <cell r="D263" t="str">
            <v>TANGARA DA SERRA</v>
          </cell>
          <cell r="E263" t="str">
            <v>MT</v>
          </cell>
          <cell r="F263">
            <v>46314</v>
          </cell>
          <cell r="G263">
            <v>5207.1600000000008</v>
          </cell>
          <cell r="I263" t="str">
            <v>Comprou Marcas</v>
          </cell>
        </row>
        <row r="264">
          <cell r="A264">
            <v>18806193000804</v>
          </cell>
          <cell r="B264" t="str">
            <v>FARMACIA ULTRA POPULAR</v>
          </cell>
          <cell r="C264" t="str">
            <v>FARMARCAS</v>
          </cell>
          <cell r="D264" t="str">
            <v>BARRA DO BUGRES</v>
          </cell>
          <cell r="E264" t="str">
            <v>MT</v>
          </cell>
          <cell r="F264">
            <v>46314</v>
          </cell>
          <cell r="G264">
            <v>2604.8000000000002</v>
          </cell>
          <cell r="I264" t="str">
            <v>Comprou Marcas</v>
          </cell>
        </row>
        <row r="265">
          <cell r="A265">
            <v>18806193000995</v>
          </cell>
          <cell r="B265" t="str">
            <v>FARMACIA ULTRA POPULAR</v>
          </cell>
          <cell r="C265" t="str">
            <v>FARMARCAS</v>
          </cell>
          <cell r="D265" t="str">
            <v>BARRA DO BUGRES</v>
          </cell>
          <cell r="E265" t="str">
            <v>MT</v>
          </cell>
          <cell r="F265">
            <v>46314</v>
          </cell>
          <cell r="G265">
            <v>3313.2900000000004</v>
          </cell>
          <cell r="I265" t="str">
            <v>Comprou Marcas</v>
          </cell>
        </row>
        <row r="266">
          <cell r="A266">
            <v>34152830000156</v>
          </cell>
          <cell r="B266" t="str">
            <v>FARMACIA SUPER POPULAR</v>
          </cell>
          <cell r="C266" t="str">
            <v>MASTERFARMA</v>
          </cell>
          <cell r="D266" t="str">
            <v>CULTURAMA (FATIMA DO SUL)</v>
          </cell>
          <cell r="E266" t="str">
            <v>MS</v>
          </cell>
          <cell r="I266" t="str">
            <v>Não Comprou</v>
          </cell>
        </row>
        <row r="267">
          <cell r="A267">
            <v>49672071000120</v>
          </cell>
          <cell r="B267" t="str">
            <v>FARMACIA SUPER POPULAR</v>
          </cell>
          <cell r="C267" t="str">
            <v>MASTERFARMA</v>
          </cell>
          <cell r="D267" t="str">
            <v>VICENTINA</v>
          </cell>
          <cell r="E267" t="str">
            <v>MS</v>
          </cell>
          <cell r="I267" t="str">
            <v>Não Comprou</v>
          </cell>
        </row>
        <row r="268">
          <cell r="A268">
            <v>31832914000142</v>
          </cell>
          <cell r="B268" t="str">
            <v>FARMACIA SUPER POPULAR</v>
          </cell>
          <cell r="C268" t="str">
            <v>MASTERFARMA</v>
          </cell>
          <cell r="D268" t="str">
            <v>CAMPO GRANDE</v>
          </cell>
          <cell r="E268" t="str">
            <v>MS</v>
          </cell>
          <cell r="F268">
            <v>46304</v>
          </cell>
          <cell r="G268">
            <v>1599.83</v>
          </cell>
          <cell r="I268" t="str">
            <v>Comprou Marcas</v>
          </cell>
        </row>
        <row r="269">
          <cell r="A269">
            <v>55312241000168</v>
          </cell>
          <cell r="B269" t="str">
            <v>FARMACIA SUPER POPULAR</v>
          </cell>
          <cell r="C269" t="str">
            <v>MASTERFARMA</v>
          </cell>
          <cell r="D269" t="str">
            <v>CORUMBA</v>
          </cell>
          <cell r="E269" t="str">
            <v>MS</v>
          </cell>
          <cell r="I269" t="str">
            <v>Não Comprou</v>
          </cell>
        </row>
        <row r="270">
          <cell r="A270">
            <v>59472205000112</v>
          </cell>
          <cell r="B270" t="str">
            <v>FARMACIA SUPER POPULAR</v>
          </cell>
          <cell r="C270" t="str">
            <v>MASTERFARMA</v>
          </cell>
          <cell r="D270" t="str">
            <v>SINOP</v>
          </cell>
          <cell r="E270" t="str">
            <v>MT</v>
          </cell>
          <cell r="I270" t="str">
            <v>Não Comprou</v>
          </cell>
        </row>
        <row r="271">
          <cell r="A271">
            <v>4538037000129</v>
          </cell>
          <cell r="B271" t="str">
            <v>FARMACIA SAO VICENTE II</v>
          </cell>
          <cell r="C271" t="str">
            <v>MULTIDROGAS</v>
          </cell>
          <cell r="D271" t="str">
            <v>ARACATUBA</v>
          </cell>
          <cell r="E271" t="str">
            <v>SP</v>
          </cell>
          <cell r="F271">
            <v>46316</v>
          </cell>
          <cell r="G271">
            <v>883.7299999999999</v>
          </cell>
          <cell r="I271" t="str">
            <v>Comprou Marcas</v>
          </cell>
        </row>
        <row r="272">
          <cell r="A272">
            <v>24092237000108</v>
          </cell>
          <cell r="B272" t="str">
            <v>FARMACIA SAO PEDRO</v>
          </cell>
          <cell r="C272" t="str">
            <v>FARMA &amp; FARMA</v>
          </cell>
          <cell r="D272" t="str">
            <v>SAO GABRIEL DO OESTE</v>
          </cell>
          <cell r="E272" t="str">
            <v>MS</v>
          </cell>
          <cell r="I272" t="str">
            <v>Não Comprou</v>
          </cell>
        </row>
        <row r="273">
          <cell r="A273">
            <v>3521179000110</v>
          </cell>
          <cell r="B273" t="str">
            <v>FARMACIA SAO MATEUS</v>
          </cell>
          <cell r="C273" t="str">
            <v>BIODROGAS</v>
          </cell>
          <cell r="D273" t="str">
            <v>PIRAPOZINHO</v>
          </cell>
          <cell r="E273" t="str">
            <v>SP</v>
          </cell>
          <cell r="F273">
            <v>46303</v>
          </cell>
          <cell r="G273">
            <v>352.43</v>
          </cell>
          <cell r="H273">
            <v>1992.6</v>
          </cell>
          <cell r="I273" t="str">
            <v>Comprou Marcas e SG</v>
          </cell>
        </row>
        <row r="274">
          <cell r="A274">
            <v>59824286000172</v>
          </cell>
          <cell r="B274" t="str">
            <v>FARMACIA SAO JOSE</v>
          </cell>
          <cell r="C274" t="str">
            <v>ASSOCIADAS</v>
          </cell>
          <cell r="D274" t="str">
            <v>DOURADOS</v>
          </cell>
          <cell r="E274" t="str">
            <v>MS</v>
          </cell>
          <cell r="F274">
            <v>46316</v>
          </cell>
          <cell r="G274">
            <v>195.85000000000002</v>
          </cell>
          <cell r="H274">
            <v>3140.09</v>
          </cell>
          <cell r="I274" t="str">
            <v>Comprou Marcas e SG</v>
          </cell>
        </row>
        <row r="275">
          <cell r="A275">
            <v>18768425000100</v>
          </cell>
          <cell r="B275" t="str">
            <v>FARMACIA SAO JOSE</v>
          </cell>
          <cell r="C275" t="str">
            <v>ASSOCIADAS</v>
          </cell>
          <cell r="D275" t="str">
            <v>COSTA RICA</v>
          </cell>
          <cell r="E275" t="str">
            <v>MS</v>
          </cell>
          <cell r="F275">
            <v>46316</v>
          </cell>
          <cell r="G275">
            <v>347.36</v>
          </cell>
          <cell r="I275" t="str">
            <v>Comprou Marcas</v>
          </cell>
        </row>
        <row r="276">
          <cell r="A276">
            <v>22524747000181</v>
          </cell>
          <cell r="B276" t="str">
            <v>FARMACIA SAO JOAO</v>
          </cell>
          <cell r="C276" t="str">
            <v>ASSOCIADAS</v>
          </cell>
          <cell r="D276" t="str">
            <v>PEDRO GOMES</v>
          </cell>
          <cell r="E276" t="str">
            <v>MS</v>
          </cell>
          <cell r="I276" t="str">
            <v>Não Comprou</v>
          </cell>
        </row>
        <row r="277">
          <cell r="A277">
            <v>40735109000191</v>
          </cell>
          <cell r="B277" t="str">
            <v>FARMACIA SAO JOAO</v>
          </cell>
          <cell r="C277" t="str">
            <v>DSG FARMA</v>
          </cell>
          <cell r="D277" t="str">
            <v>SINOP</v>
          </cell>
          <cell r="E277" t="str">
            <v>MT</v>
          </cell>
          <cell r="I277" t="str">
            <v>Não Comprou</v>
          </cell>
        </row>
        <row r="278">
          <cell r="A278">
            <v>21987208000116</v>
          </cell>
          <cell r="B278" t="str">
            <v>FARMACIA SANTO ANTONIO</v>
          </cell>
          <cell r="C278" t="str">
            <v>ASSOCIADAS</v>
          </cell>
          <cell r="D278" t="str">
            <v>GLORIA DE DOURADOS</v>
          </cell>
          <cell r="E278" t="str">
            <v>MS</v>
          </cell>
          <cell r="F278">
            <v>46309</v>
          </cell>
          <cell r="G278">
            <v>15396.279999999995</v>
          </cell>
          <cell r="I278" t="str">
            <v>Comprou Marcas</v>
          </cell>
        </row>
        <row r="279">
          <cell r="A279">
            <v>12237892000128</v>
          </cell>
          <cell r="B279" t="str">
            <v>FARMACIA SANTA MONICA</v>
          </cell>
          <cell r="C279" t="str">
            <v>ASSOCIADAS</v>
          </cell>
          <cell r="D279" t="str">
            <v>CHAPADAO DO SUL</v>
          </cell>
          <cell r="E279" t="str">
            <v>MS</v>
          </cell>
          <cell r="F279">
            <v>46311</v>
          </cell>
          <cell r="G279">
            <v>5508.09</v>
          </cell>
          <cell r="H279">
            <v>1404.7099999999998</v>
          </cell>
          <cell r="I279" t="str">
            <v>Comprou Marcas e SG</v>
          </cell>
        </row>
        <row r="280">
          <cell r="A280">
            <v>17373000175</v>
          </cell>
          <cell r="B280" t="str">
            <v>FARMACIA SANTA LUCIA</v>
          </cell>
          <cell r="C280" t="str">
            <v>INDEPENDENTES VIN</v>
          </cell>
          <cell r="D280" t="str">
            <v>DRACENA</v>
          </cell>
          <cell r="E280" t="str">
            <v>SP</v>
          </cell>
          <cell r="F280">
            <v>46316</v>
          </cell>
          <cell r="G280">
            <v>12497.209999999994</v>
          </cell>
          <cell r="I280" t="str">
            <v>Comprou Marcas</v>
          </cell>
        </row>
        <row r="281">
          <cell r="A281">
            <v>72834815000187</v>
          </cell>
          <cell r="B281" t="str">
            <v>FARMACIA SANTA LUCIA</v>
          </cell>
          <cell r="C281" t="str">
            <v>DROGARIA TOTAL</v>
          </cell>
          <cell r="D281" t="str">
            <v>VALPARAISO</v>
          </cell>
          <cell r="E281" t="str">
            <v>SP</v>
          </cell>
          <cell r="F281">
            <v>46303</v>
          </cell>
          <cell r="G281">
            <v>735.53</v>
          </cell>
          <cell r="I281" t="str">
            <v>Comprou Marcas</v>
          </cell>
        </row>
        <row r="282">
          <cell r="A282">
            <v>19797575000105</v>
          </cell>
          <cell r="B282" t="str">
            <v>FARMACIA SANTA LAURA</v>
          </cell>
          <cell r="C282" t="str">
            <v>INDEPENDENTES VIN</v>
          </cell>
          <cell r="D282" t="str">
            <v>BATAGUASSU</v>
          </cell>
          <cell r="E282" t="str">
            <v>MS</v>
          </cell>
          <cell r="I282" t="str">
            <v>Não Comprou</v>
          </cell>
        </row>
        <row r="283">
          <cell r="A283">
            <v>52619699000176</v>
          </cell>
          <cell r="B283" t="str">
            <v>FARMACIA SANTA CRUZ</v>
          </cell>
          <cell r="C283" t="str">
            <v>INDEPENDENTES VIN</v>
          </cell>
          <cell r="D283" t="str">
            <v>MARACAI</v>
          </cell>
          <cell r="E283" t="str">
            <v>SP</v>
          </cell>
          <cell r="I283" t="str">
            <v>Não Comprou</v>
          </cell>
        </row>
        <row r="284">
          <cell r="A284">
            <v>4834843003321</v>
          </cell>
          <cell r="B284" t="str">
            <v>FARMACIA SANTA CATARINA DE PRESIDENTE PRUDENTE LTD</v>
          </cell>
          <cell r="C284" t="str">
            <v>REDE SANTA CATARINA</v>
          </cell>
          <cell r="D284" t="str">
            <v>NARANDIBA</v>
          </cell>
          <cell r="E284" t="str">
            <v>SP</v>
          </cell>
          <cell r="F284">
            <v>46316</v>
          </cell>
          <cell r="G284">
            <v>1977.3400000000004</v>
          </cell>
          <cell r="I284" t="str">
            <v>Comprou Marcas</v>
          </cell>
        </row>
        <row r="285">
          <cell r="A285">
            <v>4834843000144</v>
          </cell>
          <cell r="B285" t="str">
            <v>FARMACIA SANTA CATARINA DE PRESIDENTE PRUDENTE</v>
          </cell>
          <cell r="C285" t="str">
            <v>REDE SANTA CATARINA</v>
          </cell>
          <cell r="D285" t="str">
            <v>PRESIDENTE PRUDENTE</v>
          </cell>
          <cell r="E285" t="str">
            <v>SP</v>
          </cell>
          <cell r="F285">
            <v>46316</v>
          </cell>
          <cell r="G285">
            <v>3919.1000000000008</v>
          </cell>
          <cell r="H285">
            <v>981</v>
          </cell>
          <cell r="I285" t="str">
            <v>Comprou Marcas e SG</v>
          </cell>
        </row>
        <row r="286">
          <cell r="A286">
            <v>4834843000225</v>
          </cell>
          <cell r="B286" t="str">
            <v>FARMACIA SANTA CATARINA DE PRESIDENTE PRUDENTE</v>
          </cell>
          <cell r="C286" t="str">
            <v>REDE SANTA CATARINA</v>
          </cell>
          <cell r="D286" t="str">
            <v>PIRAPOZINHO</v>
          </cell>
          <cell r="E286" t="str">
            <v>SP</v>
          </cell>
          <cell r="F286">
            <v>46316</v>
          </cell>
          <cell r="G286">
            <v>9770.9999999999945</v>
          </cell>
          <cell r="H286">
            <v>981</v>
          </cell>
          <cell r="I286" t="str">
            <v>Comprou Marcas e SG</v>
          </cell>
        </row>
        <row r="287">
          <cell r="A287">
            <v>4834843000306</v>
          </cell>
          <cell r="B287" t="str">
            <v>FARMACIA SANTA CATARINA DE PRESIDENTE PRUDENTE</v>
          </cell>
          <cell r="C287" t="str">
            <v>REDE SANTA CATARINA</v>
          </cell>
          <cell r="D287" t="str">
            <v>ALVARES MACHADO</v>
          </cell>
          <cell r="E287" t="str">
            <v>SP</v>
          </cell>
          <cell r="F287">
            <v>46316</v>
          </cell>
          <cell r="G287">
            <v>12015.990000000003</v>
          </cell>
          <cell r="H287">
            <v>981</v>
          </cell>
          <cell r="I287" t="str">
            <v>Comprou Marcas e SG</v>
          </cell>
        </row>
        <row r="288">
          <cell r="A288">
            <v>4834843000497</v>
          </cell>
          <cell r="B288" t="str">
            <v>FARMACIA SANTA CATARINA DE PRESIDENTE PRUDENTE</v>
          </cell>
          <cell r="C288" t="str">
            <v>REDE SANTA CATARINA</v>
          </cell>
          <cell r="D288" t="str">
            <v>PRESIDENTE BERNARDES</v>
          </cell>
          <cell r="E288" t="str">
            <v>SP</v>
          </cell>
          <cell r="F288">
            <v>46316</v>
          </cell>
          <cell r="G288">
            <v>12751.65</v>
          </cell>
          <cell r="H288">
            <v>981</v>
          </cell>
          <cell r="I288" t="str">
            <v>Comprou Marcas e SG</v>
          </cell>
        </row>
        <row r="289">
          <cell r="A289">
            <v>4834843000578</v>
          </cell>
          <cell r="B289" t="str">
            <v>FARMACIA SANTA CATARINA DE PRESIDENTE PRUDENTE</v>
          </cell>
          <cell r="C289" t="str">
            <v>REDE SANTA CATARINA</v>
          </cell>
          <cell r="D289" t="str">
            <v>QUATA</v>
          </cell>
          <cell r="E289" t="str">
            <v>SP</v>
          </cell>
          <cell r="F289">
            <v>46316</v>
          </cell>
          <cell r="G289">
            <v>6404.9299999999976</v>
          </cell>
          <cell r="H289">
            <v>981</v>
          </cell>
          <cell r="I289" t="str">
            <v>Comprou Marcas e SG</v>
          </cell>
        </row>
        <row r="290">
          <cell r="A290">
            <v>4834843000659</v>
          </cell>
          <cell r="B290" t="str">
            <v>FARMACIA SANTA CATARINA DE PRESIDENTE PRUDENTE</v>
          </cell>
          <cell r="C290" t="str">
            <v>REDE SANTA CATARINA</v>
          </cell>
          <cell r="D290" t="str">
            <v>QUATA</v>
          </cell>
          <cell r="E290" t="str">
            <v>SP</v>
          </cell>
          <cell r="F290">
            <v>46316</v>
          </cell>
          <cell r="G290">
            <v>6419.5399999999972</v>
          </cell>
          <cell r="H290">
            <v>981</v>
          </cell>
          <cell r="I290" t="str">
            <v>Comprou Marcas e SG</v>
          </cell>
        </row>
        <row r="291">
          <cell r="A291">
            <v>4834843000730</v>
          </cell>
          <cell r="B291" t="str">
            <v>FARMACIA SANTA CATARINA DE PRESIDENTE PRUDENTE</v>
          </cell>
          <cell r="C291" t="str">
            <v>REDE SANTA CATARINA</v>
          </cell>
          <cell r="D291" t="str">
            <v>MIRANTE DO PARANAPANEMA</v>
          </cell>
          <cell r="E291" t="str">
            <v>SP</v>
          </cell>
          <cell r="F291">
            <v>46316</v>
          </cell>
          <cell r="G291">
            <v>9192.7699999999968</v>
          </cell>
          <cell r="H291">
            <v>981</v>
          </cell>
          <cell r="I291" t="str">
            <v>Comprou Marcas e SG</v>
          </cell>
        </row>
        <row r="292">
          <cell r="A292">
            <v>4834843000810</v>
          </cell>
          <cell r="B292" t="str">
            <v>FARMACIA SANTA CATARINA DE PRESIDENTE PRUDENTE</v>
          </cell>
          <cell r="C292" t="str">
            <v>REDE SANTA CATARINA</v>
          </cell>
          <cell r="D292" t="str">
            <v>RANCHARIA</v>
          </cell>
          <cell r="E292" t="str">
            <v>SP</v>
          </cell>
          <cell r="F292">
            <v>46316</v>
          </cell>
          <cell r="G292">
            <v>2640.4000000000005</v>
          </cell>
          <cell r="H292">
            <v>981</v>
          </cell>
          <cell r="I292" t="str">
            <v>Comprou Marcas e SG</v>
          </cell>
        </row>
        <row r="293">
          <cell r="A293">
            <v>4834843000900</v>
          </cell>
          <cell r="B293" t="str">
            <v>FARMACIA SANTA CATARINA DE PRESIDENTE PRUDENTE</v>
          </cell>
          <cell r="C293" t="str">
            <v>REDE SANTA CATARINA</v>
          </cell>
          <cell r="D293" t="str">
            <v>PRESIDENTE PRUDENTE</v>
          </cell>
          <cell r="E293" t="str">
            <v>SP</v>
          </cell>
          <cell r="F293">
            <v>46316</v>
          </cell>
          <cell r="G293">
            <v>4573.5700000000006</v>
          </cell>
          <cell r="H293">
            <v>981</v>
          </cell>
          <cell r="I293" t="str">
            <v>Comprou Marcas e SG</v>
          </cell>
        </row>
        <row r="294">
          <cell r="A294">
            <v>4834843001035</v>
          </cell>
          <cell r="B294" t="str">
            <v>FARMACIA SANTA CATARINA DE PRESIDENTE PRUDENTE</v>
          </cell>
          <cell r="C294" t="str">
            <v>REDE SANTA CATARINA</v>
          </cell>
          <cell r="D294" t="str">
            <v>OSVALDO CRUZ</v>
          </cell>
          <cell r="E294" t="str">
            <v>SP</v>
          </cell>
          <cell r="F294">
            <v>46316</v>
          </cell>
          <cell r="G294">
            <v>13090.590000000002</v>
          </cell>
          <cell r="H294">
            <v>981</v>
          </cell>
          <cell r="I294" t="str">
            <v>Comprou Marcas e SG</v>
          </cell>
        </row>
        <row r="295">
          <cell r="A295">
            <v>4834843001116</v>
          </cell>
          <cell r="B295" t="str">
            <v>FARMACIA SANTA CATARINA DE PRESIDENTE PRUDENTE</v>
          </cell>
          <cell r="C295" t="str">
            <v>REDE SANTA CATARINA</v>
          </cell>
          <cell r="D295" t="str">
            <v>PARAPUA</v>
          </cell>
          <cell r="E295" t="str">
            <v>SP</v>
          </cell>
          <cell r="F295">
            <v>46316</v>
          </cell>
          <cell r="G295">
            <v>8616.1300000000028</v>
          </cell>
          <cell r="I295" t="str">
            <v>Comprou Marcas</v>
          </cell>
        </row>
        <row r="296">
          <cell r="A296">
            <v>4834843001205</v>
          </cell>
          <cell r="B296" t="str">
            <v>FARMACIA SANTA CATARINA DE PRESIDENTE PRUDENTE</v>
          </cell>
          <cell r="C296" t="str">
            <v>REDE SANTA CATARINA</v>
          </cell>
          <cell r="D296" t="str">
            <v>FLORIDA PAULISTA</v>
          </cell>
          <cell r="E296" t="str">
            <v>SP</v>
          </cell>
          <cell r="F296">
            <v>46316</v>
          </cell>
          <cell r="G296">
            <v>8236.9000000000015</v>
          </cell>
          <cell r="I296" t="str">
            <v>Comprou Marcas</v>
          </cell>
        </row>
        <row r="297">
          <cell r="A297">
            <v>4834843001388</v>
          </cell>
          <cell r="B297" t="str">
            <v>FARMACIA SANTA CATARINA DE PRESIDENTE PRUDENTE</v>
          </cell>
          <cell r="C297" t="str">
            <v>REDE SANTA CATARINA</v>
          </cell>
          <cell r="D297" t="str">
            <v>LUCELIA</v>
          </cell>
          <cell r="E297" t="str">
            <v>SP</v>
          </cell>
          <cell r="F297">
            <v>46316</v>
          </cell>
          <cell r="G297">
            <v>2919.8500000000004</v>
          </cell>
          <cell r="I297" t="str">
            <v>Comprou Marcas</v>
          </cell>
        </row>
        <row r="298">
          <cell r="A298">
            <v>4834843001469</v>
          </cell>
          <cell r="B298" t="str">
            <v>FARMACIA SANTA CATARINA DE PRESIDENTE PRUDENTE</v>
          </cell>
          <cell r="C298" t="str">
            <v>REDE SANTA CATARINA</v>
          </cell>
          <cell r="D298" t="str">
            <v>NOVA ESPERANCA</v>
          </cell>
          <cell r="E298" t="str">
            <v>PR</v>
          </cell>
          <cell r="F298">
            <v>46316</v>
          </cell>
          <cell r="G298">
            <v>3441.4799999999996</v>
          </cell>
          <cell r="H298">
            <v>1729.13</v>
          </cell>
          <cell r="I298" t="str">
            <v>Comprou Marcas e SG</v>
          </cell>
        </row>
        <row r="299">
          <cell r="A299">
            <v>4834843001620</v>
          </cell>
          <cell r="B299" t="str">
            <v>FARMACIA SANTA CATARINA DE PRESIDENTE PRUDENTE</v>
          </cell>
          <cell r="C299" t="str">
            <v>REDE SANTA CATARINA</v>
          </cell>
          <cell r="D299" t="str">
            <v>TEODORO SAMPAIO</v>
          </cell>
          <cell r="E299" t="str">
            <v>SP</v>
          </cell>
          <cell r="F299">
            <v>46316</v>
          </cell>
          <cell r="G299">
            <v>6114.7599999999993</v>
          </cell>
          <cell r="H299">
            <v>981</v>
          </cell>
          <cell r="I299" t="str">
            <v>Comprou Marcas e SG</v>
          </cell>
        </row>
        <row r="300">
          <cell r="A300">
            <v>4834843001701</v>
          </cell>
          <cell r="B300" t="str">
            <v>FARMACIA SANTA CATARINA DE PRESIDENTE PRUDENTE</v>
          </cell>
          <cell r="C300" t="str">
            <v>REDE SANTA CATARINA</v>
          </cell>
          <cell r="D300" t="str">
            <v>MARACAI</v>
          </cell>
          <cell r="E300" t="str">
            <v>SP</v>
          </cell>
          <cell r="F300">
            <v>46316</v>
          </cell>
          <cell r="G300">
            <v>4539.2499999999991</v>
          </cell>
          <cell r="H300">
            <v>981</v>
          </cell>
          <cell r="I300" t="str">
            <v>Comprou Marcas e SG</v>
          </cell>
        </row>
        <row r="301">
          <cell r="A301">
            <v>4834843001892</v>
          </cell>
          <cell r="B301" t="str">
            <v>FARMACIA SANTA CATARINA DE PRESIDENTE PRUDENTE</v>
          </cell>
          <cell r="C301" t="str">
            <v>REDE SANTA CATARINA</v>
          </cell>
          <cell r="D301" t="str">
            <v>TARUMA</v>
          </cell>
          <cell r="E301" t="str">
            <v>SP</v>
          </cell>
          <cell r="F301">
            <v>46316</v>
          </cell>
          <cell r="G301">
            <v>6872.2</v>
          </cell>
          <cell r="H301">
            <v>981</v>
          </cell>
          <cell r="I301" t="str">
            <v>Comprou Marcas e SG</v>
          </cell>
        </row>
        <row r="302">
          <cell r="A302">
            <v>4834843001973</v>
          </cell>
          <cell r="B302" t="str">
            <v>FARMACIA SANTA CATARINA DE PRESIDENTE PRUDENTE</v>
          </cell>
          <cell r="C302" t="str">
            <v>REDE SANTA CATARINA</v>
          </cell>
          <cell r="D302" t="str">
            <v>BASTOS</v>
          </cell>
          <cell r="E302" t="str">
            <v>SP</v>
          </cell>
          <cell r="F302">
            <v>46316</v>
          </cell>
          <cell r="G302">
            <v>7700.01</v>
          </cell>
          <cell r="H302">
            <v>981</v>
          </cell>
          <cell r="I302" t="str">
            <v>Comprou Marcas e SG</v>
          </cell>
        </row>
        <row r="303">
          <cell r="A303">
            <v>4834843002007</v>
          </cell>
          <cell r="B303" t="str">
            <v>FARMACIA SANTA CATARINA DE PRESIDENTE PRUDENTE</v>
          </cell>
          <cell r="C303" t="str">
            <v>REDE SANTA CATARINA</v>
          </cell>
          <cell r="D303" t="str">
            <v>LUCELIA</v>
          </cell>
          <cell r="E303" t="str">
            <v>SP</v>
          </cell>
          <cell r="F303">
            <v>46316</v>
          </cell>
          <cell r="G303">
            <v>2814.7699999999991</v>
          </cell>
          <cell r="I303" t="str">
            <v>Comprou Marcas</v>
          </cell>
        </row>
        <row r="304">
          <cell r="A304">
            <v>4834843002198</v>
          </cell>
          <cell r="B304" t="str">
            <v>FARMACIA SANTA CATARINA DE PRESIDENTE PRUDENTE</v>
          </cell>
          <cell r="C304" t="str">
            <v>REDE SANTA CATARINA</v>
          </cell>
          <cell r="D304" t="str">
            <v>RINOPOLIS</v>
          </cell>
          <cell r="E304" t="str">
            <v>SP</v>
          </cell>
          <cell r="F304">
            <v>46316</v>
          </cell>
          <cell r="G304">
            <v>6854.6399999999985</v>
          </cell>
          <cell r="I304" t="str">
            <v>Comprou Marcas</v>
          </cell>
        </row>
        <row r="305">
          <cell r="A305">
            <v>4834843002279</v>
          </cell>
          <cell r="B305" t="str">
            <v>FARMACIA SANTA CATARINA DE PRESIDENTE PRUDENTE</v>
          </cell>
          <cell r="C305" t="str">
            <v>REDE SANTA CATARINA</v>
          </cell>
          <cell r="D305" t="str">
            <v>PRESIDENTE PRUDENTE</v>
          </cell>
          <cell r="E305" t="str">
            <v>SP</v>
          </cell>
          <cell r="F305">
            <v>46316</v>
          </cell>
          <cell r="G305">
            <v>14862.370000000012</v>
          </cell>
          <cell r="I305" t="str">
            <v>Comprou Marcas</v>
          </cell>
        </row>
        <row r="306">
          <cell r="A306">
            <v>4834843002350</v>
          </cell>
          <cell r="B306" t="str">
            <v>FARMACIA SANTA CATARINA DE PRESIDENTE PRUDENTE</v>
          </cell>
          <cell r="C306" t="str">
            <v>REDE SANTA CATARINA</v>
          </cell>
          <cell r="D306" t="str">
            <v>PRESIDENTE PRUDENTE</v>
          </cell>
          <cell r="E306" t="str">
            <v>SP</v>
          </cell>
          <cell r="F306">
            <v>46316</v>
          </cell>
          <cell r="G306">
            <v>7653.9100000000035</v>
          </cell>
          <cell r="I306" t="str">
            <v>Comprou Marcas</v>
          </cell>
        </row>
        <row r="307">
          <cell r="A307">
            <v>4834843002430</v>
          </cell>
          <cell r="B307" t="str">
            <v>FARMACIA SANTA CATARINA DE PRESIDENTE PRUDENTE</v>
          </cell>
          <cell r="C307" t="str">
            <v>REDE SANTA CATARINA</v>
          </cell>
          <cell r="D307" t="str">
            <v>MIRANTE DO PARANAPANEMA</v>
          </cell>
          <cell r="E307" t="str">
            <v>SP</v>
          </cell>
          <cell r="F307">
            <v>46316</v>
          </cell>
          <cell r="G307">
            <v>8589.1800000000021</v>
          </cell>
          <cell r="I307" t="str">
            <v>Comprou Marcas</v>
          </cell>
        </row>
        <row r="308">
          <cell r="A308">
            <v>4834843002511</v>
          </cell>
          <cell r="B308" t="str">
            <v>FARMACIA SANTA CATARINA DE PRESIDENTE PRUDENTE</v>
          </cell>
          <cell r="C308" t="str">
            <v>REDE SANTA CATARINA</v>
          </cell>
          <cell r="D308" t="str">
            <v>ADAMANTINA</v>
          </cell>
          <cell r="E308" t="str">
            <v>SP</v>
          </cell>
          <cell r="F308">
            <v>46316</v>
          </cell>
          <cell r="G308">
            <v>8402.89</v>
          </cell>
          <cell r="H308">
            <v>981</v>
          </cell>
          <cell r="I308" t="str">
            <v>Comprou Marcas e SG</v>
          </cell>
        </row>
        <row r="309">
          <cell r="A309">
            <v>4834843002600</v>
          </cell>
          <cell r="B309" t="str">
            <v>FARMACIA SANTA CATARINA DE PRESIDENTE PRUDENTE</v>
          </cell>
          <cell r="C309" t="str">
            <v>REDE SANTA CATARINA</v>
          </cell>
          <cell r="D309" t="str">
            <v>ANDRADINA</v>
          </cell>
          <cell r="E309" t="str">
            <v>SP</v>
          </cell>
          <cell r="F309">
            <v>46316</v>
          </cell>
          <cell r="G309">
            <v>9108.1600000000017</v>
          </cell>
          <cell r="H309">
            <v>1471.5</v>
          </cell>
          <cell r="I309" t="str">
            <v>Comprou Marcas e SG</v>
          </cell>
        </row>
        <row r="310">
          <cell r="A310">
            <v>4834843002783</v>
          </cell>
          <cell r="B310" t="str">
            <v>FARMACIA SANTA CATARINA DE PRESIDENTE PRUDENTE</v>
          </cell>
          <cell r="C310" t="str">
            <v>REDE SANTA CATARINA</v>
          </cell>
          <cell r="D310" t="str">
            <v>PRESIDENTE PRUDENTE</v>
          </cell>
          <cell r="E310" t="str">
            <v>SP</v>
          </cell>
          <cell r="F310">
            <v>46316</v>
          </cell>
          <cell r="G310">
            <v>2665.0400000000009</v>
          </cell>
          <cell r="I310" t="str">
            <v>Comprou Marcas</v>
          </cell>
        </row>
        <row r="311">
          <cell r="A311">
            <v>4834843002945</v>
          </cell>
          <cell r="B311" t="str">
            <v>FARMACIA SANTA CATARINA DE PRESIDENTE PRUDENTE</v>
          </cell>
          <cell r="C311" t="str">
            <v>REDE SANTA CATARINA</v>
          </cell>
          <cell r="D311" t="str">
            <v>TARABAI</v>
          </cell>
          <cell r="E311" t="str">
            <v>SP</v>
          </cell>
          <cell r="F311">
            <v>46316</v>
          </cell>
          <cell r="G311">
            <v>2851.9999999999991</v>
          </cell>
          <cell r="I311" t="str">
            <v>Comprou Marcas</v>
          </cell>
        </row>
        <row r="312">
          <cell r="A312">
            <v>4834843003089</v>
          </cell>
          <cell r="B312" t="str">
            <v>FARMACIA SANTA CATARINA DE PRESIDENTE PRUDENTE</v>
          </cell>
          <cell r="C312" t="str">
            <v>REDE SANTA CATARINA</v>
          </cell>
          <cell r="D312" t="str">
            <v>CASTILHO</v>
          </cell>
          <cell r="E312" t="str">
            <v>SP</v>
          </cell>
          <cell r="F312">
            <v>46316</v>
          </cell>
          <cell r="G312">
            <v>2498.4599999999996</v>
          </cell>
          <cell r="I312" t="str">
            <v>Comprou Marcas</v>
          </cell>
        </row>
        <row r="313">
          <cell r="A313">
            <v>4834843003160</v>
          </cell>
          <cell r="B313" t="str">
            <v>FARMACIA SANTA CATARINA DE PRESIDENTE PRUDENTE</v>
          </cell>
          <cell r="C313" t="str">
            <v>REDE SANTA CATARINA</v>
          </cell>
          <cell r="D313" t="str">
            <v>PEREIRA BARRETO</v>
          </cell>
          <cell r="E313" t="str">
            <v>SP</v>
          </cell>
          <cell r="F313">
            <v>46316</v>
          </cell>
          <cell r="G313">
            <v>3799.440000000001</v>
          </cell>
          <cell r="I313" t="str">
            <v>Comprou Marcas</v>
          </cell>
        </row>
        <row r="314">
          <cell r="A314">
            <v>4834843003240</v>
          </cell>
          <cell r="B314" t="str">
            <v>FARMACIA SANTA CATARINA DE PRESIDENTE PRUDENTE</v>
          </cell>
          <cell r="C314" t="str">
            <v>REDE SANTA CATARINA</v>
          </cell>
          <cell r="D314" t="str">
            <v>ROSANA</v>
          </cell>
          <cell r="E314" t="str">
            <v>SP</v>
          </cell>
          <cell r="F314">
            <v>46315</v>
          </cell>
          <cell r="G314">
            <v>2320.84</v>
          </cell>
          <cell r="I314" t="str">
            <v>Comprou Marcas</v>
          </cell>
        </row>
        <row r="315">
          <cell r="A315">
            <v>4834843001540</v>
          </cell>
          <cell r="B315" t="str">
            <v>FARMACIA SANTA CATARINA</v>
          </cell>
          <cell r="C315" t="str">
            <v>REDE SANTA CATARINA</v>
          </cell>
          <cell r="D315" t="str">
            <v>TUPA</v>
          </cell>
          <cell r="E315" t="str">
            <v>SP</v>
          </cell>
          <cell r="F315">
            <v>46316</v>
          </cell>
          <cell r="G315">
            <v>13712.560000000001</v>
          </cell>
          <cell r="H315">
            <v>981</v>
          </cell>
          <cell r="I315" t="str">
            <v>Comprou Marcas e SG</v>
          </cell>
        </row>
        <row r="316">
          <cell r="A316">
            <v>4834843002864</v>
          </cell>
          <cell r="B316" t="str">
            <v>FARMACIA SANTA CATARINA</v>
          </cell>
          <cell r="C316" t="str">
            <v>REDE SANTA CATARINA</v>
          </cell>
          <cell r="D316" t="str">
            <v>PARAGUACU PAULISTA</v>
          </cell>
          <cell r="E316" t="str">
            <v>SP</v>
          </cell>
          <cell r="F316">
            <v>46316</v>
          </cell>
          <cell r="G316">
            <v>3688.2200000000012</v>
          </cell>
          <cell r="I316" t="str">
            <v>Comprou Marcas</v>
          </cell>
        </row>
        <row r="317">
          <cell r="A317">
            <v>47468096000180</v>
          </cell>
          <cell r="B317" t="str">
            <v>FARMACIA SANRIVAL III</v>
          </cell>
          <cell r="C317" t="str">
            <v>HIPER SAUDE</v>
          </cell>
          <cell r="D317" t="str">
            <v>CHAPADAO DO SUL</v>
          </cell>
          <cell r="E317" t="str">
            <v>MS</v>
          </cell>
          <cell r="F317">
            <v>46303</v>
          </cell>
          <cell r="G317">
            <v>226.8</v>
          </cell>
          <cell r="I317" t="str">
            <v>Comprou Marcas</v>
          </cell>
        </row>
        <row r="318">
          <cell r="A318">
            <v>44192893000190</v>
          </cell>
          <cell r="B318" t="str">
            <v>FARMACIA SANRIVAL II</v>
          </cell>
          <cell r="C318" t="str">
            <v>HIPER SAUDE</v>
          </cell>
          <cell r="D318" t="str">
            <v>CHAPADAO DO SUL</v>
          </cell>
          <cell r="E318" t="str">
            <v>MS</v>
          </cell>
          <cell r="I318" t="str">
            <v>Não Comprou</v>
          </cell>
        </row>
        <row r="319">
          <cell r="A319">
            <v>62623466000109</v>
          </cell>
          <cell r="B319" t="str">
            <v>FARMACIA SAGRADA FAMILIA</v>
          </cell>
          <cell r="C319" t="str">
            <v>INDEPENDENTES VIN</v>
          </cell>
          <cell r="D319" t="str">
            <v>BONITO</v>
          </cell>
          <cell r="E319" t="str">
            <v>MS</v>
          </cell>
          <cell r="F319">
            <v>46303</v>
          </cell>
          <cell r="G319">
            <v>57.93</v>
          </cell>
          <cell r="I319" t="str">
            <v>Comprou Marcas</v>
          </cell>
        </row>
        <row r="320">
          <cell r="A320">
            <v>5112326000205</v>
          </cell>
          <cell r="B320" t="str">
            <v>FARMACIA ROMANA</v>
          </cell>
          <cell r="C320" t="str">
            <v>ASSOCIADAS</v>
          </cell>
          <cell r="D320" t="str">
            <v>CAARAPO</v>
          </cell>
          <cell r="E320" t="str">
            <v>MS</v>
          </cell>
          <cell r="I320" t="str">
            <v>Não Comprou</v>
          </cell>
        </row>
        <row r="321">
          <cell r="A321">
            <v>5112326000396</v>
          </cell>
          <cell r="B321" t="str">
            <v>FARMACIA ROMANA</v>
          </cell>
          <cell r="C321" t="str">
            <v>ASSOCIADAS</v>
          </cell>
          <cell r="D321" t="str">
            <v>JUTI</v>
          </cell>
          <cell r="E321" t="str">
            <v>MS</v>
          </cell>
          <cell r="I321" t="str">
            <v>Não Comprou</v>
          </cell>
        </row>
        <row r="322">
          <cell r="A322">
            <v>12104635000118</v>
          </cell>
          <cell r="B322" t="str">
            <v>FARMACIA ROMANA</v>
          </cell>
          <cell r="C322" t="str">
            <v>ASSOCIADAS</v>
          </cell>
          <cell r="D322" t="str">
            <v>CAARAPO</v>
          </cell>
          <cell r="E322" t="str">
            <v>MS</v>
          </cell>
          <cell r="I322" t="str">
            <v>Não Comprou</v>
          </cell>
        </row>
        <row r="323">
          <cell r="A323">
            <v>49835112000151</v>
          </cell>
          <cell r="B323" t="str">
            <v>FARMACIA ROMA</v>
          </cell>
          <cell r="C323" t="str">
            <v>ASSOCIADAS</v>
          </cell>
          <cell r="D323" t="str">
            <v>PRIMAVERA DO LESTE</v>
          </cell>
          <cell r="E323" t="str">
            <v>MT</v>
          </cell>
          <cell r="I323" t="str">
            <v>Não Comprou</v>
          </cell>
        </row>
        <row r="324">
          <cell r="A324">
            <v>18429327000149</v>
          </cell>
          <cell r="B324" t="str">
            <v>FARMACIA REZENFARMA</v>
          </cell>
          <cell r="C324" t="str">
            <v>INDEPENDENTES VIN</v>
          </cell>
          <cell r="D324" t="str">
            <v>CAMPO GRANDE</v>
          </cell>
          <cell r="E324" t="str">
            <v>MS</v>
          </cell>
          <cell r="F324">
            <v>46314</v>
          </cell>
          <cell r="G324">
            <v>454.46000000000004</v>
          </cell>
          <cell r="H324">
            <v>634.6</v>
          </cell>
          <cell r="I324" t="str">
            <v>Comprou Marcas e SG</v>
          </cell>
        </row>
        <row r="325">
          <cell r="A325">
            <v>4716183000288</v>
          </cell>
          <cell r="B325" t="str">
            <v>FARMACIA PROGRESSO 2</v>
          </cell>
          <cell r="C325" t="str">
            <v>BIODROGAS</v>
          </cell>
          <cell r="D325" t="str">
            <v>PRESIDENTE EPITACIO</v>
          </cell>
          <cell r="E325" t="str">
            <v>SP</v>
          </cell>
          <cell r="F325">
            <v>46303</v>
          </cell>
          <cell r="G325">
            <v>1122.6000000000001</v>
          </cell>
          <cell r="H325">
            <v>5753.3199999999988</v>
          </cell>
          <cell r="I325" t="str">
            <v>Comprou Marcas e SG</v>
          </cell>
        </row>
        <row r="326">
          <cell r="A326">
            <v>3477379000113</v>
          </cell>
          <cell r="B326" t="str">
            <v>FARMACIA PROGRESSO</v>
          </cell>
          <cell r="C326" t="str">
            <v>INDEPENDENTES VIN</v>
          </cell>
          <cell r="D326" t="str">
            <v>FATIMA DO SUL</v>
          </cell>
          <cell r="E326" t="str">
            <v>MS</v>
          </cell>
          <cell r="F326">
            <v>46315</v>
          </cell>
          <cell r="G326">
            <v>1675.05</v>
          </cell>
          <cell r="I326" t="str">
            <v>Comprou Marcas</v>
          </cell>
        </row>
        <row r="327">
          <cell r="A327">
            <v>4716183000105</v>
          </cell>
          <cell r="B327" t="str">
            <v>FARMACIA PROGRESSO</v>
          </cell>
          <cell r="C327" t="str">
            <v>BIODROGAS</v>
          </cell>
          <cell r="D327" t="str">
            <v>PRESIDENTE EPITACIO</v>
          </cell>
          <cell r="E327" t="str">
            <v>SP</v>
          </cell>
          <cell r="F327">
            <v>46303</v>
          </cell>
          <cell r="G327">
            <v>3597.8299999999995</v>
          </cell>
          <cell r="H327">
            <v>7002.3799999999992</v>
          </cell>
          <cell r="I327" t="str">
            <v>Comprou Marcas e SG</v>
          </cell>
        </row>
        <row r="328">
          <cell r="A328">
            <v>27704045000101</v>
          </cell>
          <cell r="B328" t="str">
            <v>FARMACIA PRO VIDA</v>
          </cell>
          <cell r="C328" t="str">
            <v>INDEPENDENTES VIN</v>
          </cell>
          <cell r="D328" t="str">
            <v>MIRASSOL D'OESTE</v>
          </cell>
          <cell r="E328" t="str">
            <v>MT</v>
          </cell>
          <cell r="I328" t="str">
            <v>Não Comprou</v>
          </cell>
        </row>
        <row r="329">
          <cell r="A329">
            <v>30879844000115</v>
          </cell>
          <cell r="B329" t="str">
            <v>FARMACIA PRO SAUDE</v>
          </cell>
          <cell r="C329" t="str">
            <v>ECONOMIZE RONDONOPOLIS</v>
          </cell>
          <cell r="D329" t="str">
            <v>CAARAPO</v>
          </cell>
          <cell r="E329" t="str">
            <v>MS</v>
          </cell>
          <cell r="I329" t="str">
            <v>Não Comprou</v>
          </cell>
        </row>
        <row r="330">
          <cell r="A330">
            <v>68204486000202</v>
          </cell>
          <cell r="B330" t="str">
            <v>FARMACIA PRIVATIVA UNIMED</v>
          </cell>
          <cell r="C330" t="str">
            <v>UNIMED</v>
          </cell>
          <cell r="D330" t="str">
            <v>DRACENA</v>
          </cell>
          <cell r="E330" t="str">
            <v>SP</v>
          </cell>
          <cell r="F330">
            <v>46316</v>
          </cell>
          <cell r="G330">
            <v>1538.66</v>
          </cell>
          <cell r="I330" t="str">
            <v>Comprou Marcas</v>
          </cell>
        </row>
        <row r="331">
          <cell r="A331">
            <v>28846852000113</v>
          </cell>
          <cell r="B331" t="str">
            <v>FARMACIA PRECO POPULAR</v>
          </cell>
          <cell r="C331" t="str">
            <v>INDEPENDENTES VIN</v>
          </cell>
          <cell r="D331" t="str">
            <v>LUCAS DO RIO VERDE</v>
          </cell>
          <cell r="E331" t="str">
            <v>MT</v>
          </cell>
          <cell r="F331">
            <v>46315</v>
          </cell>
          <cell r="G331">
            <v>7319.4699999999993</v>
          </cell>
          <cell r="I331" t="str">
            <v>Comprou Marcas</v>
          </cell>
        </row>
        <row r="332">
          <cell r="A332">
            <v>27449054000195</v>
          </cell>
          <cell r="B332" t="str">
            <v>FARMACIA POUPE MAIS</v>
          </cell>
          <cell r="C332" t="str">
            <v>ASSOCIADAS</v>
          </cell>
          <cell r="D332" t="str">
            <v>CUIABA</v>
          </cell>
          <cell r="E332" t="str">
            <v>MT</v>
          </cell>
          <cell r="F332">
            <v>46301</v>
          </cell>
          <cell r="G332">
            <v>2270.1199999999994</v>
          </cell>
          <cell r="I332" t="str">
            <v>Comprou Marcas</v>
          </cell>
        </row>
        <row r="333">
          <cell r="A333">
            <v>30539610000129</v>
          </cell>
          <cell r="B333" t="str">
            <v>FARMACIA POUP AQUI</v>
          </cell>
          <cell r="C333" t="str">
            <v>REDE POUPE AQUI</v>
          </cell>
          <cell r="D333" t="str">
            <v>ADAMANTINA</v>
          </cell>
          <cell r="E333" t="str">
            <v>SP</v>
          </cell>
          <cell r="F333">
            <v>46304</v>
          </cell>
          <cell r="H333">
            <v>1730.63</v>
          </cell>
          <cell r="I333" t="str">
            <v>Comprou SG</v>
          </cell>
        </row>
        <row r="334">
          <cell r="A334">
            <v>17479487000130</v>
          </cell>
          <cell r="B334" t="str">
            <v>FARMACIA POPULAR SANTA LUZIA - COMPER</v>
          </cell>
          <cell r="C334" t="str">
            <v>MASTERFARMA</v>
          </cell>
          <cell r="D334" t="str">
            <v>CAMPO GRANDE</v>
          </cell>
          <cell r="E334" t="str">
            <v>MS</v>
          </cell>
          <cell r="F334">
            <v>46312</v>
          </cell>
          <cell r="G334">
            <v>812.81999999999994</v>
          </cell>
          <cell r="I334" t="str">
            <v>Comprou Marcas</v>
          </cell>
        </row>
        <row r="335">
          <cell r="A335">
            <v>17479487000210</v>
          </cell>
          <cell r="B335" t="str">
            <v>FARMACIA POPULAR SANTA LUZIA</v>
          </cell>
          <cell r="C335" t="str">
            <v>INDEPENDENTES VIN</v>
          </cell>
          <cell r="D335" t="str">
            <v>CAMPO GRANDE</v>
          </cell>
          <cell r="E335" t="str">
            <v>MS</v>
          </cell>
          <cell r="F335">
            <v>46309</v>
          </cell>
          <cell r="G335">
            <v>373.19</v>
          </cell>
          <cell r="I335" t="str">
            <v>Comprou Marcas</v>
          </cell>
        </row>
        <row r="336">
          <cell r="A336">
            <v>23350836000111</v>
          </cell>
          <cell r="B336" t="str">
            <v>FARMACIA POPULAR SANTA LUZIA</v>
          </cell>
          <cell r="C336" t="str">
            <v>MASTERFARMA</v>
          </cell>
          <cell r="D336" t="str">
            <v>CAMPO GRANDE</v>
          </cell>
          <cell r="E336" t="str">
            <v>MS</v>
          </cell>
          <cell r="F336">
            <v>46304</v>
          </cell>
          <cell r="G336">
            <v>1965.9699999999998</v>
          </cell>
          <cell r="I336" t="str">
            <v>Comprou Marcas</v>
          </cell>
        </row>
        <row r="337">
          <cell r="A337">
            <v>19651628000428</v>
          </cell>
          <cell r="B337" t="str">
            <v>FARMACIA POPULAR MENDONCA</v>
          </cell>
          <cell r="C337" t="str">
            <v>FARMARCAS</v>
          </cell>
          <cell r="D337" t="str">
            <v>SINOP</v>
          </cell>
          <cell r="E337" t="str">
            <v>MT</v>
          </cell>
          <cell r="F337">
            <v>46315</v>
          </cell>
          <cell r="G337">
            <v>1141.79</v>
          </cell>
          <cell r="H337">
            <v>2042.6899999999998</v>
          </cell>
          <cell r="I337" t="str">
            <v>Comprou Marcas e SG</v>
          </cell>
        </row>
        <row r="338">
          <cell r="A338">
            <v>19651628000690</v>
          </cell>
          <cell r="B338" t="str">
            <v>FARMACIA POPULAR MENDONCA</v>
          </cell>
          <cell r="C338" t="str">
            <v>FARMARCAS</v>
          </cell>
          <cell r="D338" t="str">
            <v>SINOP</v>
          </cell>
          <cell r="E338" t="str">
            <v>MT</v>
          </cell>
          <cell r="F338">
            <v>46316</v>
          </cell>
          <cell r="G338">
            <v>5247.56</v>
          </cell>
          <cell r="H338">
            <v>7328.0800000000008</v>
          </cell>
          <cell r="I338" t="str">
            <v>Comprou Marcas e SG</v>
          </cell>
        </row>
        <row r="339">
          <cell r="A339">
            <v>36199591000115</v>
          </cell>
          <cell r="B339" t="str">
            <v>FARMACIA POPULAR MAIS SAUDE</v>
          </cell>
          <cell r="C339" t="str">
            <v>INDEPENDENTES VIN</v>
          </cell>
          <cell r="D339" t="str">
            <v>CAMPO GRANDE</v>
          </cell>
          <cell r="E339" t="str">
            <v>MS</v>
          </cell>
          <cell r="F339">
            <v>46304</v>
          </cell>
          <cell r="G339">
            <v>1109.4099999999999</v>
          </cell>
          <cell r="I339" t="str">
            <v>Comprou Marcas</v>
          </cell>
        </row>
        <row r="340">
          <cell r="A340">
            <v>12564855000124</v>
          </cell>
          <cell r="B340" t="str">
            <v>FARMACIA POPULAR MAIS</v>
          </cell>
          <cell r="C340" t="str">
            <v>ASSOCIADAS</v>
          </cell>
          <cell r="D340" t="str">
            <v>CAARAPO</v>
          </cell>
          <cell r="E340" t="str">
            <v>MS</v>
          </cell>
          <cell r="I340" t="str">
            <v>Não Comprou</v>
          </cell>
        </row>
        <row r="341">
          <cell r="A341">
            <v>51905753000187</v>
          </cell>
          <cell r="B341" t="str">
            <v>FARMACIA POPULAR EM CASA</v>
          </cell>
          <cell r="C341" t="str">
            <v>INDEPENDENTES VIN</v>
          </cell>
          <cell r="D341" t="str">
            <v>CUIABA</v>
          </cell>
          <cell r="E341" t="str">
            <v>MT</v>
          </cell>
          <cell r="I341" t="str">
            <v>Não Comprou</v>
          </cell>
        </row>
        <row r="342">
          <cell r="A342">
            <v>30531806000177</v>
          </cell>
          <cell r="B342" t="str">
            <v>FARMACIA POPULAR DOM ANTONIO LTDA</v>
          </cell>
          <cell r="C342" t="str">
            <v>ASSOCIADAS</v>
          </cell>
          <cell r="D342" t="str">
            <v>CAMPO GRANDE</v>
          </cell>
          <cell r="E342" t="str">
            <v>MS</v>
          </cell>
          <cell r="F342">
            <v>46308</v>
          </cell>
          <cell r="G342">
            <v>900.04</v>
          </cell>
          <cell r="I342" t="str">
            <v>Comprou Marcas</v>
          </cell>
        </row>
        <row r="343">
          <cell r="A343">
            <v>58080762000125</v>
          </cell>
          <cell r="B343" t="str">
            <v>FARMACIA POPULAR BOA SAUDE</v>
          </cell>
          <cell r="C343" t="str">
            <v>ASSOCIADAS</v>
          </cell>
          <cell r="D343" t="str">
            <v>TANGARA DA SERRA</v>
          </cell>
          <cell r="E343" t="str">
            <v>MT</v>
          </cell>
          <cell r="F343">
            <v>46303</v>
          </cell>
          <cell r="G343">
            <v>317.86</v>
          </cell>
          <cell r="I343" t="str">
            <v>Comprou Marcas</v>
          </cell>
        </row>
        <row r="344">
          <cell r="A344">
            <v>7549438000172</v>
          </cell>
          <cell r="B344" t="str">
            <v>FARMACIA POPULAR</v>
          </cell>
          <cell r="C344" t="str">
            <v>INDEPENDENTES VIN</v>
          </cell>
          <cell r="D344" t="str">
            <v>SORRISO</v>
          </cell>
          <cell r="E344" t="str">
            <v>MT</v>
          </cell>
          <cell r="F344">
            <v>46310</v>
          </cell>
          <cell r="G344">
            <v>1250.8000000000004</v>
          </cell>
          <cell r="I344" t="str">
            <v>Comprou Marcas</v>
          </cell>
        </row>
        <row r="345">
          <cell r="A345">
            <v>13667030000106</v>
          </cell>
          <cell r="B345" t="str">
            <v>FARMACIA PLURI PHARMA</v>
          </cell>
          <cell r="C345" t="str">
            <v>DSG FARMA</v>
          </cell>
          <cell r="D345" t="str">
            <v>PRESIDENTE EPITACIO</v>
          </cell>
          <cell r="E345" t="str">
            <v>SP</v>
          </cell>
          <cell r="F345">
            <v>46316</v>
          </cell>
          <cell r="G345">
            <v>4358.34</v>
          </cell>
          <cell r="H345">
            <v>19922.829999999998</v>
          </cell>
          <cell r="I345" t="str">
            <v>Comprou Marcas e SG</v>
          </cell>
        </row>
        <row r="346">
          <cell r="A346">
            <v>3940865000126</v>
          </cell>
          <cell r="B346" t="str">
            <v>FARMACIA PLANALTO</v>
          </cell>
          <cell r="C346" t="str">
            <v>COMPRE BEM</v>
          </cell>
          <cell r="D346" t="str">
            <v>CAARAPO</v>
          </cell>
          <cell r="E346" t="str">
            <v>MS</v>
          </cell>
          <cell r="I346" t="str">
            <v>Não Comprou</v>
          </cell>
        </row>
        <row r="347">
          <cell r="A347">
            <v>10742383000127</v>
          </cell>
          <cell r="B347" t="str">
            <v>FARMACIA PIONEIRA</v>
          </cell>
          <cell r="C347" t="str">
            <v>INDEPENDENTES VIN</v>
          </cell>
          <cell r="D347" t="str">
            <v>SINOP</v>
          </cell>
          <cell r="E347" t="str">
            <v>MT</v>
          </cell>
          <cell r="I347" t="str">
            <v>Não Comprou</v>
          </cell>
        </row>
        <row r="348">
          <cell r="A348">
            <v>23952661000112</v>
          </cell>
          <cell r="B348" t="str">
            <v>FARMACIA PIONEIRA</v>
          </cell>
          <cell r="C348" t="str">
            <v>INDEPENDENTES VIN</v>
          </cell>
          <cell r="D348" t="str">
            <v>SINOP</v>
          </cell>
          <cell r="E348" t="str">
            <v>MT</v>
          </cell>
          <cell r="F348">
            <v>46308</v>
          </cell>
          <cell r="G348">
            <v>1099.26</v>
          </cell>
          <cell r="I348" t="str">
            <v>Comprou Marcas</v>
          </cell>
        </row>
        <row r="349">
          <cell r="A349">
            <v>199752000395</v>
          </cell>
          <cell r="B349" t="str">
            <v>FARMACIA ODEON</v>
          </cell>
          <cell r="C349" t="str">
            <v>ODEON</v>
          </cell>
          <cell r="D349" t="str">
            <v>TRES LAGOAS</v>
          </cell>
          <cell r="E349" t="str">
            <v>MS</v>
          </cell>
          <cell r="F349">
            <v>46316</v>
          </cell>
          <cell r="G349">
            <v>44063.859999999993</v>
          </cell>
          <cell r="H349">
            <v>425.81999999999994</v>
          </cell>
          <cell r="I349" t="str">
            <v>Comprou Marcas e SG</v>
          </cell>
        </row>
        <row r="350">
          <cell r="A350">
            <v>199752000638</v>
          </cell>
          <cell r="B350" t="str">
            <v>FARMACIA ODEON</v>
          </cell>
          <cell r="C350" t="str">
            <v>ODEON</v>
          </cell>
          <cell r="D350" t="str">
            <v>TRES LAGOAS</v>
          </cell>
          <cell r="E350" t="str">
            <v>MS</v>
          </cell>
          <cell r="F350">
            <v>46316</v>
          </cell>
          <cell r="G350">
            <v>17408.430000000008</v>
          </cell>
          <cell r="I350" t="str">
            <v>Comprou Marcas</v>
          </cell>
        </row>
        <row r="351">
          <cell r="A351">
            <v>61416946000128</v>
          </cell>
          <cell r="B351" t="str">
            <v>FARMACIA ODEON</v>
          </cell>
          <cell r="C351" t="str">
            <v>ASSOCIADAS</v>
          </cell>
          <cell r="D351" t="str">
            <v>TRES LAGOAS</v>
          </cell>
          <cell r="E351" t="str">
            <v>MS</v>
          </cell>
          <cell r="F351">
            <v>46316</v>
          </cell>
          <cell r="G351">
            <v>8082.1500000000015</v>
          </cell>
          <cell r="H351">
            <v>395.77</v>
          </cell>
          <cell r="I351" t="str">
            <v>Comprou Marcas e SG</v>
          </cell>
        </row>
        <row r="352">
          <cell r="A352">
            <v>193631000174</v>
          </cell>
          <cell r="B352" t="str">
            <v>FARMACIA NAKAYAMA LTDA</v>
          </cell>
          <cell r="C352" t="str">
            <v>INDEPENDENTES VIN</v>
          </cell>
          <cell r="D352" t="str">
            <v>CAARAPO</v>
          </cell>
          <cell r="E352" t="str">
            <v>MS</v>
          </cell>
          <cell r="I352" t="str">
            <v>Não Comprou</v>
          </cell>
        </row>
        <row r="353">
          <cell r="A353">
            <v>23866159000199</v>
          </cell>
          <cell r="B353" t="str">
            <v>FARMACIA NAJA V</v>
          </cell>
          <cell r="C353" t="str">
            <v>ASSOCIADAS</v>
          </cell>
          <cell r="D353" t="str">
            <v>ITAQUIRAI</v>
          </cell>
          <cell r="E353" t="str">
            <v>MS</v>
          </cell>
          <cell r="I353" t="str">
            <v>Não Comprou</v>
          </cell>
        </row>
        <row r="354">
          <cell r="A354">
            <v>33202736000100</v>
          </cell>
          <cell r="B354" t="str">
            <v>FARMACIA MOURA E ASSIS</v>
          </cell>
          <cell r="C354" t="str">
            <v>INDEPENDENTES VIN</v>
          </cell>
          <cell r="D354" t="str">
            <v>CAMPO GRANDE</v>
          </cell>
          <cell r="E354" t="str">
            <v>MS</v>
          </cell>
          <cell r="F354">
            <v>46316</v>
          </cell>
          <cell r="G354">
            <v>862.44999999999993</v>
          </cell>
          <cell r="H354">
            <v>2939.49</v>
          </cell>
          <cell r="I354" t="str">
            <v>Comprou Marcas e SG</v>
          </cell>
        </row>
        <row r="355">
          <cell r="A355">
            <v>64621083000119</v>
          </cell>
          <cell r="B355" t="str">
            <v>FARMACIA MODERNA + POPULAR DOIS</v>
          </cell>
          <cell r="C355" t="str">
            <v>INDEPENDENTES VIN</v>
          </cell>
          <cell r="D355" t="str">
            <v>CAMPO NOVO DO PARECIS</v>
          </cell>
          <cell r="E355" t="str">
            <v>MT</v>
          </cell>
          <cell r="I355" t="str">
            <v>Não Comprou</v>
          </cell>
        </row>
        <row r="356">
          <cell r="A356">
            <v>2956282000120</v>
          </cell>
          <cell r="B356" t="str">
            <v>FARMACIA MODERNA</v>
          </cell>
          <cell r="C356" t="str">
            <v>FARMARCAS</v>
          </cell>
          <cell r="D356" t="str">
            <v>ITAPORA</v>
          </cell>
          <cell r="E356" t="str">
            <v>MS</v>
          </cell>
          <cell r="F356">
            <v>46310</v>
          </cell>
          <cell r="G356">
            <v>1400.48</v>
          </cell>
          <cell r="I356" t="str">
            <v>Comprou Marcas</v>
          </cell>
        </row>
        <row r="357">
          <cell r="A357">
            <v>4411142000100</v>
          </cell>
          <cell r="B357" t="str">
            <v>FARMACIA MODERNA</v>
          </cell>
          <cell r="C357" t="str">
            <v>DSG FARMA</v>
          </cell>
          <cell r="D357" t="str">
            <v>DOURADOS</v>
          </cell>
          <cell r="E357" t="str">
            <v>MS</v>
          </cell>
          <cell r="F357">
            <v>46316</v>
          </cell>
          <cell r="G357">
            <v>804.31999999999982</v>
          </cell>
          <cell r="H357">
            <v>321.14</v>
          </cell>
          <cell r="I357" t="str">
            <v>Comprou Marcas e SG</v>
          </cell>
        </row>
        <row r="358">
          <cell r="A358">
            <v>34975101000108</v>
          </cell>
          <cell r="B358" t="str">
            <v>FARMACIA MINI PRECO</v>
          </cell>
          <cell r="C358" t="str">
            <v>ASSOCIADAS</v>
          </cell>
          <cell r="D358" t="str">
            <v>CAMPO NOVO DO PARECIS</v>
          </cell>
          <cell r="E358" t="str">
            <v>MT</v>
          </cell>
          <cell r="I358" t="str">
            <v>Não Comprou</v>
          </cell>
        </row>
        <row r="359">
          <cell r="A359">
            <v>24415425000120</v>
          </cell>
          <cell r="B359" t="str">
            <v>FARMACIA MEGA POPULAR</v>
          </cell>
          <cell r="C359" t="str">
            <v>MASTERFARMA</v>
          </cell>
          <cell r="D359" t="str">
            <v>DOURADOS</v>
          </cell>
          <cell r="E359" t="str">
            <v>MS</v>
          </cell>
          <cell r="F359">
            <v>46315</v>
          </cell>
          <cell r="G359">
            <v>206.86</v>
          </cell>
          <cell r="I359" t="str">
            <v>Comprou Marcas</v>
          </cell>
        </row>
        <row r="360">
          <cell r="A360">
            <v>28032369000103</v>
          </cell>
          <cell r="B360" t="str">
            <v>FARMACIA MEDICAMENTO BARATO</v>
          </cell>
          <cell r="C360" t="str">
            <v>COMPRE BEM</v>
          </cell>
          <cell r="D360" t="str">
            <v>SAPEZAL</v>
          </cell>
          <cell r="E360" t="str">
            <v>MT</v>
          </cell>
          <cell r="F360">
            <v>46314</v>
          </cell>
          <cell r="G360">
            <v>7116.0700000000033</v>
          </cell>
          <cell r="I360" t="str">
            <v>Comprou Marcas</v>
          </cell>
        </row>
        <row r="361">
          <cell r="A361">
            <v>24724080000196</v>
          </cell>
          <cell r="B361" t="str">
            <v>FARMACIA MATOGROSSENSE</v>
          </cell>
          <cell r="C361" t="str">
            <v>INDEPENDENTES VIN</v>
          </cell>
          <cell r="D361" t="str">
            <v>AGUA BOA</v>
          </cell>
          <cell r="E361" t="str">
            <v>MT</v>
          </cell>
          <cell r="I361" t="str">
            <v>Não Comprou</v>
          </cell>
        </row>
        <row r="362">
          <cell r="A362">
            <v>20750641000170</v>
          </cell>
          <cell r="B362" t="str">
            <v>FARMACIA MARACAJU FARMA</v>
          </cell>
          <cell r="C362" t="str">
            <v>INDEPENDENTES VIN</v>
          </cell>
          <cell r="D362" t="str">
            <v>MARACAJU</v>
          </cell>
          <cell r="E362" t="str">
            <v>MS</v>
          </cell>
          <cell r="I362" t="str">
            <v>Não Comprou</v>
          </cell>
        </row>
        <row r="363">
          <cell r="A363">
            <v>49685257000113</v>
          </cell>
          <cell r="B363" t="str">
            <v>FARMACIA MAIS VIDA</v>
          </cell>
          <cell r="C363" t="str">
            <v>INDEPENDENTES VIN</v>
          </cell>
          <cell r="D363" t="str">
            <v>CANARANA</v>
          </cell>
          <cell r="E363" t="str">
            <v>MT</v>
          </cell>
          <cell r="I363" t="str">
            <v>Não Comprou</v>
          </cell>
        </row>
        <row r="364">
          <cell r="A364">
            <v>22977550000106</v>
          </cell>
          <cell r="B364" t="str">
            <v>FARMACIA MAIS POPULAR</v>
          </cell>
          <cell r="C364" t="str">
            <v>MASTERFARMA</v>
          </cell>
          <cell r="D364" t="str">
            <v>CARLINDA</v>
          </cell>
          <cell r="E364" t="str">
            <v>MT</v>
          </cell>
          <cell r="I364" t="str">
            <v>Não Comprou</v>
          </cell>
        </row>
        <row r="365">
          <cell r="A365">
            <v>28800059000183</v>
          </cell>
          <cell r="B365" t="str">
            <v>FARMACIA MAIS ECONOMICA</v>
          </cell>
          <cell r="C365" t="str">
            <v>INDEPENDENTES VIN</v>
          </cell>
          <cell r="D365" t="str">
            <v>CORUMBA</v>
          </cell>
          <cell r="E365" t="str">
            <v>MS</v>
          </cell>
          <cell r="F365">
            <v>46315</v>
          </cell>
          <cell r="G365">
            <v>1331.4099999999999</v>
          </cell>
          <cell r="H365">
            <v>3516.72</v>
          </cell>
          <cell r="I365" t="str">
            <v>Comprou Marcas e SG</v>
          </cell>
        </row>
        <row r="366">
          <cell r="A366">
            <v>16825373000131</v>
          </cell>
          <cell r="B366" t="str">
            <v>FARMACIA MAIS</v>
          </cell>
          <cell r="C366" t="str">
            <v>INDEPENDENTES VIN</v>
          </cell>
          <cell r="D366" t="str">
            <v>RIO BRILHANTE</v>
          </cell>
          <cell r="E366" t="str">
            <v>MS</v>
          </cell>
          <cell r="F366">
            <v>46314</v>
          </cell>
          <cell r="G366">
            <v>328.75</v>
          </cell>
          <cell r="I366" t="str">
            <v>Comprou Marcas</v>
          </cell>
        </row>
        <row r="367">
          <cell r="A367">
            <v>4972853000146</v>
          </cell>
          <cell r="B367" t="str">
            <v>FARMACIA MADEIRA</v>
          </cell>
          <cell r="C367" t="str">
            <v>REDE MADEIRA</v>
          </cell>
          <cell r="D367" t="str">
            <v>SINOP</v>
          </cell>
          <cell r="E367" t="str">
            <v>MT</v>
          </cell>
          <cell r="F367">
            <v>46310</v>
          </cell>
          <cell r="G367">
            <v>15431.189999999997</v>
          </cell>
          <cell r="H367">
            <v>6899.0400000000009</v>
          </cell>
          <cell r="I367" t="str">
            <v>Comprou Marcas e SG</v>
          </cell>
        </row>
        <row r="368">
          <cell r="A368">
            <v>4972853000227</v>
          </cell>
          <cell r="B368" t="str">
            <v>FARMACIA MADEIRA</v>
          </cell>
          <cell r="C368" t="str">
            <v>REDE MADEIRA</v>
          </cell>
          <cell r="D368" t="str">
            <v>SINOP</v>
          </cell>
          <cell r="E368" t="str">
            <v>MT</v>
          </cell>
          <cell r="F368">
            <v>46310</v>
          </cell>
          <cell r="G368">
            <v>13253.789999999999</v>
          </cell>
          <cell r="H368">
            <v>7037.4600000000009</v>
          </cell>
          <cell r="I368" t="str">
            <v>Comprou Marcas e SG</v>
          </cell>
        </row>
        <row r="369">
          <cell r="A369">
            <v>4972853000308</v>
          </cell>
          <cell r="B369" t="str">
            <v>FARMACIA MADEIRA</v>
          </cell>
          <cell r="C369" t="str">
            <v>REDE MADEIRA</v>
          </cell>
          <cell r="D369" t="str">
            <v>SINOP</v>
          </cell>
          <cell r="E369" t="str">
            <v>MT</v>
          </cell>
          <cell r="F369">
            <v>46310</v>
          </cell>
          <cell r="G369">
            <v>18776.05</v>
          </cell>
          <cell r="H369">
            <v>8878.7900000000009</v>
          </cell>
          <cell r="I369" t="str">
            <v>Comprou Marcas e SG</v>
          </cell>
        </row>
        <row r="370">
          <cell r="A370">
            <v>4972853000499</v>
          </cell>
          <cell r="B370" t="str">
            <v>FARMACIA MADEIRA</v>
          </cell>
          <cell r="C370" t="str">
            <v>REDE MADEIRA</v>
          </cell>
          <cell r="D370" t="str">
            <v>SINOP</v>
          </cell>
          <cell r="E370" t="str">
            <v>MT</v>
          </cell>
          <cell r="F370">
            <v>46310</v>
          </cell>
          <cell r="G370">
            <v>3181.67</v>
          </cell>
          <cell r="H370">
            <v>1654.6999999999996</v>
          </cell>
          <cell r="I370" t="str">
            <v>Comprou Marcas e SG</v>
          </cell>
        </row>
        <row r="371">
          <cell r="A371">
            <v>4972853000570</v>
          </cell>
          <cell r="B371" t="str">
            <v>FARMACIA MADEIRA</v>
          </cell>
          <cell r="C371" t="str">
            <v>REDE MADEIRA</v>
          </cell>
          <cell r="D371" t="str">
            <v>SORRISO</v>
          </cell>
          <cell r="E371" t="str">
            <v>MT</v>
          </cell>
          <cell r="F371">
            <v>46310</v>
          </cell>
          <cell r="G371">
            <v>9071.8600000000024</v>
          </cell>
          <cell r="H371">
            <v>3804.4099999999994</v>
          </cell>
          <cell r="I371" t="str">
            <v>Comprou Marcas e SG</v>
          </cell>
        </row>
        <row r="372">
          <cell r="A372">
            <v>4972853000650</v>
          </cell>
          <cell r="B372" t="str">
            <v>FARMACIA MADEIRA</v>
          </cell>
          <cell r="C372" t="str">
            <v>REDE MADEIRA</v>
          </cell>
          <cell r="D372" t="str">
            <v>SINOP</v>
          </cell>
          <cell r="E372" t="str">
            <v>MT</v>
          </cell>
          <cell r="F372">
            <v>46310</v>
          </cell>
          <cell r="G372">
            <v>9501.489999999998</v>
          </cell>
          <cell r="H372">
            <v>5927.56</v>
          </cell>
          <cell r="I372" t="str">
            <v>Comprou Marcas e SG</v>
          </cell>
        </row>
        <row r="373">
          <cell r="A373">
            <v>4972853000731</v>
          </cell>
          <cell r="B373" t="str">
            <v>FARMACIA MADEIRA</v>
          </cell>
          <cell r="C373" t="str">
            <v>REDE MADEIRA</v>
          </cell>
          <cell r="D373" t="str">
            <v>SINOP</v>
          </cell>
          <cell r="E373" t="str">
            <v>MT</v>
          </cell>
          <cell r="F373">
            <v>46310</v>
          </cell>
          <cell r="G373">
            <v>4752.05</v>
          </cell>
          <cell r="H373">
            <v>2615.4</v>
          </cell>
          <cell r="I373" t="str">
            <v>Comprou Marcas e SG</v>
          </cell>
        </row>
        <row r="374">
          <cell r="A374">
            <v>4972853000812</v>
          </cell>
          <cell r="B374" t="str">
            <v>FARMACIA MADEIRA</v>
          </cell>
          <cell r="C374" t="str">
            <v>REDE MADEIRA</v>
          </cell>
          <cell r="D374" t="str">
            <v>SINOP</v>
          </cell>
          <cell r="E374" t="str">
            <v>MT</v>
          </cell>
          <cell r="F374">
            <v>46315</v>
          </cell>
          <cell r="G374">
            <v>32194.91</v>
          </cell>
          <cell r="H374">
            <v>9363.85</v>
          </cell>
          <cell r="I374" t="str">
            <v>Comprou Marcas e SG</v>
          </cell>
        </row>
        <row r="375">
          <cell r="A375">
            <v>14492828000119</v>
          </cell>
          <cell r="B375" t="str">
            <v>FARMACIA MADEIRA</v>
          </cell>
          <cell r="C375" t="str">
            <v>INDEPENDENTES VIN</v>
          </cell>
          <cell r="D375" t="str">
            <v>GUARANTA DO NORTE</v>
          </cell>
          <cell r="E375" t="str">
            <v>MT</v>
          </cell>
          <cell r="F375">
            <v>46311</v>
          </cell>
          <cell r="G375">
            <v>748.32</v>
          </cell>
          <cell r="I375" t="str">
            <v>Comprou Marcas</v>
          </cell>
        </row>
        <row r="376">
          <cell r="A376">
            <v>37629799000190</v>
          </cell>
          <cell r="B376" t="str">
            <v>FARMACIA MACHADO</v>
          </cell>
          <cell r="C376" t="str">
            <v>INDEPENDENTES VIN</v>
          </cell>
          <cell r="D376" t="str">
            <v>ALTA FLORESTA</v>
          </cell>
          <cell r="E376" t="str">
            <v>MT</v>
          </cell>
          <cell r="F376">
            <v>46311</v>
          </cell>
          <cell r="G376">
            <v>1267.4199999999998</v>
          </cell>
          <cell r="I376" t="str">
            <v>Comprou Marcas</v>
          </cell>
        </row>
        <row r="377">
          <cell r="A377">
            <v>8793169000158</v>
          </cell>
          <cell r="B377" t="str">
            <v>FARMACIA LUZ E VIDA</v>
          </cell>
          <cell r="C377" t="str">
            <v>MASTERFARMA</v>
          </cell>
          <cell r="D377" t="str">
            <v>SINOP</v>
          </cell>
          <cell r="E377" t="str">
            <v>MT</v>
          </cell>
          <cell r="I377" t="str">
            <v>Não Comprou</v>
          </cell>
        </row>
        <row r="378">
          <cell r="A378">
            <v>66160225000113</v>
          </cell>
          <cell r="B378" t="str">
            <v>FARMACIA KASPEICHAKI</v>
          </cell>
          <cell r="C378" t="str">
            <v>INDEPENDENTES VIN</v>
          </cell>
          <cell r="D378" t="str">
            <v>CAMPO NOVO DO PARECIS</v>
          </cell>
          <cell r="E378" t="str">
            <v>MT</v>
          </cell>
          <cell r="I378" t="str">
            <v>Não Comprou</v>
          </cell>
        </row>
        <row r="379">
          <cell r="A379">
            <v>55283212000115</v>
          </cell>
          <cell r="B379" t="str">
            <v>FARMACIA IRAPURU</v>
          </cell>
          <cell r="C379" t="str">
            <v>FARMAIS</v>
          </cell>
          <cell r="D379" t="str">
            <v>IRAPURU</v>
          </cell>
          <cell r="E379" t="str">
            <v>SP</v>
          </cell>
          <cell r="I379" t="str">
            <v>Não Comprou</v>
          </cell>
        </row>
        <row r="380">
          <cell r="A380">
            <v>11368538000170</v>
          </cell>
          <cell r="B380" t="str">
            <v>FARMACIA INDEPENDENCIA</v>
          </cell>
          <cell r="C380" t="str">
            <v>FARMARCAS</v>
          </cell>
          <cell r="D380" t="str">
            <v>PENAPOLIS</v>
          </cell>
          <cell r="E380" t="str">
            <v>SP</v>
          </cell>
          <cell r="F380">
            <v>46311</v>
          </cell>
          <cell r="H380">
            <v>36925.29</v>
          </cell>
          <cell r="I380" t="str">
            <v>Comprou SG</v>
          </cell>
        </row>
        <row r="381">
          <cell r="A381">
            <v>49852577000110</v>
          </cell>
          <cell r="B381" t="str">
            <v>FARMACIA IMPERIAL</v>
          </cell>
          <cell r="C381" t="str">
            <v>INDEPENDENTES VIN</v>
          </cell>
          <cell r="D381" t="str">
            <v>TEODORO SAMPAIO</v>
          </cell>
          <cell r="E381" t="str">
            <v>SP</v>
          </cell>
          <cell r="F381">
            <v>46316</v>
          </cell>
          <cell r="G381">
            <v>21874.02</v>
          </cell>
          <cell r="H381">
            <v>22396.35</v>
          </cell>
          <cell r="I381" t="str">
            <v>Comprou Marcas e SG</v>
          </cell>
        </row>
        <row r="382">
          <cell r="A382">
            <v>52286494000116</v>
          </cell>
          <cell r="B382" t="str">
            <v>FARMACIA HIPER POPULAR</v>
          </cell>
          <cell r="C382" t="str">
            <v>HIPER SAUDE</v>
          </cell>
          <cell r="D382" t="str">
            <v>NAVIRAI</v>
          </cell>
          <cell r="E382" t="str">
            <v>MS</v>
          </cell>
          <cell r="F382">
            <v>46303</v>
          </cell>
          <cell r="G382">
            <v>1111.7399999999998</v>
          </cell>
          <cell r="I382" t="str">
            <v>Comprou Marcas</v>
          </cell>
        </row>
        <row r="383">
          <cell r="A383">
            <v>66613327000147</v>
          </cell>
          <cell r="B383" t="str">
            <v>FARMACIA GERIZIM</v>
          </cell>
          <cell r="C383" t="str">
            <v>ASSOCIADAS</v>
          </cell>
          <cell r="D383" t="str">
            <v>INOCENCIA</v>
          </cell>
          <cell r="E383" t="str">
            <v>MS</v>
          </cell>
          <cell r="F383">
            <v>46309</v>
          </cell>
          <cell r="G383">
            <v>845.2299999999999</v>
          </cell>
          <cell r="I383" t="str">
            <v>Comprou Marcas</v>
          </cell>
        </row>
        <row r="384">
          <cell r="A384">
            <v>33675901000132</v>
          </cell>
          <cell r="B384" t="str">
            <v>FARMACIA GERALDO TOMAS</v>
          </cell>
          <cell r="C384" t="str">
            <v>MASTERFARMA</v>
          </cell>
          <cell r="D384" t="str">
            <v>ARAGUAIANA</v>
          </cell>
          <cell r="E384" t="str">
            <v>MT</v>
          </cell>
          <cell r="F384">
            <v>46314</v>
          </cell>
          <cell r="G384">
            <v>982.61999999999989</v>
          </cell>
          <cell r="I384" t="str">
            <v>Comprou Marcas</v>
          </cell>
        </row>
        <row r="385">
          <cell r="A385">
            <v>1938125000120</v>
          </cell>
          <cell r="B385" t="str">
            <v>FARMACIA GAUCHA</v>
          </cell>
          <cell r="C385" t="str">
            <v>FARMARCAS</v>
          </cell>
          <cell r="D385" t="str">
            <v>IGUATEMI</v>
          </cell>
          <cell r="E385" t="str">
            <v>MS</v>
          </cell>
          <cell r="F385">
            <v>46314</v>
          </cell>
          <cell r="G385">
            <v>7485.5099999999993</v>
          </cell>
          <cell r="I385" t="str">
            <v>Comprou Marcas</v>
          </cell>
        </row>
        <row r="386">
          <cell r="A386">
            <v>10737685000450</v>
          </cell>
          <cell r="B386" t="str">
            <v>FARMACIA GALENA MANIPULACAO DE FORMULAS</v>
          </cell>
          <cell r="C386" t="str">
            <v>ECONOMIZE RONDONOPOLIS</v>
          </cell>
          <cell r="D386" t="str">
            <v>CACERES</v>
          </cell>
          <cell r="E386" t="str">
            <v>MT</v>
          </cell>
          <cell r="F386">
            <v>46311</v>
          </cell>
          <cell r="G386">
            <v>8672.0500000000011</v>
          </cell>
          <cell r="I386" t="str">
            <v>Comprou Marcas</v>
          </cell>
        </row>
        <row r="387">
          <cell r="A387">
            <v>10737685000530</v>
          </cell>
          <cell r="B387" t="str">
            <v>FARMACIA GALENA MANIPULACAO DE FORMULAS</v>
          </cell>
          <cell r="C387" t="str">
            <v>ECONOMIZE RONDONOPOLIS</v>
          </cell>
          <cell r="D387" t="str">
            <v>CAMPOS DE JULIO</v>
          </cell>
          <cell r="E387" t="str">
            <v>MT</v>
          </cell>
          <cell r="F387">
            <v>46303</v>
          </cell>
          <cell r="G387">
            <v>1446.1</v>
          </cell>
          <cell r="I387" t="str">
            <v>Comprou Marcas</v>
          </cell>
        </row>
        <row r="388">
          <cell r="A388">
            <v>4276276000158</v>
          </cell>
          <cell r="B388" t="str">
            <v>FARMACIA FLORAL</v>
          </cell>
          <cell r="C388" t="str">
            <v>INDEPENDENTES VIN</v>
          </cell>
          <cell r="D388" t="str">
            <v>MIRASSOL D'OESTE</v>
          </cell>
          <cell r="E388" t="str">
            <v>MT</v>
          </cell>
          <cell r="I388" t="str">
            <v>Não Comprou</v>
          </cell>
        </row>
        <row r="389">
          <cell r="A389">
            <v>2703345000137</v>
          </cell>
          <cell r="B389" t="str">
            <v>FARMACIA FLOR DE MAIO</v>
          </cell>
          <cell r="C389" t="str">
            <v>INDEPENDENTES VIN</v>
          </cell>
          <cell r="D389" t="str">
            <v>SINOP</v>
          </cell>
          <cell r="E389" t="str">
            <v>MT</v>
          </cell>
          <cell r="I389" t="str">
            <v>Não Comprou</v>
          </cell>
        </row>
        <row r="390">
          <cell r="A390">
            <v>9539583000106</v>
          </cell>
          <cell r="B390" t="str">
            <v>FARMACIA FLOR DE MAIO</v>
          </cell>
          <cell r="C390" t="str">
            <v>INDEPENDENTES VIN</v>
          </cell>
          <cell r="D390" t="str">
            <v>SINOP</v>
          </cell>
          <cell r="E390" t="str">
            <v>MT</v>
          </cell>
          <cell r="I390" t="str">
            <v>Não Comprou</v>
          </cell>
        </row>
        <row r="391">
          <cell r="A391">
            <v>35595811000167</v>
          </cell>
          <cell r="B391" t="str">
            <v>FARMACIA FLOR DE MAIO</v>
          </cell>
          <cell r="C391" t="str">
            <v>INDEPENDENTES VIN</v>
          </cell>
          <cell r="D391" t="str">
            <v>SINOP</v>
          </cell>
          <cell r="E391" t="str">
            <v>MT</v>
          </cell>
          <cell r="I391" t="str">
            <v>Não Comprou</v>
          </cell>
        </row>
        <row r="392">
          <cell r="A392">
            <v>13475688000108</v>
          </cell>
          <cell r="B392" t="str">
            <v>FARMACIA FLOR DE LIS</v>
          </cell>
          <cell r="C392" t="str">
            <v>ECONOMIZE RONDONOPOLIS</v>
          </cell>
          <cell r="D392" t="str">
            <v>PORTO ESPERIDIAO</v>
          </cell>
          <cell r="E392" t="str">
            <v>MT</v>
          </cell>
          <cell r="I392" t="str">
            <v>Não Comprou</v>
          </cell>
        </row>
        <row r="393">
          <cell r="A393">
            <v>44864960000175</v>
          </cell>
          <cell r="B393" t="str">
            <v>FARMACIA FAVORITA</v>
          </cell>
          <cell r="C393" t="str">
            <v>MASTERFARMA</v>
          </cell>
          <cell r="D393" t="str">
            <v>COXIM</v>
          </cell>
          <cell r="E393" t="str">
            <v>MS</v>
          </cell>
          <cell r="F393">
            <v>46304</v>
          </cell>
          <cell r="G393">
            <v>332.4</v>
          </cell>
          <cell r="I393" t="str">
            <v>Comprou Marcas</v>
          </cell>
        </row>
        <row r="394">
          <cell r="A394">
            <v>9652569000106</v>
          </cell>
          <cell r="B394" t="str">
            <v>FARMACIA FARMAVIDA</v>
          </cell>
          <cell r="C394" t="str">
            <v>HIPER SAUDE</v>
          </cell>
          <cell r="D394" t="str">
            <v>MUNDO NOVO</v>
          </cell>
          <cell r="E394" t="str">
            <v>MS</v>
          </cell>
          <cell r="F394">
            <v>46303</v>
          </cell>
          <cell r="G394">
            <v>2893.6899999999996</v>
          </cell>
          <cell r="I394" t="str">
            <v>Comprou Marcas</v>
          </cell>
        </row>
        <row r="395">
          <cell r="A395">
            <v>5051579000135</v>
          </cell>
          <cell r="B395" t="str">
            <v>FARMACIA FARMAMED</v>
          </cell>
          <cell r="C395" t="str">
            <v>INDEPENDENTES VIN</v>
          </cell>
          <cell r="D395" t="str">
            <v>COXIM</v>
          </cell>
          <cell r="E395" t="str">
            <v>MS</v>
          </cell>
          <cell r="I395" t="str">
            <v>Não Comprou</v>
          </cell>
        </row>
        <row r="396">
          <cell r="A396">
            <v>19934714000103</v>
          </cell>
          <cell r="B396" t="str">
            <v>FARMACIA FARMALITTER</v>
          </cell>
          <cell r="C396" t="str">
            <v>INDEPENDENTES VIN</v>
          </cell>
          <cell r="D396" t="str">
            <v>FATIMA DO SUL</v>
          </cell>
          <cell r="E396" t="str">
            <v>MS</v>
          </cell>
          <cell r="F396">
            <v>46315</v>
          </cell>
          <cell r="G396">
            <v>2048.1900000000005</v>
          </cell>
          <cell r="I396" t="str">
            <v>Comprou Marcas</v>
          </cell>
        </row>
        <row r="397">
          <cell r="A397">
            <v>9495338000136</v>
          </cell>
          <cell r="B397" t="str">
            <v>FARMACIA FARMACLIN</v>
          </cell>
          <cell r="C397" t="str">
            <v>HIPER SAUDE</v>
          </cell>
          <cell r="D397" t="str">
            <v>PONTA PORA</v>
          </cell>
          <cell r="E397" t="str">
            <v>MS</v>
          </cell>
          <cell r="F397">
            <v>46311</v>
          </cell>
          <cell r="G397">
            <v>3708.32</v>
          </cell>
          <cell r="I397" t="str">
            <v>Comprou Marcas</v>
          </cell>
        </row>
        <row r="398">
          <cell r="A398">
            <v>14324344000160</v>
          </cell>
          <cell r="B398" t="str">
            <v>FARMACIA FARMA 1000</v>
          </cell>
          <cell r="C398" t="str">
            <v>VIVER MAIS</v>
          </cell>
          <cell r="D398" t="str">
            <v>NAVIRAI</v>
          </cell>
          <cell r="E398" t="str">
            <v>MS</v>
          </cell>
          <cell r="F398">
            <v>46314</v>
          </cell>
          <cell r="H398">
            <v>1471.55</v>
          </cell>
          <cell r="I398" t="str">
            <v>Comprou SG</v>
          </cell>
        </row>
        <row r="399">
          <cell r="A399">
            <v>26661675000175</v>
          </cell>
          <cell r="B399" t="str">
            <v>FARMACIA FARMA +</v>
          </cell>
          <cell r="C399" t="str">
            <v>FARMA &amp; FARMA</v>
          </cell>
          <cell r="D399" t="str">
            <v>SORRISO</v>
          </cell>
          <cell r="E399" t="str">
            <v>MT</v>
          </cell>
          <cell r="F399">
            <v>46316</v>
          </cell>
          <cell r="G399">
            <v>7395.3600000000006</v>
          </cell>
          <cell r="I399" t="str">
            <v>Comprou Marcas</v>
          </cell>
        </row>
        <row r="400">
          <cell r="A400">
            <v>54593917000176</v>
          </cell>
          <cell r="B400" t="str">
            <v>FARMACIA FAR MED</v>
          </cell>
          <cell r="C400" t="str">
            <v>INDEPENDENTES VIN</v>
          </cell>
          <cell r="D400" t="str">
            <v>CAMPO GRANDE</v>
          </cell>
          <cell r="E400" t="str">
            <v>MS</v>
          </cell>
          <cell r="I400" t="str">
            <v>Não Comprou</v>
          </cell>
        </row>
        <row r="401">
          <cell r="A401">
            <v>57629502000101</v>
          </cell>
          <cell r="B401" t="str">
            <v>FARMACIA ESSENCIAL</v>
          </cell>
          <cell r="C401" t="str">
            <v>INDEPENDENTES VIN</v>
          </cell>
          <cell r="D401" t="str">
            <v>PEDRO GOMES</v>
          </cell>
          <cell r="E401" t="str">
            <v>MS</v>
          </cell>
          <cell r="I401" t="str">
            <v>Não Comprou</v>
          </cell>
        </row>
        <row r="402">
          <cell r="A402">
            <v>8856967000181</v>
          </cell>
          <cell r="B402" t="str">
            <v>FARMACIA ECONOMIZE SINOP</v>
          </cell>
          <cell r="C402" t="str">
            <v>ECONOMIZE RONDONOPOLIS</v>
          </cell>
          <cell r="D402" t="str">
            <v>SINOP</v>
          </cell>
          <cell r="E402" t="str">
            <v>MT</v>
          </cell>
          <cell r="F402">
            <v>46303</v>
          </cell>
          <cell r="G402">
            <v>2642.6099999999997</v>
          </cell>
          <cell r="I402" t="str">
            <v>Comprou Marcas</v>
          </cell>
        </row>
        <row r="403">
          <cell r="A403">
            <v>8856967000262</v>
          </cell>
          <cell r="B403" t="str">
            <v>FARMACIA ECONOMIZE SINOP</v>
          </cell>
          <cell r="C403" t="str">
            <v>ECONOMIZE RONDONOPOLIS</v>
          </cell>
          <cell r="D403" t="str">
            <v>SINOP</v>
          </cell>
          <cell r="E403" t="str">
            <v>MT</v>
          </cell>
          <cell r="I403" t="str">
            <v>Não Comprou</v>
          </cell>
        </row>
        <row r="404">
          <cell r="A404">
            <v>8856967000343</v>
          </cell>
          <cell r="B404" t="str">
            <v>FARMACIA ECONOMIZE SINOP</v>
          </cell>
          <cell r="C404" t="str">
            <v>ECONOMIZE RONDONOPOLIS</v>
          </cell>
          <cell r="D404" t="str">
            <v>SINOP</v>
          </cell>
          <cell r="E404" t="str">
            <v>MT</v>
          </cell>
          <cell r="I404" t="str">
            <v>Não Comprou</v>
          </cell>
        </row>
        <row r="405">
          <cell r="A405">
            <v>8252612000183</v>
          </cell>
          <cell r="B405" t="str">
            <v>FARMACIA ECONOMIZE</v>
          </cell>
          <cell r="C405" t="str">
            <v>ECONOMIZE RONDONOPOLIS</v>
          </cell>
          <cell r="D405" t="str">
            <v>GUIRATINGA</v>
          </cell>
          <cell r="E405" t="str">
            <v>MT</v>
          </cell>
          <cell r="I405" t="str">
            <v>Não Comprou</v>
          </cell>
        </row>
        <row r="406">
          <cell r="A406">
            <v>10737685000107</v>
          </cell>
          <cell r="B406" t="str">
            <v>FARMACIA ECONOMIZE</v>
          </cell>
          <cell r="C406" t="str">
            <v>ECONOMIZE RONDONOPOLIS</v>
          </cell>
          <cell r="D406" t="str">
            <v>CACERES</v>
          </cell>
          <cell r="E406" t="str">
            <v>MT</v>
          </cell>
          <cell r="F406">
            <v>46311</v>
          </cell>
          <cell r="G406">
            <v>14440.700000000003</v>
          </cell>
          <cell r="I406" t="str">
            <v>Comprou Marcas</v>
          </cell>
        </row>
        <row r="407">
          <cell r="A407">
            <v>10737685000379</v>
          </cell>
          <cell r="B407" t="str">
            <v>FARMACIA ECONOMIZE</v>
          </cell>
          <cell r="C407" t="str">
            <v>ECONOMIZE RONDONOPOLIS</v>
          </cell>
          <cell r="D407" t="str">
            <v>CACERES</v>
          </cell>
          <cell r="E407" t="str">
            <v>MT</v>
          </cell>
          <cell r="F407">
            <v>46311</v>
          </cell>
          <cell r="G407">
            <v>11907.4</v>
          </cell>
          <cell r="I407" t="str">
            <v>Comprou Marcas</v>
          </cell>
        </row>
        <row r="408">
          <cell r="A408">
            <v>53062463000144</v>
          </cell>
          <cell r="B408" t="str">
            <v>FARMACIA ECONOMIZE</v>
          </cell>
          <cell r="C408" t="str">
            <v>ECONOMIZE RONDONOPOLIS</v>
          </cell>
          <cell r="D408" t="str">
            <v>PONTES E LACERDA</v>
          </cell>
          <cell r="E408" t="str">
            <v>MT</v>
          </cell>
          <cell r="I408" t="str">
            <v>Não Comprou</v>
          </cell>
        </row>
        <row r="409">
          <cell r="A409">
            <v>2440068000206</v>
          </cell>
          <cell r="B409" t="str">
            <v>FARMACIA ECONOMIZE</v>
          </cell>
          <cell r="C409" t="str">
            <v>ECONOMIZE RONDONOPOLIS</v>
          </cell>
          <cell r="D409" t="str">
            <v>BARRA DO BUGRES</v>
          </cell>
          <cell r="E409" t="str">
            <v>MT</v>
          </cell>
          <cell r="F409">
            <v>46316</v>
          </cell>
          <cell r="G409">
            <v>4682.49</v>
          </cell>
          <cell r="I409" t="str">
            <v>Comprou Marcas</v>
          </cell>
        </row>
        <row r="410">
          <cell r="A410">
            <v>7217112000571</v>
          </cell>
          <cell r="B410" t="str">
            <v>FARMACIA ECONOMIZE</v>
          </cell>
          <cell r="C410" t="str">
            <v>ECONOMIZE RONDONOPOLIS</v>
          </cell>
          <cell r="D410" t="str">
            <v>NOVO DIAMANTINO (DIAMANTINO)</v>
          </cell>
          <cell r="E410" t="str">
            <v>MT</v>
          </cell>
          <cell r="F410">
            <v>46314</v>
          </cell>
          <cell r="G410">
            <v>3523.1100000000006</v>
          </cell>
          <cell r="I410" t="str">
            <v>Comprou Marcas</v>
          </cell>
        </row>
        <row r="411">
          <cell r="A411">
            <v>21013882000108</v>
          </cell>
          <cell r="B411" t="str">
            <v>FARMACIA ECONOMIZE</v>
          </cell>
          <cell r="C411" t="str">
            <v>ECONOMIZE RONDONOPOLIS</v>
          </cell>
          <cell r="D411" t="str">
            <v>LUCAS DO RIO VERDE</v>
          </cell>
          <cell r="E411" t="str">
            <v>MT</v>
          </cell>
          <cell r="F411">
            <v>46308</v>
          </cell>
          <cell r="G411">
            <v>22659.54</v>
          </cell>
          <cell r="I411" t="str">
            <v>Comprou Marcas</v>
          </cell>
        </row>
        <row r="412">
          <cell r="A412">
            <v>21013882000280</v>
          </cell>
          <cell r="B412" t="str">
            <v>FARMACIA ECONOMIZE</v>
          </cell>
          <cell r="C412" t="str">
            <v>ECONOMIZE RONDONOPOLIS</v>
          </cell>
          <cell r="D412" t="str">
            <v>LUCAS DO RIO VERDE</v>
          </cell>
          <cell r="E412" t="str">
            <v>MT</v>
          </cell>
          <cell r="F412">
            <v>46303</v>
          </cell>
          <cell r="G412">
            <v>4514.380000000001</v>
          </cell>
          <cell r="I412" t="str">
            <v>Comprou Marcas</v>
          </cell>
        </row>
        <row r="413">
          <cell r="A413">
            <v>21013882000361</v>
          </cell>
          <cell r="B413" t="str">
            <v>FARMACIA ECONOMIZE</v>
          </cell>
          <cell r="C413" t="str">
            <v>ECONOMIZE RONDONOPOLIS</v>
          </cell>
          <cell r="D413" t="str">
            <v>LUCAS DO RIO VERDE</v>
          </cell>
          <cell r="E413" t="str">
            <v>MT</v>
          </cell>
          <cell r="F413">
            <v>46303</v>
          </cell>
          <cell r="G413">
            <v>4348.9500000000007</v>
          </cell>
          <cell r="I413" t="str">
            <v>Comprou Marcas</v>
          </cell>
        </row>
        <row r="414">
          <cell r="A414">
            <v>21013882000442</v>
          </cell>
          <cell r="B414" t="str">
            <v>FARMACIA ECONOMIZE</v>
          </cell>
          <cell r="C414" t="str">
            <v>ECONOMIZE RONDONOPOLIS</v>
          </cell>
          <cell r="D414" t="str">
            <v>LUCAS DO RIO VERDE</v>
          </cell>
          <cell r="E414" t="str">
            <v>MT</v>
          </cell>
          <cell r="F414">
            <v>46303</v>
          </cell>
          <cell r="G414">
            <v>4845.8200000000006</v>
          </cell>
          <cell r="I414" t="str">
            <v>Comprou Marcas</v>
          </cell>
        </row>
        <row r="415">
          <cell r="A415">
            <v>49413331000142</v>
          </cell>
          <cell r="B415" t="str">
            <v>FARMACIA ECONOMIZE</v>
          </cell>
          <cell r="C415" t="str">
            <v>ECONOMIZE RONDONOPOLIS</v>
          </cell>
          <cell r="D415" t="str">
            <v>PEIXOTO DE AZEVEDO</v>
          </cell>
          <cell r="E415" t="str">
            <v>MT</v>
          </cell>
          <cell r="I415" t="str">
            <v>Não Comprou</v>
          </cell>
        </row>
        <row r="416">
          <cell r="A416">
            <v>55133314000154</v>
          </cell>
          <cell r="B416" t="str">
            <v>FARMACIA ECONOMIZE</v>
          </cell>
          <cell r="C416" t="str">
            <v>ECONOMIZE RONDONOPOLIS</v>
          </cell>
          <cell r="D416" t="str">
            <v>SINOP</v>
          </cell>
          <cell r="E416" t="str">
            <v>MT</v>
          </cell>
          <cell r="I416" t="str">
            <v>Não Comprou</v>
          </cell>
        </row>
        <row r="417">
          <cell r="A417">
            <v>8954076000168</v>
          </cell>
          <cell r="B417" t="str">
            <v>FARMACIA ECONOMIZE</v>
          </cell>
          <cell r="C417" t="str">
            <v>ECONOMIZE RONDONOPOLIS</v>
          </cell>
          <cell r="D417" t="str">
            <v>PARANATINGA</v>
          </cell>
          <cell r="E417" t="str">
            <v>MT</v>
          </cell>
          <cell r="I417" t="str">
            <v>Não Comprou</v>
          </cell>
        </row>
        <row r="418">
          <cell r="A418">
            <v>8954076000320</v>
          </cell>
          <cell r="B418" t="str">
            <v>FARMACIA ECONOMIZE</v>
          </cell>
          <cell r="C418" t="str">
            <v>ECONOMIZE RONDONOPOLIS</v>
          </cell>
          <cell r="D418" t="str">
            <v>PARANATINGA</v>
          </cell>
          <cell r="E418" t="str">
            <v>MT</v>
          </cell>
          <cell r="I418" t="str">
            <v>Não Comprou</v>
          </cell>
        </row>
        <row r="419">
          <cell r="A419">
            <v>10693312000181</v>
          </cell>
          <cell r="B419" t="str">
            <v>FARMACIA ECONOMIZE</v>
          </cell>
          <cell r="C419" t="str">
            <v>ECONOMIZE RONDONOPOLIS</v>
          </cell>
          <cell r="D419" t="str">
            <v>PRIMAVERA DO LESTE</v>
          </cell>
          <cell r="E419" t="str">
            <v>MT</v>
          </cell>
          <cell r="F419">
            <v>46314</v>
          </cell>
          <cell r="G419">
            <v>6998.33</v>
          </cell>
          <cell r="H419">
            <v>3827.22</v>
          </cell>
          <cell r="I419" t="str">
            <v>Comprou Marcas e SG</v>
          </cell>
        </row>
        <row r="420">
          <cell r="A420">
            <v>10693312000505</v>
          </cell>
          <cell r="B420" t="str">
            <v>FARMACIA ECONOMIZE</v>
          </cell>
          <cell r="C420" t="str">
            <v>ECONOMIZE RONDONOPOLIS</v>
          </cell>
          <cell r="D420" t="str">
            <v>PRIMAVERA DO LESTE</v>
          </cell>
          <cell r="E420" t="str">
            <v>MT</v>
          </cell>
          <cell r="F420">
            <v>46314</v>
          </cell>
          <cell r="G420">
            <v>15027.180000000004</v>
          </cell>
          <cell r="H420">
            <v>8088.1599999999989</v>
          </cell>
          <cell r="I420" t="str">
            <v>Comprou Marcas e SG</v>
          </cell>
        </row>
        <row r="421">
          <cell r="A421">
            <v>25043201000105</v>
          </cell>
          <cell r="B421" t="str">
            <v>FARMACIA ECONOMIZE</v>
          </cell>
          <cell r="C421" t="str">
            <v>ECONOMIZE RONDONOPOLIS</v>
          </cell>
          <cell r="D421" t="str">
            <v>ALTO GARCAS</v>
          </cell>
          <cell r="E421" t="str">
            <v>MT</v>
          </cell>
          <cell r="I421" t="str">
            <v>Não Comprou</v>
          </cell>
        </row>
        <row r="422">
          <cell r="A422">
            <v>15302745000182</v>
          </cell>
          <cell r="B422" t="str">
            <v>FARMACIA ECONOMICA</v>
          </cell>
          <cell r="C422" t="str">
            <v>ASSOCIADAS</v>
          </cell>
          <cell r="D422" t="str">
            <v>ITAPORA</v>
          </cell>
          <cell r="E422" t="str">
            <v>MS</v>
          </cell>
          <cell r="I422" t="str">
            <v>Não Comprou</v>
          </cell>
        </row>
        <row r="423">
          <cell r="A423">
            <v>18876606000231</v>
          </cell>
          <cell r="B423" t="str">
            <v>FARMACIA ECCOCHAPADA</v>
          </cell>
          <cell r="C423" t="str">
            <v>INDEPENDENTES VIN</v>
          </cell>
          <cell r="D423" t="str">
            <v>CUIABA</v>
          </cell>
          <cell r="E423" t="str">
            <v>MT</v>
          </cell>
          <cell r="I423" t="str">
            <v>Não Comprou</v>
          </cell>
        </row>
        <row r="424">
          <cell r="A424">
            <v>43533082000142</v>
          </cell>
          <cell r="B424" t="str">
            <v>FARMACIA E DROGARIA XAVIER</v>
          </cell>
          <cell r="C424" t="str">
            <v>INDEPENDENTES VIN</v>
          </cell>
          <cell r="D424" t="str">
            <v>ANDRADINA</v>
          </cell>
          <cell r="E424" t="str">
            <v>SP</v>
          </cell>
          <cell r="I424" t="str">
            <v>Não Comprou</v>
          </cell>
        </row>
        <row r="425">
          <cell r="A425">
            <v>29809750000190</v>
          </cell>
          <cell r="B425" t="str">
            <v>FARMACIA E DROGARIA DROGACERTA</v>
          </cell>
          <cell r="C425" t="str">
            <v>INDEPENDENTES VIN</v>
          </cell>
          <cell r="D425" t="str">
            <v>ALTO ARAGUAIA</v>
          </cell>
          <cell r="E425" t="str">
            <v>MT</v>
          </cell>
          <cell r="I425" t="str">
            <v>Não Comprou</v>
          </cell>
        </row>
        <row r="426">
          <cell r="A426">
            <v>15946916000106</v>
          </cell>
          <cell r="B426" t="str">
            <v>FARMACIA E DROGARIA BIOTEC</v>
          </cell>
          <cell r="C426" t="str">
            <v>HIPER SAUDE</v>
          </cell>
          <cell r="D426" t="str">
            <v>ALTA FLORESTA</v>
          </cell>
          <cell r="E426" t="str">
            <v>MT</v>
          </cell>
          <cell r="F426">
            <v>46314</v>
          </cell>
          <cell r="G426">
            <v>3777.0000000000009</v>
          </cell>
          <cell r="I426" t="str">
            <v>Comprou Marcas</v>
          </cell>
        </row>
        <row r="427">
          <cell r="A427">
            <v>10695648000183</v>
          </cell>
          <cell r="B427" t="str">
            <v>FARMACIA DROGANOSSA</v>
          </cell>
          <cell r="C427" t="str">
            <v>HIPER SAUDE</v>
          </cell>
          <cell r="D427" t="str">
            <v>AMAMBAI</v>
          </cell>
          <cell r="E427" t="str">
            <v>MS</v>
          </cell>
          <cell r="F427">
            <v>46316</v>
          </cell>
          <cell r="G427">
            <v>3732.7000000000003</v>
          </cell>
          <cell r="I427" t="str">
            <v>Comprou Marcas</v>
          </cell>
        </row>
        <row r="428">
          <cell r="A428">
            <v>43000736000172</v>
          </cell>
          <cell r="B428" t="str">
            <v>FARMACIA DROGACITY</v>
          </cell>
          <cell r="C428" t="str">
            <v>INDEPENDENTES VIN</v>
          </cell>
          <cell r="D428" t="str">
            <v>ADAMANTINA</v>
          </cell>
          <cell r="E428" t="str">
            <v>SP</v>
          </cell>
          <cell r="F428">
            <v>46303</v>
          </cell>
          <cell r="G428">
            <v>1054.18</v>
          </cell>
          <cell r="I428" t="str">
            <v>Comprou Marcas</v>
          </cell>
        </row>
        <row r="429">
          <cell r="A429">
            <v>35633493000181</v>
          </cell>
          <cell r="B429" t="str">
            <v>FARMACIA DOM ORIONE</v>
          </cell>
          <cell r="C429" t="str">
            <v>HIPER SAUDE</v>
          </cell>
          <cell r="D429" t="str">
            <v>GUARARAPES</v>
          </cell>
          <cell r="E429" t="str">
            <v>SP</v>
          </cell>
          <cell r="F429">
            <v>46311</v>
          </cell>
          <cell r="G429">
            <v>484.18999999999994</v>
          </cell>
          <cell r="I429" t="str">
            <v>Comprou Marcas</v>
          </cell>
        </row>
        <row r="430">
          <cell r="A430">
            <v>11318768000124</v>
          </cell>
          <cell r="B430" t="str">
            <v>FARMACIA DOIS IRMAOS</v>
          </cell>
          <cell r="C430" t="str">
            <v>MULTIDROGAS</v>
          </cell>
          <cell r="D430" t="str">
            <v>INOCENCIA</v>
          </cell>
          <cell r="E430" t="str">
            <v>MS</v>
          </cell>
          <cell r="I430" t="str">
            <v>Não Comprou</v>
          </cell>
        </row>
        <row r="431">
          <cell r="A431">
            <v>9516908000127</v>
          </cell>
          <cell r="B431" t="str">
            <v>FARMACIA DO ZENILDO</v>
          </cell>
          <cell r="C431" t="str">
            <v>MASTERFARMA</v>
          </cell>
          <cell r="D431" t="str">
            <v>SETE QUEDAS</v>
          </cell>
          <cell r="E431" t="str">
            <v>MS</v>
          </cell>
          <cell r="F431">
            <v>46303</v>
          </cell>
          <cell r="G431">
            <v>220.76</v>
          </cell>
          <cell r="I431" t="str">
            <v>Comprou Marcas</v>
          </cell>
        </row>
        <row r="432">
          <cell r="A432">
            <v>18208965000130</v>
          </cell>
          <cell r="B432" t="str">
            <v>FARMACIA DO POVO</v>
          </cell>
          <cell r="C432" t="str">
            <v>HIPER SAUDE</v>
          </cell>
          <cell r="D432" t="str">
            <v>AGUA CLARA</v>
          </cell>
          <cell r="E432" t="str">
            <v>MS</v>
          </cell>
          <cell r="F432">
            <v>46311</v>
          </cell>
          <cell r="G432">
            <v>155.74</v>
          </cell>
          <cell r="I432" t="str">
            <v>Comprou Marcas</v>
          </cell>
        </row>
        <row r="433">
          <cell r="A433">
            <v>15558177000347</v>
          </cell>
          <cell r="B433" t="str">
            <v>FARMACIA DO POLACO</v>
          </cell>
          <cell r="C433" t="str">
            <v>INDEPENDENTES VIN</v>
          </cell>
          <cell r="D433" t="str">
            <v>COLIDER</v>
          </cell>
          <cell r="E433" t="str">
            <v>MT</v>
          </cell>
          <cell r="F433">
            <v>46316</v>
          </cell>
          <cell r="G433">
            <v>1386.3400000000004</v>
          </cell>
          <cell r="I433" t="str">
            <v>Comprou Marcas</v>
          </cell>
        </row>
        <row r="434">
          <cell r="A434">
            <v>2021988000109</v>
          </cell>
          <cell r="B434" t="str">
            <v>FARMACIA DO JOAO E DROGARIA</v>
          </cell>
          <cell r="C434" t="str">
            <v>INDEPENDENTES VIN</v>
          </cell>
          <cell r="D434" t="str">
            <v>AGUA CLARA</v>
          </cell>
          <cell r="E434" t="str">
            <v>MS</v>
          </cell>
          <cell r="I434" t="str">
            <v>Não Comprou</v>
          </cell>
        </row>
        <row r="435">
          <cell r="A435">
            <v>41955400000138</v>
          </cell>
          <cell r="B435" t="str">
            <v>FARMACIA DO CLOVIS</v>
          </cell>
          <cell r="C435" t="str">
            <v>INDEPENDENTES VIN</v>
          </cell>
          <cell r="D435" t="str">
            <v>BONITO</v>
          </cell>
          <cell r="E435" t="str">
            <v>MS</v>
          </cell>
          <cell r="I435" t="str">
            <v>Não Comprou</v>
          </cell>
        </row>
        <row r="436">
          <cell r="A436">
            <v>23202523000116</v>
          </cell>
          <cell r="B436" t="str">
            <v>FARMACIA DO ADILSON</v>
          </cell>
          <cell r="C436" t="str">
            <v>ASSOCIADAS</v>
          </cell>
          <cell r="D436" t="str">
            <v>ITIQUIRA</v>
          </cell>
          <cell r="E436" t="str">
            <v>MT</v>
          </cell>
          <cell r="F436">
            <v>46312</v>
          </cell>
          <cell r="G436">
            <v>6014.9000000000005</v>
          </cell>
          <cell r="I436" t="str">
            <v>Comprou Marcas</v>
          </cell>
        </row>
        <row r="437">
          <cell r="A437">
            <v>27104567000164</v>
          </cell>
          <cell r="B437" t="str">
            <v>FARMACIA CV POPULAR</v>
          </cell>
          <cell r="C437" t="str">
            <v>ASSOCIADAS</v>
          </cell>
          <cell r="D437" t="str">
            <v>CAMPO GRANDE</v>
          </cell>
          <cell r="E437" t="str">
            <v>MS</v>
          </cell>
          <cell r="F437">
            <v>46316</v>
          </cell>
          <cell r="G437">
            <v>1220.73</v>
          </cell>
          <cell r="I437" t="str">
            <v>Comprou Marcas</v>
          </cell>
        </row>
        <row r="438">
          <cell r="A438">
            <v>73399826000149</v>
          </cell>
          <cell r="B438" t="str">
            <v>FARMACIA CRISTO REI LTDA-</v>
          </cell>
          <cell r="C438" t="str">
            <v>DSG FARMA</v>
          </cell>
          <cell r="D438" t="str">
            <v>CAMPO GRANDE</v>
          </cell>
          <cell r="E438" t="str">
            <v>MS</v>
          </cell>
          <cell r="I438" t="str">
            <v>Não Comprou</v>
          </cell>
        </row>
        <row r="439">
          <cell r="A439">
            <v>21287037000112</v>
          </cell>
          <cell r="B439" t="str">
            <v>FARMACIA CONFIANCA</v>
          </cell>
          <cell r="C439" t="str">
            <v>INDEPENDENTES VIN</v>
          </cell>
          <cell r="D439" t="str">
            <v>BATAGUASSU</v>
          </cell>
          <cell r="E439" t="str">
            <v>MS</v>
          </cell>
          <cell r="I439" t="str">
            <v>Não Comprou</v>
          </cell>
        </row>
        <row r="440">
          <cell r="A440">
            <v>597452000100</v>
          </cell>
          <cell r="B440" t="str">
            <v>FARMACIA CENTRO AMERICA</v>
          </cell>
          <cell r="C440" t="str">
            <v>HIPER SAUDE</v>
          </cell>
          <cell r="D440" t="str">
            <v>CUIABA</v>
          </cell>
          <cell r="E440" t="str">
            <v>MT</v>
          </cell>
          <cell r="I440" t="str">
            <v>Não Comprou</v>
          </cell>
        </row>
        <row r="441">
          <cell r="A441">
            <v>11288508000153</v>
          </cell>
          <cell r="B441" t="str">
            <v>FARMACIA CENTRAL</v>
          </cell>
          <cell r="C441" t="str">
            <v>MASTERFARMA</v>
          </cell>
          <cell r="D441" t="str">
            <v>BONITO</v>
          </cell>
          <cell r="E441" t="str">
            <v>MS</v>
          </cell>
          <cell r="I441" t="str">
            <v>Não Comprou</v>
          </cell>
        </row>
        <row r="442">
          <cell r="A442">
            <v>13280617000150</v>
          </cell>
          <cell r="B442" t="str">
            <v>FARMACIA CENTRAL</v>
          </cell>
          <cell r="C442" t="str">
            <v>INDEPENDENTES VIN</v>
          </cell>
          <cell r="D442" t="str">
            <v>IVINHEMA</v>
          </cell>
          <cell r="E442" t="str">
            <v>MS</v>
          </cell>
          <cell r="F442">
            <v>46316</v>
          </cell>
          <cell r="G442">
            <v>3520.2400000000011</v>
          </cell>
          <cell r="I442" t="str">
            <v>Comprou Marcas</v>
          </cell>
        </row>
        <row r="443">
          <cell r="A443">
            <v>9559619000105</v>
          </cell>
          <cell r="B443" t="str">
            <v>FARMACIA CENTRAL</v>
          </cell>
          <cell r="C443" t="str">
            <v>ASSOCIADAS</v>
          </cell>
          <cell r="D443" t="str">
            <v>ALTO ARAGUAIA</v>
          </cell>
          <cell r="E443" t="str">
            <v>MT</v>
          </cell>
          <cell r="I443" t="str">
            <v>Não Comprou</v>
          </cell>
        </row>
        <row r="444">
          <cell r="A444">
            <v>9165147000106</v>
          </cell>
          <cell r="B444" t="str">
            <v>FARMACIA BRASIL</v>
          </cell>
          <cell r="C444" t="str">
            <v>INDEPENDENTES VIN</v>
          </cell>
          <cell r="D444" t="str">
            <v>ITAQUIRAI</v>
          </cell>
          <cell r="E444" t="str">
            <v>MS</v>
          </cell>
          <cell r="I444" t="str">
            <v>Não Comprou</v>
          </cell>
        </row>
        <row r="445">
          <cell r="A445">
            <v>49841927000143</v>
          </cell>
          <cell r="B445" t="str">
            <v>FARMACIA BRASIL</v>
          </cell>
          <cell r="C445" t="str">
            <v>DROGARIA TOTAL</v>
          </cell>
          <cell r="D445" t="str">
            <v>REGENTE FEIJO</v>
          </cell>
          <cell r="E445" t="str">
            <v>SP</v>
          </cell>
          <cell r="I445" t="str">
            <v>Não Comprou</v>
          </cell>
        </row>
        <row r="446">
          <cell r="A446">
            <v>12909312000100</v>
          </cell>
          <cell r="B446" t="str">
            <v>FARMACIA BIOFARMA</v>
          </cell>
          <cell r="C446" t="str">
            <v>ASSOCIADAS</v>
          </cell>
          <cell r="D446" t="str">
            <v>NOVA MUTUM</v>
          </cell>
          <cell r="E446" t="str">
            <v>MT</v>
          </cell>
          <cell r="F446">
            <v>46310</v>
          </cell>
          <cell r="G446">
            <v>1446.1299999999997</v>
          </cell>
          <cell r="I446" t="str">
            <v>Comprou Marcas</v>
          </cell>
        </row>
        <row r="447">
          <cell r="A447">
            <v>4965393000129</v>
          </cell>
          <cell r="B447" t="str">
            <v>FARMACIA BIOFARMA</v>
          </cell>
          <cell r="C447" t="str">
            <v>COMPRE BEM</v>
          </cell>
          <cell r="D447" t="str">
            <v>PRIMAVERA DO LESTE</v>
          </cell>
          <cell r="E447" t="str">
            <v>MT</v>
          </cell>
          <cell r="F447">
            <v>46316</v>
          </cell>
          <cell r="G447">
            <v>3998.5699999999993</v>
          </cell>
          <cell r="I447" t="str">
            <v>Comprou Marcas</v>
          </cell>
        </row>
        <row r="448">
          <cell r="A448">
            <v>33964781000193</v>
          </cell>
          <cell r="B448" t="str">
            <v>FARMACIA BEM MAIS POPULAR</v>
          </cell>
          <cell r="C448" t="str">
            <v>FARMAIS</v>
          </cell>
          <cell r="D448" t="str">
            <v>BIRIGUI</v>
          </cell>
          <cell r="E448" t="str">
            <v>SP</v>
          </cell>
          <cell r="F448">
            <v>46296</v>
          </cell>
          <cell r="H448">
            <v>373.39</v>
          </cell>
          <cell r="I448" t="str">
            <v>Comprou SG</v>
          </cell>
        </row>
        <row r="449">
          <cell r="A449">
            <v>30455750000119</v>
          </cell>
          <cell r="B449" t="str">
            <v>FARMACIA BEM ESTAR</v>
          </cell>
          <cell r="C449" t="str">
            <v>MASTERFARMA</v>
          </cell>
          <cell r="D449" t="str">
            <v>AMAMBAI</v>
          </cell>
          <cell r="E449" t="str">
            <v>MS</v>
          </cell>
          <cell r="F449">
            <v>46316</v>
          </cell>
          <cell r="G449">
            <v>354.81</v>
          </cell>
          <cell r="I449" t="str">
            <v>Comprou Marcas</v>
          </cell>
        </row>
        <row r="450">
          <cell r="A450">
            <v>6940115000142</v>
          </cell>
          <cell r="B450" t="str">
            <v>FARMACIA BEM ESTAR</v>
          </cell>
          <cell r="C450" t="str">
            <v>REDE INOVA</v>
          </cell>
          <cell r="D450" t="str">
            <v>SINOP</v>
          </cell>
          <cell r="E450" t="str">
            <v>MT</v>
          </cell>
          <cell r="F450">
            <v>46308</v>
          </cell>
          <cell r="G450">
            <v>225.22</v>
          </cell>
          <cell r="I450" t="str">
            <v>Comprou Marcas</v>
          </cell>
        </row>
        <row r="451">
          <cell r="A451">
            <v>33586036000158</v>
          </cell>
          <cell r="B451" t="str">
            <v>FARMACIA BEM ESTAR</v>
          </cell>
          <cell r="C451" t="str">
            <v>INDEPENDENTES VIN</v>
          </cell>
          <cell r="D451" t="str">
            <v>SINOP</v>
          </cell>
          <cell r="E451" t="str">
            <v>MT</v>
          </cell>
          <cell r="I451" t="str">
            <v>Não Comprou</v>
          </cell>
        </row>
        <row r="452">
          <cell r="A452">
            <v>30890084000147</v>
          </cell>
          <cell r="B452" t="str">
            <v>FARMACIA AVENIDA</v>
          </cell>
          <cell r="C452" t="str">
            <v>INDEPENDENTES VIN</v>
          </cell>
          <cell r="D452" t="str">
            <v>DEODAPOLIS</v>
          </cell>
          <cell r="E452" t="str">
            <v>MS</v>
          </cell>
          <cell r="F452">
            <v>46310</v>
          </cell>
          <cell r="G452">
            <v>211.90999999999997</v>
          </cell>
          <cell r="I452" t="str">
            <v>Comprou Marcas</v>
          </cell>
        </row>
        <row r="453">
          <cell r="A453">
            <v>52837594000193</v>
          </cell>
          <cell r="B453" t="str">
            <v>FARMACIA AMARELINHA POPULAR</v>
          </cell>
          <cell r="C453" t="str">
            <v>INDEPENDENTES VIN</v>
          </cell>
          <cell r="D453" t="str">
            <v>NOVA OLIMPIA</v>
          </cell>
          <cell r="E453" t="str">
            <v>MT</v>
          </cell>
          <cell r="I453" t="str">
            <v>Não Comprou</v>
          </cell>
        </row>
        <row r="454">
          <cell r="A454">
            <v>22954090000192</v>
          </cell>
          <cell r="B454" t="str">
            <v>FARMACIA ALMEIDA + POPULAR</v>
          </cell>
          <cell r="C454" t="str">
            <v>INDEPENDENTES VIN</v>
          </cell>
          <cell r="D454" t="str">
            <v>SAPEZAL</v>
          </cell>
          <cell r="E454" t="str">
            <v>MT</v>
          </cell>
          <cell r="I454" t="str">
            <v>Não Comprou</v>
          </cell>
        </row>
        <row r="455">
          <cell r="A455">
            <v>52479223000187</v>
          </cell>
          <cell r="B455" t="str">
            <v>FARMACIA ALAMEDA</v>
          </cell>
          <cell r="C455" t="str">
            <v>COMPRE BEM</v>
          </cell>
          <cell r="D455" t="str">
            <v>VARZEA GRANDE</v>
          </cell>
          <cell r="E455" t="str">
            <v>MT</v>
          </cell>
          <cell r="I455" t="str">
            <v>Não Comprou</v>
          </cell>
        </row>
        <row r="456">
          <cell r="A456">
            <v>50372246000162</v>
          </cell>
          <cell r="B456" t="str">
            <v>FARMACIA + SAUDE</v>
          </cell>
          <cell r="C456" t="str">
            <v>INDEPENDENTES VIN</v>
          </cell>
          <cell r="D456" t="str">
            <v>TRES LAGOAS</v>
          </cell>
          <cell r="E456" t="str">
            <v>MS</v>
          </cell>
          <cell r="I456" t="str">
            <v>Não Comprou</v>
          </cell>
        </row>
        <row r="457">
          <cell r="A457">
            <v>49674943000199</v>
          </cell>
          <cell r="B457" t="str">
            <v>FARMACIA + POPULAR</v>
          </cell>
          <cell r="C457" t="str">
            <v>INDEPENDENTES VIN</v>
          </cell>
          <cell r="D457" t="str">
            <v>DOURADOS</v>
          </cell>
          <cell r="E457" t="str">
            <v>MS</v>
          </cell>
          <cell r="F457">
            <v>46310</v>
          </cell>
          <cell r="G457">
            <v>119.08</v>
          </cell>
          <cell r="I457" t="str">
            <v>Comprou Marcas</v>
          </cell>
        </row>
        <row r="458">
          <cell r="A458">
            <v>28800059000345</v>
          </cell>
          <cell r="B458" t="str">
            <v>FARMACIA + ECONOMICA LADARIO</v>
          </cell>
          <cell r="C458" t="str">
            <v>INDEPENDENTES VIN</v>
          </cell>
          <cell r="D458" t="str">
            <v>LADARIO</v>
          </cell>
          <cell r="E458" t="str">
            <v>MS</v>
          </cell>
          <cell r="F458">
            <v>46315</v>
          </cell>
          <cell r="G458">
            <v>1498.4099999999999</v>
          </cell>
          <cell r="H458">
            <v>4513.75</v>
          </cell>
          <cell r="I458" t="str">
            <v>Comprou Marcas e SG</v>
          </cell>
        </row>
        <row r="459">
          <cell r="A459">
            <v>28800059000264</v>
          </cell>
          <cell r="B459" t="str">
            <v>FARMACIA + ECONOMICA</v>
          </cell>
          <cell r="C459" t="str">
            <v>INDEPENDENTES VIN</v>
          </cell>
          <cell r="D459" t="str">
            <v>CORUMBA</v>
          </cell>
          <cell r="E459" t="str">
            <v>MS</v>
          </cell>
          <cell r="F459">
            <v>46315</v>
          </cell>
          <cell r="G459">
            <v>38633.839999999989</v>
          </cell>
          <cell r="H459">
            <v>16328.139999999998</v>
          </cell>
          <cell r="I459" t="str">
            <v>Comprou Marcas e SG</v>
          </cell>
        </row>
        <row r="460">
          <cell r="A460">
            <v>569000000107</v>
          </cell>
          <cell r="B460" t="str">
            <v>FARMACIA &amp; SAUDE</v>
          </cell>
          <cell r="C460" t="str">
            <v>DSG FARMA</v>
          </cell>
          <cell r="D460" t="str">
            <v>ITAPORA</v>
          </cell>
          <cell r="E460" t="str">
            <v>MS</v>
          </cell>
          <cell r="I460" t="str">
            <v>Não Comprou</v>
          </cell>
        </row>
        <row r="461">
          <cell r="A461">
            <v>52189626000191</v>
          </cell>
          <cell r="B461" t="str">
            <v>FARMABEM</v>
          </cell>
          <cell r="C461" t="str">
            <v>INDEPENDENTES VIN</v>
          </cell>
          <cell r="D461" t="str">
            <v>CUIABA</v>
          </cell>
          <cell r="E461" t="str">
            <v>MT</v>
          </cell>
          <cell r="I461" t="str">
            <v>Não Comprou</v>
          </cell>
        </row>
        <row r="462">
          <cell r="A462">
            <v>3662213000177</v>
          </cell>
          <cell r="B462" t="str">
            <v>FARMA VIDA II</v>
          </cell>
          <cell r="C462" t="str">
            <v>INDEPENDENTES VIN</v>
          </cell>
          <cell r="D462" t="str">
            <v>TRES LAGOAS</v>
          </cell>
          <cell r="E462" t="str">
            <v>MS</v>
          </cell>
          <cell r="F462">
            <v>46304</v>
          </cell>
          <cell r="G462">
            <v>463.82</v>
          </cell>
          <cell r="I462" t="str">
            <v>Comprou Marcas</v>
          </cell>
        </row>
        <row r="463">
          <cell r="A463">
            <v>30274933000138</v>
          </cell>
          <cell r="B463" t="str">
            <v>FARMA VIDA</v>
          </cell>
          <cell r="C463" t="str">
            <v>ASSOCIADAS</v>
          </cell>
          <cell r="D463" t="str">
            <v>RONDONOPOLIS</v>
          </cell>
          <cell r="E463" t="str">
            <v>MT</v>
          </cell>
          <cell r="F463">
            <v>46303</v>
          </cell>
          <cell r="G463">
            <v>1654.64</v>
          </cell>
          <cell r="I463" t="str">
            <v>Comprou Marcas</v>
          </cell>
        </row>
        <row r="464">
          <cell r="A464">
            <v>11751725000138</v>
          </cell>
          <cell r="B464" t="str">
            <v>FARMA VIDA</v>
          </cell>
          <cell r="C464" t="str">
            <v>BIODROGAS</v>
          </cell>
          <cell r="D464" t="str">
            <v>INDIANA</v>
          </cell>
          <cell r="E464" t="str">
            <v>SP</v>
          </cell>
          <cell r="F464">
            <v>46302</v>
          </cell>
          <cell r="G464">
            <v>80.010000000000005</v>
          </cell>
          <cell r="I464" t="str">
            <v>Comprou Marcas</v>
          </cell>
        </row>
        <row r="465">
          <cell r="A465">
            <v>15056307000181</v>
          </cell>
          <cell r="B465" t="str">
            <v>FARMA VIDA</v>
          </cell>
          <cell r="C465" t="str">
            <v>REDE INOVA</v>
          </cell>
          <cell r="D465" t="str">
            <v>FLORIDA PAULISTA</v>
          </cell>
          <cell r="E465" t="str">
            <v>SP</v>
          </cell>
          <cell r="I465" t="str">
            <v>Não Comprou</v>
          </cell>
        </row>
        <row r="466">
          <cell r="A466">
            <v>8476603000176</v>
          </cell>
          <cell r="B466" t="str">
            <v>FARMA VIDA</v>
          </cell>
          <cell r="C466" t="str">
            <v>INDEPENDENTES VIN</v>
          </cell>
          <cell r="D466" t="str">
            <v>TRES LAGOAS</v>
          </cell>
          <cell r="E466" t="str">
            <v>MS</v>
          </cell>
          <cell r="F466">
            <v>46314</v>
          </cell>
          <cell r="G466">
            <v>4089.5099999999993</v>
          </cell>
          <cell r="I466" t="str">
            <v>Comprou Marcas</v>
          </cell>
        </row>
        <row r="467">
          <cell r="A467">
            <v>12476127000160</v>
          </cell>
          <cell r="B467" t="str">
            <v>FARMA VIDA</v>
          </cell>
          <cell r="C467" t="str">
            <v>MASTERFARMA</v>
          </cell>
          <cell r="D467" t="str">
            <v>INOCENCIA</v>
          </cell>
          <cell r="E467" t="str">
            <v>MS</v>
          </cell>
          <cell r="F467">
            <v>46309</v>
          </cell>
          <cell r="G467">
            <v>3857.6499999999996</v>
          </cell>
          <cell r="I467" t="str">
            <v>Comprou Marcas</v>
          </cell>
        </row>
        <row r="468">
          <cell r="A468">
            <v>47541257000114</v>
          </cell>
          <cell r="B468" t="str">
            <v>FARMA TCHE</v>
          </cell>
          <cell r="C468" t="str">
            <v>INDEPENDENTES VIN</v>
          </cell>
          <cell r="D468" t="str">
            <v>ARAGUAIANA</v>
          </cell>
          <cell r="E468" t="str">
            <v>MT</v>
          </cell>
          <cell r="I468" t="str">
            <v>Não Comprou</v>
          </cell>
        </row>
        <row r="469">
          <cell r="A469">
            <v>33909525000101</v>
          </cell>
          <cell r="B469" t="str">
            <v>FARMA SAUDE</v>
          </cell>
          <cell r="C469" t="str">
            <v>DSG FARMA</v>
          </cell>
          <cell r="D469" t="str">
            <v>SINOP</v>
          </cell>
          <cell r="E469" t="str">
            <v>MT</v>
          </cell>
          <cell r="F469">
            <v>46301</v>
          </cell>
          <cell r="G469">
            <v>500.28000000000003</v>
          </cell>
          <cell r="I469" t="str">
            <v>Comprou Marcas</v>
          </cell>
        </row>
        <row r="470">
          <cell r="A470">
            <v>5382051000149</v>
          </cell>
          <cell r="B470" t="str">
            <v>FARMA REAL</v>
          </cell>
          <cell r="C470" t="str">
            <v>ASSOCIADAS</v>
          </cell>
          <cell r="D470" t="str">
            <v>DOURADOS</v>
          </cell>
          <cell r="E470" t="str">
            <v>MS</v>
          </cell>
          <cell r="F470">
            <v>46314</v>
          </cell>
          <cell r="G470">
            <v>2514.23</v>
          </cell>
          <cell r="I470" t="str">
            <v>Comprou Marcas</v>
          </cell>
        </row>
        <row r="471">
          <cell r="A471">
            <v>20119949000201</v>
          </cell>
          <cell r="B471" t="str">
            <v>FARMA POPULAR</v>
          </cell>
          <cell r="C471" t="str">
            <v>ASSOCIADAS</v>
          </cell>
          <cell r="D471" t="str">
            <v>CAMPO GRANDE</v>
          </cell>
          <cell r="E471" t="str">
            <v>MS</v>
          </cell>
          <cell r="F471">
            <v>46316</v>
          </cell>
          <cell r="G471">
            <v>4754.4500000000016</v>
          </cell>
          <cell r="H471">
            <v>10818.05</v>
          </cell>
          <cell r="I471" t="str">
            <v>Comprou Marcas e SG</v>
          </cell>
        </row>
        <row r="472">
          <cell r="A472">
            <v>21206725000100</v>
          </cell>
          <cell r="B472" t="str">
            <v>FARMA POPULAR</v>
          </cell>
          <cell r="C472" t="str">
            <v>HIPER SAUDE</v>
          </cell>
          <cell r="D472" t="str">
            <v>CUIABA</v>
          </cell>
          <cell r="E472" t="str">
            <v>MT</v>
          </cell>
          <cell r="F472">
            <v>46303</v>
          </cell>
          <cell r="G472">
            <v>137.85</v>
          </cell>
          <cell r="I472" t="str">
            <v>Comprou Marcas</v>
          </cell>
        </row>
        <row r="473">
          <cell r="A473">
            <v>26476385000151</v>
          </cell>
          <cell r="B473" t="str">
            <v>FARMA POPULAR</v>
          </cell>
          <cell r="C473" t="str">
            <v>FARMARCAS</v>
          </cell>
          <cell r="D473" t="str">
            <v>CLAUDIA</v>
          </cell>
          <cell r="E473" t="str">
            <v>MT</v>
          </cell>
          <cell r="F473">
            <v>46303</v>
          </cell>
          <cell r="G473">
            <v>2995.54</v>
          </cell>
          <cell r="I473" t="str">
            <v>Comprou Marcas</v>
          </cell>
        </row>
        <row r="474">
          <cell r="A474">
            <v>51190802000142</v>
          </cell>
          <cell r="B474" t="str">
            <v>FARMA POP</v>
          </cell>
          <cell r="C474" t="str">
            <v>HIPER SAUDE</v>
          </cell>
          <cell r="D474" t="str">
            <v>PARAISO DAS AGUAS</v>
          </cell>
          <cell r="E474" t="str">
            <v>MS</v>
          </cell>
          <cell r="F474">
            <v>46308</v>
          </cell>
          <cell r="G474">
            <v>2618.59</v>
          </cell>
          <cell r="I474" t="str">
            <v>Comprou Marcas</v>
          </cell>
        </row>
        <row r="475">
          <cell r="A475">
            <v>62811078000143</v>
          </cell>
          <cell r="B475" t="str">
            <v>FARMA PLUS</v>
          </cell>
          <cell r="C475" t="str">
            <v>MASTERFARMA</v>
          </cell>
          <cell r="D475" t="str">
            <v>DEODAPOLIS</v>
          </cell>
          <cell r="E475" t="str">
            <v>MS</v>
          </cell>
          <cell r="I475" t="str">
            <v>Não Comprou</v>
          </cell>
        </row>
        <row r="476">
          <cell r="A476">
            <v>11277593000154</v>
          </cell>
          <cell r="B476" t="str">
            <v>FARMA NOSSA</v>
          </cell>
          <cell r="C476" t="str">
            <v>MASTERFARMA</v>
          </cell>
          <cell r="D476" t="str">
            <v>IVINHEMA</v>
          </cell>
          <cell r="E476" t="str">
            <v>MS</v>
          </cell>
          <cell r="F476">
            <v>46314</v>
          </cell>
          <cell r="G476">
            <v>219.78</v>
          </cell>
          <cell r="I476" t="str">
            <v>Comprou Marcas</v>
          </cell>
        </row>
        <row r="477">
          <cell r="A477">
            <v>12881115000111</v>
          </cell>
          <cell r="B477" t="str">
            <v>FARMA NOSSA</v>
          </cell>
          <cell r="C477" t="str">
            <v>HIPER SAUDE</v>
          </cell>
          <cell r="D477" t="str">
            <v>MIRASSOL D'OESTE</v>
          </cell>
          <cell r="E477" t="str">
            <v>MT</v>
          </cell>
          <cell r="I477" t="str">
            <v>Não Comprou</v>
          </cell>
        </row>
        <row r="478">
          <cell r="A478">
            <v>5215960000192</v>
          </cell>
          <cell r="B478" t="str">
            <v>FARMA MIL</v>
          </cell>
          <cell r="C478" t="str">
            <v>MASTERFARMA</v>
          </cell>
          <cell r="D478" t="str">
            <v>PARANAIBA</v>
          </cell>
          <cell r="E478" t="str">
            <v>MS</v>
          </cell>
          <cell r="F478">
            <v>46316</v>
          </cell>
          <cell r="G478">
            <v>2698.37</v>
          </cell>
          <cell r="I478" t="str">
            <v>Comprou Marcas</v>
          </cell>
        </row>
        <row r="479">
          <cell r="A479">
            <v>13701031000111</v>
          </cell>
          <cell r="B479" t="str">
            <v>FARMA LIVIA</v>
          </cell>
          <cell r="C479" t="str">
            <v>MULTIDROGAS</v>
          </cell>
          <cell r="D479" t="str">
            <v>MIRANTE DO PARANAPANEMA</v>
          </cell>
          <cell r="E479" t="str">
            <v>SP</v>
          </cell>
          <cell r="F479">
            <v>46315</v>
          </cell>
          <cell r="G479">
            <v>1977.0700000000002</v>
          </cell>
          <cell r="I479" t="str">
            <v>Comprou Marcas</v>
          </cell>
        </row>
        <row r="480">
          <cell r="A480">
            <v>29141097000134</v>
          </cell>
          <cell r="B480" t="str">
            <v>FARMA LISBOA POPULAR</v>
          </cell>
          <cell r="C480" t="str">
            <v>ASSOCIADAS</v>
          </cell>
          <cell r="D480" t="str">
            <v>CUIABA</v>
          </cell>
          <cell r="E480" t="str">
            <v>MT</v>
          </cell>
          <cell r="F480">
            <v>46310</v>
          </cell>
          <cell r="G480">
            <v>4283.1900000000005</v>
          </cell>
          <cell r="I480" t="str">
            <v>Comprou Marcas</v>
          </cell>
        </row>
        <row r="481">
          <cell r="A481">
            <v>15272871000131</v>
          </cell>
          <cell r="B481" t="str">
            <v>FARMA LIMA</v>
          </cell>
          <cell r="C481" t="str">
            <v>INDEPENDENTES VIN</v>
          </cell>
          <cell r="D481" t="str">
            <v>TANGARA DA SERRA</v>
          </cell>
          <cell r="E481" t="str">
            <v>MT</v>
          </cell>
          <cell r="I481" t="str">
            <v>Não Comprou</v>
          </cell>
        </row>
        <row r="482">
          <cell r="A482">
            <v>24385511000137</v>
          </cell>
          <cell r="B482" t="str">
            <v>FARMA LIFE</v>
          </cell>
          <cell r="C482" t="str">
            <v>INDEPENDENTES VIN</v>
          </cell>
          <cell r="D482" t="str">
            <v>CAARAPO</v>
          </cell>
          <cell r="E482" t="str">
            <v>MS</v>
          </cell>
          <cell r="I482" t="str">
            <v>Não Comprou</v>
          </cell>
        </row>
        <row r="483">
          <cell r="A483">
            <v>16926052000123</v>
          </cell>
          <cell r="B483" t="str">
            <v>FARMA KILL</v>
          </cell>
          <cell r="C483" t="str">
            <v>ASSOCIADAS</v>
          </cell>
          <cell r="D483" t="str">
            <v>SAO GABRIEL DO OESTE</v>
          </cell>
          <cell r="E483" t="str">
            <v>MS</v>
          </cell>
          <cell r="I483" t="str">
            <v>Não Comprou</v>
          </cell>
        </row>
        <row r="484">
          <cell r="A484">
            <v>17660742000146</v>
          </cell>
          <cell r="B484" t="str">
            <v>FARMA JARDIM</v>
          </cell>
          <cell r="C484" t="str">
            <v>ASSOCIADAS</v>
          </cell>
          <cell r="D484" t="str">
            <v>CAMPO GRANDE</v>
          </cell>
          <cell r="E484" t="str">
            <v>MS</v>
          </cell>
          <cell r="F484">
            <v>46310</v>
          </cell>
          <cell r="G484">
            <v>1363.0500000000002</v>
          </cell>
          <cell r="I484" t="str">
            <v>Comprou Marcas</v>
          </cell>
        </row>
        <row r="485">
          <cell r="A485">
            <v>22019833000137</v>
          </cell>
          <cell r="B485" t="str">
            <v>FARMA FACIL</v>
          </cell>
          <cell r="C485" t="str">
            <v>ASSOCIADAS</v>
          </cell>
          <cell r="D485" t="str">
            <v>CUIABA</v>
          </cell>
          <cell r="E485" t="str">
            <v>MT</v>
          </cell>
          <cell r="F485">
            <v>46310</v>
          </cell>
          <cell r="G485">
            <v>137.85</v>
          </cell>
          <cell r="I485" t="str">
            <v>Comprou Marcas</v>
          </cell>
        </row>
        <row r="486">
          <cell r="A486">
            <v>52331882000171</v>
          </cell>
          <cell r="B486" t="str">
            <v>FARMA FACIL</v>
          </cell>
          <cell r="C486" t="str">
            <v>ASSOCIADAS</v>
          </cell>
          <cell r="D486" t="str">
            <v>CUIABA</v>
          </cell>
          <cell r="E486" t="str">
            <v>MT</v>
          </cell>
          <cell r="F486">
            <v>46310</v>
          </cell>
          <cell r="G486">
            <v>137.85</v>
          </cell>
          <cell r="I486" t="str">
            <v>Comprou Marcas</v>
          </cell>
        </row>
        <row r="487">
          <cell r="A487">
            <v>97528758000139</v>
          </cell>
          <cell r="B487" t="str">
            <v>FARMA FACIL</v>
          </cell>
          <cell r="C487" t="str">
            <v>ASSOCIADAS</v>
          </cell>
          <cell r="D487" t="str">
            <v>VARZEA GRANDE</v>
          </cell>
          <cell r="E487" t="str">
            <v>MT</v>
          </cell>
          <cell r="F487">
            <v>46310</v>
          </cell>
          <cell r="G487">
            <v>137.85</v>
          </cell>
          <cell r="I487" t="str">
            <v>Comprou Marcas</v>
          </cell>
        </row>
        <row r="488">
          <cell r="A488">
            <v>49007687000186</v>
          </cell>
          <cell r="B488" t="str">
            <v>FARMA DELTA</v>
          </cell>
          <cell r="C488" t="str">
            <v>ASSOCIADAS</v>
          </cell>
          <cell r="D488" t="str">
            <v>CAMPOS DE JULIO</v>
          </cell>
          <cell r="E488" t="str">
            <v>MT</v>
          </cell>
          <cell r="F488">
            <v>46316</v>
          </cell>
          <cell r="G488">
            <v>6333.8300000000008</v>
          </cell>
          <cell r="I488" t="str">
            <v>Comprou Marcas</v>
          </cell>
        </row>
        <row r="489">
          <cell r="A489">
            <v>54858819000113</v>
          </cell>
          <cell r="B489" t="str">
            <v>FARMA 10</v>
          </cell>
          <cell r="C489" t="str">
            <v>ASSOCIADAS</v>
          </cell>
          <cell r="D489" t="str">
            <v>CORUMBA</v>
          </cell>
          <cell r="E489" t="str">
            <v>MS</v>
          </cell>
          <cell r="F489">
            <v>46303</v>
          </cell>
          <cell r="G489">
            <v>480.22</v>
          </cell>
          <cell r="I489" t="str">
            <v>Comprou Marcas</v>
          </cell>
        </row>
        <row r="490">
          <cell r="A490">
            <v>19436506000176</v>
          </cell>
          <cell r="B490" t="str">
            <v>FAMARCIA CENTRAL</v>
          </cell>
          <cell r="C490" t="str">
            <v>DROGARIA TOTAL</v>
          </cell>
          <cell r="D490" t="str">
            <v>SANTOPOLIS DO AGUAPEI</v>
          </cell>
          <cell r="E490" t="str">
            <v>SP</v>
          </cell>
          <cell r="F490">
            <v>46315</v>
          </cell>
          <cell r="G490">
            <v>3004.09</v>
          </cell>
          <cell r="I490" t="str">
            <v>Comprou Marcas</v>
          </cell>
        </row>
        <row r="491">
          <cell r="A491">
            <v>38335229000150</v>
          </cell>
          <cell r="B491" t="str">
            <v>F. H. S. MATRICARDI DROGARIA PIRAPOZINHO</v>
          </cell>
          <cell r="C491" t="str">
            <v>REDE POUPE AQUI</v>
          </cell>
          <cell r="D491" t="str">
            <v>PIRAPOZINHO</v>
          </cell>
          <cell r="E491" t="str">
            <v>SP</v>
          </cell>
          <cell r="F491">
            <v>46304</v>
          </cell>
          <cell r="G491">
            <v>705.47</v>
          </cell>
          <cell r="H491">
            <v>4400.88</v>
          </cell>
          <cell r="I491" t="str">
            <v>Comprou Marcas e SG</v>
          </cell>
        </row>
        <row r="492">
          <cell r="A492">
            <v>4007182000183</v>
          </cell>
          <cell r="B492" t="str">
            <v>ESSENCIAL VIDA</v>
          </cell>
          <cell r="C492" t="str">
            <v>DROGARIA TOTAL</v>
          </cell>
          <cell r="D492" t="str">
            <v>BIRIGUI</v>
          </cell>
          <cell r="E492" t="str">
            <v>SP</v>
          </cell>
          <cell r="I492" t="str">
            <v>Não Comprou</v>
          </cell>
        </row>
        <row r="493">
          <cell r="A493">
            <v>20947414000130</v>
          </cell>
          <cell r="B493" t="str">
            <v>ESPACO FARMACIA SAUDE</v>
          </cell>
          <cell r="C493" t="str">
            <v>FARMA &amp; FARMA</v>
          </cell>
          <cell r="D493" t="str">
            <v>DOURADOS</v>
          </cell>
          <cell r="E493" t="str">
            <v>MS</v>
          </cell>
          <cell r="F493">
            <v>46311</v>
          </cell>
          <cell r="G493">
            <v>1489.8000000000002</v>
          </cell>
          <cell r="I493" t="str">
            <v>Comprou Marcas</v>
          </cell>
        </row>
        <row r="494">
          <cell r="A494">
            <v>422093000142</v>
          </cell>
          <cell r="B494" t="str">
            <v>EDUFARMA</v>
          </cell>
          <cell r="C494" t="str">
            <v>INDEPENDENTES VIN</v>
          </cell>
          <cell r="D494" t="str">
            <v>ANDRADINA</v>
          </cell>
          <cell r="E494" t="str">
            <v>SP</v>
          </cell>
          <cell r="F494">
            <v>46304</v>
          </cell>
          <cell r="G494">
            <v>2324.41</v>
          </cell>
          <cell r="I494" t="str">
            <v>Comprou Marcas</v>
          </cell>
        </row>
        <row r="495">
          <cell r="A495">
            <v>7504369000180</v>
          </cell>
          <cell r="B495" t="str">
            <v>EDU FARMA</v>
          </cell>
          <cell r="C495" t="str">
            <v>MASTERFARMA</v>
          </cell>
          <cell r="D495" t="str">
            <v>TANGARA DA SERRA</v>
          </cell>
          <cell r="E495" t="str">
            <v>MT</v>
          </cell>
          <cell r="F495">
            <v>46315</v>
          </cell>
          <cell r="G495">
            <v>685.03000000000009</v>
          </cell>
          <cell r="I495" t="str">
            <v>Comprou Marcas</v>
          </cell>
        </row>
        <row r="496">
          <cell r="A496">
            <v>9039622000289</v>
          </cell>
          <cell r="B496" t="str">
            <v>DRUGSTORE NEBRASCA 24H</v>
          </cell>
          <cell r="C496" t="str">
            <v>HIPER SAUDE</v>
          </cell>
          <cell r="D496" t="str">
            <v>SORRISO</v>
          </cell>
          <cell r="E496" t="str">
            <v>MT</v>
          </cell>
          <cell r="F496">
            <v>46316</v>
          </cell>
          <cell r="G496">
            <v>65710.53</v>
          </cell>
          <cell r="H496">
            <v>56516.439999999981</v>
          </cell>
          <cell r="I496" t="str">
            <v>Comprou Marcas e SG</v>
          </cell>
        </row>
        <row r="497">
          <cell r="A497">
            <v>64822703000188</v>
          </cell>
          <cell r="B497" t="str">
            <v>DROGAZE</v>
          </cell>
          <cell r="C497" t="str">
            <v>HIPER SAUDE</v>
          </cell>
          <cell r="D497" t="str">
            <v>DRACENA</v>
          </cell>
          <cell r="E497" t="str">
            <v>SP</v>
          </cell>
          <cell r="F497">
            <v>46314</v>
          </cell>
          <cell r="G497">
            <v>278.51</v>
          </cell>
          <cell r="I497" t="str">
            <v>Comprou Marcas</v>
          </cell>
        </row>
        <row r="498">
          <cell r="A498">
            <v>5628142000111</v>
          </cell>
          <cell r="B498" t="str">
            <v>DROGAVITA</v>
          </cell>
          <cell r="C498" t="str">
            <v>DROGARIA TOTAL</v>
          </cell>
          <cell r="D498" t="str">
            <v>PRESIDENTE PRUDENTE</v>
          </cell>
          <cell r="E498" t="str">
            <v>SP</v>
          </cell>
          <cell r="F498">
            <v>46315</v>
          </cell>
          <cell r="G498">
            <v>242.53</v>
          </cell>
          <cell r="I498" t="str">
            <v>Comprou Marcas</v>
          </cell>
        </row>
        <row r="499">
          <cell r="A499">
            <v>7629833000246</v>
          </cell>
          <cell r="B499" t="str">
            <v>DROGAVIDA CIDADE NOVA</v>
          </cell>
          <cell r="C499" t="str">
            <v>ASSOCIADAS</v>
          </cell>
          <cell r="D499" t="str">
            <v>LUCAS DO RIO VERDE</v>
          </cell>
          <cell r="E499" t="str">
            <v>MT</v>
          </cell>
          <cell r="F499">
            <v>46316</v>
          </cell>
          <cell r="G499">
            <v>3780.1800000000007</v>
          </cell>
          <cell r="I499" t="str">
            <v>Comprou Marcas</v>
          </cell>
        </row>
        <row r="500">
          <cell r="A500">
            <v>7629833000165</v>
          </cell>
          <cell r="B500" t="str">
            <v>DROGAVIDA CENTRO</v>
          </cell>
          <cell r="C500" t="str">
            <v>HIPER SAUDE</v>
          </cell>
          <cell r="D500" t="str">
            <v>LUCAS DO RIO VERDE</v>
          </cell>
          <cell r="E500" t="str">
            <v>MT</v>
          </cell>
          <cell r="F500">
            <v>46315</v>
          </cell>
          <cell r="G500">
            <v>9905.9400000000023</v>
          </cell>
          <cell r="I500" t="str">
            <v>Comprou Marcas</v>
          </cell>
        </row>
        <row r="501">
          <cell r="A501">
            <v>2100833000150</v>
          </cell>
          <cell r="B501" t="str">
            <v>DROGATOP</v>
          </cell>
          <cell r="C501" t="str">
            <v>FARMARCAS</v>
          </cell>
          <cell r="D501" t="str">
            <v>CORUMBA</v>
          </cell>
          <cell r="E501" t="str">
            <v>MS</v>
          </cell>
          <cell r="F501">
            <v>46316</v>
          </cell>
          <cell r="G501">
            <v>14981.29</v>
          </cell>
          <cell r="H501">
            <v>1120.5899999999999</v>
          </cell>
          <cell r="I501" t="str">
            <v>Comprou Marcas e SG</v>
          </cell>
        </row>
        <row r="502">
          <cell r="A502">
            <v>2100833000230</v>
          </cell>
          <cell r="B502" t="str">
            <v>DROGATOP</v>
          </cell>
          <cell r="C502" t="str">
            <v>FARMARCAS</v>
          </cell>
          <cell r="D502" t="str">
            <v>CORUMBA</v>
          </cell>
          <cell r="E502" t="str">
            <v>MS</v>
          </cell>
          <cell r="F502">
            <v>46315</v>
          </cell>
          <cell r="G502">
            <v>17771.049999999988</v>
          </cell>
          <cell r="H502">
            <v>354.19</v>
          </cell>
          <cell r="I502" t="str">
            <v>Comprou Marcas e SG</v>
          </cell>
        </row>
        <row r="503">
          <cell r="A503">
            <v>13079901000162</v>
          </cell>
          <cell r="B503" t="str">
            <v>DROGASUPER</v>
          </cell>
          <cell r="C503" t="str">
            <v>INDEPENDENTES VIN</v>
          </cell>
          <cell r="D503" t="str">
            <v>PARANATINGA</v>
          </cell>
          <cell r="E503" t="str">
            <v>MT</v>
          </cell>
          <cell r="F503">
            <v>46316</v>
          </cell>
          <cell r="G503">
            <v>1238.5099999999998</v>
          </cell>
          <cell r="H503">
            <v>3625.8200000000006</v>
          </cell>
          <cell r="I503" t="str">
            <v>Comprou Marcas e SG</v>
          </cell>
        </row>
        <row r="504">
          <cell r="A504">
            <v>48210177000149</v>
          </cell>
          <cell r="B504" t="str">
            <v>DROGASHOP</v>
          </cell>
          <cell r="C504" t="str">
            <v>DROGASHOP</v>
          </cell>
          <cell r="D504" t="str">
            <v>NOVA XAVANTINA</v>
          </cell>
          <cell r="E504" t="str">
            <v>MT</v>
          </cell>
          <cell r="I504" t="str">
            <v>Não Comprou</v>
          </cell>
        </row>
        <row r="505">
          <cell r="A505">
            <v>15463847000180</v>
          </cell>
          <cell r="B505" t="str">
            <v>DROGASETE FCIA LTDA</v>
          </cell>
          <cell r="C505" t="str">
            <v>ASSOCIADAS</v>
          </cell>
          <cell r="D505" t="str">
            <v>SETE QUEDAS</v>
          </cell>
          <cell r="E505" t="str">
            <v>MS</v>
          </cell>
          <cell r="F505">
            <v>46310</v>
          </cell>
          <cell r="G505">
            <v>1231.44</v>
          </cell>
          <cell r="I505" t="str">
            <v>Comprou Marcas</v>
          </cell>
        </row>
        <row r="506">
          <cell r="A506">
            <v>23019388000178</v>
          </cell>
          <cell r="B506" t="str">
            <v>DROGARIAS VIP</v>
          </cell>
          <cell r="C506" t="str">
            <v>REDE INOVA</v>
          </cell>
          <cell r="D506" t="str">
            <v>PARANAIBA</v>
          </cell>
          <cell r="E506" t="str">
            <v>MS</v>
          </cell>
          <cell r="F506">
            <v>46314</v>
          </cell>
          <cell r="G506">
            <v>233.3</v>
          </cell>
          <cell r="I506" t="str">
            <v>Comprou Marcas</v>
          </cell>
        </row>
        <row r="507">
          <cell r="A507">
            <v>4924863000106</v>
          </cell>
          <cell r="B507" t="str">
            <v>DROGARIAS ULTRAFORT POPULAR</v>
          </cell>
          <cell r="C507" t="str">
            <v>ASSOCIADAS</v>
          </cell>
          <cell r="D507" t="str">
            <v>RONDONOPOLIS</v>
          </cell>
          <cell r="E507" t="str">
            <v>MT</v>
          </cell>
          <cell r="F507">
            <v>46310</v>
          </cell>
          <cell r="G507">
            <v>137.85</v>
          </cell>
          <cell r="I507" t="str">
            <v>Comprou Marcas</v>
          </cell>
        </row>
        <row r="508">
          <cell r="A508">
            <v>20884408000180</v>
          </cell>
          <cell r="B508" t="str">
            <v>DROGARIAS ULTRA POPULAR</v>
          </cell>
          <cell r="C508" t="str">
            <v>FARMARCAS</v>
          </cell>
          <cell r="D508" t="str">
            <v>NOVA ANDRADINA</v>
          </cell>
          <cell r="E508" t="str">
            <v>MS</v>
          </cell>
          <cell r="F508">
            <v>46316</v>
          </cell>
          <cell r="G508">
            <v>7073.4500000000025</v>
          </cell>
          <cell r="I508" t="str">
            <v>Comprou Marcas</v>
          </cell>
        </row>
        <row r="509">
          <cell r="A509">
            <v>20884408000261</v>
          </cell>
          <cell r="B509" t="str">
            <v>DROGARIAS ULTRA POPULAR</v>
          </cell>
          <cell r="C509" t="str">
            <v>FARMARCAS</v>
          </cell>
          <cell r="D509" t="str">
            <v>NOVA ANDRADINA</v>
          </cell>
          <cell r="E509" t="str">
            <v>MS</v>
          </cell>
          <cell r="F509">
            <v>46316</v>
          </cell>
          <cell r="G509">
            <v>4342.7099999999991</v>
          </cell>
          <cell r="I509" t="str">
            <v>Comprou Marcas</v>
          </cell>
        </row>
        <row r="510">
          <cell r="A510">
            <v>4114403000112</v>
          </cell>
          <cell r="B510" t="str">
            <v>DROGARIAS ULTRA POPULAR</v>
          </cell>
          <cell r="C510" t="str">
            <v>FARMARCAS</v>
          </cell>
          <cell r="D510" t="str">
            <v>PONTES E LACERDA</v>
          </cell>
          <cell r="E510" t="str">
            <v>MT</v>
          </cell>
          <cell r="F510">
            <v>46315</v>
          </cell>
          <cell r="G510">
            <v>34074.830000000016</v>
          </cell>
          <cell r="I510" t="str">
            <v>Comprou Marcas</v>
          </cell>
        </row>
        <row r="511">
          <cell r="A511">
            <v>4114403000201</v>
          </cell>
          <cell r="B511" t="str">
            <v>DROGARIAS ULTRA POPULAR</v>
          </cell>
          <cell r="C511" t="str">
            <v>FARMARCAS</v>
          </cell>
          <cell r="D511" t="str">
            <v>PONTES E LACERDA</v>
          </cell>
          <cell r="E511" t="str">
            <v>MT</v>
          </cell>
          <cell r="F511">
            <v>46316</v>
          </cell>
          <cell r="G511">
            <v>7732.5900000000029</v>
          </cell>
          <cell r="I511" t="str">
            <v>Comprou Marcas</v>
          </cell>
        </row>
        <row r="512">
          <cell r="A512">
            <v>4114403000384</v>
          </cell>
          <cell r="B512" t="str">
            <v>DROGARIAS ULTRA POPULAR</v>
          </cell>
          <cell r="C512" t="str">
            <v>FARMARCAS</v>
          </cell>
          <cell r="D512" t="str">
            <v>PONTES E LACERDA</v>
          </cell>
          <cell r="E512" t="str">
            <v>MT</v>
          </cell>
          <cell r="F512">
            <v>46315</v>
          </cell>
          <cell r="G512">
            <v>6935.0000000000009</v>
          </cell>
          <cell r="I512" t="str">
            <v>Comprou Marcas</v>
          </cell>
        </row>
        <row r="513">
          <cell r="A513">
            <v>9571632000180</v>
          </cell>
          <cell r="B513" t="str">
            <v>DROGARIAS ULTRA POPULAR</v>
          </cell>
          <cell r="C513" t="str">
            <v>FARMARCAS</v>
          </cell>
          <cell r="D513" t="str">
            <v>COMODORO</v>
          </cell>
          <cell r="E513" t="str">
            <v>MT</v>
          </cell>
          <cell r="F513">
            <v>46314</v>
          </cell>
          <cell r="G513">
            <v>4741.2400000000007</v>
          </cell>
          <cell r="I513" t="str">
            <v>Comprou Marcas</v>
          </cell>
        </row>
        <row r="514">
          <cell r="A514">
            <v>9492647000152</v>
          </cell>
          <cell r="B514" t="str">
            <v>DROGARIAS ULTRA POPULAR</v>
          </cell>
          <cell r="C514" t="str">
            <v>FARMARCAS</v>
          </cell>
          <cell r="D514" t="str">
            <v>GUARANTA DO NORTE</v>
          </cell>
          <cell r="E514" t="str">
            <v>MT</v>
          </cell>
          <cell r="F514">
            <v>46315</v>
          </cell>
          <cell r="G514">
            <v>23193.929999999997</v>
          </cell>
          <cell r="I514" t="str">
            <v>Comprou Marcas</v>
          </cell>
        </row>
        <row r="515">
          <cell r="A515">
            <v>9492647000314</v>
          </cell>
          <cell r="B515" t="str">
            <v>DROGARIAS ULTRA POPULAR</v>
          </cell>
          <cell r="C515" t="str">
            <v>FARMARCAS</v>
          </cell>
          <cell r="D515" t="str">
            <v>TERRA NOVA DO NORTE</v>
          </cell>
          <cell r="E515" t="str">
            <v>MT</v>
          </cell>
          <cell r="F515">
            <v>46315</v>
          </cell>
          <cell r="G515">
            <v>15133.119999999997</v>
          </cell>
          <cell r="I515" t="str">
            <v>Comprou Marcas</v>
          </cell>
        </row>
        <row r="516">
          <cell r="A516">
            <v>9492647000403</v>
          </cell>
          <cell r="B516" t="str">
            <v>DROGARIAS ULTRA POPULAR</v>
          </cell>
          <cell r="C516" t="str">
            <v>FARMARCAS</v>
          </cell>
          <cell r="D516" t="str">
            <v>GUARANTA DO NORTE</v>
          </cell>
          <cell r="E516" t="str">
            <v>MT</v>
          </cell>
          <cell r="F516">
            <v>46315</v>
          </cell>
          <cell r="G516">
            <v>10350.870000000004</v>
          </cell>
          <cell r="I516" t="str">
            <v>Comprou Marcas</v>
          </cell>
        </row>
        <row r="517">
          <cell r="A517">
            <v>9492647000667</v>
          </cell>
          <cell r="B517" t="str">
            <v>DROGARIAS ULTRA POPULAR</v>
          </cell>
          <cell r="C517" t="str">
            <v>FARMARCAS</v>
          </cell>
          <cell r="D517" t="str">
            <v>NOVA CANAA DO NORTE</v>
          </cell>
          <cell r="E517" t="str">
            <v>MT</v>
          </cell>
          <cell r="F517">
            <v>46315</v>
          </cell>
          <cell r="G517">
            <v>9813.4599999999973</v>
          </cell>
          <cell r="I517" t="str">
            <v>Comprou Marcas</v>
          </cell>
        </row>
        <row r="518">
          <cell r="A518">
            <v>9492647000829</v>
          </cell>
          <cell r="B518" t="str">
            <v>DROGARIAS ULTRA POPULAR</v>
          </cell>
          <cell r="C518" t="str">
            <v>FARMARCAS</v>
          </cell>
          <cell r="D518" t="str">
            <v>PARANAITA</v>
          </cell>
          <cell r="E518" t="str">
            <v>MT</v>
          </cell>
          <cell r="F518">
            <v>46315</v>
          </cell>
          <cell r="G518">
            <v>12938.199999999997</v>
          </cell>
          <cell r="I518" t="str">
            <v>Comprou Marcas</v>
          </cell>
        </row>
        <row r="519">
          <cell r="A519">
            <v>9492647000900</v>
          </cell>
          <cell r="B519" t="str">
            <v>DROGARIAS ULTRA POPULAR</v>
          </cell>
          <cell r="C519" t="str">
            <v>FARMARCAS</v>
          </cell>
          <cell r="D519" t="str">
            <v>NOVA MONTE VERDE</v>
          </cell>
          <cell r="E519" t="str">
            <v>MT</v>
          </cell>
          <cell r="F519">
            <v>46315</v>
          </cell>
          <cell r="G519">
            <v>8327.1400000000031</v>
          </cell>
          <cell r="I519" t="str">
            <v>Comprou Marcas</v>
          </cell>
        </row>
        <row r="520">
          <cell r="A520">
            <v>9492647001205</v>
          </cell>
          <cell r="B520" t="str">
            <v>DROGARIAS ULTRA POPULAR</v>
          </cell>
          <cell r="C520" t="str">
            <v>FARMARCAS</v>
          </cell>
          <cell r="D520" t="str">
            <v>GUARANTA DO NORTE</v>
          </cell>
          <cell r="E520" t="str">
            <v>MT</v>
          </cell>
          <cell r="F520">
            <v>46315</v>
          </cell>
          <cell r="G520">
            <v>6608.8300000000008</v>
          </cell>
          <cell r="I520" t="str">
            <v>Comprou Marcas</v>
          </cell>
        </row>
        <row r="521">
          <cell r="A521">
            <v>19651628000770</v>
          </cell>
          <cell r="B521" t="str">
            <v>DROGARIAS ULTRA POPULAR</v>
          </cell>
          <cell r="C521" t="str">
            <v>FARMARCAS</v>
          </cell>
          <cell r="D521" t="str">
            <v>SINOP</v>
          </cell>
          <cell r="E521" t="str">
            <v>MT</v>
          </cell>
          <cell r="F521">
            <v>46316</v>
          </cell>
          <cell r="G521">
            <v>3598.23</v>
          </cell>
          <cell r="H521">
            <v>13677.83</v>
          </cell>
          <cell r="I521" t="str">
            <v>Comprou Marcas e SG</v>
          </cell>
        </row>
        <row r="522">
          <cell r="A522">
            <v>19651628000851</v>
          </cell>
          <cell r="B522" t="str">
            <v>DROGARIAS ULTRA POPULAR</v>
          </cell>
          <cell r="C522" t="str">
            <v>INDEPENDENTES VIN</v>
          </cell>
          <cell r="D522" t="str">
            <v>SINOP</v>
          </cell>
          <cell r="E522" t="str">
            <v>MT</v>
          </cell>
          <cell r="F522">
            <v>46303</v>
          </cell>
          <cell r="G522">
            <v>67.540000000000006</v>
          </cell>
          <cell r="I522" t="str">
            <v>Comprou Marcas</v>
          </cell>
        </row>
        <row r="523">
          <cell r="A523">
            <v>41651815000118</v>
          </cell>
          <cell r="B523" t="str">
            <v>DROGARIAS ULTRA POPULAR</v>
          </cell>
          <cell r="C523" t="str">
            <v>FARMARCAS</v>
          </cell>
          <cell r="D523" t="str">
            <v>MARCELANDIA</v>
          </cell>
          <cell r="E523" t="str">
            <v>MT</v>
          </cell>
          <cell r="F523">
            <v>46309</v>
          </cell>
          <cell r="G523">
            <v>261.95</v>
          </cell>
          <cell r="I523" t="str">
            <v>Comprou Marcas</v>
          </cell>
        </row>
        <row r="524">
          <cell r="A524">
            <v>21746348000100</v>
          </cell>
          <cell r="B524" t="str">
            <v>DROGARIAS ULTRA POPULAR</v>
          </cell>
          <cell r="C524" t="str">
            <v>FARMARCAS</v>
          </cell>
          <cell r="D524" t="str">
            <v>NOVA XAVANTINA</v>
          </cell>
          <cell r="E524" t="str">
            <v>MT</v>
          </cell>
          <cell r="I524" t="str">
            <v>Não Comprou</v>
          </cell>
        </row>
        <row r="525">
          <cell r="A525">
            <v>27201095000168</v>
          </cell>
          <cell r="B525" t="str">
            <v>DROGARIAS ULTRA POPULAR</v>
          </cell>
          <cell r="C525" t="str">
            <v>FARMARCAS</v>
          </cell>
          <cell r="D525" t="str">
            <v>ARAGARCAS</v>
          </cell>
          <cell r="E525" t="str">
            <v>GO</v>
          </cell>
          <cell r="F525">
            <v>46314</v>
          </cell>
          <cell r="G525">
            <v>2487.16</v>
          </cell>
          <cell r="I525" t="str">
            <v>Comprou Marcas</v>
          </cell>
        </row>
        <row r="526">
          <cell r="A526">
            <v>62670020000127</v>
          </cell>
          <cell r="B526" t="str">
            <v>DROGARIAS POUPAQUI.</v>
          </cell>
          <cell r="C526" t="str">
            <v>INDEPENDENTES VIN</v>
          </cell>
          <cell r="D526" t="str">
            <v>VARZEA GRANDE</v>
          </cell>
          <cell r="E526" t="str">
            <v>MT</v>
          </cell>
          <cell r="I526" t="str">
            <v>Não Comprou</v>
          </cell>
        </row>
        <row r="527">
          <cell r="A527">
            <v>27377243000442</v>
          </cell>
          <cell r="B527" t="str">
            <v>DROGARIAS MOURA</v>
          </cell>
          <cell r="C527" t="str">
            <v>INDEPENDENTES VIN</v>
          </cell>
          <cell r="D527" t="str">
            <v>CACERES</v>
          </cell>
          <cell r="E527" t="str">
            <v>MT</v>
          </cell>
          <cell r="I527" t="str">
            <v>Não Comprou</v>
          </cell>
        </row>
        <row r="528">
          <cell r="A528">
            <v>62343168000157</v>
          </cell>
          <cell r="B528" t="str">
            <v>DROGARIAS MAXI POPULAR</v>
          </cell>
          <cell r="C528" t="str">
            <v>FARMARCAS</v>
          </cell>
          <cell r="D528" t="str">
            <v>CAMPO GRANDE</v>
          </cell>
          <cell r="E528" t="str">
            <v>MS</v>
          </cell>
          <cell r="I528" t="str">
            <v>Não Comprou</v>
          </cell>
        </row>
        <row r="529">
          <cell r="A529">
            <v>35282298000154</v>
          </cell>
          <cell r="B529" t="str">
            <v>DROGARIAS MAXI POPULAR</v>
          </cell>
          <cell r="C529" t="str">
            <v>FARMARCAS</v>
          </cell>
          <cell r="D529" t="str">
            <v>VARZEA GRANDE</v>
          </cell>
          <cell r="E529" t="str">
            <v>MT</v>
          </cell>
          <cell r="F529">
            <v>46314</v>
          </cell>
          <cell r="G529">
            <v>6137.09</v>
          </cell>
          <cell r="I529" t="str">
            <v>Comprou Marcas</v>
          </cell>
        </row>
        <row r="530">
          <cell r="A530">
            <v>7033833000106</v>
          </cell>
          <cell r="B530" t="str">
            <v>DROGARIAS MATOS</v>
          </cell>
          <cell r="C530" t="str">
            <v>INDEPENDENTES VIN</v>
          </cell>
          <cell r="D530" t="str">
            <v>CAMPO GRANDE</v>
          </cell>
          <cell r="E530" t="str">
            <v>MS</v>
          </cell>
          <cell r="I530" t="str">
            <v>Não Comprou</v>
          </cell>
        </row>
        <row r="531">
          <cell r="A531">
            <v>36259468000142</v>
          </cell>
          <cell r="B531" t="str">
            <v>DROGARIAS MATOS</v>
          </cell>
          <cell r="C531" t="str">
            <v>INDEPENDENTES VIN</v>
          </cell>
          <cell r="D531" t="str">
            <v>CAMPO GRANDE</v>
          </cell>
          <cell r="E531" t="str">
            <v>MS</v>
          </cell>
          <cell r="I531" t="str">
            <v>Não Comprou</v>
          </cell>
        </row>
        <row r="532">
          <cell r="A532">
            <v>58230920000186</v>
          </cell>
          <cell r="B532" t="str">
            <v>DROGARIAS FL DO LUIZINHO PIONEIRA</v>
          </cell>
          <cell r="C532" t="str">
            <v>ASSOCIADAS</v>
          </cell>
          <cell r="D532" t="str">
            <v>CAMPO GRANDE</v>
          </cell>
          <cell r="E532" t="str">
            <v>MS</v>
          </cell>
          <cell r="I532" t="str">
            <v>Não Comprou</v>
          </cell>
        </row>
        <row r="533">
          <cell r="A533">
            <v>52390785000150</v>
          </cell>
          <cell r="B533" t="str">
            <v>DROGARIAS FL DO LUIZINHO</v>
          </cell>
          <cell r="C533" t="str">
            <v>ASSOCIADAS</v>
          </cell>
          <cell r="D533" t="str">
            <v>CAMPO GRANDE</v>
          </cell>
          <cell r="E533" t="str">
            <v>MS</v>
          </cell>
          <cell r="I533" t="str">
            <v>Não Comprou</v>
          </cell>
        </row>
        <row r="534">
          <cell r="A534">
            <v>50357285000190</v>
          </cell>
          <cell r="B534" t="str">
            <v>DROGARIAS FARMARELA</v>
          </cell>
          <cell r="C534" t="str">
            <v>ECONOMIZE RONDONOPOLIS</v>
          </cell>
          <cell r="D534" t="str">
            <v>CAMPO GRANDE</v>
          </cell>
          <cell r="E534" t="str">
            <v>MS</v>
          </cell>
          <cell r="I534" t="str">
            <v>Não Comprou</v>
          </cell>
        </row>
        <row r="535">
          <cell r="A535">
            <v>2369415000162</v>
          </cell>
          <cell r="B535" t="str">
            <v>DROGARIAS FARMARELA</v>
          </cell>
          <cell r="C535" t="str">
            <v>ECONOMIZE RONDONOPOLIS</v>
          </cell>
          <cell r="D535" t="str">
            <v>RONDONOPOLIS</v>
          </cell>
          <cell r="E535" t="str">
            <v>MT</v>
          </cell>
          <cell r="F535">
            <v>46301</v>
          </cell>
          <cell r="G535">
            <v>1078.27</v>
          </cell>
          <cell r="I535" t="str">
            <v>Comprou Marcas</v>
          </cell>
        </row>
        <row r="536">
          <cell r="A536">
            <v>33019679000209</v>
          </cell>
          <cell r="B536" t="str">
            <v>DROGARIAS FARMARELA</v>
          </cell>
          <cell r="C536" t="str">
            <v>ECONOMIZE RONDONOPOLIS</v>
          </cell>
          <cell r="D536" t="str">
            <v>TANGARA DA SERRA</v>
          </cell>
          <cell r="E536" t="str">
            <v>MT</v>
          </cell>
          <cell r="F536">
            <v>46303</v>
          </cell>
          <cell r="G536">
            <v>2155.0100000000002</v>
          </cell>
          <cell r="I536" t="str">
            <v>Comprou Marcas</v>
          </cell>
        </row>
        <row r="537">
          <cell r="A537">
            <v>33019679000381</v>
          </cell>
          <cell r="B537" t="str">
            <v>DROGARIAS FARMARELA</v>
          </cell>
          <cell r="C537" t="str">
            <v>ECONOMIZE RONDONOPOLIS</v>
          </cell>
          <cell r="D537" t="str">
            <v>TANGARA DA SERRA</v>
          </cell>
          <cell r="E537" t="str">
            <v>MT</v>
          </cell>
          <cell r="F537">
            <v>46316</v>
          </cell>
          <cell r="G537">
            <v>2593.3600000000006</v>
          </cell>
          <cell r="I537" t="str">
            <v>Comprou Marcas</v>
          </cell>
        </row>
        <row r="538">
          <cell r="A538">
            <v>61723222000127</v>
          </cell>
          <cell r="B538" t="str">
            <v>DROGARIAS COMPRE MAIS VG</v>
          </cell>
          <cell r="C538" t="str">
            <v>INDEPENDENTES VIN</v>
          </cell>
          <cell r="D538" t="str">
            <v>VARZEA GRANDE</v>
          </cell>
          <cell r="E538" t="str">
            <v>MT</v>
          </cell>
          <cell r="F538">
            <v>46309</v>
          </cell>
          <cell r="G538">
            <v>6942.7300000000032</v>
          </cell>
          <cell r="I538" t="str">
            <v>Comprou Marcas</v>
          </cell>
        </row>
        <row r="539">
          <cell r="A539">
            <v>61723222000208</v>
          </cell>
          <cell r="B539" t="str">
            <v>DROGARIAS COMPRE MAIS</v>
          </cell>
          <cell r="C539" t="str">
            <v>INDEPENDENTES VIN</v>
          </cell>
          <cell r="D539" t="str">
            <v>VARZEA GRANDE</v>
          </cell>
          <cell r="E539" t="str">
            <v>MT</v>
          </cell>
          <cell r="I539" t="str">
            <v>Não Comprou</v>
          </cell>
        </row>
        <row r="540">
          <cell r="A540">
            <v>15487866000146</v>
          </cell>
          <cell r="B540" t="str">
            <v>DROGARIAS BEM POPULAR BRASIL</v>
          </cell>
          <cell r="C540" t="str">
            <v>COMPRE BEM</v>
          </cell>
          <cell r="D540" t="str">
            <v>MARACAJU</v>
          </cell>
          <cell r="E540" t="str">
            <v>MS</v>
          </cell>
          <cell r="I540" t="str">
            <v>Não Comprou</v>
          </cell>
        </row>
        <row r="541">
          <cell r="A541">
            <v>44944266000168</v>
          </cell>
          <cell r="B541" t="str">
            <v>DROGARIAS BEM POPULAR BRASIL</v>
          </cell>
          <cell r="C541" t="str">
            <v>COMPRE BEM</v>
          </cell>
          <cell r="D541" t="str">
            <v>AMAMBAI</v>
          </cell>
          <cell r="E541" t="str">
            <v>MS</v>
          </cell>
          <cell r="F541">
            <v>46304</v>
          </cell>
          <cell r="H541">
            <v>859.48</v>
          </cell>
          <cell r="I541" t="str">
            <v>Comprou SG</v>
          </cell>
        </row>
        <row r="542">
          <cell r="A542">
            <v>57338966000150</v>
          </cell>
          <cell r="B542" t="str">
            <v>DROGARIAS BEM POPULAR BRASIL</v>
          </cell>
          <cell r="C542" t="str">
            <v>COMPRE BEM</v>
          </cell>
          <cell r="D542" t="str">
            <v>TANGARA DA SERRA</v>
          </cell>
          <cell r="E542" t="str">
            <v>MT</v>
          </cell>
          <cell r="I542" t="str">
            <v>Não Comprou</v>
          </cell>
        </row>
        <row r="543">
          <cell r="A543">
            <v>42390075000176</v>
          </cell>
          <cell r="B543" t="str">
            <v>DROGARIAS BEM POPULAR BRASIL</v>
          </cell>
          <cell r="C543" t="str">
            <v>INDEPENDENTES VIN</v>
          </cell>
          <cell r="D543" t="str">
            <v>SINOP</v>
          </cell>
          <cell r="E543" t="str">
            <v>MT</v>
          </cell>
          <cell r="F543">
            <v>46316</v>
          </cell>
          <cell r="G543">
            <v>3609.13</v>
          </cell>
          <cell r="H543">
            <v>1207.6099999999999</v>
          </cell>
          <cell r="I543" t="str">
            <v>Comprou Marcas e SG</v>
          </cell>
        </row>
        <row r="544">
          <cell r="A544">
            <v>54806695000122</v>
          </cell>
          <cell r="B544" t="str">
            <v>DROGARIAS BEM POPULAR BRASIL</v>
          </cell>
          <cell r="C544" t="str">
            <v>COMPRE BEM</v>
          </cell>
          <cell r="D544" t="str">
            <v>SINOP</v>
          </cell>
          <cell r="E544" t="str">
            <v>MT</v>
          </cell>
          <cell r="I544" t="str">
            <v>Não Comprou</v>
          </cell>
        </row>
        <row r="545">
          <cell r="A545">
            <v>49133299000141</v>
          </cell>
          <cell r="B545" t="str">
            <v>DROGARIAS BEM POPULAR BRASIL</v>
          </cell>
          <cell r="C545" t="str">
            <v>COMPRE BEM</v>
          </cell>
          <cell r="D545" t="str">
            <v>ALTO GARCAS</v>
          </cell>
          <cell r="E545" t="str">
            <v>MT</v>
          </cell>
          <cell r="I545" t="str">
            <v>Não Comprou</v>
          </cell>
        </row>
        <row r="546">
          <cell r="A546">
            <v>34700354000160</v>
          </cell>
          <cell r="B546" t="str">
            <v>DROGARIA+SAUDE</v>
          </cell>
          <cell r="C546" t="str">
            <v>INDEPENDENTES VIN</v>
          </cell>
          <cell r="D546" t="str">
            <v>CUIABA</v>
          </cell>
          <cell r="E546" t="str">
            <v>MT</v>
          </cell>
          <cell r="I546" t="str">
            <v>Não Comprou</v>
          </cell>
        </row>
        <row r="547">
          <cell r="A547">
            <v>11964668000175</v>
          </cell>
          <cell r="B547" t="str">
            <v>DROGARIA VIVA MAIS</v>
          </cell>
          <cell r="C547" t="str">
            <v>MASTERFARMA</v>
          </cell>
          <cell r="D547" t="str">
            <v>COSTA RICA</v>
          </cell>
          <cell r="E547" t="str">
            <v>MS</v>
          </cell>
          <cell r="F547">
            <v>46316</v>
          </cell>
          <cell r="G547">
            <v>711.49</v>
          </cell>
          <cell r="I547" t="str">
            <v>Comprou Marcas</v>
          </cell>
        </row>
        <row r="548">
          <cell r="A548">
            <v>8963901000190</v>
          </cell>
          <cell r="B548" t="str">
            <v>DROGARIA VITORIA</v>
          </cell>
          <cell r="C548" t="str">
            <v>MASTERFARMA</v>
          </cell>
          <cell r="D548" t="str">
            <v>ARAPUTANGA</v>
          </cell>
          <cell r="E548" t="str">
            <v>MT</v>
          </cell>
          <cell r="F548">
            <v>46316</v>
          </cell>
          <cell r="G548">
            <v>1645.15</v>
          </cell>
          <cell r="I548" t="str">
            <v>Comprou Marcas</v>
          </cell>
        </row>
        <row r="549">
          <cell r="A549">
            <v>17334086000191</v>
          </cell>
          <cell r="B549" t="str">
            <v>DROGARIA VITORIA</v>
          </cell>
          <cell r="C549" t="str">
            <v>INDEPENDENTES VIN</v>
          </cell>
          <cell r="D549" t="str">
            <v>COMODORO</v>
          </cell>
          <cell r="E549" t="str">
            <v>MT</v>
          </cell>
          <cell r="F549">
            <v>46304</v>
          </cell>
          <cell r="G549">
            <v>312.08</v>
          </cell>
          <cell r="I549" t="str">
            <v>Comprou Marcas</v>
          </cell>
        </row>
        <row r="550">
          <cell r="A550">
            <v>46726427000172</v>
          </cell>
          <cell r="B550" t="str">
            <v>DROGARIA VIOLETAS</v>
          </cell>
          <cell r="C550" t="str">
            <v>INDEPENDENTES VIN</v>
          </cell>
          <cell r="D550" t="str">
            <v>SINOP</v>
          </cell>
          <cell r="E550" t="str">
            <v>MT</v>
          </cell>
          <cell r="I550" t="str">
            <v>Não Comprou</v>
          </cell>
        </row>
        <row r="551">
          <cell r="A551">
            <v>56089146000100</v>
          </cell>
          <cell r="B551" t="str">
            <v>DROGARIA VIDA E SAUDE TOTAL UNIDADE LEONOR</v>
          </cell>
          <cell r="C551" t="str">
            <v>DROGARIA TOTAL</v>
          </cell>
          <cell r="D551" t="str">
            <v>PRESIDENTE PRUDENTE</v>
          </cell>
          <cell r="E551" t="str">
            <v>SP</v>
          </cell>
          <cell r="F551">
            <v>46315</v>
          </cell>
          <cell r="H551">
            <v>17772.2</v>
          </cell>
          <cell r="I551" t="str">
            <v>Comprou SG</v>
          </cell>
        </row>
        <row r="552">
          <cell r="A552">
            <v>19631038000271</v>
          </cell>
          <cell r="B552" t="str">
            <v>DROGARIA VIDA &amp; SAUDE</v>
          </cell>
          <cell r="C552" t="str">
            <v>MULTIDROGAS</v>
          </cell>
          <cell r="D552" t="str">
            <v>SANTO EXPEDITO</v>
          </cell>
          <cell r="E552" t="str">
            <v>SP</v>
          </cell>
          <cell r="F552">
            <v>46310</v>
          </cell>
          <cell r="G552">
            <v>97.62</v>
          </cell>
          <cell r="I552" t="str">
            <v>Comprou Marcas</v>
          </cell>
        </row>
        <row r="553">
          <cell r="A553">
            <v>8776885000127</v>
          </cell>
          <cell r="B553" t="str">
            <v>DROGARIA UNIVERSO</v>
          </cell>
          <cell r="C553" t="str">
            <v>HIPER SAUDE</v>
          </cell>
          <cell r="D553" t="str">
            <v>GUARANTA DO NORTE</v>
          </cell>
          <cell r="E553" t="str">
            <v>MT</v>
          </cell>
          <cell r="F553">
            <v>46309</v>
          </cell>
          <cell r="G553">
            <v>607.07000000000005</v>
          </cell>
          <cell r="H553">
            <v>989.11000000000013</v>
          </cell>
          <cell r="I553" t="str">
            <v>Comprou Marcas e SG</v>
          </cell>
        </row>
        <row r="554">
          <cell r="A554">
            <v>39999923000134</v>
          </cell>
          <cell r="B554" t="str">
            <v>DROGARIA UNIVERSO</v>
          </cell>
          <cell r="C554" t="str">
            <v>MASTERFARMA</v>
          </cell>
          <cell r="D554" t="str">
            <v>BARRA DO GARCAS</v>
          </cell>
          <cell r="E554" t="str">
            <v>MT</v>
          </cell>
          <cell r="I554" t="str">
            <v>Não Comprou</v>
          </cell>
        </row>
        <row r="555">
          <cell r="A555">
            <v>47614350000101</v>
          </cell>
          <cell r="B555" t="str">
            <v>DROGARIA UNIFARMA</v>
          </cell>
          <cell r="C555" t="str">
            <v>INDEPENDENTES VIN</v>
          </cell>
          <cell r="D555" t="str">
            <v>BARRA DO GARCAS</v>
          </cell>
          <cell r="E555" t="str">
            <v>MT</v>
          </cell>
          <cell r="I555" t="str">
            <v>Não Comprou</v>
          </cell>
        </row>
        <row r="556">
          <cell r="A556">
            <v>7771697000143</v>
          </cell>
          <cell r="B556" t="str">
            <v>DROGARIA UNIFARMA</v>
          </cell>
          <cell r="C556" t="str">
            <v>INDEPENDENTES VIN</v>
          </cell>
          <cell r="D556" t="str">
            <v>PARAGUACU PAULISTA</v>
          </cell>
          <cell r="E556" t="str">
            <v>SP</v>
          </cell>
          <cell r="I556" t="str">
            <v>Não Comprou</v>
          </cell>
        </row>
        <row r="557">
          <cell r="A557">
            <v>30658717000196</v>
          </cell>
          <cell r="B557" t="str">
            <v>DROGARIA UNIAO POPULAR</v>
          </cell>
          <cell r="C557" t="str">
            <v>INDEPENDENTES VIN</v>
          </cell>
          <cell r="D557" t="str">
            <v>BARRA DO GARCAS</v>
          </cell>
          <cell r="E557" t="str">
            <v>MT</v>
          </cell>
          <cell r="I557" t="str">
            <v>Não Comprou</v>
          </cell>
        </row>
        <row r="558">
          <cell r="A558">
            <v>7460103000183</v>
          </cell>
          <cell r="B558" t="str">
            <v>DROGARIA UNIAO</v>
          </cell>
          <cell r="C558" t="str">
            <v>MASTERFARMA</v>
          </cell>
          <cell r="D558" t="str">
            <v>CAMPO GRANDE</v>
          </cell>
          <cell r="E558" t="str">
            <v>MS</v>
          </cell>
          <cell r="I558" t="str">
            <v>Não Comprou</v>
          </cell>
        </row>
        <row r="559">
          <cell r="A559">
            <v>5344624000492</v>
          </cell>
          <cell r="B559" t="str">
            <v>DROGARIA ULTRAPOPULAR II</v>
          </cell>
          <cell r="C559" t="str">
            <v>FARMARCAS</v>
          </cell>
          <cell r="D559" t="str">
            <v>PONTA PORA</v>
          </cell>
          <cell r="E559" t="str">
            <v>MS</v>
          </cell>
          <cell r="F559">
            <v>46315</v>
          </cell>
          <cell r="G559">
            <v>2321.5300000000002</v>
          </cell>
          <cell r="I559" t="str">
            <v>Comprou Marcas</v>
          </cell>
        </row>
        <row r="560">
          <cell r="A560">
            <v>5344624000301</v>
          </cell>
          <cell r="B560" t="str">
            <v>DROGARIA ULTRAPOPULAR</v>
          </cell>
          <cell r="C560" t="str">
            <v>FARMARCAS</v>
          </cell>
          <cell r="D560" t="str">
            <v>PONTA PORA</v>
          </cell>
          <cell r="E560" t="str">
            <v>MS</v>
          </cell>
          <cell r="F560">
            <v>46315</v>
          </cell>
          <cell r="G560">
            <v>4293.840000000002</v>
          </cell>
          <cell r="I560" t="str">
            <v>Comprou Marcas</v>
          </cell>
        </row>
        <row r="561">
          <cell r="A561">
            <v>24437271000177</v>
          </cell>
          <cell r="B561" t="str">
            <v>DROGARIA ULTRAPOPULAR</v>
          </cell>
          <cell r="C561" t="str">
            <v>FARMARCAS</v>
          </cell>
          <cell r="D561" t="str">
            <v>FATIMA DO SUL</v>
          </cell>
          <cell r="E561" t="str">
            <v>MS</v>
          </cell>
          <cell r="F561">
            <v>46316</v>
          </cell>
          <cell r="G561">
            <v>4089.670000000001</v>
          </cell>
          <cell r="I561" t="str">
            <v>Comprou Marcas</v>
          </cell>
        </row>
        <row r="562">
          <cell r="A562">
            <v>18332251000210</v>
          </cell>
          <cell r="B562" t="str">
            <v>DROGARIA ULTRAPOPULAR</v>
          </cell>
          <cell r="C562" t="str">
            <v>FARMARCAS</v>
          </cell>
          <cell r="D562" t="str">
            <v>COXIM</v>
          </cell>
          <cell r="E562" t="str">
            <v>MS</v>
          </cell>
          <cell r="F562">
            <v>46308</v>
          </cell>
          <cell r="G562">
            <v>5742.52</v>
          </cell>
          <cell r="I562" t="str">
            <v>Comprou Marcas</v>
          </cell>
        </row>
        <row r="563">
          <cell r="A563">
            <v>18332251000309</v>
          </cell>
          <cell r="B563" t="str">
            <v>DROGARIA ULTRAPOPULAR</v>
          </cell>
          <cell r="C563" t="str">
            <v>FARMARCAS</v>
          </cell>
          <cell r="D563" t="str">
            <v>CAMPO GRANDE</v>
          </cell>
          <cell r="E563" t="str">
            <v>MS</v>
          </cell>
          <cell r="F563">
            <v>46308</v>
          </cell>
          <cell r="G563">
            <v>2306.2800000000007</v>
          </cell>
          <cell r="I563" t="str">
            <v>Comprou Marcas</v>
          </cell>
        </row>
        <row r="564">
          <cell r="A564">
            <v>18332251000481</v>
          </cell>
          <cell r="B564" t="str">
            <v>DROGARIA ULTRAPOPULAR</v>
          </cell>
          <cell r="C564" t="str">
            <v>FARMARCAS</v>
          </cell>
          <cell r="D564" t="str">
            <v>CAMPO GRANDE</v>
          </cell>
          <cell r="E564" t="str">
            <v>MS</v>
          </cell>
          <cell r="F564">
            <v>46308</v>
          </cell>
          <cell r="G564">
            <v>2306.6799999999998</v>
          </cell>
          <cell r="I564" t="str">
            <v>Comprou Marcas</v>
          </cell>
        </row>
        <row r="565">
          <cell r="A565">
            <v>10341045000779</v>
          </cell>
          <cell r="B565" t="str">
            <v>DROGARIA ULTRAPOPULAR</v>
          </cell>
          <cell r="C565" t="str">
            <v>FARMARCAS</v>
          </cell>
          <cell r="D565" t="str">
            <v>CUIABA</v>
          </cell>
          <cell r="E565" t="str">
            <v>MT</v>
          </cell>
          <cell r="F565">
            <v>46316</v>
          </cell>
          <cell r="G565">
            <v>27133.970000000016</v>
          </cell>
          <cell r="H565">
            <v>17452.199999999997</v>
          </cell>
          <cell r="I565" t="str">
            <v>Comprou Marcas e SG</v>
          </cell>
        </row>
        <row r="566">
          <cell r="A566">
            <v>10341045000850</v>
          </cell>
          <cell r="B566" t="str">
            <v>DROGARIA ULTRAPOPULAR</v>
          </cell>
          <cell r="C566" t="str">
            <v>FARMARCAS</v>
          </cell>
          <cell r="D566" t="str">
            <v>CUIABA</v>
          </cell>
          <cell r="E566" t="str">
            <v>MT</v>
          </cell>
          <cell r="F566">
            <v>46315</v>
          </cell>
          <cell r="G566">
            <v>14582.939999999999</v>
          </cell>
          <cell r="H566">
            <v>14956.999999999998</v>
          </cell>
          <cell r="I566" t="str">
            <v>Comprou Marcas e SG</v>
          </cell>
        </row>
        <row r="567">
          <cell r="A567">
            <v>10341045000930</v>
          </cell>
          <cell r="B567" t="str">
            <v>DROGARIA ULTRAPOPULAR</v>
          </cell>
          <cell r="C567" t="str">
            <v>FARMARCAS</v>
          </cell>
          <cell r="D567" t="str">
            <v>VARZEA GRANDE</v>
          </cell>
          <cell r="E567" t="str">
            <v>MT</v>
          </cell>
          <cell r="F567">
            <v>46315</v>
          </cell>
          <cell r="G567">
            <v>1852.71</v>
          </cell>
          <cell r="H567">
            <v>4348.9500000000007</v>
          </cell>
          <cell r="I567" t="str">
            <v>Comprou Marcas e SG</v>
          </cell>
        </row>
        <row r="568">
          <cell r="A568">
            <v>10341045001074</v>
          </cell>
          <cell r="B568" t="str">
            <v>DROGARIA ULTRAPOPULAR</v>
          </cell>
          <cell r="C568" t="str">
            <v>FARMARCAS</v>
          </cell>
          <cell r="D568" t="str">
            <v>VARZEA GRANDE</v>
          </cell>
          <cell r="E568" t="str">
            <v>MT</v>
          </cell>
          <cell r="F568">
            <v>46316</v>
          </cell>
          <cell r="G568">
            <v>7666.71</v>
          </cell>
          <cell r="H568">
            <v>11712.219999999998</v>
          </cell>
          <cell r="I568" t="str">
            <v>Comprou Marcas e SG</v>
          </cell>
        </row>
        <row r="569">
          <cell r="A569">
            <v>10341045001155</v>
          </cell>
          <cell r="B569" t="str">
            <v>DROGARIA ULTRAPOPULAR</v>
          </cell>
          <cell r="C569" t="str">
            <v>FARMARCAS</v>
          </cell>
          <cell r="D569" t="str">
            <v>CUIABA</v>
          </cell>
          <cell r="E569" t="str">
            <v>MT</v>
          </cell>
          <cell r="F569">
            <v>46315</v>
          </cell>
          <cell r="G569">
            <v>17623.709999999988</v>
          </cell>
          <cell r="H569">
            <v>12640.699999999999</v>
          </cell>
          <cell r="I569" t="str">
            <v>Comprou Marcas e SG</v>
          </cell>
        </row>
        <row r="570">
          <cell r="A570">
            <v>10341045001317</v>
          </cell>
          <cell r="B570" t="str">
            <v>DROGARIA ULTRAPOPULAR</v>
          </cell>
          <cell r="C570" t="str">
            <v>FARMARCAS</v>
          </cell>
          <cell r="D570" t="str">
            <v>CUIABA</v>
          </cell>
          <cell r="E570" t="str">
            <v>MT</v>
          </cell>
          <cell r="F570">
            <v>46315</v>
          </cell>
          <cell r="G570">
            <v>16384.210000000006</v>
          </cell>
          <cell r="H570">
            <v>12019.109999999999</v>
          </cell>
          <cell r="I570" t="str">
            <v>Comprou Marcas e SG</v>
          </cell>
        </row>
        <row r="571">
          <cell r="A571">
            <v>10341045001406</v>
          </cell>
          <cell r="B571" t="str">
            <v>DROGARIA ULTRAPOPULAR</v>
          </cell>
          <cell r="C571" t="str">
            <v>FARMARCAS</v>
          </cell>
          <cell r="D571" t="str">
            <v>VARZEA GRANDE</v>
          </cell>
          <cell r="E571" t="str">
            <v>MT</v>
          </cell>
          <cell r="F571">
            <v>46316</v>
          </cell>
          <cell r="G571">
            <v>12559.399999999994</v>
          </cell>
          <cell r="H571">
            <v>18246.229999999996</v>
          </cell>
          <cell r="I571" t="str">
            <v>Comprou Marcas e SG</v>
          </cell>
        </row>
        <row r="572">
          <cell r="A572">
            <v>1678322000157</v>
          </cell>
          <cell r="B572" t="str">
            <v>DROGARIA ULTRAPOPULAR</v>
          </cell>
          <cell r="C572" t="str">
            <v>FARMARCAS</v>
          </cell>
          <cell r="D572" t="str">
            <v>ARENAPOLIS</v>
          </cell>
          <cell r="E572" t="str">
            <v>MT</v>
          </cell>
          <cell r="F572">
            <v>46310</v>
          </cell>
          <cell r="G572">
            <v>4114.6699999999992</v>
          </cell>
          <cell r="I572" t="str">
            <v>Comprou Marcas</v>
          </cell>
        </row>
        <row r="573">
          <cell r="A573">
            <v>10341045000183</v>
          </cell>
          <cell r="B573" t="str">
            <v>DROGARIA ULTRAPOPULAR</v>
          </cell>
          <cell r="C573" t="str">
            <v>FARMARCAS</v>
          </cell>
          <cell r="D573" t="str">
            <v>JUINA</v>
          </cell>
          <cell r="E573" t="str">
            <v>MT</v>
          </cell>
          <cell r="F573">
            <v>46315</v>
          </cell>
          <cell r="G573">
            <v>19171.940000000002</v>
          </cell>
          <cell r="H573">
            <v>19662.66</v>
          </cell>
          <cell r="I573" t="str">
            <v>Comprou Marcas e SG</v>
          </cell>
        </row>
        <row r="574">
          <cell r="A574">
            <v>10341045000264</v>
          </cell>
          <cell r="B574" t="str">
            <v>DROGARIA ULTRAPOPULAR</v>
          </cell>
          <cell r="C574" t="str">
            <v>FARMARCAS</v>
          </cell>
          <cell r="D574" t="str">
            <v>CAMPO NOVO DO PARECIS</v>
          </cell>
          <cell r="E574" t="str">
            <v>MT</v>
          </cell>
          <cell r="F574">
            <v>46315</v>
          </cell>
          <cell r="G574">
            <v>1800.27</v>
          </cell>
          <cell r="H574">
            <v>4577.5899999999992</v>
          </cell>
          <cell r="I574" t="str">
            <v>Comprou Marcas e SG</v>
          </cell>
        </row>
        <row r="575">
          <cell r="A575">
            <v>10341045000426</v>
          </cell>
          <cell r="B575" t="str">
            <v>DROGARIA ULTRAPOPULAR</v>
          </cell>
          <cell r="C575" t="str">
            <v>FARMARCAS</v>
          </cell>
          <cell r="D575" t="str">
            <v>JUINA</v>
          </cell>
          <cell r="E575" t="str">
            <v>MT</v>
          </cell>
          <cell r="F575">
            <v>46315</v>
          </cell>
          <cell r="G575">
            <v>3583.4099999999994</v>
          </cell>
          <cell r="H575">
            <v>2584.71</v>
          </cell>
          <cell r="I575" t="str">
            <v>Comprou Marcas e SG</v>
          </cell>
        </row>
        <row r="576">
          <cell r="A576">
            <v>10341045000507</v>
          </cell>
          <cell r="B576" t="str">
            <v>DROGARIA ULTRAPOPULAR</v>
          </cell>
          <cell r="C576" t="str">
            <v>FARMARCAS</v>
          </cell>
          <cell r="D576" t="str">
            <v>JUINA</v>
          </cell>
          <cell r="E576" t="str">
            <v>MT</v>
          </cell>
          <cell r="F576">
            <v>46315</v>
          </cell>
          <cell r="G576">
            <v>5172.8999999999996</v>
          </cell>
          <cell r="H576">
            <v>9032.7799999999988</v>
          </cell>
          <cell r="I576" t="str">
            <v>Comprou Marcas e SG</v>
          </cell>
        </row>
        <row r="577">
          <cell r="A577">
            <v>10341045000698</v>
          </cell>
          <cell r="B577" t="str">
            <v>DROGARIA ULTRAPOPULAR</v>
          </cell>
          <cell r="C577" t="str">
            <v>FARMARCAS</v>
          </cell>
          <cell r="D577" t="str">
            <v>JUINA</v>
          </cell>
          <cell r="E577" t="str">
            <v>MT</v>
          </cell>
          <cell r="F577">
            <v>46315</v>
          </cell>
          <cell r="G577">
            <v>1419.44</v>
          </cell>
          <cell r="H577">
            <v>1981.1699999999998</v>
          </cell>
          <cell r="I577" t="str">
            <v>Comprou Marcas e SG</v>
          </cell>
        </row>
        <row r="578">
          <cell r="A578">
            <v>10341045001236</v>
          </cell>
          <cell r="B578" t="str">
            <v>DROGARIA ULTRAPOPULAR</v>
          </cell>
          <cell r="C578" t="str">
            <v>FARMARCAS</v>
          </cell>
          <cell r="D578" t="str">
            <v>CAMPO NOVO DO PARECIS</v>
          </cell>
          <cell r="E578" t="str">
            <v>MT</v>
          </cell>
          <cell r="F578">
            <v>46316</v>
          </cell>
          <cell r="G578">
            <v>5848.4400000000005</v>
          </cell>
          <cell r="H578">
            <v>6644.1100000000006</v>
          </cell>
          <cell r="I578" t="str">
            <v>Comprou Marcas e SG</v>
          </cell>
        </row>
        <row r="579">
          <cell r="A579">
            <v>10341045001589</v>
          </cell>
          <cell r="B579" t="str">
            <v>DROGARIA ULTRAPOPULAR</v>
          </cell>
          <cell r="C579" t="str">
            <v>FARMARCAS</v>
          </cell>
          <cell r="D579" t="str">
            <v>JUINA</v>
          </cell>
          <cell r="E579" t="str">
            <v>MT</v>
          </cell>
          <cell r="F579">
            <v>46315</v>
          </cell>
          <cell r="G579">
            <v>1996.34</v>
          </cell>
          <cell r="H579">
            <v>2432.34</v>
          </cell>
          <cell r="I579" t="str">
            <v>Comprou Marcas e SG</v>
          </cell>
        </row>
        <row r="580">
          <cell r="A580">
            <v>10341045001902</v>
          </cell>
          <cell r="B580" t="str">
            <v>DROGARIA ULTRAPOPULAR</v>
          </cell>
          <cell r="C580" t="str">
            <v>FARMARCAS</v>
          </cell>
          <cell r="D580" t="str">
            <v>NOVA MUTUM</v>
          </cell>
          <cell r="E580" t="str">
            <v>MT</v>
          </cell>
          <cell r="F580">
            <v>46315</v>
          </cell>
          <cell r="G580">
            <v>10988.480000000001</v>
          </cell>
          <cell r="H580">
            <v>11228.260000000002</v>
          </cell>
          <cell r="I580" t="str">
            <v>Comprou Marcas e SG</v>
          </cell>
        </row>
        <row r="581">
          <cell r="A581">
            <v>10341045002046</v>
          </cell>
          <cell r="B581" t="str">
            <v>DROGARIA ULTRAPOPULAR</v>
          </cell>
          <cell r="C581" t="str">
            <v>FARMARCAS</v>
          </cell>
          <cell r="D581" t="str">
            <v>NOVA MUTUM</v>
          </cell>
          <cell r="E581" t="str">
            <v>MT</v>
          </cell>
          <cell r="F581">
            <v>46315</v>
          </cell>
          <cell r="G581">
            <v>10032.280000000002</v>
          </cell>
          <cell r="H581">
            <v>3687.4799999999996</v>
          </cell>
          <cell r="I581" t="str">
            <v>Comprou Marcas e SG</v>
          </cell>
        </row>
        <row r="582">
          <cell r="A582">
            <v>10341045002127</v>
          </cell>
          <cell r="B582" t="str">
            <v>DROGARIA ULTRAPOPULAR</v>
          </cell>
          <cell r="C582" t="str">
            <v>FARMARCAS</v>
          </cell>
          <cell r="D582" t="str">
            <v>NOVA MUTUM</v>
          </cell>
          <cell r="E582" t="str">
            <v>MT</v>
          </cell>
          <cell r="F582">
            <v>46316</v>
          </cell>
          <cell r="G582">
            <v>5703.06</v>
          </cell>
          <cell r="H582">
            <v>4997.5700000000006</v>
          </cell>
          <cell r="I582" t="str">
            <v>Comprou Marcas e SG</v>
          </cell>
        </row>
        <row r="583">
          <cell r="A583">
            <v>10341045002399</v>
          </cell>
          <cell r="B583" t="str">
            <v>DROGARIA ULTRAPOPULAR</v>
          </cell>
          <cell r="C583" t="str">
            <v>FARMARCAS</v>
          </cell>
          <cell r="D583" t="str">
            <v>NOVA MUTUM</v>
          </cell>
          <cell r="E583" t="str">
            <v>MT</v>
          </cell>
          <cell r="F583">
            <v>46315</v>
          </cell>
          <cell r="G583">
            <v>11320.840000000002</v>
          </cell>
          <cell r="H583">
            <v>2409.8500000000004</v>
          </cell>
          <cell r="I583" t="str">
            <v>Comprou Marcas e SG</v>
          </cell>
        </row>
        <row r="584">
          <cell r="A584">
            <v>19909093000108</v>
          </cell>
          <cell r="B584" t="str">
            <v>DROGARIA ULTRAPOPULAR</v>
          </cell>
          <cell r="C584" t="str">
            <v>FARMARCAS</v>
          </cell>
          <cell r="D584" t="str">
            <v>SAPEZAL</v>
          </cell>
          <cell r="E584" t="str">
            <v>MT</v>
          </cell>
          <cell r="I584" t="str">
            <v>Não Comprou</v>
          </cell>
        </row>
        <row r="585">
          <cell r="A585">
            <v>19909093000280</v>
          </cell>
          <cell r="B585" t="str">
            <v>DROGARIA ULTRAPOPULAR</v>
          </cell>
          <cell r="C585" t="str">
            <v>FARMARCAS</v>
          </cell>
          <cell r="D585" t="str">
            <v>SAPEZAL</v>
          </cell>
          <cell r="E585" t="str">
            <v>MT</v>
          </cell>
          <cell r="I585" t="str">
            <v>Não Comprou</v>
          </cell>
        </row>
        <row r="586">
          <cell r="A586">
            <v>27769234000154</v>
          </cell>
          <cell r="B586" t="str">
            <v>DROGARIA ULTRAPOPULAR</v>
          </cell>
          <cell r="C586" t="str">
            <v>FARMARCAS</v>
          </cell>
          <cell r="D586" t="str">
            <v>CAMPO NOVO DO PARECIS</v>
          </cell>
          <cell r="E586" t="str">
            <v>MT</v>
          </cell>
          <cell r="F586">
            <v>46316</v>
          </cell>
          <cell r="G586">
            <v>5265.3400000000011</v>
          </cell>
          <cell r="H586">
            <v>17167.98</v>
          </cell>
          <cell r="I586" t="str">
            <v>Comprou Marcas e SG</v>
          </cell>
        </row>
        <row r="587">
          <cell r="A587">
            <v>10341045001660</v>
          </cell>
          <cell r="B587" t="str">
            <v>DROGARIA ULTRAPOPULAR</v>
          </cell>
          <cell r="C587" t="str">
            <v>FARMARCAS</v>
          </cell>
          <cell r="D587" t="str">
            <v>SORRISO</v>
          </cell>
          <cell r="E587" t="str">
            <v>MT</v>
          </cell>
          <cell r="F587">
            <v>46315</v>
          </cell>
          <cell r="G587">
            <v>3488.8899999999994</v>
          </cell>
          <cell r="H587">
            <v>4726.92</v>
          </cell>
          <cell r="I587" t="str">
            <v>Comprou Marcas e SG</v>
          </cell>
        </row>
        <row r="588">
          <cell r="A588">
            <v>10341045001740</v>
          </cell>
          <cell r="B588" t="str">
            <v>DROGARIA ULTRAPOPULAR</v>
          </cell>
          <cell r="C588" t="str">
            <v>FARMARCAS</v>
          </cell>
          <cell r="D588" t="str">
            <v>SORRISO</v>
          </cell>
          <cell r="E588" t="str">
            <v>MT</v>
          </cell>
          <cell r="F588">
            <v>46315</v>
          </cell>
          <cell r="G588">
            <v>1915.5700000000002</v>
          </cell>
          <cell r="H588">
            <v>2242.8100000000004</v>
          </cell>
          <cell r="I588" t="str">
            <v>Comprou Marcas e SG</v>
          </cell>
        </row>
        <row r="589">
          <cell r="A589">
            <v>10341045001821</v>
          </cell>
          <cell r="B589" t="str">
            <v>DROGARIA ULTRAPOPULAR</v>
          </cell>
          <cell r="C589" t="str">
            <v>FARMARCAS</v>
          </cell>
          <cell r="D589" t="str">
            <v>SORRISO</v>
          </cell>
          <cell r="E589" t="str">
            <v>MT</v>
          </cell>
          <cell r="F589">
            <v>46315</v>
          </cell>
          <cell r="G589">
            <v>7462.4800000000005</v>
          </cell>
          <cell r="H589">
            <v>10159.560000000001</v>
          </cell>
          <cell r="I589" t="str">
            <v>Comprou Marcas e SG</v>
          </cell>
        </row>
        <row r="590">
          <cell r="A590">
            <v>18332251000139</v>
          </cell>
          <cell r="B590" t="str">
            <v>DROGARIA ULTRAPOPULAR</v>
          </cell>
          <cell r="C590" t="str">
            <v>FARMARCAS</v>
          </cell>
          <cell r="D590" t="str">
            <v>CHAPADAO DO SUL</v>
          </cell>
          <cell r="E590" t="str">
            <v>MS</v>
          </cell>
          <cell r="F590">
            <v>46308</v>
          </cell>
          <cell r="G590">
            <v>7935.7200000000012</v>
          </cell>
          <cell r="I590" t="str">
            <v>Comprou Marcas</v>
          </cell>
        </row>
        <row r="591">
          <cell r="A591">
            <v>20718662000109</v>
          </cell>
          <cell r="B591" t="str">
            <v>DROGARIA ULTRAPOPULAR</v>
          </cell>
          <cell r="C591" t="str">
            <v>FARMARCAS</v>
          </cell>
          <cell r="D591" t="str">
            <v>PARANAIBA</v>
          </cell>
          <cell r="E591" t="str">
            <v>MS</v>
          </cell>
          <cell r="F591">
            <v>46314</v>
          </cell>
          <cell r="G591">
            <v>1683.02</v>
          </cell>
          <cell r="I591" t="str">
            <v>Comprou Marcas</v>
          </cell>
        </row>
        <row r="592">
          <cell r="A592">
            <v>29776784000126</v>
          </cell>
          <cell r="B592" t="str">
            <v>DROGARIA ULTRAMED</v>
          </cell>
          <cell r="C592" t="str">
            <v>MASTERFARMA</v>
          </cell>
          <cell r="D592" t="str">
            <v>CAMPO GRANDE</v>
          </cell>
          <cell r="E592" t="str">
            <v>MS</v>
          </cell>
          <cell r="F592">
            <v>46315</v>
          </cell>
          <cell r="G592">
            <v>1771.25</v>
          </cell>
          <cell r="I592" t="str">
            <v>Comprou Marcas</v>
          </cell>
        </row>
        <row r="593">
          <cell r="A593">
            <v>18666741000171</v>
          </cell>
          <cell r="B593" t="str">
            <v>DROGARIA ULTRA POPULAR PENAPOLIS</v>
          </cell>
          <cell r="C593" t="str">
            <v>FARMARCAS</v>
          </cell>
          <cell r="D593" t="str">
            <v>PENAPOLIS</v>
          </cell>
          <cell r="E593" t="str">
            <v>SP</v>
          </cell>
          <cell r="F593">
            <v>46311</v>
          </cell>
          <cell r="G593">
            <v>4746.67</v>
          </cell>
          <cell r="H593">
            <v>31607.589999999993</v>
          </cell>
          <cell r="I593" t="str">
            <v>Comprou Marcas e SG</v>
          </cell>
        </row>
        <row r="594">
          <cell r="A594">
            <v>18645755000109</v>
          </cell>
          <cell r="B594" t="str">
            <v>DROGARIA ULTRA POPULAR DE PARANATINGA</v>
          </cell>
          <cell r="C594" t="str">
            <v>FARMARCAS</v>
          </cell>
          <cell r="D594" t="str">
            <v>PARANATINGA</v>
          </cell>
          <cell r="E594" t="str">
            <v>MT</v>
          </cell>
          <cell r="F594">
            <v>46314</v>
          </cell>
          <cell r="G594">
            <v>7765.1400000000031</v>
          </cell>
          <cell r="I594" t="str">
            <v>Comprou Marcas</v>
          </cell>
        </row>
        <row r="595">
          <cell r="A595">
            <v>18645755000290</v>
          </cell>
          <cell r="B595" t="str">
            <v>DROGARIA ULTRA POPULAR DE AGUA BOA</v>
          </cell>
          <cell r="C595" t="str">
            <v>FARMARCAS</v>
          </cell>
          <cell r="D595" t="str">
            <v>AGUA BOA</v>
          </cell>
          <cell r="E595" t="str">
            <v>MT</v>
          </cell>
          <cell r="F595">
            <v>46304</v>
          </cell>
          <cell r="G595">
            <v>3722.2099999999996</v>
          </cell>
          <cell r="I595" t="str">
            <v>Comprou Marcas</v>
          </cell>
        </row>
        <row r="596">
          <cell r="A596">
            <v>18645755000451</v>
          </cell>
          <cell r="B596" t="str">
            <v>DROGARIA ULTRA POPULAR DE AGUA BOA</v>
          </cell>
          <cell r="C596" t="str">
            <v>FARMARCAS</v>
          </cell>
          <cell r="D596" t="str">
            <v>AGUA BOA</v>
          </cell>
          <cell r="E596" t="str">
            <v>MT</v>
          </cell>
          <cell r="F596">
            <v>46311</v>
          </cell>
          <cell r="G596">
            <v>1422.07</v>
          </cell>
          <cell r="I596" t="str">
            <v>Comprou Marcas</v>
          </cell>
        </row>
        <row r="597">
          <cell r="A597">
            <v>18645755000532</v>
          </cell>
          <cell r="B597" t="str">
            <v>DROGARIA ULTRA POPULAR DE AGUA BOA</v>
          </cell>
          <cell r="C597" t="str">
            <v>FARMARCAS</v>
          </cell>
          <cell r="D597" t="str">
            <v>AGUA BOA</v>
          </cell>
          <cell r="E597" t="str">
            <v>MT</v>
          </cell>
          <cell r="F597">
            <v>46314</v>
          </cell>
          <cell r="G597">
            <v>1243.1599999999999</v>
          </cell>
          <cell r="I597" t="str">
            <v>Comprou Marcas</v>
          </cell>
        </row>
        <row r="598">
          <cell r="A598">
            <v>8107186000194</v>
          </cell>
          <cell r="B598" t="str">
            <v>DROGARIA ULTRA POPULAR</v>
          </cell>
          <cell r="C598" t="str">
            <v>FARMARCAS</v>
          </cell>
          <cell r="D598" t="str">
            <v>AMAMBAI</v>
          </cell>
          <cell r="E598" t="str">
            <v>MS</v>
          </cell>
          <cell r="F598">
            <v>46315</v>
          </cell>
          <cell r="G598">
            <v>16946.659999999996</v>
          </cell>
          <cell r="H598">
            <v>8899.5099999999984</v>
          </cell>
          <cell r="I598" t="str">
            <v>Comprou Marcas e SG</v>
          </cell>
        </row>
        <row r="599">
          <cell r="A599">
            <v>19436791000125</v>
          </cell>
          <cell r="B599" t="str">
            <v>DROGARIA ULTRA POPULAR</v>
          </cell>
          <cell r="C599" t="str">
            <v>FARMARCAS</v>
          </cell>
          <cell r="D599" t="str">
            <v>NAVIRAI</v>
          </cell>
          <cell r="E599" t="str">
            <v>MS</v>
          </cell>
          <cell r="F599">
            <v>46315</v>
          </cell>
          <cell r="G599">
            <v>2990.53</v>
          </cell>
          <cell r="H599">
            <v>1994.9699999999998</v>
          </cell>
          <cell r="I599" t="str">
            <v>Comprou Marcas e SG</v>
          </cell>
        </row>
        <row r="600">
          <cell r="A600">
            <v>19436791000206</v>
          </cell>
          <cell r="B600" t="str">
            <v>DROGARIA ULTRA POPULAR</v>
          </cell>
          <cell r="C600" t="str">
            <v>FARMARCAS</v>
          </cell>
          <cell r="D600" t="str">
            <v>CAARAPO</v>
          </cell>
          <cell r="E600" t="str">
            <v>MS</v>
          </cell>
          <cell r="F600">
            <v>46315</v>
          </cell>
          <cell r="G600">
            <v>12283.96</v>
          </cell>
          <cell r="H600">
            <v>2118.1499999999996</v>
          </cell>
          <cell r="I600" t="str">
            <v>Comprou Marcas e SG</v>
          </cell>
        </row>
        <row r="601">
          <cell r="A601">
            <v>19436791000397</v>
          </cell>
          <cell r="B601" t="str">
            <v>DROGARIA ULTRA POPULAR</v>
          </cell>
          <cell r="C601" t="str">
            <v>FARMARCAS</v>
          </cell>
          <cell r="D601" t="str">
            <v>NAVIRAI</v>
          </cell>
          <cell r="E601" t="str">
            <v>MS</v>
          </cell>
          <cell r="F601">
            <v>46315</v>
          </cell>
          <cell r="G601">
            <v>5136.8100000000004</v>
          </cell>
          <cell r="H601">
            <v>2881.0200000000004</v>
          </cell>
          <cell r="I601" t="str">
            <v>Comprou Marcas e SG</v>
          </cell>
        </row>
        <row r="602">
          <cell r="A602">
            <v>19436791000478</v>
          </cell>
          <cell r="B602" t="str">
            <v>DROGARIA ULTRA POPULAR</v>
          </cell>
          <cell r="C602" t="str">
            <v>FARMARCAS</v>
          </cell>
          <cell r="D602" t="str">
            <v>NAVIRAI</v>
          </cell>
          <cell r="E602" t="str">
            <v>MS</v>
          </cell>
          <cell r="F602">
            <v>46315</v>
          </cell>
          <cell r="G602">
            <v>2592.0299999999997</v>
          </cell>
          <cell r="H602">
            <v>2502.4499999999998</v>
          </cell>
          <cell r="I602" t="str">
            <v>Comprou Marcas e SG</v>
          </cell>
        </row>
        <row r="603">
          <cell r="A603">
            <v>22379586000180</v>
          </cell>
          <cell r="B603" t="str">
            <v>DROGARIA ULTRA POPULAR</v>
          </cell>
          <cell r="C603" t="str">
            <v>FARMARCAS</v>
          </cell>
          <cell r="D603" t="str">
            <v>SIDROLANDIA</v>
          </cell>
          <cell r="E603" t="str">
            <v>MS</v>
          </cell>
          <cell r="F603">
            <v>46315</v>
          </cell>
          <cell r="G603">
            <v>5860.51</v>
          </cell>
          <cell r="H603">
            <v>3314.34</v>
          </cell>
          <cell r="I603" t="str">
            <v>Comprou Marcas e SG</v>
          </cell>
        </row>
        <row r="604">
          <cell r="A604">
            <v>18332251000562</v>
          </cell>
          <cell r="B604" t="str">
            <v>DROGARIA ULTRA POPULAR</v>
          </cell>
          <cell r="C604" t="str">
            <v>FARMARCAS</v>
          </cell>
          <cell r="D604" t="str">
            <v>RIBAS DO RIO PARDO</v>
          </cell>
          <cell r="E604" t="str">
            <v>MS</v>
          </cell>
          <cell r="F604">
            <v>46308</v>
          </cell>
          <cell r="G604">
            <v>9397.7400000000016</v>
          </cell>
          <cell r="I604" t="str">
            <v>Comprou Marcas</v>
          </cell>
        </row>
        <row r="605">
          <cell r="A605">
            <v>22166562000142</v>
          </cell>
          <cell r="B605" t="str">
            <v>DROGARIA ULTRA POPULAR</v>
          </cell>
          <cell r="C605" t="str">
            <v>FARMARCAS</v>
          </cell>
          <cell r="D605" t="str">
            <v>POCONE</v>
          </cell>
          <cell r="E605" t="str">
            <v>MT</v>
          </cell>
          <cell r="F605">
            <v>46308</v>
          </cell>
          <cell r="G605">
            <v>12182.469999999992</v>
          </cell>
          <cell r="I605" t="str">
            <v>Comprou Marcas</v>
          </cell>
        </row>
        <row r="606">
          <cell r="A606">
            <v>22166562000223</v>
          </cell>
          <cell r="B606" t="str">
            <v>DROGARIA ULTRA POPULAR</v>
          </cell>
          <cell r="C606" t="str">
            <v>FARMARCAS</v>
          </cell>
          <cell r="D606" t="str">
            <v>CUIABA</v>
          </cell>
          <cell r="E606" t="str">
            <v>MT</v>
          </cell>
          <cell r="F606">
            <v>46308</v>
          </cell>
          <cell r="G606">
            <v>2774.5799999999995</v>
          </cell>
          <cell r="I606" t="str">
            <v>Comprou Marcas</v>
          </cell>
        </row>
        <row r="607">
          <cell r="A607">
            <v>22166562000304</v>
          </cell>
          <cell r="B607" t="str">
            <v>DROGARIA ULTRA POPULAR</v>
          </cell>
          <cell r="C607" t="str">
            <v>FARMARCAS</v>
          </cell>
          <cell r="D607" t="str">
            <v>CUIABA</v>
          </cell>
          <cell r="E607" t="str">
            <v>MT</v>
          </cell>
          <cell r="F607">
            <v>46308</v>
          </cell>
          <cell r="G607">
            <v>6660.1500000000005</v>
          </cell>
          <cell r="I607" t="str">
            <v>Comprou Marcas</v>
          </cell>
        </row>
        <row r="608">
          <cell r="A608">
            <v>22166562000576</v>
          </cell>
          <cell r="B608" t="str">
            <v>DROGARIA ULTRA POPULAR</v>
          </cell>
          <cell r="C608" t="str">
            <v>FARMARCAS</v>
          </cell>
          <cell r="D608" t="str">
            <v>CUIABA</v>
          </cell>
          <cell r="E608" t="str">
            <v>MT</v>
          </cell>
          <cell r="F608">
            <v>46308</v>
          </cell>
          <cell r="G608">
            <v>1513.51</v>
          </cell>
          <cell r="I608" t="str">
            <v>Comprou Marcas</v>
          </cell>
        </row>
        <row r="609">
          <cell r="A609">
            <v>26291944000159</v>
          </cell>
          <cell r="B609" t="str">
            <v>DROGARIA ULTRA POPULAR</v>
          </cell>
          <cell r="C609" t="str">
            <v>FARMARCAS</v>
          </cell>
          <cell r="D609" t="str">
            <v>VILA BELA DA SANTISSIMA TRINDADE</v>
          </cell>
          <cell r="E609" t="str">
            <v>MT</v>
          </cell>
          <cell r="F609">
            <v>46315</v>
          </cell>
          <cell r="G609">
            <v>450.47</v>
          </cell>
          <cell r="H609">
            <v>6739.7899999999991</v>
          </cell>
          <cell r="I609" t="str">
            <v>Comprou Marcas e SG</v>
          </cell>
        </row>
        <row r="610">
          <cell r="A610">
            <v>3142759000105</v>
          </cell>
          <cell r="B610" t="str">
            <v>DROGARIA ULTRA POPULAR</v>
          </cell>
          <cell r="C610" t="str">
            <v>FARMARCAS</v>
          </cell>
          <cell r="D610" t="str">
            <v>PEIXOTO DE AZEVEDO</v>
          </cell>
          <cell r="E610" t="str">
            <v>MT</v>
          </cell>
          <cell r="F610">
            <v>46316</v>
          </cell>
          <cell r="G610">
            <v>17507.430000000008</v>
          </cell>
          <cell r="I610" t="str">
            <v>Comprou Marcas</v>
          </cell>
        </row>
        <row r="611">
          <cell r="A611">
            <v>19651628000185</v>
          </cell>
          <cell r="B611" t="str">
            <v>DROGARIA ULTRA POPULAR</v>
          </cell>
          <cell r="C611" t="str">
            <v>FARMARCAS</v>
          </cell>
          <cell r="D611" t="str">
            <v>SINOP</v>
          </cell>
          <cell r="E611" t="str">
            <v>MT</v>
          </cell>
          <cell r="F611">
            <v>46316</v>
          </cell>
          <cell r="G611">
            <v>7388.94</v>
          </cell>
          <cell r="H611">
            <v>4421.17</v>
          </cell>
          <cell r="I611" t="str">
            <v>Comprou Marcas e SG</v>
          </cell>
        </row>
        <row r="612">
          <cell r="A612">
            <v>19651628000347</v>
          </cell>
          <cell r="B612" t="str">
            <v>DROGARIA ULTRA POPULAR</v>
          </cell>
          <cell r="C612" t="str">
            <v>FARMARCAS</v>
          </cell>
          <cell r="D612" t="str">
            <v>SINOP</v>
          </cell>
          <cell r="E612" t="str">
            <v>MT</v>
          </cell>
          <cell r="F612">
            <v>46316</v>
          </cell>
          <cell r="G612">
            <v>3698.0099999999998</v>
          </cell>
          <cell r="H612">
            <v>3678.3900000000008</v>
          </cell>
          <cell r="I612" t="str">
            <v>Comprou Marcas e SG</v>
          </cell>
        </row>
        <row r="613">
          <cell r="A613">
            <v>19713710000197</v>
          </cell>
          <cell r="B613" t="str">
            <v>DROGARIA ULTRA POPULAR</v>
          </cell>
          <cell r="C613" t="str">
            <v>FARMARCAS</v>
          </cell>
          <cell r="D613" t="str">
            <v>ALTA FLORESTA</v>
          </cell>
          <cell r="E613" t="str">
            <v>MT</v>
          </cell>
          <cell r="F613">
            <v>46309</v>
          </cell>
          <cell r="G613">
            <v>11492.909999999998</v>
          </cell>
          <cell r="I613" t="str">
            <v>Comprou Marcas</v>
          </cell>
        </row>
        <row r="614">
          <cell r="A614">
            <v>19713710000278</v>
          </cell>
          <cell r="B614" t="str">
            <v>DROGARIA ULTRA POPULAR</v>
          </cell>
          <cell r="C614" t="str">
            <v>FARMARCAS</v>
          </cell>
          <cell r="D614" t="str">
            <v>ALTA FLORESTA</v>
          </cell>
          <cell r="E614" t="str">
            <v>MT</v>
          </cell>
          <cell r="F614">
            <v>46304</v>
          </cell>
          <cell r="G614">
            <v>2817.61</v>
          </cell>
          <cell r="I614" t="str">
            <v>Comprou Marcas</v>
          </cell>
        </row>
        <row r="615">
          <cell r="A615">
            <v>19713710000359</v>
          </cell>
          <cell r="B615" t="str">
            <v>DROGARIA ULTRA POPULAR</v>
          </cell>
          <cell r="C615" t="str">
            <v>FARMARCAS</v>
          </cell>
          <cell r="D615" t="str">
            <v>ALTA FLORESTA</v>
          </cell>
          <cell r="E615" t="str">
            <v>MT</v>
          </cell>
          <cell r="F615">
            <v>46304</v>
          </cell>
          <cell r="G615">
            <v>2110.62</v>
          </cell>
          <cell r="I615" t="str">
            <v>Comprou Marcas</v>
          </cell>
        </row>
        <row r="616">
          <cell r="A616">
            <v>19713710000430</v>
          </cell>
          <cell r="B616" t="str">
            <v>DROGARIA ULTRA POPULAR</v>
          </cell>
          <cell r="C616" t="str">
            <v>FARMARCAS</v>
          </cell>
          <cell r="D616" t="str">
            <v>CARLINDA</v>
          </cell>
          <cell r="E616" t="str">
            <v>MT</v>
          </cell>
          <cell r="F616">
            <v>46304</v>
          </cell>
          <cell r="G616">
            <v>2717.54</v>
          </cell>
          <cell r="I616" t="str">
            <v>Comprou Marcas</v>
          </cell>
        </row>
        <row r="617">
          <cell r="A617">
            <v>19713710000510</v>
          </cell>
          <cell r="B617" t="str">
            <v>DROGARIA ULTRA POPULAR</v>
          </cell>
          <cell r="C617" t="str">
            <v>FARMARCAS</v>
          </cell>
          <cell r="D617" t="str">
            <v>ALTA FLORESTA</v>
          </cell>
          <cell r="E617" t="str">
            <v>MT</v>
          </cell>
          <cell r="I617" t="str">
            <v>Não Comprou</v>
          </cell>
        </row>
        <row r="618">
          <cell r="A618">
            <v>20330018000169</v>
          </cell>
          <cell r="B618" t="str">
            <v>DROGARIA ULTRA POPULAR</v>
          </cell>
          <cell r="C618" t="str">
            <v>FARMARCAS</v>
          </cell>
          <cell r="D618" t="str">
            <v>PEIXOTO DE AZEVEDO</v>
          </cell>
          <cell r="E618" t="str">
            <v>MT</v>
          </cell>
          <cell r="F618">
            <v>46316</v>
          </cell>
          <cell r="G618">
            <v>7183.4100000000017</v>
          </cell>
          <cell r="I618" t="str">
            <v>Comprou Marcas</v>
          </cell>
        </row>
        <row r="619">
          <cell r="A619">
            <v>23585408000178</v>
          </cell>
          <cell r="B619" t="str">
            <v>DROGARIA ULTRA POPULAR</v>
          </cell>
          <cell r="C619" t="str">
            <v>FARMARCAS</v>
          </cell>
          <cell r="D619" t="str">
            <v>MATUPA</v>
          </cell>
          <cell r="E619" t="str">
            <v>MT</v>
          </cell>
          <cell r="F619">
            <v>46314</v>
          </cell>
          <cell r="G619">
            <v>3262.9000000000005</v>
          </cell>
          <cell r="I619" t="str">
            <v>Comprou Marcas</v>
          </cell>
        </row>
        <row r="620">
          <cell r="A620">
            <v>63261786000110</v>
          </cell>
          <cell r="B620" t="str">
            <v>DROGARIA ULTRA POPULAR</v>
          </cell>
          <cell r="C620" t="str">
            <v>FARMARCAS</v>
          </cell>
          <cell r="D620" t="str">
            <v>CARLINDA</v>
          </cell>
          <cell r="E620" t="str">
            <v>MT</v>
          </cell>
          <cell r="F620">
            <v>46314</v>
          </cell>
          <cell r="G620">
            <v>4388.6000000000004</v>
          </cell>
          <cell r="I620" t="str">
            <v>Comprou Marcas</v>
          </cell>
        </row>
        <row r="621">
          <cell r="A621">
            <v>20103913000140</v>
          </cell>
          <cell r="B621" t="str">
            <v>DROGARIA ULTRA NACIONAL</v>
          </cell>
          <cell r="C621" t="str">
            <v>ASSOCIADAS</v>
          </cell>
          <cell r="D621" t="str">
            <v>PONTES E LACERDA</v>
          </cell>
          <cell r="E621" t="str">
            <v>MT</v>
          </cell>
          <cell r="F621">
            <v>46316</v>
          </cell>
          <cell r="G621">
            <v>8600.15</v>
          </cell>
          <cell r="I621" t="str">
            <v>Comprou Marcas</v>
          </cell>
        </row>
        <row r="622">
          <cell r="A622">
            <v>20103913000221</v>
          </cell>
          <cell r="B622" t="str">
            <v>DROGARIA ULTRA NACIONAL</v>
          </cell>
          <cell r="C622" t="str">
            <v>ASSOCIADAS</v>
          </cell>
          <cell r="D622" t="str">
            <v>TANGARA DA SERRA</v>
          </cell>
          <cell r="E622" t="str">
            <v>MT</v>
          </cell>
          <cell r="F622">
            <v>46316</v>
          </cell>
          <cell r="G622">
            <v>64961.159999999996</v>
          </cell>
          <cell r="I622" t="str">
            <v>Comprou Marcas</v>
          </cell>
        </row>
        <row r="623">
          <cell r="A623">
            <v>53494508000150</v>
          </cell>
          <cell r="B623" t="str">
            <v>DROGARIA ULTRA NACIONAL</v>
          </cell>
          <cell r="C623" t="str">
            <v>ASSOCIADAS</v>
          </cell>
          <cell r="D623" t="str">
            <v>TANGARA DA SERRA</v>
          </cell>
          <cell r="E623" t="str">
            <v>MT</v>
          </cell>
          <cell r="F623">
            <v>46316</v>
          </cell>
          <cell r="G623">
            <v>12228.85</v>
          </cell>
          <cell r="I623" t="str">
            <v>Comprou Marcas</v>
          </cell>
        </row>
        <row r="624">
          <cell r="A624">
            <v>49760647000100</v>
          </cell>
          <cell r="B624" t="str">
            <v>DROGARIA ULTRA ECONOMICA</v>
          </cell>
          <cell r="C624" t="str">
            <v>HIPER SAUDE</v>
          </cell>
          <cell r="D624" t="str">
            <v>SINOP</v>
          </cell>
          <cell r="E624" t="str">
            <v>MT</v>
          </cell>
          <cell r="I624" t="str">
            <v>Não Comprou</v>
          </cell>
        </row>
        <row r="625">
          <cell r="A625">
            <v>42327542000113</v>
          </cell>
          <cell r="B625" t="str">
            <v>DROGARIA ULTRA ECONOMICA</v>
          </cell>
          <cell r="C625" t="str">
            <v>INDEPENDENTES VIN</v>
          </cell>
          <cell r="D625" t="str">
            <v>BARRA DO GARCAS</v>
          </cell>
          <cell r="E625" t="str">
            <v>MT</v>
          </cell>
          <cell r="I625" t="str">
            <v>Não Comprou</v>
          </cell>
        </row>
        <row r="626">
          <cell r="A626">
            <v>49581378000115</v>
          </cell>
          <cell r="B626" t="str">
            <v>DROGARIA ULTRA + VIDA</v>
          </cell>
          <cell r="C626" t="str">
            <v>INDEPENDENTES VIN</v>
          </cell>
          <cell r="D626" t="str">
            <v>CUIABA</v>
          </cell>
          <cell r="E626" t="str">
            <v>MT</v>
          </cell>
          <cell r="I626" t="str">
            <v>Não Comprou</v>
          </cell>
        </row>
        <row r="627">
          <cell r="A627">
            <v>32409163000119</v>
          </cell>
          <cell r="B627" t="str">
            <v>DROGARIA TREVAO</v>
          </cell>
          <cell r="C627" t="str">
            <v>ASSOCIADAS</v>
          </cell>
          <cell r="D627" t="str">
            <v>SINOP</v>
          </cell>
          <cell r="E627" t="str">
            <v>MT</v>
          </cell>
          <cell r="I627" t="str">
            <v>Não Comprou</v>
          </cell>
        </row>
        <row r="628">
          <cell r="A628">
            <v>27230522000136</v>
          </cell>
          <cell r="B628" t="str">
            <v>DROGARIA TRES IRMAOS</v>
          </cell>
          <cell r="C628" t="str">
            <v>INDEPENDENTES VIN</v>
          </cell>
          <cell r="D628" t="str">
            <v>CAMPO GRANDE</v>
          </cell>
          <cell r="E628" t="str">
            <v>MS</v>
          </cell>
          <cell r="F628">
            <v>46304</v>
          </cell>
          <cell r="G628">
            <v>892.56</v>
          </cell>
          <cell r="I628" t="str">
            <v>Comprou Marcas</v>
          </cell>
        </row>
        <row r="629">
          <cell r="A629">
            <v>4213573000154</v>
          </cell>
          <cell r="B629" t="str">
            <v>DROGARIA TOTAL PIACATU</v>
          </cell>
          <cell r="C629" t="str">
            <v>DROGARIA TOTAL</v>
          </cell>
          <cell r="D629" t="str">
            <v>PIACATU</v>
          </cell>
          <cell r="E629" t="str">
            <v>SP</v>
          </cell>
          <cell r="F629">
            <v>46316</v>
          </cell>
          <cell r="G629">
            <v>4034.7999999999997</v>
          </cell>
          <cell r="I629" t="str">
            <v>Comprou Marcas</v>
          </cell>
        </row>
        <row r="630">
          <cell r="A630">
            <v>74413980000190</v>
          </cell>
          <cell r="B630" t="str">
            <v>DROGARIA TOTAL JUSSARA</v>
          </cell>
          <cell r="C630" t="str">
            <v>DROGARIA TOTAL</v>
          </cell>
          <cell r="D630" t="str">
            <v>ARACATUBA</v>
          </cell>
          <cell r="E630" t="str">
            <v>SP</v>
          </cell>
          <cell r="F630">
            <v>46301</v>
          </cell>
          <cell r="H630">
            <v>2058</v>
          </cell>
          <cell r="I630" t="str">
            <v>Comprou SG</v>
          </cell>
        </row>
        <row r="631">
          <cell r="A631">
            <v>48771512000188</v>
          </cell>
          <cell r="B631" t="str">
            <v>DROGARIA TOTAL - SATO</v>
          </cell>
          <cell r="C631" t="str">
            <v>DROGARIA TOTAL</v>
          </cell>
          <cell r="D631" t="str">
            <v>PRESIDENTE PRUDENTE</v>
          </cell>
          <cell r="E631" t="str">
            <v>SP</v>
          </cell>
          <cell r="F631">
            <v>46308</v>
          </cell>
          <cell r="G631">
            <v>518.42000000000007</v>
          </cell>
          <cell r="I631" t="str">
            <v>Comprou Marcas</v>
          </cell>
        </row>
        <row r="632">
          <cell r="A632">
            <v>13565587000128</v>
          </cell>
          <cell r="B632" t="str">
            <v>DROGARIA TOTAL</v>
          </cell>
          <cell r="C632" t="str">
            <v>DROGARIA TOTAL</v>
          </cell>
          <cell r="D632" t="str">
            <v>ANDRADINA</v>
          </cell>
          <cell r="E632" t="str">
            <v>SP</v>
          </cell>
          <cell r="F632">
            <v>46315</v>
          </cell>
          <cell r="G632">
            <v>8259.369999999999</v>
          </cell>
          <cell r="H632">
            <v>35756.44</v>
          </cell>
          <cell r="I632" t="str">
            <v>Comprou Marcas e SG</v>
          </cell>
        </row>
        <row r="633">
          <cell r="A633">
            <v>50031125000157</v>
          </cell>
          <cell r="B633" t="str">
            <v>DROGARIA TARUMA</v>
          </cell>
          <cell r="C633" t="str">
            <v>INDEPENDENTES VIN</v>
          </cell>
          <cell r="D633" t="str">
            <v>TANGARA DA SERRA</v>
          </cell>
          <cell r="E633" t="str">
            <v>MT</v>
          </cell>
          <cell r="F633">
            <v>46304</v>
          </cell>
          <cell r="G633">
            <v>653.06999999999994</v>
          </cell>
          <cell r="I633" t="str">
            <v>Comprou Marcas</v>
          </cell>
        </row>
        <row r="634">
          <cell r="A634">
            <v>27377243000361</v>
          </cell>
          <cell r="B634" t="str">
            <v>DROGARIA TALHAMARES III</v>
          </cell>
          <cell r="C634" t="str">
            <v>INDEPENDENTES VIN</v>
          </cell>
          <cell r="D634" t="str">
            <v>CACERES</v>
          </cell>
          <cell r="E634" t="str">
            <v>MT</v>
          </cell>
          <cell r="F634">
            <v>46304</v>
          </cell>
          <cell r="G634">
            <v>319.91999999999996</v>
          </cell>
          <cell r="I634" t="str">
            <v>Comprou Marcas</v>
          </cell>
        </row>
        <row r="635">
          <cell r="A635">
            <v>27377243000280</v>
          </cell>
          <cell r="B635" t="str">
            <v>DROGARIA TALHAMARES II</v>
          </cell>
          <cell r="C635" t="str">
            <v>INDEPENDENTES VIN</v>
          </cell>
          <cell r="D635" t="str">
            <v>CACERES</v>
          </cell>
          <cell r="E635" t="str">
            <v>MT</v>
          </cell>
          <cell r="F635">
            <v>46303</v>
          </cell>
          <cell r="G635">
            <v>249.20999999999998</v>
          </cell>
          <cell r="I635" t="str">
            <v>Comprou Marcas</v>
          </cell>
        </row>
        <row r="636">
          <cell r="A636">
            <v>27377243000108</v>
          </cell>
          <cell r="B636" t="str">
            <v>DROGARIA TALHAMARES</v>
          </cell>
          <cell r="C636" t="str">
            <v>INDEPENDENTES VIN</v>
          </cell>
          <cell r="D636" t="str">
            <v>CACERES</v>
          </cell>
          <cell r="E636" t="str">
            <v>MT</v>
          </cell>
          <cell r="F636">
            <v>46303</v>
          </cell>
          <cell r="G636">
            <v>137.85</v>
          </cell>
          <cell r="I636" t="str">
            <v>Comprou Marcas</v>
          </cell>
        </row>
        <row r="637">
          <cell r="A637">
            <v>33379672000109</v>
          </cell>
          <cell r="B637" t="str">
            <v>DROGARIA SUL AMERICA</v>
          </cell>
          <cell r="C637" t="str">
            <v>ASSOCIADAS</v>
          </cell>
          <cell r="D637" t="str">
            <v>CUIABA</v>
          </cell>
          <cell r="E637" t="str">
            <v>MT</v>
          </cell>
          <cell r="F637">
            <v>46303</v>
          </cell>
          <cell r="G637">
            <v>6136.5299999999988</v>
          </cell>
          <cell r="I637" t="str">
            <v>Comprou Marcas</v>
          </cell>
        </row>
        <row r="638">
          <cell r="A638">
            <v>49465956000158</v>
          </cell>
          <cell r="B638" t="str">
            <v>DROGARIA SONORA SUPER POPULAR</v>
          </cell>
          <cell r="C638" t="str">
            <v>MASTERFARMA</v>
          </cell>
          <cell r="D638" t="str">
            <v>SONORA</v>
          </cell>
          <cell r="E638" t="str">
            <v>MS</v>
          </cell>
          <cell r="I638" t="str">
            <v>Não Comprou</v>
          </cell>
        </row>
        <row r="639">
          <cell r="A639">
            <v>5235693000115</v>
          </cell>
          <cell r="B639" t="str">
            <v>DROGARIA SILVA</v>
          </cell>
          <cell r="C639" t="str">
            <v>ASSOCIADAS</v>
          </cell>
          <cell r="D639" t="str">
            <v>DOURADOS</v>
          </cell>
          <cell r="E639" t="str">
            <v>MS</v>
          </cell>
          <cell r="F639">
            <v>46314</v>
          </cell>
          <cell r="G639">
            <v>2361.5900000000011</v>
          </cell>
          <cell r="H639">
            <v>521.99</v>
          </cell>
          <cell r="I639" t="str">
            <v>Comprou Marcas e SG</v>
          </cell>
        </row>
        <row r="640">
          <cell r="A640">
            <v>33689225000156</v>
          </cell>
          <cell r="B640" t="str">
            <v>DROGARIA SEMPREAMERICA</v>
          </cell>
          <cell r="C640" t="str">
            <v>INDEPENDENTES VIN</v>
          </cell>
          <cell r="D640" t="str">
            <v>CUIABA</v>
          </cell>
          <cell r="E640" t="str">
            <v>MT</v>
          </cell>
          <cell r="F640">
            <v>46303</v>
          </cell>
          <cell r="G640">
            <v>137.85</v>
          </cell>
          <cell r="I640" t="str">
            <v>Comprou Marcas</v>
          </cell>
        </row>
        <row r="641">
          <cell r="A641">
            <v>27750605000237</v>
          </cell>
          <cell r="B641" t="str">
            <v>DROGARIA SEMPRE POPULAR</v>
          </cell>
          <cell r="C641" t="str">
            <v>MASTERFARMA</v>
          </cell>
          <cell r="D641" t="str">
            <v>CAMPO GRANDE</v>
          </cell>
          <cell r="E641" t="str">
            <v>MS</v>
          </cell>
          <cell r="F641">
            <v>46316</v>
          </cell>
          <cell r="G641">
            <v>1149.57</v>
          </cell>
          <cell r="I641" t="str">
            <v>Comprou Marcas</v>
          </cell>
        </row>
        <row r="642">
          <cell r="A642">
            <v>33540619000148</v>
          </cell>
          <cell r="B642" t="str">
            <v>DROGARIA SEMPRE AMERICA</v>
          </cell>
          <cell r="C642" t="str">
            <v>DSG FARMA</v>
          </cell>
          <cell r="D642" t="str">
            <v>CUIABA</v>
          </cell>
          <cell r="E642" t="str">
            <v>MT</v>
          </cell>
          <cell r="I642" t="str">
            <v>Não Comprou</v>
          </cell>
        </row>
        <row r="643">
          <cell r="A643">
            <v>9583797000171</v>
          </cell>
          <cell r="B643" t="str">
            <v>DROGARIA SEIS IRMAOS</v>
          </cell>
          <cell r="C643" t="str">
            <v>INDEPENDENTES VIN</v>
          </cell>
          <cell r="D643" t="str">
            <v>PONTAL DO ARAGUAIA</v>
          </cell>
          <cell r="E643" t="str">
            <v>MT</v>
          </cell>
          <cell r="I643" t="str">
            <v>Não Comprou</v>
          </cell>
        </row>
        <row r="644">
          <cell r="A644">
            <v>49560389000119</v>
          </cell>
          <cell r="B644" t="str">
            <v>DROGARIA SAUDE POPULAR</v>
          </cell>
          <cell r="C644" t="str">
            <v>ASSOCIADAS</v>
          </cell>
          <cell r="D644" t="str">
            <v>CAMPO GRANDE</v>
          </cell>
          <cell r="E644" t="str">
            <v>MS</v>
          </cell>
          <cell r="F644">
            <v>46310</v>
          </cell>
          <cell r="G644">
            <v>2455.4600000000005</v>
          </cell>
          <cell r="I644" t="str">
            <v>Comprou Marcas</v>
          </cell>
        </row>
        <row r="645">
          <cell r="A645">
            <v>96365630000139</v>
          </cell>
          <cell r="B645" t="str">
            <v>DROGARIA SAO MARCOS</v>
          </cell>
          <cell r="C645" t="str">
            <v>INDEPENDENTES VIN</v>
          </cell>
          <cell r="D645" t="str">
            <v>PARAGUACU PAULISTA</v>
          </cell>
          <cell r="E645" t="str">
            <v>SP</v>
          </cell>
          <cell r="F645">
            <v>46314</v>
          </cell>
          <cell r="G645">
            <v>21129.209999999995</v>
          </cell>
          <cell r="H645">
            <v>11595.560000000005</v>
          </cell>
          <cell r="I645" t="str">
            <v>Comprou Marcas e SG</v>
          </cell>
        </row>
        <row r="646">
          <cell r="A646">
            <v>15290994000103</v>
          </cell>
          <cell r="B646" t="str">
            <v>DROGARIA SAO LUIZ</v>
          </cell>
          <cell r="C646" t="str">
            <v>DROGARIA TOTAL</v>
          </cell>
          <cell r="D646" t="str">
            <v>FLORIDA PAULISTA</v>
          </cell>
          <cell r="E646" t="str">
            <v>SP</v>
          </cell>
          <cell r="I646" t="str">
            <v>Não Comprou</v>
          </cell>
        </row>
        <row r="647">
          <cell r="A647">
            <v>1017753000172</v>
          </cell>
          <cell r="B647" t="str">
            <v>DROGARIA SAO LUIZ</v>
          </cell>
          <cell r="C647" t="str">
            <v>MULTIDROGAS</v>
          </cell>
          <cell r="D647" t="str">
            <v>BENTO DE ABREU</v>
          </cell>
          <cell r="E647" t="str">
            <v>SP</v>
          </cell>
          <cell r="F647">
            <v>46303</v>
          </cell>
          <cell r="G647">
            <v>773.12999999999988</v>
          </cell>
          <cell r="I647" t="str">
            <v>Comprou Marcas</v>
          </cell>
        </row>
        <row r="648">
          <cell r="A648">
            <v>12390379000172</v>
          </cell>
          <cell r="B648" t="str">
            <v>DROGARIA SAO LUCAS</v>
          </cell>
          <cell r="C648" t="str">
            <v>HIPER SAUDE</v>
          </cell>
          <cell r="D648" t="str">
            <v>MARACAJU</v>
          </cell>
          <cell r="E648" t="str">
            <v>MS</v>
          </cell>
          <cell r="I648" t="str">
            <v>Não Comprou</v>
          </cell>
        </row>
        <row r="649">
          <cell r="A649">
            <v>37515566000166</v>
          </cell>
          <cell r="B649" t="str">
            <v>DROGARIA SAO LUCAS</v>
          </cell>
          <cell r="C649" t="str">
            <v>ASSOCIADAS</v>
          </cell>
          <cell r="D649" t="str">
            <v>PEDRA PRETA</v>
          </cell>
          <cell r="E649" t="str">
            <v>MT</v>
          </cell>
          <cell r="F649">
            <v>46310</v>
          </cell>
          <cell r="G649">
            <v>137.85</v>
          </cell>
          <cell r="I649" t="str">
            <v>Comprou Marcas</v>
          </cell>
        </row>
        <row r="650">
          <cell r="A650">
            <v>73706830000102</v>
          </cell>
          <cell r="B650" t="str">
            <v>DROGARIA SAO LOURENCO</v>
          </cell>
          <cell r="C650" t="str">
            <v>INDEPENDENTES VIN</v>
          </cell>
          <cell r="D650" t="str">
            <v>MIRANDA</v>
          </cell>
          <cell r="E650" t="str">
            <v>MS</v>
          </cell>
          <cell r="F650">
            <v>46308</v>
          </cell>
          <cell r="G650">
            <v>10215.18</v>
          </cell>
          <cell r="H650">
            <v>1982.34</v>
          </cell>
          <cell r="I650" t="str">
            <v>Comprou Marcas e SG</v>
          </cell>
        </row>
        <row r="651">
          <cell r="A651">
            <v>21406206000196</v>
          </cell>
          <cell r="B651" t="str">
            <v>DROGARIA SAO JOSE</v>
          </cell>
          <cell r="C651" t="str">
            <v>ASSOCIADAS</v>
          </cell>
          <cell r="D651" t="str">
            <v>DOURADOS</v>
          </cell>
          <cell r="E651" t="str">
            <v>MS</v>
          </cell>
          <cell r="F651">
            <v>46310</v>
          </cell>
          <cell r="G651">
            <v>2788.51</v>
          </cell>
          <cell r="I651" t="str">
            <v>Comprou Marcas</v>
          </cell>
        </row>
        <row r="652">
          <cell r="A652">
            <v>12930121000111</v>
          </cell>
          <cell r="B652" t="str">
            <v>DROGARIA SAO JOSE</v>
          </cell>
          <cell r="C652" t="str">
            <v>ASSOCIADAS</v>
          </cell>
          <cell r="D652" t="str">
            <v>CACERES</v>
          </cell>
          <cell r="E652" t="str">
            <v>MT</v>
          </cell>
          <cell r="F652">
            <v>46314</v>
          </cell>
          <cell r="G652">
            <v>2374.7999999999997</v>
          </cell>
          <cell r="I652" t="str">
            <v>Comprou Marcas</v>
          </cell>
        </row>
        <row r="653">
          <cell r="A653">
            <v>18569567000149</v>
          </cell>
          <cell r="B653" t="str">
            <v>DROGARIA SAO JORGE</v>
          </cell>
          <cell r="C653" t="str">
            <v>HIPER SAUDE</v>
          </cell>
          <cell r="D653" t="str">
            <v>JUTI</v>
          </cell>
          <cell r="E653" t="str">
            <v>MS</v>
          </cell>
          <cell r="F653">
            <v>46315</v>
          </cell>
          <cell r="G653">
            <v>474.77000000000004</v>
          </cell>
          <cell r="I653" t="str">
            <v>Comprou Marcas</v>
          </cell>
        </row>
        <row r="654">
          <cell r="A654">
            <v>43080555000101</v>
          </cell>
          <cell r="B654" t="str">
            <v>DROGARIA SAO JORGE</v>
          </cell>
          <cell r="C654" t="str">
            <v>BIODROGAS</v>
          </cell>
          <cell r="D654" t="str">
            <v>TACIBA</v>
          </cell>
          <cell r="E654" t="str">
            <v>SP</v>
          </cell>
          <cell r="F654">
            <v>46302</v>
          </cell>
          <cell r="G654">
            <v>866.79000000000008</v>
          </cell>
          <cell r="I654" t="str">
            <v>Comprou Marcas</v>
          </cell>
        </row>
        <row r="655">
          <cell r="A655">
            <v>10322682000102</v>
          </cell>
          <cell r="B655" t="str">
            <v>DROGARIA SAO JOAO</v>
          </cell>
          <cell r="C655" t="str">
            <v>ASSOCIADAS</v>
          </cell>
          <cell r="D655" t="str">
            <v>DOURADOS</v>
          </cell>
          <cell r="E655" t="str">
            <v>MS</v>
          </cell>
          <cell r="F655">
            <v>46303</v>
          </cell>
          <cell r="G655">
            <v>819.76999999999987</v>
          </cell>
          <cell r="I655" t="str">
            <v>Comprou Marcas</v>
          </cell>
        </row>
        <row r="656">
          <cell r="A656">
            <v>19023460000163</v>
          </cell>
          <cell r="B656" t="str">
            <v>DROGARIA SAO GERONIMO</v>
          </cell>
          <cell r="C656" t="str">
            <v>INDEPENDENTES VIN</v>
          </cell>
          <cell r="D656" t="str">
            <v>CUIABA</v>
          </cell>
          <cell r="E656" t="str">
            <v>MT</v>
          </cell>
          <cell r="F656">
            <v>46314</v>
          </cell>
          <cell r="G656">
            <v>1543.6599999999999</v>
          </cell>
          <cell r="I656" t="str">
            <v>Comprou Marcas</v>
          </cell>
        </row>
        <row r="657">
          <cell r="A657">
            <v>55299135000191</v>
          </cell>
          <cell r="B657" t="str">
            <v>DROGARIA SAO GERALDO</v>
          </cell>
          <cell r="C657" t="str">
            <v>DROGARIA TOTAL</v>
          </cell>
          <cell r="D657" t="str">
            <v>PENAPOLIS</v>
          </cell>
          <cell r="E657" t="str">
            <v>SP</v>
          </cell>
          <cell r="F657">
            <v>46314</v>
          </cell>
          <cell r="G657">
            <v>15389.480000000009</v>
          </cell>
          <cell r="H657">
            <v>10088.200000000001</v>
          </cell>
          <cell r="I657" t="str">
            <v>Comprou Marcas e SG</v>
          </cell>
        </row>
        <row r="658">
          <cell r="A658">
            <v>9269723000165</v>
          </cell>
          <cell r="B658" t="str">
            <v>DROGARIA SAO CRISTOVAO</v>
          </cell>
          <cell r="C658" t="str">
            <v>ECONOMIZE RONDONOPOLIS</v>
          </cell>
          <cell r="D658" t="str">
            <v>NOVA XAVANTINA</v>
          </cell>
          <cell r="E658" t="str">
            <v>MT</v>
          </cell>
          <cell r="F658">
            <v>46316</v>
          </cell>
          <cell r="G658">
            <v>2343.1099999999997</v>
          </cell>
          <cell r="I658" t="str">
            <v>Comprou Marcas</v>
          </cell>
        </row>
        <row r="659">
          <cell r="A659">
            <v>22155730000102</v>
          </cell>
          <cell r="B659" t="str">
            <v>DROGARIA SANTOS TORRES E OLIVEIRA</v>
          </cell>
          <cell r="C659" t="str">
            <v>INDEPENDENTES VIN</v>
          </cell>
          <cell r="D659" t="str">
            <v>PRESIDENTE PRUDENTE</v>
          </cell>
          <cell r="E659" t="str">
            <v>SP</v>
          </cell>
          <cell r="F659">
            <v>46314</v>
          </cell>
          <cell r="G659">
            <v>2265.6999999999998</v>
          </cell>
          <cell r="H659">
            <v>5349.3899999999994</v>
          </cell>
          <cell r="I659" t="str">
            <v>Comprou Marcas e SG</v>
          </cell>
        </row>
        <row r="660">
          <cell r="A660">
            <v>63882511000102</v>
          </cell>
          <cell r="B660" t="str">
            <v>DROGARIA SANTO ANTONIO</v>
          </cell>
          <cell r="C660" t="str">
            <v>INDEPENDENTES VIN</v>
          </cell>
          <cell r="D660" t="str">
            <v>TANGARA DA SERRA</v>
          </cell>
          <cell r="E660" t="str">
            <v>MT</v>
          </cell>
          <cell r="I660" t="str">
            <v>Não Comprou</v>
          </cell>
        </row>
        <row r="661">
          <cell r="A661">
            <v>16735647000100</v>
          </cell>
          <cell r="B661" t="str">
            <v>DROGARIA SANTA MARIA</v>
          </cell>
          <cell r="C661" t="str">
            <v>INDEPENDENTES VIN</v>
          </cell>
          <cell r="D661" t="str">
            <v>TANGARA DA SERRA</v>
          </cell>
          <cell r="E661" t="str">
            <v>MT</v>
          </cell>
          <cell r="I661" t="str">
            <v>Não Comprou</v>
          </cell>
        </row>
        <row r="662">
          <cell r="A662">
            <v>16735647000282</v>
          </cell>
          <cell r="B662" t="str">
            <v>DROGARIA SANTA MARIA</v>
          </cell>
          <cell r="C662" t="str">
            <v>INDEPENDENTES VIN</v>
          </cell>
          <cell r="D662" t="str">
            <v>TANGARA DA SERRA</v>
          </cell>
          <cell r="E662" t="str">
            <v>MT</v>
          </cell>
          <cell r="I662" t="str">
            <v>Não Comprou</v>
          </cell>
        </row>
        <row r="663">
          <cell r="A663">
            <v>18346337000110</v>
          </cell>
          <cell r="B663" t="str">
            <v>DROGARIA SANTA LUZIA</v>
          </cell>
          <cell r="C663" t="str">
            <v>ECONOMIZE RONDONOPOLIS</v>
          </cell>
          <cell r="D663" t="str">
            <v>JUINA</v>
          </cell>
          <cell r="E663" t="str">
            <v>MT</v>
          </cell>
          <cell r="F663">
            <v>46316</v>
          </cell>
          <cell r="G663">
            <v>936.13</v>
          </cell>
          <cell r="I663" t="str">
            <v>Comprou Marcas</v>
          </cell>
        </row>
        <row r="664">
          <cell r="A664">
            <v>15303440000195</v>
          </cell>
          <cell r="B664" t="str">
            <v>DROGARIA SANTA CATARINA</v>
          </cell>
          <cell r="C664" t="str">
            <v>REDE SANTA CATARINA</v>
          </cell>
          <cell r="D664" t="str">
            <v>REGENTE FEIJO</v>
          </cell>
          <cell r="E664" t="str">
            <v>SP</v>
          </cell>
          <cell r="F664">
            <v>46316</v>
          </cell>
          <cell r="G664">
            <v>10094.159999999996</v>
          </cell>
          <cell r="H664">
            <v>981</v>
          </cell>
          <cell r="I664" t="str">
            <v>Comprou Marcas e SG</v>
          </cell>
        </row>
        <row r="665">
          <cell r="A665">
            <v>18465867000188</v>
          </cell>
          <cell r="B665" t="str">
            <v>DROGARIA SANTA CATARINA</v>
          </cell>
          <cell r="C665" t="str">
            <v>REDE SANTA CATARINA</v>
          </cell>
          <cell r="D665" t="str">
            <v>RANCHARIA</v>
          </cell>
          <cell r="E665" t="str">
            <v>SP</v>
          </cell>
          <cell r="F665">
            <v>46316</v>
          </cell>
          <cell r="G665">
            <v>14583.569999999998</v>
          </cell>
          <cell r="H665">
            <v>981</v>
          </cell>
          <cell r="I665" t="str">
            <v>Comprou Marcas e SG</v>
          </cell>
        </row>
        <row r="666">
          <cell r="A666">
            <v>19671223000109</v>
          </cell>
          <cell r="B666" t="str">
            <v>DROGARIA SANTA CATARINA</v>
          </cell>
          <cell r="C666" t="str">
            <v>REDE SANTA CATARINA</v>
          </cell>
          <cell r="D666" t="str">
            <v>MARTINOPOLIS</v>
          </cell>
          <cell r="E666" t="str">
            <v>SP</v>
          </cell>
          <cell r="F666">
            <v>46316</v>
          </cell>
          <cell r="G666">
            <v>10323.960000000001</v>
          </cell>
          <cell r="I666" t="str">
            <v>Comprou Marcas</v>
          </cell>
        </row>
        <row r="667">
          <cell r="A667">
            <v>13117848000147</v>
          </cell>
          <cell r="B667" t="str">
            <v>DROGARIA RONDONOPOLIS</v>
          </cell>
          <cell r="C667" t="str">
            <v>INDEPENDENTES VIN</v>
          </cell>
          <cell r="D667" t="str">
            <v>RONDONOPOLIS</v>
          </cell>
          <cell r="E667" t="str">
            <v>MT</v>
          </cell>
          <cell r="F667">
            <v>46310</v>
          </cell>
          <cell r="G667">
            <v>137.85</v>
          </cell>
          <cell r="I667" t="str">
            <v>Comprou Marcas</v>
          </cell>
        </row>
        <row r="668">
          <cell r="A668">
            <v>65675078000151</v>
          </cell>
          <cell r="B668" t="str">
            <v>DROGARIA RODRIGUES</v>
          </cell>
          <cell r="C668" t="str">
            <v>INDEPENDENTES VIN</v>
          </cell>
          <cell r="D668" t="str">
            <v>CAMPO GRANDE</v>
          </cell>
          <cell r="E668" t="str">
            <v>MS</v>
          </cell>
          <cell r="F668">
            <v>46309</v>
          </cell>
          <cell r="G668">
            <v>3248.4700000000003</v>
          </cell>
          <cell r="I668" t="str">
            <v>Comprou Marcas</v>
          </cell>
        </row>
        <row r="669">
          <cell r="A669">
            <v>65675078000232</v>
          </cell>
          <cell r="B669" t="str">
            <v>DROGARIA RODRIGUES</v>
          </cell>
          <cell r="C669" t="str">
            <v>INDEPENDENTES VIN</v>
          </cell>
          <cell r="D669" t="str">
            <v>CAMPO GRANDE</v>
          </cell>
          <cell r="E669" t="str">
            <v>MS</v>
          </cell>
          <cell r="F669">
            <v>46309</v>
          </cell>
          <cell r="G669">
            <v>884.57</v>
          </cell>
          <cell r="I669" t="str">
            <v>Comprou Marcas</v>
          </cell>
        </row>
        <row r="670">
          <cell r="A670">
            <v>65675078000313</v>
          </cell>
          <cell r="B670" t="str">
            <v>DROGARIA RODRIGUES</v>
          </cell>
          <cell r="C670" t="str">
            <v>INDEPENDENTES VIN</v>
          </cell>
          <cell r="D670" t="str">
            <v>CAMPO GRANDE</v>
          </cell>
          <cell r="E670" t="str">
            <v>MS</v>
          </cell>
          <cell r="F670">
            <v>46309</v>
          </cell>
          <cell r="G670">
            <v>1136.0500000000002</v>
          </cell>
          <cell r="I670" t="str">
            <v>Comprou Marcas</v>
          </cell>
        </row>
        <row r="671">
          <cell r="A671">
            <v>65675078000402</v>
          </cell>
          <cell r="B671" t="str">
            <v>DROGARIA RODRIGUES</v>
          </cell>
          <cell r="C671" t="str">
            <v>INDEPENDENTES VIN</v>
          </cell>
          <cell r="D671" t="str">
            <v>CAMPO GRANDE</v>
          </cell>
          <cell r="E671" t="str">
            <v>MS</v>
          </cell>
          <cell r="F671">
            <v>46309</v>
          </cell>
          <cell r="G671">
            <v>748.54</v>
          </cell>
          <cell r="I671" t="str">
            <v>Comprou Marcas</v>
          </cell>
        </row>
        <row r="672">
          <cell r="A672">
            <v>65675078000585</v>
          </cell>
          <cell r="B672" t="str">
            <v>DROGARIA RODRIGUES</v>
          </cell>
          <cell r="C672" t="str">
            <v>INDEPENDENTES VIN</v>
          </cell>
          <cell r="D672" t="str">
            <v>CAMPO GRANDE</v>
          </cell>
          <cell r="E672" t="str">
            <v>MS</v>
          </cell>
          <cell r="F672">
            <v>46309</v>
          </cell>
          <cell r="G672">
            <v>1461.79</v>
          </cell>
          <cell r="I672" t="str">
            <v>Comprou Marcas</v>
          </cell>
        </row>
        <row r="673">
          <cell r="A673">
            <v>8617745000106</v>
          </cell>
          <cell r="B673" t="str">
            <v>DROGARIA RODOVIARIA</v>
          </cell>
          <cell r="C673" t="str">
            <v>DROGARIA TOTAL</v>
          </cell>
          <cell r="D673" t="str">
            <v>ANDRADINA</v>
          </cell>
          <cell r="E673" t="str">
            <v>SP</v>
          </cell>
          <cell r="F673">
            <v>46303</v>
          </cell>
          <cell r="G673">
            <v>8185.38</v>
          </cell>
          <cell r="I673" t="str">
            <v>Comprou Marcas</v>
          </cell>
        </row>
        <row r="674">
          <cell r="A674">
            <v>14931934000151</v>
          </cell>
          <cell r="B674" t="str">
            <v>DROGARIA RIO FARMA</v>
          </cell>
          <cell r="C674" t="str">
            <v>DROGARIA TOTAL</v>
          </cell>
          <cell r="D674" t="str">
            <v>PANORAMA</v>
          </cell>
          <cell r="E674" t="str">
            <v>SP</v>
          </cell>
          <cell r="F674">
            <v>46311</v>
          </cell>
          <cell r="H674">
            <v>3050.04</v>
          </cell>
          <cell r="I674" t="str">
            <v>Comprou SG</v>
          </cell>
        </row>
        <row r="675">
          <cell r="A675">
            <v>13110601000107</v>
          </cell>
          <cell r="B675" t="str">
            <v>DROGARIA REGIANE</v>
          </cell>
          <cell r="C675" t="str">
            <v>INDEPENDENTES VIN</v>
          </cell>
          <cell r="D675" t="str">
            <v>RIBEIRAO CASCALHEIRA</v>
          </cell>
          <cell r="E675" t="str">
            <v>MT</v>
          </cell>
          <cell r="I675" t="str">
            <v>Não Comprou</v>
          </cell>
        </row>
        <row r="676">
          <cell r="A676">
            <v>23716744000102</v>
          </cell>
          <cell r="B676" t="str">
            <v>DROGARIA REGIANE</v>
          </cell>
          <cell r="C676" t="str">
            <v>INDEPENDENTES VIN</v>
          </cell>
          <cell r="D676" t="str">
            <v>RIBEIRAO CASCALHEIRA</v>
          </cell>
          <cell r="E676" t="str">
            <v>MT</v>
          </cell>
          <cell r="I676" t="str">
            <v>Não Comprou</v>
          </cell>
        </row>
        <row r="677">
          <cell r="A677">
            <v>15349508000177</v>
          </cell>
          <cell r="B677" t="str">
            <v>DROGARIA REAL</v>
          </cell>
          <cell r="C677" t="str">
            <v>INDEPENDENTES VIN</v>
          </cell>
          <cell r="D677" t="str">
            <v>VARZEA GRANDE</v>
          </cell>
          <cell r="E677" t="str">
            <v>MT</v>
          </cell>
          <cell r="F677">
            <v>46314</v>
          </cell>
          <cell r="G677">
            <v>786.62</v>
          </cell>
          <cell r="I677" t="str">
            <v>Comprou Marcas</v>
          </cell>
        </row>
        <row r="678">
          <cell r="A678">
            <v>37558194000155</v>
          </cell>
          <cell r="B678" t="str">
            <v>DROGARIA PRUDENTE LTDA</v>
          </cell>
          <cell r="C678" t="str">
            <v>ASSOCIADAS</v>
          </cell>
          <cell r="D678" t="str">
            <v>TRES LAGOAS</v>
          </cell>
          <cell r="E678" t="str">
            <v>MS</v>
          </cell>
          <cell r="F678">
            <v>46314</v>
          </cell>
          <cell r="G678">
            <v>2548.4300000000003</v>
          </cell>
          <cell r="I678" t="str">
            <v>Comprou Marcas</v>
          </cell>
        </row>
        <row r="679">
          <cell r="A679">
            <v>7542034000157</v>
          </cell>
          <cell r="B679" t="str">
            <v>DROGARIA PROGRESSO</v>
          </cell>
          <cell r="C679" t="str">
            <v>BIODROGAS</v>
          </cell>
          <cell r="D679" t="str">
            <v>PRESIDENTE VENCESLAU</v>
          </cell>
          <cell r="E679" t="str">
            <v>SP</v>
          </cell>
          <cell r="F679">
            <v>46315</v>
          </cell>
          <cell r="G679">
            <v>710.32999999999993</v>
          </cell>
          <cell r="H679">
            <v>8211.6400000000012</v>
          </cell>
          <cell r="I679" t="str">
            <v>Comprou Marcas e SG</v>
          </cell>
        </row>
        <row r="680">
          <cell r="A680">
            <v>3878763000128</v>
          </cell>
          <cell r="B680" t="str">
            <v>DROGARIA PROGRESSO</v>
          </cell>
          <cell r="C680" t="str">
            <v>DROGARIA TOTAL</v>
          </cell>
          <cell r="D680" t="str">
            <v>MURUTINGA DO SUL</v>
          </cell>
          <cell r="E680" t="str">
            <v>SP</v>
          </cell>
          <cell r="F680">
            <v>46303</v>
          </cell>
          <cell r="G680">
            <v>1016.99</v>
          </cell>
          <cell r="I680" t="str">
            <v>Comprou Marcas</v>
          </cell>
        </row>
        <row r="681">
          <cell r="A681">
            <v>9267822000108</v>
          </cell>
          <cell r="B681" t="str">
            <v>DROGARIA PRO VIDA</v>
          </cell>
          <cell r="C681" t="str">
            <v>MASTERFARMA</v>
          </cell>
          <cell r="D681" t="str">
            <v>CUIABA</v>
          </cell>
          <cell r="E681" t="str">
            <v>MT</v>
          </cell>
          <cell r="I681" t="str">
            <v>Não Comprou</v>
          </cell>
        </row>
        <row r="682">
          <cell r="A682">
            <v>23339848000145</v>
          </cell>
          <cell r="B682" t="str">
            <v>DROGARIA PRIMAVERAS</v>
          </cell>
          <cell r="C682" t="str">
            <v>MASTERFARMA</v>
          </cell>
          <cell r="D682" t="str">
            <v>SINOP</v>
          </cell>
          <cell r="E682" t="str">
            <v>MT</v>
          </cell>
          <cell r="I682" t="str">
            <v>Não Comprou</v>
          </cell>
        </row>
        <row r="683">
          <cell r="A683">
            <v>33694076000113</v>
          </cell>
          <cell r="B683" t="str">
            <v>DROGARIA PRIMAVERA</v>
          </cell>
          <cell r="C683" t="str">
            <v>INDEPENDENTES VIN</v>
          </cell>
          <cell r="D683" t="str">
            <v>PRIMAVERA DO LESTE</v>
          </cell>
          <cell r="E683" t="str">
            <v>MT</v>
          </cell>
          <cell r="I683" t="str">
            <v>Não Comprou</v>
          </cell>
        </row>
        <row r="684">
          <cell r="A684">
            <v>26437890000197</v>
          </cell>
          <cell r="B684" t="str">
            <v>DROGARIA POUPE MAIS</v>
          </cell>
          <cell r="C684" t="str">
            <v>HIPER SAUDE</v>
          </cell>
          <cell r="D684" t="str">
            <v>AGUA BOA</v>
          </cell>
          <cell r="E684" t="str">
            <v>MT</v>
          </cell>
          <cell r="I684" t="str">
            <v>Não Comprou</v>
          </cell>
        </row>
        <row r="685">
          <cell r="A685">
            <v>38872460000182</v>
          </cell>
          <cell r="B685" t="str">
            <v>DROGARIA POUPE MAIS</v>
          </cell>
          <cell r="C685" t="str">
            <v>COMPRE BEM</v>
          </cell>
          <cell r="D685" t="str">
            <v>PRIMAVERA DO LESTE</v>
          </cell>
          <cell r="E685" t="str">
            <v>MT</v>
          </cell>
          <cell r="F685">
            <v>46316</v>
          </cell>
          <cell r="G685">
            <v>16375.69000000001</v>
          </cell>
          <cell r="H685">
            <v>11817.48</v>
          </cell>
          <cell r="I685" t="str">
            <v>Comprou Marcas e SG</v>
          </cell>
        </row>
        <row r="686">
          <cell r="A686">
            <v>38872460000263</v>
          </cell>
          <cell r="B686" t="str">
            <v>DROGARIA POUPE MAIS</v>
          </cell>
          <cell r="C686" t="str">
            <v>COMPRE BEM</v>
          </cell>
          <cell r="D686" t="str">
            <v>PRIMAVERA DO LESTE</v>
          </cell>
          <cell r="E686" t="str">
            <v>MT</v>
          </cell>
          <cell r="F686">
            <v>46316</v>
          </cell>
          <cell r="G686">
            <v>2329.0500000000006</v>
          </cell>
          <cell r="H686">
            <v>1414.8</v>
          </cell>
          <cell r="I686" t="str">
            <v>Comprou Marcas e SG</v>
          </cell>
        </row>
        <row r="687">
          <cell r="A687">
            <v>38872460000344</v>
          </cell>
          <cell r="B687" t="str">
            <v>DROGARIA POUPE MAIS</v>
          </cell>
          <cell r="C687" t="str">
            <v>COMPRE BEM</v>
          </cell>
          <cell r="D687" t="str">
            <v>PRIMAVERA DO LESTE</v>
          </cell>
          <cell r="E687" t="str">
            <v>MT</v>
          </cell>
          <cell r="F687">
            <v>46309</v>
          </cell>
          <cell r="G687">
            <v>529.24</v>
          </cell>
          <cell r="H687">
            <v>1242.23</v>
          </cell>
          <cell r="I687" t="str">
            <v>Comprou Marcas e SG</v>
          </cell>
        </row>
        <row r="688">
          <cell r="A688">
            <v>38872460000425</v>
          </cell>
          <cell r="B688" t="str">
            <v>DROGARIA POUPE MAIS</v>
          </cell>
          <cell r="C688" t="str">
            <v>COMPRE BEM</v>
          </cell>
          <cell r="D688" t="str">
            <v>PARANATINGA</v>
          </cell>
          <cell r="E688" t="str">
            <v>MT</v>
          </cell>
          <cell r="F688">
            <v>46316</v>
          </cell>
          <cell r="G688">
            <v>8944.7800000000061</v>
          </cell>
          <cell r="H688">
            <v>707.1</v>
          </cell>
          <cell r="I688" t="str">
            <v>Comprou Marcas e SG</v>
          </cell>
        </row>
        <row r="689">
          <cell r="A689">
            <v>38872460000506</v>
          </cell>
          <cell r="B689" t="str">
            <v>DROGARIA POUPE MAIS</v>
          </cell>
          <cell r="C689" t="str">
            <v>COMPRE BEM</v>
          </cell>
          <cell r="D689" t="str">
            <v>PARANATINGA</v>
          </cell>
          <cell r="E689" t="str">
            <v>MT</v>
          </cell>
          <cell r="F689">
            <v>46308</v>
          </cell>
          <cell r="G689">
            <v>1890.48</v>
          </cell>
          <cell r="I689" t="str">
            <v>Comprou Marcas</v>
          </cell>
        </row>
        <row r="690">
          <cell r="A690">
            <v>4993223000158</v>
          </cell>
          <cell r="B690" t="str">
            <v>DROGARIA POUPE JA - MAX FARMA</v>
          </cell>
          <cell r="C690" t="str">
            <v>INDEPENDENTES VIN</v>
          </cell>
          <cell r="D690" t="str">
            <v>CAMPO NOVO DO PARECIS</v>
          </cell>
          <cell r="E690" t="str">
            <v>MT</v>
          </cell>
          <cell r="F690">
            <v>46304</v>
          </cell>
          <cell r="G690">
            <v>5082.579999999999</v>
          </cell>
          <cell r="I690" t="str">
            <v>Comprou Marcas</v>
          </cell>
        </row>
        <row r="691">
          <cell r="A691">
            <v>23829894000122</v>
          </cell>
          <cell r="B691" t="str">
            <v>DROGARIA POUPE JA</v>
          </cell>
          <cell r="C691" t="str">
            <v>ASSOCIADAS</v>
          </cell>
          <cell r="D691" t="str">
            <v>COMODORO</v>
          </cell>
          <cell r="E691" t="str">
            <v>MT</v>
          </cell>
          <cell r="F691">
            <v>46310</v>
          </cell>
          <cell r="G691">
            <v>13565.759999999995</v>
          </cell>
          <cell r="I691" t="str">
            <v>Comprou Marcas</v>
          </cell>
        </row>
        <row r="692">
          <cell r="A692">
            <v>546706000153</v>
          </cell>
          <cell r="B692" t="str">
            <v>DROGARIA POUPE JA</v>
          </cell>
          <cell r="C692" t="str">
            <v>INDEPENDENTES VIN</v>
          </cell>
          <cell r="D692" t="str">
            <v>QUERENCIA</v>
          </cell>
          <cell r="E692" t="str">
            <v>MT</v>
          </cell>
          <cell r="F692">
            <v>46316</v>
          </cell>
          <cell r="G692">
            <v>2995.7599999999998</v>
          </cell>
          <cell r="I692" t="str">
            <v>Comprou Marcas</v>
          </cell>
        </row>
        <row r="693">
          <cell r="A693">
            <v>10588126000182</v>
          </cell>
          <cell r="B693" t="str">
            <v>DROGARIA POUPE JA</v>
          </cell>
          <cell r="C693" t="str">
            <v>INDEPENDENTES VIN</v>
          </cell>
          <cell r="D693" t="str">
            <v>QUERENCIA</v>
          </cell>
          <cell r="E693" t="str">
            <v>MT</v>
          </cell>
          <cell r="F693">
            <v>46316</v>
          </cell>
          <cell r="G693">
            <v>10836.050000000001</v>
          </cell>
          <cell r="I693" t="str">
            <v>Comprou Marcas</v>
          </cell>
        </row>
        <row r="694">
          <cell r="A694">
            <v>10588126000263</v>
          </cell>
          <cell r="B694" t="str">
            <v>DROGARIA POUPE JA</v>
          </cell>
          <cell r="C694" t="str">
            <v>INDEPENDENTES VIN</v>
          </cell>
          <cell r="D694" t="str">
            <v>QUERENCIA</v>
          </cell>
          <cell r="E694" t="str">
            <v>MT</v>
          </cell>
          <cell r="F694">
            <v>46316</v>
          </cell>
          <cell r="G694">
            <v>13329.159999999998</v>
          </cell>
          <cell r="I694" t="str">
            <v>Comprou Marcas</v>
          </cell>
        </row>
        <row r="695">
          <cell r="A695">
            <v>42411000000124</v>
          </cell>
          <cell r="B695" t="str">
            <v>DROGARIA POUPA LAR</v>
          </cell>
          <cell r="C695" t="str">
            <v>INDEPENDENTES VIN</v>
          </cell>
          <cell r="D695" t="str">
            <v>CACERES</v>
          </cell>
          <cell r="E695" t="str">
            <v>MT</v>
          </cell>
          <cell r="F695">
            <v>46309</v>
          </cell>
          <cell r="G695">
            <v>2030.8799999999999</v>
          </cell>
          <cell r="I695" t="str">
            <v>Comprou Marcas</v>
          </cell>
        </row>
        <row r="696">
          <cell r="A696">
            <v>49580979000103</v>
          </cell>
          <cell r="B696" t="str">
            <v>DROGARIA PORTO X LTDA</v>
          </cell>
          <cell r="C696" t="str">
            <v>INDEPENDENTES VIN</v>
          </cell>
          <cell r="D696" t="str">
            <v>CAMPO GRANDE</v>
          </cell>
          <cell r="E696" t="str">
            <v>MS</v>
          </cell>
          <cell r="F696">
            <v>46314</v>
          </cell>
          <cell r="G696">
            <v>1027.25</v>
          </cell>
          <cell r="I696" t="str">
            <v>Comprou Marcas</v>
          </cell>
        </row>
        <row r="697">
          <cell r="A697">
            <v>49560389000208</v>
          </cell>
          <cell r="B697" t="str">
            <v>DROGARIA POPULAR SAUDE FARMA FILIAL 2</v>
          </cell>
          <cell r="C697" t="str">
            <v>ASSOCIADAS</v>
          </cell>
          <cell r="D697" t="str">
            <v>CAMPO GRANDE</v>
          </cell>
          <cell r="E697" t="str">
            <v>MS</v>
          </cell>
          <cell r="I697" t="str">
            <v>Não Comprou</v>
          </cell>
        </row>
        <row r="698">
          <cell r="A698">
            <v>23312338000184</v>
          </cell>
          <cell r="B698" t="str">
            <v>DROGARIA POPULAR JD. AEROPORTO</v>
          </cell>
          <cell r="C698" t="str">
            <v>USIFARMA</v>
          </cell>
          <cell r="D698" t="str">
            <v>CAMPO GRANDE</v>
          </cell>
          <cell r="E698" t="str">
            <v>MS</v>
          </cell>
          <cell r="F698">
            <v>46304</v>
          </cell>
          <cell r="G698">
            <v>636.83000000000004</v>
          </cell>
          <cell r="I698" t="str">
            <v>Comprou Marcas</v>
          </cell>
        </row>
        <row r="699">
          <cell r="A699">
            <v>49845019000128</v>
          </cell>
          <cell r="B699" t="str">
            <v>DROGARIA POPULAR II</v>
          </cell>
          <cell r="C699" t="str">
            <v>MASTERFARMA</v>
          </cell>
          <cell r="D699" t="str">
            <v>JUNQUEIROPOLIS</v>
          </cell>
          <cell r="E699" t="str">
            <v>SP</v>
          </cell>
          <cell r="F699">
            <v>46315</v>
          </cell>
          <cell r="G699">
            <v>8663.33</v>
          </cell>
          <cell r="I699" t="str">
            <v>Comprou Marcas</v>
          </cell>
        </row>
        <row r="700">
          <cell r="A700">
            <v>27960067000124</v>
          </cell>
          <cell r="B700" t="str">
            <v>DROGARIA POPULAR DO TRABALHADOR</v>
          </cell>
          <cell r="C700" t="str">
            <v>ASSOCIADAS</v>
          </cell>
          <cell r="D700" t="str">
            <v>CAMPO GRANDE</v>
          </cell>
          <cell r="E700" t="str">
            <v>MS</v>
          </cell>
          <cell r="F700">
            <v>46314</v>
          </cell>
          <cell r="G700">
            <v>14616.879999999996</v>
          </cell>
          <cell r="H700">
            <v>16714.069999999996</v>
          </cell>
          <cell r="I700" t="str">
            <v>Comprou Marcas e SG</v>
          </cell>
        </row>
        <row r="701">
          <cell r="A701">
            <v>11628018000159</v>
          </cell>
          <cell r="B701" t="str">
            <v>DROGARIA POPULAR</v>
          </cell>
          <cell r="C701" t="str">
            <v>INDEPENDENTES VIN</v>
          </cell>
          <cell r="D701" t="str">
            <v>SONORA</v>
          </cell>
          <cell r="E701" t="str">
            <v>MS</v>
          </cell>
          <cell r="I701" t="str">
            <v>Não Comprou</v>
          </cell>
        </row>
        <row r="702">
          <cell r="A702">
            <v>52905500000176</v>
          </cell>
          <cell r="B702" t="str">
            <v>DROGARIA POPULAR</v>
          </cell>
          <cell r="C702" t="str">
            <v>COMPRE BEM</v>
          </cell>
          <cell r="D702" t="str">
            <v>AGUA CLARA</v>
          </cell>
          <cell r="E702" t="str">
            <v>MS</v>
          </cell>
          <cell r="I702" t="str">
            <v>Não Comprou</v>
          </cell>
        </row>
        <row r="703">
          <cell r="A703">
            <v>13090874000129</v>
          </cell>
          <cell r="B703" t="str">
            <v>DROGARIA POPULAR</v>
          </cell>
          <cell r="C703" t="str">
            <v>MULTIDROGAS</v>
          </cell>
          <cell r="D703" t="str">
            <v>IRAPURU</v>
          </cell>
          <cell r="E703" t="str">
            <v>SP</v>
          </cell>
          <cell r="I703" t="str">
            <v>Não Comprou</v>
          </cell>
        </row>
        <row r="704">
          <cell r="A704">
            <v>35239450000116</v>
          </cell>
          <cell r="B704" t="str">
            <v>DROGARIA POPULAR</v>
          </cell>
          <cell r="C704" t="str">
            <v>DSG FARMA</v>
          </cell>
          <cell r="D704" t="str">
            <v>MONTE CASTELO</v>
          </cell>
          <cell r="E704" t="str">
            <v>SP</v>
          </cell>
          <cell r="I704" t="str">
            <v>Não Comprou</v>
          </cell>
        </row>
        <row r="705">
          <cell r="A705">
            <v>47964776000195</v>
          </cell>
          <cell r="B705" t="str">
            <v>DROGARIA POLO CENTRO</v>
          </cell>
          <cell r="C705" t="str">
            <v>INDEPENDENTES VIN</v>
          </cell>
          <cell r="D705" t="str">
            <v>NOBRES</v>
          </cell>
          <cell r="E705" t="str">
            <v>MT</v>
          </cell>
          <cell r="F705">
            <v>46310</v>
          </cell>
          <cell r="G705">
            <v>137.85</v>
          </cell>
          <cell r="I705" t="str">
            <v>Comprou Marcas</v>
          </cell>
        </row>
        <row r="706">
          <cell r="A706">
            <v>430268000163</v>
          </cell>
          <cell r="B706" t="str">
            <v>DROGARIA POLIFARMA</v>
          </cell>
          <cell r="C706" t="str">
            <v>INDEPENDENTES VIN</v>
          </cell>
          <cell r="D706" t="str">
            <v>SAPEZAL</v>
          </cell>
          <cell r="E706" t="str">
            <v>MT</v>
          </cell>
          <cell r="F706">
            <v>46308</v>
          </cell>
          <cell r="G706">
            <v>1204.7199999999998</v>
          </cell>
          <cell r="I706" t="str">
            <v>Comprou Marcas</v>
          </cell>
        </row>
        <row r="707">
          <cell r="A707">
            <v>29303719000183</v>
          </cell>
          <cell r="B707" t="str">
            <v>DROGARIA PLANALTO</v>
          </cell>
          <cell r="C707" t="str">
            <v>COMPRE BEM</v>
          </cell>
          <cell r="D707" t="str">
            <v>AGUA BOA</v>
          </cell>
          <cell r="E707" t="str">
            <v>MT</v>
          </cell>
          <cell r="I707" t="str">
            <v>Não Comprou</v>
          </cell>
        </row>
        <row r="708">
          <cell r="A708">
            <v>18070710000153</v>
          </cell>
          <cell r="B708" t="str">
            <v>DROGARIA PARECIS</v>
          </cell>
          <cell r="C708" t="str">
            <v>INDEPENDENTES VIN</v>
          </cell>
          <cell r="D708" t="str">
            <v>TANGARA DA SERRA</v>
          </cell>
          <cell r="E708" t="str">
            <v>MT</v>
          </cell>
          <cell r="F708">
            <v>46304</v>
          </cell>
          <cell r="G708">
            <v>525.68000000000006</v>
          </cell>
          <cell r="I708" t="str">
            <v>Comprou Marcas</v>
          </cell>
        </row>
        <row r="709">
          <cell r="A709">
            <v>8954076000400</v>
          </cell>
          <cell r="B709" t="str">
            <v>DROGARIA PARANATINGA</v>
          </cell>
          <cell r="C709" t="str">
            <v>ECONOMIZE RONDONOPOLIS</v>
          </cell>
          <cell r="D709" t="str">
            <v>AGUA BOA</v>
          </cell>
          <cell r="E709" t="str">
            <v>MT</v>
          </cell>
          <cell r="I709" t="str">
            <v>Não Comprou</v>
          </cell>
        </row>
        <row r="710">
          <cell r="A710">
            <v>13367286000190</v>
          </cell>
          <cell r="B710" t="str">
            <v>DROGARIA PARANA</v>
          </cell>
          <cell r="C710" t="str">
            <v>HIPER SAUDE</v>
          </cell>
          <cell r="D710" t="str">
            <v>QUERENCIA</v>
          </cell>
          <cell r="E710" t="str">
            <v>MT</v>
          </cell>
          <cell r="I710" t="str">
            <v>Não Comprou</v>
          </cell>
        </row>
        <row r="711">
          <cell r="A711">
            <v>55497176000192</v>
          </cell>
          <cell r="B711" t="str">
            <v>DROGARIA PARAISO</v>
          </cell>
          <cell r="C711" t="str">
            <v>MULTIDROGAS</v>
          </cell>
          <cell r="D711" t="str">
            <v>PACAEMBU</v>
          </cell>
          <cell r="E711" t="str">
            <v>SP</v>
          </cell>
          <cell r="F711">
            <v>46309</v>
          </cell>
          <cell r="G711">
            <v>1656.64</v>
          </cell>
          <cell r="I711" t="str">
            <v>Comprou Marcas</v>
          </cell>
        </row>
        <row r="712">
          <cell r="A712">
            <v>55994018000148</v>
          </cell>
          <cell r="B712" t="str">
            <v>DROGARIA PALMIER</v>
          </cell>
          <cell r="C712" t="str">
            <v>INDEPENDENTES VIN</v>
          </cell>
          <cell r="D712" t="str">
            <v>SINOP</v>
          </cell>
          <cell r="E712" t="str">
            <v>MT</v>
          </cell>
          <cell r="I712" t="str">
            <v>Não Comprou</v>
          </cell>
        </row>
        <row r="713">
          <cell r="A713">
            <v>17581013000102</v>
          </cell>
          <cell r="B713" t="str">
            <v>DROGARIA PAJU</v>
          </cell>
          <cell r="C713" t="str">
            <v>INDEPENDENTES VIN</v>
          </cell>
          <cell r="D713" t="str">
            <v>PONTES E LACERDA</v>
          </cell>
          <cell r="E713" t="str">
            <v>MT</v>
          </cell>
          <cell r="I713" t="str">
            <v>Não Comprou</v>
          </cell>
        </row>
        <row r="714">
          <cell r="A714">
            <v>18387529000175</v>
          </cell>
          <cell r="B714" t="str">
            <v>DROGARIA P. S. OLGEARIO</v>
          </cell>
          <cell r="C714" t="str">
            <v>INDEPENDENTES VIN</v>
          </cell>
          <cell r="D714" t="str">
            <v>ARACATUBA</v>
          </cell>
          <cell r="E714" t="str">
            <v>SP</v>
          </cell>
          <cell r="F714">
            <v>46311</v>
          </cell>
          <cell r="G714">
            <v>232.99</v>
          </cell>
          <cell r="H714">
            <v>8780.4900000000016</v>
          </cell>
          <cell r="I714" t="str">
            <v>Comprou Marcas e SG</v>
          </cell>
        </row>
        <row r="715">
          <cell r="A715">
            <v>22457961000162</v>
          </cell>
          <cell r="B715" t="str">
            <v>DROGARIA OURO FINO POPULAR</v>
          </cell>
          <cell r="C715" t="str">
            <v>INDEPENDENTES VIN</v>
          </cell>
          <cell r="D715" t="str">
            <v>BARRA DO GARCAS</v>
          </cell>
          <cell r="E715" t="str">
            <v>MT</v>
          </cell>
          <cell r="I715" t="str">
            <v>Não Comprou</v>
          </cell>
        </row>
        <row r="716">
          <cell r="A716">
            <v>2608021000110</v>
          </cell>
          <cell r="B716" t="str">
            <v>DROGARIA OPERARIA II</v>
          </cell>
          <cell r="C716" t="str">
            <v>ASSOCIADAS</v>
          </cell>
          <cell r="D716" t="str">
            <v>RONDONOPOLIS</v>
          </cell>
          <cell r="E716" t="str">
            <v>MT</v>
          </cell>
          <cell r="F716">
            <v>46310</v>
          </cell>
          <cell r="G716">
            <v>137.85</v>
          </cell>
          <cell r="I716" t="str">
            <v>Comprou Marcas</v>
          </cell>
        </row>
        <row r="717">
          <cell r="A717">
            <v>31836867000105</v>
          </cell>
          <cell r="B717" t="str">
            <v>DROGARIA OPCAO POPULAR</v>
          </cell>
          <cell r="C717" t="str">
            <v>INDEPENDENTES VIN</v>
          </cell>
          <cell r="D717" t="str">
            <v>CUIABA</v>
          </cell>
          <cell r="E717" t="str">
            <v>MT</v>
          </cell>
          <cell r="I717" t="str">
            <v>Não Comprou</v>
          </cell>
        </row>
        <row r="718">
          <cell r="A718">
            <v>50970969000163</v>
          </cell>
          <cell r="B718" t="str">
            <v>DROGARIA OPCAO</v>
          </cell>
          <cell r="C718" t="str">
            <v>INDEPENDENTES VIN</v>
          </cell>
          <cell r="D718" t="str">
            <v>DENISE</v>
          </cell>
          <cell r="E718" t="str">
            <v>MT</v>
          </cell>
          <cell r="F718">
            <v>46316</v>
          </cell>
          <cell r="G718">
            <v>977.21</v>
          </cell>
          <cell r="I718" t="str">
            <v>Comprou Marcas</v>
          </cell>
        </row>
        <row r="719">
          <cell r="A719">
            <v>61585281000186</v>
          </cell>
          <cell r="B719" t="str">
            <v>DROGARIA OLIRA</v>
          </cell>
          <cell r="C719" t="str">
            <v>MASTERFARMA</v>
          </cell>
          <cell r="D719" t="str">
            <v>TANGARA DA SERRA</v>
          </cell>
          <cell r="E719" t="str">
            <v>MT</v>
          </cell>
          <cell r="I719" t="str">
            <v>Não Comprou</v>
          </cell>
        </row>
        <row r="720">
          <cell r="A720">
            <v>17967556000235</v>
          </cell>
          <cell r="B720" t="str">
            <v>DROGARIA NS</v>
          </cell>
          <cell r="C720" t="str">
            <v>ASSOCIADAS</v>
          </cell>
          <cell r="D720" t="str">
            <v>SIDROLANDIA</v>
          </cell>
          <cell r="E720" t="str">
            <v>MS</v>
          </cell>
          <cell r="F720">
            <v>46313</v>
          </cell>
          <cell r="G720">
            <v>29320.569999999996</v>
          </cell>
          <cell r="I720" t="str">
            <v>Comprou Marcas</v>
          </cell>
        </row>
        <row r="721">
          <cell r="A721">
            <v>17858710000150</v>
          </cell>
          <cell r="B721" t="str">
            <v>DROGARIA NOVAPHARMA</v>
          </cell>
          <cell r="C721" t="str">
            <v>MASTERFARMA</v>
          </cell>
          <cell r="D721" t="str">
            <v>CUIABA</v>
          </cell>
          <cell r="E721" t="str">
            <v>MT</v>
          </cell>
          <cell r="I721" t="str">
            <v>Não Comprou</v>
          </cell>
        </row>
        <row r="722">
          <cell r="A722">
            <v>29668395000187</v>
          </cell>
          <cell r="B722" t="str">
            <v>DROGARIA NOVAPHARMA</v>
          </cell>
          <cell r="C722" t="str">
            <v>MASTERFARMA</v>
          </cell>
          <cell r="D722" t="str">
            <v>CUIABA</v>
          </cell>
          <cell r="E722" t="str">
            <v>MT</v>
          </cell>
          <cell r="I722" t="str">
            <v>Não Comprou</v>
          </cell>
        </row>
        <row r="723">
          <cell r="A723">
            <v>9179265000173</v>
          </cell>
          <cell r="B723" t="str">
            <v>DROGARIA NOVAFARMA</v>
          </cell>
          <cell r="C723" t="str">
            <v>DROGARIA TOTAL</v>
          </cell>
          <cell r="D723" t="str">
            <v>NOVA INDEPENDENCIA</v>
          </cell>
          <cell r="E723" t="str">
            <v>SP</v>
          </cell>
          <cell r="F723">
            <v>46303</v>
          </cell>
          <cell r="G723">
            <v>3202.3999999999996</v>
          </cell>
          <cell r="I723" t="str">
            <v>Comprou Marcas</v>
          </cell>
        </row>
        <row r="724">
          <cell r="A724">
            <v>68389238000194</v>
          </cell>
          <cell r="B724" t="str">
            <v>DROGARIA NOVA VIDA</v>
          </cell>
          <cell r="C724" t="str">
            <v>MULTIDROGAS</v>
          </cell>
          <cell r="D724" t="str">
            <v>EMILIANOPOLIS</v>
          </cell>
          <cell r="E724" t="str">
            <v>SP</v>
          </cell>
          <cell r="F724">
            <v>46316</v>
          </cell>
          <cell r="G724">
            <v>214.62</v>
          </cell>
          <cell r="H724">
            <v>695.1</v>
          </cell>
          <cell r="I724" t="str">
            <v>Comprou Marcas e SG</v>
          </cell>
        </row>
        <row r="725">
          <cell r="A725">
            <v>8029945000148</v>
          </cell>
          <cell r="B725" t="str">
            <v>DROGARIA NOVA FORMULA</v>
          </cell>
          <cell r="C725" t="str">
            <v>DROGARIA TOTAL</v>
          </cell>
          <cell r="D725" t="str">
            <v>CLEMENTINA</v>
          </cell>
          <cell r="E725" t="str">
            <v>SP</v>
          </cell>
          <cell r="F725">
            <v>46309</v>
          </cell>
          <cell r="G725">
            <v>4312.8599999999988</v>
          </cell>
          <cell r="I725" t="str">
            <v>Comprou Marcas</v>
          </cell>
        </row>
        <row r="726">
          <cell r="A726">
            <v>15558177000185</v>
          </cell>
          <cell r="B726" t="str">
            <v>DROGARIA NOVA FARMA</v>
          </cell>
          <cell r="C726" t="str">
            <v>ASFAR FARMACIAS</v>
          </cell>
          <cell r="D726" t="str">
            <v>COLIDER</v>
          </cell>
          <cell r="E726" t="str">
            <v>MT</v>
          </cell>
          <cell r="I726" t="str">
            <v>Não Comprou</v>
          </cell>
        </row>
        <row r="727">
          <cell r="A727">
            <v>23255059000126</v>
          </cell>
          <cell r="B727" t="str">
            <v>DROGARIA NOVA FARMA</v>
          </cell>
          <cell r="C727" t="str">
            <v>ECONOMIZE RONDONOPOLIS</v>
          </cell>
          <cell r="D727" t="str">
            <v>TORIXOREU</v>
          </cell>
          <cell r="E727" t="str">
            <v>MT</v>
          </cell>
          <cell r="I727" t="str">
            <v>Não Comprou</v>
          </cell>
        </row>
        <row r="728">
          <cell r="A728">
            <v>41140364000154</v>
          </cell>
          <cell r="B728" t="str">
            <v>DROGARIA NOVA ESPERANCA</v>
          </cell>
          <cell r="C728" t="str">
            <v>INDEPENDENTES VIN</v>
          </cell>
          <cell r="D728" t="str">
            <v>ARAGARCAS</v>
          </cell>
          <cell r="E728" t="str">
            <v>GO</v>
          </cell>
          <cell r="I728" t="str">
            <v>Não Comprou</v>
          </cell>
        </row>
        <row r="729">
          <cell r="A729">
            <v>13234023000102</v>
          </cell>
          <cell r="B729" t="str">
            <v>DROGARIA NOVA AMERICA</v>
          </cell>
          <cell r="C729" t="str">
            <v>HIPER SAUDE</v>
          </cell>
          <cell r="D729" t="str">
            <v>CUIABA</v>
          </cell>
          <cell r="E729" t="str">
            <v>MT</v>
          </cell>
          <cell r="F729">
            <v>46316</v>
          </cell>
          <cell r="G729">
            <v>3586.1300000000006</v>
          </cell>
          <cell r="I729" t="str">
            <v>Comprou Marcas</v>
          </cell>
        </row>
        <row r="730">
          <cell r="A730">
            <v>46365701000125</v>
          </cell>
          <cell r="B730" t="str">
            <v>DROGARIA NOVA AMERICA</v>
          </cell>
          <cell r="C730" t="str">
            <v>INDEPENDENTES VIN</v>
          </cell>
          <cell r="D730" t="str">
            <v>CUIABA</v>
          </cell>
          <cell r="E730" t="str">
            <v>MT</v>
          </cell>
          <cell r="I730" t="str">
            <v>Não Comprou</v>
          </cell>
        </row>
        <row r="731">
          <cell r="A731">
            <v>1282599000166</v>
          </cell>
          <cell r="B731" t="str">
            <v>DROGARIA NOSSA SENHORA SANTANA</v>
          </cell>
          <cell r="C731" t="str">
            <v>ASSOCIADAS</v>
          </cell>
          <cell r="D731" t="str">
            <v>NORTELANDIA</v>
          </cell>
          <cell r="E731" t="str">
            <v>MT</v>
          </cell>
          <cell r="F731">
            <v>46310</v>
          </cell>
          <cell r="G731">
            <v>2325.9099999999994</v>
          </cell>
          <cell r="I731" t="str">
            <v>Comprou Marcas</v>
          </cell>
        </row>
        <row r="732">
          <cell r="A732">
            <v>96619283000123</v>
          </cell>
          <cell r="B732" t="str">
            <v>DROGARIA NOSSA SENHORA DAS GRACAS</v>
          </cell>
          <cell r="C732" t="str">
            <v>INDEPENDENTES VIN</v>
          </cell>
          <cell r="D732" t="str">
            <v>TEODORO SAMPAIO</v>
          </cell>
          <cell r="E732" t="str">
            <v>SP</v>
          </cell>
          <cell r="I732" t="str">
            <v>Não Comprou</v>
          </cell>
        </row>
        <row r="733">
          <cell r="A733">
            <v>33792896000148</v>
          </cell>
          <cell r="B733" t="str">
            <v>DROGARIA NIPON</v>
          </cell>
          <cell r="C733" t="str">
            <v>ASSOCIADAS</v>
          </cell>
          <cell r="D733" t="str">
            <v>CAMPO GRANDE</v>
          </cell>
          <cell r="E733" t="str">
            <v>MS</v>
          </cell>
          <cell r="F733">
            <v>46303</v>
          </cell>
          <cell r="G733">
            <v>430.88</v>
          </cell>
          <cell r="I733" t="str">
            <v>Comprou Marcas</v>
          </cell>
        </row>
        <row r="734">
          <cell r="A734">
            <v>9607825000143</v>
          </cell>
          <cell r="B734" t="str">
            <v>DROGARIA NEDER</v>
          </cell>
          <cell r="C734" t="str">
            <v>INDEPENDENTES VIN</v>
          </cell>
          <cell r="D734" t="str">
            <v>ALTO ARAGUAIA</v>
          </cell>
          <cell r="E734" t="str">
            <v>MT</v>
          </cell>
          <cell r="I734" t="str">
            <v>Não Comprou</v>
          </cell>
        </row>
        <row r="735">
          <cell r="A735">
            <v>9039622000106</v>
          </cell>
          <cell r="B735" t="str">
            <v>DROGARIA NEBRASCA 24H</v>
          </cell>
          <cell r="C735" t="str">
            <v>HIPER SAUDE</v>
          </cell>
          <cell r="D735" t="str">
            <v>SORRISO</v>
          </cell>
          <cell r="E735" t="str">
            <v>MT</v>
          </cell>
          <cell r="F735">
            <v>46316</v>
          </cell>
          <cell r="G735">
            <v>14929.930000000004</v>
          </cell>
          <cell r="H735">
            <v>19422.18</v>
          </cell>
          <cell r="I735" t="str">
            <v>Comprou Marcas e SG</v>
          </cell>
        </row>
        <row r="736">
          <cell r="A736">
            <v>23585337000103</v>
          </cell>
          <cell r="B736" t="str">
            <v>DROGARIA NANDA</v>
          </cell>
          <cell r="C736" t="str">
            <v>ASSOCIADAS</v>
          </cell>
          <cell r="D736" t="str">
            <v>CUIABA</v>
          </cell>
          <cell r="E736" t="str">
            <v>MT</v>
          </cell>
          <cell r="F736">
            <v>46310</v>
          </cell>
          <cell r="G736">
            <v>6430.33</v>
          </cell>
          <cell r="I736" t="str">
            <v>Comprou Marcas</v>
          </cell>
        </row>
        <row r="737">
          <cell r="A737">
            <v>15794259000200</v>
          </cell>
          <cell r="B737" t="str">
            <v>DROGARIA NACIONAL 3</v>
          </cell>
          <cell r="C737" t="str">
            <v>ASSOCIADAS</v>
          </cell>
          <cell r="D737" t="str">
            <v>PRIMAVERA DO LESTE</v>
          </cell>
          <cell r="E737" t="str">
            <v>MT</v>
          </cell>
          <cell r="I737" t="str">
            <v>Não Comprou</v>
          </cell>
        </row>
        <row r="738">
          <cell r="A738">
            <v>59106417000186</v>
          </cell>
          <cell r="B738" t="str">
            <v>DROGARIA MS POPULAR</v>
          </cell>
          <cell r="C738" t="str">
            <v>ASSOCIADAS</v>
          </cell>
          <cell r="D738" t="str">
            <v>CAMPO GRANDE</v>
          </cell>
          <cell r="E738" t="str">
            <v>MS</v>
          </cell>
          <cell r="F738">
            <v>46314</v>
          </cell>
          <cell r="G738">
            <v>334.72</v>
          </cell>
          <cell r="I738" t="str">
            <v>Comprou Marcas</v>
          </cell>
        </row>
        <row r="739">
          <cell r="A739">
            <v>7863592000114</v>
          </cell>
          <cell r="B739" t="str">
            <v>DROGARIA MONTALVAO</v>
          </cell>
          <cell r="C739" t="str">
            <v>INDEPENDENTES VIN</v>
          </cell>
          <cell r="D739" t="str">
            <v>PRESIDENTE PRUDENTE</v>
          </cell>
          <cell r="E739" t="str">
            <v>SP</v>
          </cell>
          <cell r="I739" t="str">
            <v>Não Comprou</v>
          </cell>
        </row>
        <row r="740">
          <cell r="A740">
            <v>45290499000157</v>
          </cell>
          <cell r="B740" t="str">
            <v>DROGARIA MODELO</v>
          </cell>
          <cell r="C740" t="str">
            <v>MASTERFARMA</v>
          </cell>
          <cell r="D740" t="str">
            <v>JARDIM</v>
          </cell>
          <cell r="E740" t="str">
            <v>MS</v>
          </cell>
          <cell r="I740" t="str">
            <v>Não Comprou</v>
          </cell>
        </row>
        <row r="741">
          <cell r="A741">
            <v>9556154000139</v>
          </cell>
          <cell r="B741" t="str">
            <v>DROGARIA MODELO</v>
          </cell>
          <cell r="C741" t="str">
            <v>DSG FARMA</v>
          </cell>
          <cell r="D741" t="str">
            <v>DIAMANTINO</v>
          </cell>
          <cell r="E741" t="str">
            <v>MT</v>
          </cell>
          <cell r="F741">
            <v>46310</v>
          </cell>
          <cell r="G741">
            <v>5479.34</v>
          </cell>
          <cell r="I741" t="str">
            <v>Comprou Marcas</v>
          </cell>
        </row>
        <row r="742">
          <cell r="A742">
            <v>7966206000110</v>
          </cell>
          <cell r="B742" t="str">
            <v>DROGARIA MERIDIONAL</v>
          </cell>
          <cell r="C742" t="str">
            <v>DROGARIA TOTAL</v>
          </cell>
          <cell r="D742" t="str">
            <v>PRESIDENTE PRUDENTE</v>
          </cell>
          <cell r="E742" t="str">
            <v>SP</v>
          </cell>
          <cell r="F742">
            <v>46315</v>
          </cell>
          <cell r="G742">
            <v>678.92</v>
          </cell>
          <cell r="I742" t="str">
            <v>Comprou Marcas</v>
          </cell>
        </row>
        <row r="743">
          <cell r="A743">
            <v>51398846000162</v>
          </cell>
          <cell r="B743" t="str">
            <v>DROGARIA MENOR PRECO</v>
          </cell>
          <cell r="C743" t="str">
            <v>MASTERFARMA</v>
          </cell>
          <cell r="D743" t="str">
            <v>NOVA XAVANTINA</v>
          </cell>
          <cell r="E743" t="str">
            <v>MT</v>
          </cell>
          <cell r="I743" t="str">
            <v>Não Comprou</v>
          </cell>
        </row>
        <row r="744">
          <cell r="A744">
            <v>57741120000167</v>
          </cell>
          <cell r="B744" t="str">
            <v>DROGARIA MENINO JESUS</v>
          </cell>
          <cell r="C744" t="str">
            <v>FARMELHOR</v>
          </cell>
          <cell r="D744" t="str">
            <v>NOVA MUTUM</v>
          </cell>
          <cell r="E744" t="str">
            <v>MT</v>
          </cell>
          <cell r="F744">
            <v>46301</v>
          </cell>
          <cell r="G744">
            <v>108.55000000000001</v>
          </cell>
          <cell r="I744" t="str">
            <v>Comprou Marcas</v>
          </cell>
        </row>
        <row r="745">
          <cell r="A745">
            <v>17710409000102</v>
          </cell>
          <cell r="B745" t="str">
            <v>DROGARIA MEIO PRECO</v>
          </cell>
          <cell r="C745" t="str">
            <v>HIPER SAUDE</v>
          </cell>
          <cell r="D745" t="str">
            <v>VARZEA GRANDE</v>
          </cell>
          <cell r="E745" t="str">
            <v>MT</v>
          </cell>
          <cell r="F745">
            <v>46314</v>
          </cell>
          <cell r="G745">
            <v>12073.670000000004</v>
          </cell>
          <cell r="I745" t="str">
            <v>Comprou Marcas</v>
          </cell>
        </row>
        <row r="746">
          <cell r="A746">
            <v>57331628000197</v>
          </cell>
          <cell r="B746" t="str">
            <v>DROGARIA MEGA SAUDE POPULAR</v>
          </cell>
          <cell r="C746" t="str">
            <v>ASSOCIADAS</v>
          </cell>
          <cell r="D746" t="str">
            <v>VARZEA GRANDE</v>
          </cell>
          <cell r="E746" t="str">
            <v>MT</v>
          </cell>
          <cell r="F746">
            <v>46310</v>
          </cell>
          <cell r="G746">
            <v>1014.78</v>
          </cell>
          <cell r="I746" t="str">
            <v>Comprou Marcas</v>
          </cell>
        </row>
        <row r="747">
          <cell r="A747">
            <v>7217112000148</v>
          </cell>
          <cell r="B747" t="str">
            <v>DROGARIA MEGA POPULAR</v>
          </cell>
          <cell r="C747" t="str">
            <v>INDEPENDENTES VIN</v>
          </cell>
          <cell r="D747" t="str">
            <v>DIAMANTINO</v>
          </cell>
          <cell r="E747" t="str">
            <v>MT</v>
          </cell>
          <cell r="F747">
            <v>46314</v>
          </cell>
          <cell r="G747">
            <v>3821.6899999999996</v>
          </cell>
          <cell r="I747" t="str">
            <v>Comprou Marcas</v>
          </cell>
        </row>
        <row r="748">
          <cell r="A748">
            <v>7217112000300</v>
          </cell>
          <cell r="B748" t="str">
            <v>DROGARIA MEGA POPULAR</v>
          </cell>
          <cell r="C748" t="str">
            <v>INDEPENDENTES VIN</v>
          </cell>
          <cell r="D748" t="str">
            <v>ALTO PARAGUAI</v>
          </cell>
          <cell r="E748" t="str">
            <v>MT</v>
          </cell>
          <cell r="F748">
            <v>46314</v>
          </cell>
          <cell r="G748">
            <v>2351.77</v>
          </cell>
          <cell r="I748" t="str">
            <v>Comprou Marcas</v>
          </cell>
        </row>
        <row r="749">
          <cell r="A749">
            <v>7217112000490</v>
          </cell>
          <cell r="B749" t="str">
            <v>DROGARIA MEGA POPULAR</v>
          </cell>
          <cell r="C749" t="str">
            <v>INDEPENDENTES VIN</v>
          </cell>
          <cell r="D749" t="str">
            <v>NOVO DIAMANTINO (DIAMANTINO)</v>
          </cell>
          <cell r="E749" t="str">
            <v>MT</v>
          </cell>
          <cell r="F749">
            <v>46314</v>
          </cell>
          <cell r="G749">
            <v>3871.4700000000007</v>
          </cell>
          <cell r="I749" t="str">
            <v>Comprou Marcas</v>
          </cell>
        </row>
        <row r="750">
          <cell r="A750">
            <v>14782944000172</v>
          </cell>
          <cell r="B750" t="str">
            <v>DROGARIA MEGA POPULAR</v>
          </cell>
          <cell r="C750" t="str">
            <v>INDEPENDENTES VIN</v>
          </cell>
          <cell r="D750" t="str">
            <v>TANGARA DA SERRA</v>
          </cell>
          <cell r="E750" t="str">
            <v>MT</v>
          </cell>
          <cell r="F750">
            <v>46304</v>
          </cell>
          <cell r="G750">
            <v>796.57999999999993</v>
          </cell>
          <cell r="I750" t="str">
            <v>Comprou Marcas</v>
          </cell>
        </row>
        <row r="751">
          <cell r="A751">
            <v>14782944000253</v>
          </cell>
          <cell r="B751" t="str">
            <v>DROGARIA MEGA POPULAR</v>
          </cell>
          <cell r="C751" t="str">
            <v>INDEPENDENTES VIN</v>
          </cell>
          <cell r="D751" t="str">
            <v>TANGARA DA SERRA</v>
          </cell>
          <cell r="E751" t="str">
            <v>MT</v>
          </cell>
          <cell r="F751">
            <v>46303</v>
          </cell>
          <cell r="G751">
            <v>1115.71</v>
          </cell>
          <cell r="I751" t="str">
            <v>Comprou Marcas</v>
          </cell>
        </row>
        <row r="752">
          <cell r="A752">
            <v>17476547000241</v>
          </cell>
          <cell r="B752" t="str">
            <v>DROGARIA MEGA POPULAR</v>
          </cell>
          <cell r="C752" t="str">
            <v>MASTERFARMA</v>
          </cell>
          <cell r="D752" t="str">
            <v>AGUA BOA</v>
          </cell>
          <cell r="E752" t="str">
            <v>MT</v>
          </cell>
          <cell r="I752" t="str">
            <v>Não Comprou</v>
          </cell>
        </row>
        <row r="753">
          <cell r="A753">
            <v>29710511000189</v>
          </cell>
          <cell r="B753" t="str">
            <v>DROGARIA MEGA ECONOMICA</v>
          </cell>
          <cell r="C753" t="str">
            <v>ASFAR FARMACIAS</v>
          </cell>
          <cell r="D753" t="str">
            <v>SINOP</v>
          </cell>
          <cell r="E753" t="str">
            <v>MT</v>
          </cell>
          <cell r="I753" t="str">
            <v>Não Comprou</v>
          </cell>
        </row>
        <row r="754">
          <cell r="A754">
            <v>13412480000140</v>
          </cell>
          <cell r="B754" t="str">
            <v>DROGARIA MED FARMA</v>
          </cell>
          <cell r="C754" t="str">
            <v>INDEPENDENTES VIN</v>
          </cell>
          <cell r="D754" t="str">
            <v>ARAGARCAS</v>
          </cell>
          <cell r="E754" t="str">
            <v>GO</v>
          </cell>
          <cell r="I754" t="str">
            <v>Não Comprou</v>
          </cell>
        </row>
        <row r="755">
          <cell r="A755">
            <v>5344624000140</v>
          </cell>
          <cell r="B755" t="str">
            <v>DROGARIA MAXIPOPULAR</v>
          </cell>
          <cell r="C755" t="str">
            <v>FARMARCAS</v>
          </cell>
          <cell r="D755" t="str">
            <v>PONTA PORA</v>
          </cell>
          <cell r="E755" t="str">
            <v>MS</v>
          </cell>
          <cell r="F755">
            <v>46315</v>
          </cell>
          <cell r="G755">
            <v>6233.1899999999987</v>
          </cell>
          <cell r="I755" t="str">
            <v>Comprou Marcas</v>
          </cell>
        </row>
        <row r="756">
          <cell r="A756">
            <v>66807884000107</v>
          </cell>
          <cell r="B756" t="str">
            <v>DROGARIA MAXIMO</v>
          </cell>
          <cell r="C756" t="str">
            <v>INDEPENDENTES VIN</v>
          </cell>
          <cell r="D756" t="str">
            <v>MARACAI</v>
          </cell>
          <cell r="E756" t="str">
            <v>SP</v>
          </cell>
          <cell r="I756" t="str">
            <v>Não Comprou</v>
          </cell>
        </row>
        <row r="757">
          <cell r="A757">
            <v>18666741000414</v>
          </cell>
          <cell r="B757" t="str">
            <v>DROGARIA MAX PROMISSAO</v>
          </cell>
          <cell r="C757" t="str">
            <v>FARMARCAS</v>
          </cell>
          <cell r="D757" t="str">
            <v>PROMISSAO</v>
          </cell>
          <cell r="E757" t="str">
            <v>SP</v>
          </cell>
          <cell r="F757">
            <v>46310</v>
          </cell>
          <cell r="G757">
            <v>2199.6200000000003</v>
          </cell>
          <cell r="H757">
            <v>2742.96</v>
          </cell>
          <cell r="I757" t="str">
            <v>Comprou Marcas e SG</v>
          </cell>
        </row>
        <row r="758">
          <cell r="A758">
            <v>1340477000189</v>
          </cell>
          <cell r="B758" t="str">
            <v>DROGARIA MARTINS</v>
          </cell>
          <cell r="C758" t="str">
            <v>INDEPENDENTES VIN</v>
          </cell>
          <cell r="D758" t="str">
            <v>JUNQUEIROPOLIS</v>
          </cell>
          <cell r="E758" t="str">
            <v>SP</v>
          </cell>
          <cell r="F758">
            <v>46303</v>
          </cell>
          <cell r="G758">
            <v>712.55</v>
          </cell>
          <cell r="I758" t="str">
            <v>Comprou Marcas</v>
          </cell>
        </row>
        <row r="759">
          <cell r="A759">
            <v>17222004000117</v>
          </cell>
          <cell r="B759" t="str">
            <v>DROGARIA MARE MANSA</v>
          </cell>
          <cell r="C759" t="str">
            <v>DSG FARMA</v>
          </cell>
          <cell r="D759" t="str">
            <v>PRESIDENTE PRUDENTE</v>
          </cell>
          <cell r="E759" t="str">
            <v>SP</v>
          </cell>
          <cell r="I759" t="str">
            <v>Não Comprou</v>
          </cell>
        </row>
        <row r="760">
          <cell r="A760">
            <v>24127802000125</v>
          </cell>
          <cell r="B760" t="str">
            <v>DROGARIA MARCELO</v>
          </cell>
          <cell r="C760" t="str">
            <v>ASSOCIADAS</v>
          </cell>
          <cell r="D760" t="str">
            <v>NAVIRAI</v>
          </cell>
          <cell r="E760" t="str">
            <v>MS</v>
          </cell>
          <cell r="F760">
            <v>46309</v>
          </cell>
          <cell r="G760">
            <v>2146.27</v>
          </cell>
          <cell r="I760" t="str">
            <v>Comprou Marcas</v>
          </cell>
        </row>
        <row r="761">
          <cell r="A761">
            <v>21082444000193</v>
          </cell>
          <cell r="B761" t="str">
            <v>DROGARIA MAIS VIDA</v>
          </cell>
          <cell r="C761" t="str">
            <v>ASSOCIADAS</v>
          </cell>
          <cell r="D761" t="str">
            <v>AQUIDAUANA</v>
          </cell>
          <cell r="E761" t="str">
            <v>MS</v>
          </cell>
          <cell r="F761">
            <v>46311</v>
          </cell>
          <cell r="G761">
            <v>10315.460000000001</v>
          </cell>
          <cell r="I761" t="str">
            <v>Comprou Marcas</v>
          </cell>
        </row>
        <row r="762">
          <cell r="A762">
            <v>21082444000355</v>
          </cell>
          <cell r="B762" t="str">
            <v>DROGARIA MAIS VIDA</v>
          </cell>
          <cell r="C762" t="str">
            <v>ASSOCIADAS</v>
          </cell>
          <cell r="D762" t="str">
            <v>AQUIDAUANA</v>
          </cell>
          <cell r="E762" t="str">
            <v>MS</v>
          </cell>
          <cell r="F762">
            <v>46308</v>
          </cell>
          <cell r="G762">
            <v>917.28999999999985</v>
          </cell>
          <cell r="I762" t="str">
            <v>Comprou Marcas</v>
          </cell>
        </row>
        <row r="763">
          <cell r="A763">
            <v>33184266000271</v>
          </cell>
          <cell r="B763" t="str">
            <v>DROGARIA MAIS VIDA</v>
          </cell>
          <cell r="C763" t="str">
            <v>INDEPENDENTES VIN</v>
          </cell>
          <cell r="D763" t="str">
            <v>TABAPORA</v>
          </cell>
          <cell r="E763" t="str">
            <v>MT</v>
          </cell>
          <cell r="F763">
            <v>46311</v>
          </cell>
          <cell r="G763">
            <v>4734.9399999999996</v>
          </cell>
          <cell r="I763" t="str">
            <v>Comprou Marcas</v>
          </cell>
        </row>
        <row r="764">
          <cell r="A764">
            <v>33184266000352</v>
          </cell>
          <cell r="B764" t="str">
            <v>DROGARIA MAIS VIDA</v>
          </cell>
          <cell r="C764" t="str">
            <v>INDEPENDENTES VIN</v>
          </cell>
          <cell r="D764" t="str">
            <v>SORRISO</v>
          </cell>
          <cell r="E764" t="str">
            <v>MT</v>
          </cell>
          <cell r="F764">
            <v>46310</v>
          </cell>
          <cell r="G764">
            <v>2419.61</v>
          </cell>
          <cell r="I764" t="str">
            <v>Comprou Marcas</v>
          </cell>
        </row>
        <row r="765">
          <cell r="A765">
            <v>62569939000129</v>
          </cell>
          <cell r="B765" t="str">
            <v>DROGARIA MAIS SAUDE POPULAR</v>
          </cell>
          <cell r="C765" t="str">
            <v>REDE POUPE AQUI</v>
          </cell>
          <cell r="D765" t="str">
            <v>PRIMAVERA DO LESTE</v>
          </cell>
          <cell r="E765" t="str">
            <v>MT</v>
          </cell>
          <cell r="I765" t="str">
            <v>Não Comprou</v>
          </cell>
        </row>
        <row r="766">
          <cell r="A766">
            <v>41196111000100</v>
          </cell>
          <cell r="B766" t="str">
            <v>DROGARIA MAIS SAUDE</v>
          </cell>
          <cell r="C766" t="str">
            <v>ASSOCIADAS</v>
          </cell>
          <cell r="D766" t="str">
            <v>COXIM</v>
          </cell>
          <cell r="E766" t="str">
            <v>MS</v>
          </cell>
          <cell r="I766" t="str">
            <v>Não Comprou</v>
          </cell>
        </row>
        <row r="767">
          <cell r="A767">
            <v>43491146000190</v>
          </cell>
          <cell r="B767" t="str">
            <v>DROGARIA MAIS SAUDE</v>
          </cell>
          <cell r="C767" t="str">
            <v>MASTERFARMA</v>
          </cell>
          <cell r="D767" t="str">
            <v>CUIABA</v>
          </cell>
          <cell r="E767" t="str">
            <v>MT</v>
          </cell>
          <cell r="I767" t="str">
            <v>Não Comprou</v>
          </cell>
        </row>
        <row r="768">
          <cell r="A768">
            <v>37963302000175</v>
          </cell>
          <cell r="B768" t="str">
            <v>DROGARIA MAIS SAUDE</v>
          </cell>
          <cell r="C768" t="str">
            <v>INDEPENDENTES VIN</v>
          </cell>
          <cell r="D768" t="str">
            <v>RIBEIRAO CASCALHEIRA</v>
          </cell>
          <cell r="E768" t="str">
            <v>MT</v>
          </cell>
          <cell r="I768" t="str">
            <v>Não Comprou</v>
          </cell>
        </row>
        <row r="769">
          <cell r="A769">
            <v>4578510000100</v>
          </cell>
          <cell r="B769" t="str">
            <v>DROGARIA MAIS SAUDE</v>
          </cell>
          <cell r="C769" t="str">
            <v>DSG FARMA</v>
          </cell>
          <cell r="D769" t="str">
            <v>ARACATUBA</v>
          </cell>
          <cell r="E769" t="str">
            <v>SP</v>
          </cell>
          <cell r="F769">
            <v>46308</v>
          </cell>
          <cell r="G769">
            <v>2522.2400000000007</v>
          </cell>
          <cell r="H769">
            <v>2833.92</v>
          </cell>
          <cell r="I769" t="str">
            <v>Comprou Marcas e SG</v>
          </cell>
        </row>
        <row r="770">
          <cell r="A770">
            <v>24217601000119</v>
          </cell>
          <cell r="B770" t="str">
            <v>DROGARIA MAIS POPULAR</v>
          </cell>
          <cell r="C770" t="str">
            <v>INDEPENDENTES VIN</v>
          </cell>
          <cell r="D770" t="str">
            <v>NIOAQUE</v>
          </cell>
          <cell r="E770" t="str">
            <v>MS</v>
          </cell>
          <cell r="I770" t="str">
            <v>Não Comprou</v>
          </cell>
        </row>
        <row r="771">
          <cell r="A771">
            <v>30049938000167</v>
          </cell>
          <cell r="B771" t="str">
            <v>DROGARIA MAIS GERAL</v>
          </cell>
          <cell r="C771" t="str">
            <v>ASSOCIADAS</v>
          </cell>
          <cell r="D771" t="str">
            <v>VARZEA GRANDE</v>
          </cell>
          <cell r="E771" t="str">
            <v>MT</v>
          </cell>
          <cell r="I771" t="str">
            <v>Não Comprou</v>
          </cell>
        </row>
        <row r="772">
          <cell r="A772">
            <v>30461125000180</v>
          </cell>
          <cell r="B772" t="str">
            <v>DROGARIA MAIS GERAL</v>
          </cell>
          <cell r="C772" t="str">
            <v>ASSOCIADAS</v>
          </cell>
          <cell r="D772" t="str">
            <v>VARZEA GRANDE</v>
          </cell>
          <cell r="E772" t="str">
            <v>MT</v>
          </cell>
          <cell r="F772">
            <v>46303</v>
          </cell>
          <cell r="G772">
            <v>1903.49</v>
          </cell>
          <cell r="I772" t="str">
            <v>Comprou Marcas</v>
          </cell>
        </row>
        <row r="773">
          <cell r="A773">
            <v>53772681000172</v>
          </cell>
          <cell r="B773" t="str">
            <v>DROGARIA MAIS AMERICA</v>
          </cell>
          <cell r="C773" t="str">
            <v>ASSOCIADAS</v>
          </cell>
          <cell r="D773" t="str">
            <v>CUIABA</v>
          </cell>
          <cell r="E773" t="str">
            <v>MT</v>
          </cell>
          <cell r="I773" t="str">
            <v>Não Comprou</v>
          </cell>
        </row>
        <row r="774">
          <cell r="A774">
            <v>15247037000196</v>
          </cell>
          <cell r="B774" t="str">
            <v>DROGARIA LOCATELLI</v>
          </cell>
          <cell r="C774" t="str">
            <v>INDEPENDENTES VIN</v>
          </cell>
          <cell r="D774" t="str">
            <v>TRES LAGOAS</v>
          </cell>
          <cell r="E774" t="str">
            <v>MS</v>
          </cell>
          <cell r="F774">
            <v>46304</v>
          </cell>
          <cell r="G774">
            <v>1009.88</v>
          </cell>
          <cell r="I774" t="str">
            <v>Comprou Marcas</v>
          </cell>
        </row>
        <row r="775">
          <cell r="A775">
            <v>10829445000132</v>
          </cell>
          <cell r="B775" t="str">
            <v>DROGARIA LIDERANCA</v>
          </cell>
          <cell r="C775" t="str">
            <v>INDEPENDENTES VIN</v>
          </cell>
          <cell r="D775" t="str">
            <v>CUIABA</v>
          </cell>
          <cell r="E775" t="str">
            <v>MT</v>
          </cell>
          <cell r="I775" t="str">
            <v>Não Comprou</v>
          </cell>
        </row>
        <row r="776">
          <cell r="A776">
            <v>41195400000187</v>
          </cell>
          <cell r="B776" t="str">
            <v>DROGARIA LIDER II</v>
          </cell>
          <cell r="C776" t="str">
            <v>MASTERFARMA</v>
          </cell>
          <cell r="D776" t="str">
            <v>PARANAIBA</v>
          </cell>
          <cell r="E776" t="str">
            <v>MS</v>
          </cell>
          <cell r="I776" t="str">
            <v>Não Comprou</v>
          </cell>
        </row>
        <row r="777">
          <cell r="A777">
            <v>20759443000178</v>
          </cell>
          <cell r="B777" t="str">
            <v>DROGARIA LIDER</v>
          </cell>
          <cell r="C777" t="str">
            <v>ASSOCIADAS</v>
          </cell>
          <cell r="D777" t="str">
            <v>RIBEIRAO CASCALHEIRA</v>
          </cell>
          <cell r="E777" t="str">
            <v>MT</v>
          </cell>
          <cell r="I777" t="str">
            <v>Não Comprou</v>
          </cell>
        </row>
        <row r="778">
          <cell r="A778">
            <v>938969000108</v>
          </cell>
          <cell r="B778" t="str">
            <v>DROGARIA LIBERAL</v>
          </cell>
          <cell r="C778" t="str">
            <v>INDEPENDENTES VIN</v>
          </cell>
          <cell r="D778" t="str">
            <v>JUARA</v>
          </cell>
          <cell r="E778" t="str">
            <v>MT</v>
          </cell>
          <cell r="F778">
            <v>46304</v>
          </cell>
          <cell r="G778">
            <v>1898.77</v>
          </cell>
          <cell r="I778" t="str">
            <v>Comprou Marcas</v>
          </cell>
        </row>
        <row r="779">
          <cell r="A779">
            <v>1177047000198</v>
          </cell>
          <cell r="B779" t="str">
            <v>DROGARIA LEVERGER</v>
          </cell>
          <cell r="C779" t="str">
            <v>ASSOCIADAS</v>
          </cell>
          <cell r="D779" t="str">
            <v>SANTO ANTONIO DO LEVERGER</v>
          </cell>
          <cell r="E779" t="str">
            <v>MT</v>
          </cell>
          <cell r="F779">
            <v>46310</v>
          </cell>
          <cell r="G779">
            <v>7479.9099999999989</v>
          </cell>
          <cell r="I779" t="str">
            <v>Comprou Marcas</v>
          </cell>
        </row>
        <row r="780">
          <cell r="A780">
            <v>37653234000148</v>
          </cell>
          <cell r="B780" t="str">
            <v>DROGARIA INTERNACIONAL</v>
          </cell>
          <cell r="C780" t="str">
            <v>DROGARIA TOTAL</v>
          </cell>
          <cell r="D780" t="str">
            <v>LUCELIA</v>
          </cell>
          <cell r="E780" t="str">
            <v>SP</v>
          </cell>
          <cell r="I780" t="str">
            <v>Não Comprou</v>
          </cell>
        </row>
        <row r="781">
          <cell r="A781">
            <v>48130762000139</v>
          </cell>
          <cell r="B781" t="str">
            <v>DROGARIA IMPERATRIZ</v>
          </cell>
          <cell r="C781" t="str">
            <v>HIPER SAUDE</v>
          </cell>
          <cell r="D781" t="str">
            <v>ALTO GARCAS</v>
          </cell>
          <cell r="E781" t="str">
            <v>MT</v>
          </cell>
          <cell r="I781" t="str">
            <v>Não Comprou</v>
          </cell>
        </row>
        <row r="782">
          <cell r="A782">
            <v>11109080000134</v>
          </cell>
          <cell r="B782" t="str">
            <v>DROGARIA IGUATEMI</v>
          </cell>
          <cell r="C782" t="str">
            <v>ASSOCIADAS</v>
          </cell>
          <cell r="D782" t="str">
            <v>IGUATEMI</v>
          </cell>
          <cell r="E782" t="str">
            <v>MS</v>
          </cell>
          <cell r="F782">
            <v>46316</v>
          </cell>
          <cell r="G782">
            <v>2278.86</v>
          </cell>
          <cell r="H782">
            <v>2416.6499999999996</v>
          </cell>
          <cell r="I782" t="str">
            <v>Comprou Marcas e SG</v>
          </cell>
        </row>
        <row r="783">
          <cell r="A783">
            <v>5592488000107</v>
          </cell>
          <cell r="B783" t="str">
            <v>DROGARIA IBIRAPUERA</v>
          </cell>
          <cell r="C783" t="str">
            <v>MASTERFARMA</v>
          </cell>
          <cell r="D783" t="str">
            <v>ARACATUBA</v>
          </cell>
          <cell r="E783" t="str">
            <v>SP</v>
          </cell>
          <cell r="F783">
            <v>46316</v>
          </cell>
          <cell r="G783">
            <v>321.03999999999996</v>
          </cell>
          <cell r="H783">
            <v>6962.6</v>
          </cell>
          <cell r="I783" t="str">
            <v>Comprou Marcas e SG</v>
          </cell>
        </row>
        <row r="784">
          <cell r="A784">
            <v>44556106000141</v>
          </cell>
          <cell r="B784" t="str">
            <v>DROGARIA I&amp;E KROLING</v>
          </cell>
          <cell r="C784" t="str">
            <v>FARMELHOR</v>
          </cell>
          <cell r="D784" t="str">
            <v>DIAMANTINO</v>
          </cell>
          <cell r="E784" t="str">
            <v>MT</v>
          </cell>
          <cell r="F784">
            <v>46314</v>
          </cell>
          <cell r="G784">
            <v>1776.6299999999997</v>
          </cell>
          <cell r="I784" t="str">
            <v>Comprou Marcas</v>
          </cell>
        </row>
        <row r="785">
          <cell r="A785">
            <v>36431185000136</v>
          </cell>
          <cell r="B785" t="str">
            <v>DROGARIA HIPER POPULAR</v>
          </cell>
          <cell r="C785" t="str">
            <v>INDEPENDENTES VIN</v>
          </cell>
          <cell r="D785" t="str">
            <v>CAMPO VERDE</v>
          </cell>
          <cell r="E785" t="str">
            <v>MT</v>
          </cell>
          <cell r="F785">
            <v>46303</v>
          </cell>
          <cell r="G785">
            <v>137.85</v>
          </cell>
          <cell r="I785" t="str">
            <v>Comprou Marcas</v>
          </cell>
        </row>
        <row r="786">
          <cell r="A786">
            <v>9039622000360</v>
          </cell>
          <cell r="B786" t="str">
            <v>DROGARIA HIPER POPULAR</v>
          </cell>
          <cell r="C786" t="str">
            <v>ASSOCIADAS</v>
          </cell>
          <cell r="D786" t="str">
            <v>SORRISO</v>
          </cell>
          <cell r="E786" t="str">
            <v>MT</v>
          </cell>
          <cell r="F786">
            <v>46316</v>
          </cell>
          <cell r="G786">
            <v>15822.860000000015</v>
          </cell>
          <cell r="H786">
            <v>25287.020000000004</v>
          </cell>
          <cell r="I786" t="str">
            <v>Comprou Marcas e SG</v>
          </cell>
        </row>
        <row r="787">
          <cell r="A787">
            <v>48892332000154</v>
          </cell>
          <cell r="B787" t="str">
            <v>DROGARIA HIPER POPULAR</v>
          </cell>
          <cell r="C787" t="str">
            <v>ASSOCIADAS</v>
          </cell>
          <cell r="D787" t="str">
            <v>PRIMAVERA DO LESTE</v>
          </cell>
          <cell r="E787" t="str">
            <v>MT</v>
          </cell>
          <cell r="I787" t="str">
            <v>Não Comprou</v>
          </cell>
        </row>
        <row r="788">
          <cell r="A788">
            <v>5465757000174</v>
          </cell>
          <cell r="B788" t="str">
            <v>DROGARIA GOIAS</v>
          </cell>
          <cell r="C788" t="str">
            <v>ASSOCIADAS</v>
          </cell>
          <cell r="D788" t="str">
            <v>TANGARA DA SERRA</v>
          </cell>
          <cell r="E788" t="str">
            <v>MT</v>
          </cell>
          <cell r="F788">
            <v>46310</v>
          </cell>
          <cell r="G788">
            <v>1135.0299999999997</v>
          </cell>
          <cell r="I788" t="str">
            <v>Comprou Marcas</v>
          </cell>
        </row>
        <row r="789">
          <cell r="A789">
            <v>33007949000172</v>
          </cell>
          <cell r="B789" t="str">
            <v>DROGARIA GOIAS</v>
          </cell>
          <cell r="C789" t="str">
            <v>ASSOCIADAS</v>
          </cell>
          <cell r="D789" t="str">
            <v>NOVA XAVANTINA</v>
          </cell>
          <cell r="E789" t="str">
            <v>MT</v>
          </cell>
          <cell r="F789">
            <v>46314</v>
          </cell>
          <cell r="G789">
            <v>6652.7699999999995</v>
          </cell>
          <cell r="I789" t="str">
            <v>Comprou Marcas</v>
          </cell>
        </row>
        <row r="790">
          <cell r="A790">
            <v>779082000114</v>
          </cell>
          <cell r="B790" t="str">
            <v>DROGARIA GLOBO</v>
          </cell>
          <cell r="C790" t="str">
            <v>MASTERFARMA</v>
          </cell>
          <cell r="D790" t="str">
            <v>MUNDO NOVO</v>
          </cell>
          <cell r="E790" t="str">
            <v>MS</v>
          </cell>
          <cell r="I790" t="str">
            <v>Não Comprou</v>
          </cell>
        </row>
        <row r="791">
          <cell r="A791">
            <v>49146937000169</v>
          </cell>
          <cell r="B791" t="str">
            <v>DROGARIA G PHARMA</v>
          </cell>
          <cell r="C791" t="str">
            <v>DSG FARMA</v>
          </cell>
          <cell r="D791" t="str">
            <v>PENAPOLIS</v>
          </cell>
          <cell r="E791" t="str">
            <v>SP</v>
          </cell>
          <cell r="F791">
            <v>46316</v>
          </cell>
          <cell r="G791">
            <v>2623.8599999999997</v>
          </cell>
          <cell r="I791" t="str">
            <v>Comprou Marcas</v>
          </cell>
        </row>
        <row r="792">
          <cell r="A792">
            <v>14314400000186</v>
          </cell>
          <cell r="B792" t="str">
            <v>DROGARIA G FARMA</v>
          </cell>
          <cell r="C792" t="str">
            <v>INDEPENDENTES VIN</v>
          </cell>
          <cell r="D792" t="str">
            <v>TANGARA DA SERRA</v>
          </cell>
          <cell r="E792" t="str">
            <v>MT</v>
          </cell>
          <cell r="F792">
            <v>46306</v>
          </cell>
          <cell r="G792">
            <v>209.52</v>
          </cell>
          <cell r="I792" t="str">
            <v>Comprou Marcas</v>
          </cell>
        </row>
        <row r="793">
          <cell r="A793">
            <v>16789469000191</v>
          </cell>
          <cell r="B793" t="str">
            <v>DROGARIA FLORAIS</v>
          </cell>
          <cell r="C793" t="str">
            <v>CONCEITO</v>
          </cell>
          <cell r="D793" t="str">
            <v>CUIABA</v>
          </cell>
          <cell r="E793" t="str">
            <v>MT</v>
          </cell>
          <cell r="I793" t="str">
            <v>Não Comprou</v>
          </cell>
        </row>
        <row r="794">
          <cell r="A794">
            <v>43011126000174</v>
          </cell>
          <cell r="B794" t="str">
            <v>DROGARIA FL DO LUIZINHO</v>
          </cell>
          <cell r="C794" t="str">
            <v>ASSOCIADAS</v>
          </cell>
          <cell r="D794" t="str">
            <v>CAMPO GRANDE</v>
          </cell>
          <cell r="E794" t="str">
            <v>MS</v>
          </cell>
          <cell r="I794" t="str">
            <v>Não Comprou</v>
          </cell>
        </row>
        <row r="795">
          <cell r="A795">
            <v>42569761000109</v>
          </cell>
          <cell r="B795" t="str">
            <v>DROGARIA FELIPE</v>
          </cell>
          <cell r="C795" t="str">
            <v>REDE INOVA</v>
          </cell>
          <cell r="D795" t="str">
            <v>INOCENCIA</v>
          </cell>
          <cell r="E795" t="str">
            <v>MS</v>
          </cell>
          <cell r="F795">
            <v>46309</v>
          </cell>
          <cell r="G795">
            <v>2210.5000000000005</v>
          </cell>
          <cell r="I795" t="str">
            <v>Comprou Marcas</v>
          </cell>
        </row>
        <row r="796">
          <cell r="A796">
            <v>32975740000130</v>
          </cell>
          <cell r="B796" t="str">
            <v>DROGARIA FARMOVIDA</v>
          </cell>
          <cell r="C796" t="str">
            <v>INDEPENDENTES VIN</v>
          </cell>
          <cell r="D796" t="str">
            <v>ALTO ARAGUAIA</v>
          </cell>
          <cell r="E796" t="str">
            <v>MT</v>
          </cell>
          <cell r="I796" t="str">
            <v>Não Comprou</v>
          </cell>
        </row>
        <row r="797">
          <cell r="A797">
            <v>3997842000158</v>
          </cell>
          <cell r="B797" t="str">
            <v>DROGARIA FARMELHOR</v>
          </cell>
          <cell r="C797" t="str">
            <v>FARMELHOR</v>
          </cell>
          <cell r="D797" t="str">
            <v>QUERENCIA</v>
          </cell>
          <cell r="E797" t="str">
            <v>MT</v>
          </cell>
          <cell r="F797">
            <v>46303</v>
          </cell>
          <cell r="G797">
            <v>2367.4299999999998</v>
          </cell>
          <cell r="I797" t="str">
            <v>Comprou Marcas</v>
          </cell>
        </row>
        <row r="798">
          <cell r="A798">
            <v>10280518000180</v>
          </cell>
          <cell r="B798" t="str">
            <v>DROGARIA FARMAX</v>
          </cell>
          <cell r="C798" t="str">
            <v>INDEPENDENTES VIN</v>
          </cell>
          <cell r="D798" t="str">
            <v>SINOP</v>
          </cell>
          <cell r="E798" t="str">
            <v>MT</v>
          </cell>
          <cell r="I798" t="str">
            <v>Não Comprou</v>
          </cell>
        </row>
        <row r="799">
          <cell r="A799">
            <v>13507152000127</v>
          </cell>
          <cell r="B799" t="str">
            <v>DROGARIA FARMALUZ</v>
          </cell>
          <cell r="C799" t="str">
            <v>DSG FARMA</v>
          </cell>
          <cell r="D799" t="str">
            <v>SINOP</v>
          </cell>
          <cell r="E799" t="str">
            <v>MT</v>
          </cell>
          <cell r="F799">
            <v>46311</v>
          </cell>
          <cell r="G799">
            <v>4436.4000000000005</v>
          </cell>
          <cell r="I799" t="str">
            <v>Comprou Marcas</v>
          </cell>
        </row>
        <row r="800">
          <cell r="A800">
            <v>8986750000196</v>
          </cell>
          <cell r="B800" t="str">
            <v>DROGARIA FARMALIMA</v>
          </cell>
          <cell r="C800" t="str">
            <v>ASSOCIADAS</v>
          </cell>
          <cell r="D800" t="str">
            <v>CAMPO GRANDE</v>
          </cell>
          <cell r="E800" t="str">
            <v>MS</v>
          </cell>
          <cell r="I800" t="str">
            <v>Não Comprou</v>
          </cell>
        </row>
        <row r="801">
          <cell r="A801">
            <v>8986750000277</v>
          </cell>
          <cell r="B801" t="str">
            <v>DROGARIA FARMALIMA</v>
          </cell>
          <cell r="C801" t="str">
            <v>ASSOCIADAS</v>
          </cell>
          <cell r="D801" t="str">
            <v>CAMPO GRANDE</v>
          </cell>
          <cell r="E801" t="str">
            <v>MS</v>
          </cell>
          <cell r="F801">
            <v>46310</v>
          </cell>
          <cell r="G801">
            <v>1737.18</v>
          </cell>
          <cell r="I801" t="str">
            <v>Comprou Marcas</v>
          </cell>
        </row>
        <row r="802">
          <cell r="A802">
            <v>8986750000358</v>
          </cell>
          <cell r="B802" t="str">
            <v>DROGARIA FARMALIMA</v>
          </cell>
          <cell r="C802" t="str">
            <v>ASSOCIADAS</v>
          </cell>
          <cell r="D802" t="str">
            <v>CAMPO GRANDE</v>
          </cell>
          <cell r="E802" t="str">
            <v>MS</v>
          </cell>
          <cell r="I802" t="str">
            <v>Não Comprou</v>
          </cell>
        </row>
        <row r="803">
          <cell r="A803">
            <v>10870136000106</v>
          </cell>
          <cell r="B803" t="str">
            <v>DROGARIA FARMAFLORES</v>
          </cell>
          <cell r="C803" t="str">
            <v>DSG FARMA</v>
          </cell>
          <cell r="D803" t="str">
            <v>RONDONOPOLIS</v>
          </cell>
          <cell r="E803" t="str">
            <v>MT</v>
          </cell>
          <cell r="F803">
            <v>46304</v>
          </cell>
          <cell r="G803">
            <v>668.67</v>
          </cell>
          <cell r="I803" t="str">
            <v>Comprou Marcas</v>
          </cell>
        </row>
        <row r="804">
          <cell r="A804">
            <v>9115230000170</v>
          </cell>
          <cell r="B804" t="str">
            <v>DROGARIA FARMACIL II</v>
          </cell>
          <cell r="C804" t="str">
            <v>DROGARIA TOTAL</v>
          </cell>
          <cell r="D804" t="str">
            <v>BIRIGUI</v>
          </cell>
          <cell r="E804" t="str">
            <v>SP</v>
          </cell>
          <cell r="I804" t="str">
            <v>Não Comprou</v>
          </cell>
        </row>
        <row r="805">
          <cell r="A805">
            <v>49687096000105</v>
          </cell>
          <cell r="B805" t="str">
            <v>DROGARIA FARMACIA DO GILMAR</v>
          </cell>
          <cell r="C805" t="str">
            <v>INDEPENDENTES VIN</v>
          </cell>
          <cell r="D805" t="str">
            <v>ANDRADINA</v>
          </cell>
          <cell r="E805" t="str">
            <v>SP</v>
          </cell>
          <cell r="I805" t="str">
            <v>Não Comprou</v>
          </cell>
        </row>
        <row r="806">
          <cell r="A806">
            <v>27114394000165</v>
          </cell>
          <cell r="B806" t="str">
            <v>DROGARIA FARMABRAZ</v>
          </cell>
          <cell r="C806" t="str">
            <v>INDEPENDENTES VIN</v>
          </cell>
          <cell r="D806" t="str">
            <v>TRES LAGOAS</v>
          </cell>
          <cell r="E806" t="str">
            <v>MS</v>
          </cell>
          <cell r="I806" t="str">
            <v>Não Comprou</v>
          </cell>
        </row>
        <row r="807">
          <cell r="A807">
            <v>14648568000128</v>
          </cell>
          <cell r="B807" t="str">
            <v>DROGARIA FARMA CENTER</v>
          </cell>
          <cell r="C807" t="str">
            <v>ASSOCIADAS</v>
          </cell>
          <cell r="D807" t="str">
            <v>QUERENCIA</v>
          </cell>
          <cell r="E807" t="str">
            <v>MT</v>
          </cell>
          <cell r="I807" t="str">
            <v>Não Comprou</v>
          </cell>
        </row>
        <row r="808">
          <cell r="A808">
            <v>13537905000147</v>
          </cell>
          <cell r="B808" t="str">
            <v>DROGARIA FAMILIA</v>
          </cell>
          <cell r="C808" t="str">
            <v>INDEPENDENTES VIN</v>
          </cell>
          <cell r="D808" t="str">
            <v>CAMPO GRANDE</v>
          </cell>
          <cell r="E808" t="str">
            <v>MS</v>
          </cell>
          <cell r="F808">
            <v>46300</v>
          </cell>
          <cell r="G808">
            <v>269.27</v>
          </cell>
          <cell r="H808">
            <v>619.6</v>
          </cell>
          <cell r="I808" t="str">
            <v>Comprou Marcas e SG</v>
          </cell>
        </row>
        <row r="809">
          <cell r="A809">
            <v>26495088000153</v>
          </cell>
          <cell r="B809" t="str">
            <v>DROGARIA EXTRA POPULAR</v>
          </cell>
          <cell r="C809" t="str">
            <v>MASTERFARMA</v>
          </cell>
          <cell r="D809" t="str">
            <v>BARRA DO GARCAS</v>
          </cell>
          <cell r="E809" t="str">
            <v>MT</v>
          </cell>
          <cell r="F809">
            <v>46316</v>
          </cell>
          <cell r="G809">
            <v>764</v>
          </cell>
          <cell r="I809" t="str">
            <v>Comprou Marcas</v>
          </cell>
        </row>
        <row r="810">
          <cell r="A810">
            <v>22054397000137</v>
          </cell>
          <cell r="B810" t="str">
            <v>DROGARIA EVANGELICA</v>
          </cell>
          <cell r="C810" t="str">
            <v>COMPRE BEM</v>
          </cell>
          <cell r="D810" t="str">
            <v>RIBEIRAO CASCALHEIRA</v>
          </cell>
          <cell r="E810" t="str">
            <v>MT</v>
          </cell>
          <cell r="I810" t="str">
            <v>Não Comprou</v>
          </cell>
        </row>
        <row r="811">
          <cell r="A811">
            <v>13470278000174</v>
          </cell>
          <cell r="B811" t="str">
            <v>DROGARIA ESTRELA GUIA</v>
          </cell>
          <cell r="C811" t="str">
            <v>INDEPENDENTES VIN</v>
          </cell>
          <cell r="D811" t="str">
            <v>ARAGARCAS</v>
          </cell>
          <cell r="E811" t="str">
            <v>GO</v>
          </cell>
          <cell r="I811" t="str">
            <v>Não Comprou</v>
          </cell>
        </row>
        <row r="812">
          <cell r="A812">
            <v>7754019000172</v>
          </cell>
          <cell r="B812" t="str">
            <v>DROGARIA ESTRELA</v>
          </cell>
          <cell r="C812" t="str">
            <v>INDEPENDENTES VIN</v>
          </cell>
          <cell r="D812" t="str">
            <v>BARRA DO GARCAS</v>
          </cell>
          <cell r="E812" t="str">
            <v>MT</v>
          </cell>
          <cell r="I812" t="str">
            <v>Não Comprou</v>
          </cell>
        </row>
        <row r="813">
          <cell r="A813">
            <v>18110799000134</v>
          </cell>
          <cell r="B813" t="str">
            <v>DROGARIA ESTRELA</v>
          </cell>
          <cell r="C813" t="str">
            <v>INDEPENDENTES VIN</v>
          </cell>
          <cell r="D813" t="str">
            <v>PRESIDENTE PRUDENTE</v>
          </cell>
          <cell r="E813" t="str">
            <v>SP</v>
          </cell>
          <cell r="F813">
            <v>46314</v>
          </cell>
          <cell r="G813">
            <v>2625.51</v>
          </cell>
          <cell r="H813">
            <v>10937.619999999999</v>
          </cell>
          <cell r="I813" t="str">
            <v>Comprou Marcas e SG</v>
          </cell>
        </row>
        <row r="814">
          <cell r="A814">
            <v>23622022000199</v>
          </cell>
          <cell r="B814" t="str">
            <v>DROGARIA ESPIRITO SANTO EIRELI</v>
          </cell>
          <cell r="C814" t="str">
            <v>ASSOCIADAS</v>
          </cell>
          <cell r="D814" t="str">
            <v>CAMPO GRANDE</v>
          </cell>
          <cell r="E814" t="str">
            <v>MS</v>
          </cell>
          <cell r="F814">
            <v>46311</v>
          </cell>
          <cell r="G814">
            <v>763.3599999999999</v>
          </cell>
          <cell r="I814" t="str">
            <v>Comprou Marcas</v>
          </cell>
        </row>
        <row r="815">
          <cell r="A815">
            <v>30516011000190</v>
          </cell>
          <cell r="B815" t="str">
            <v>DROGARIA ESPERANCA</v>
          </cell>
          <cell r="C815" t="str">
            <v>INDEPENDENTES VIN</v>
          </cell>
          <cell r="D815" t="str">
            <v>ALTO GARCAS</v>
          </cell>
          <cell r="E815" t="str">
            <v>MT</v>
          </cell>
          <cell r="I815" t="str">
            <v>Não Comprou</v>
          </cell>
        </row>
        <row r="816">
          <cell r="A816">
            <v>42438050000103</v>
          </cell>
          <cell r="B816" t="str">
            <v>DROGARIA ELDORADO PENAPOLIS</v>
          </cell>
          <cell r="C816" t="str">
            <v>DROGARIA TOTAL</v>
          </cell>
          <cell r="D816" t="str">
            <v>PENAPOLIS</v>
          </cell>
          <cell r="E816" t="str">
            <v>SP</v>
          </cell>
          <cell r="I816" t="str">
            <v>Não Comprou</v>
          </cell>
        </row>
        <row r="817">
          <cell r="A817">
            <v>51954038000134</v>
          </cell>
          <cell r="B817" t="str">
            <v>DROGARIA ECONOMIZE</v>
          </cell>
          <cell r="C817" t="str">
            <v>ECONOMIZE RONDONOPOLIS</v>
          </cell>
          <cell r="D817" t="str">
            <v>ITIQUIRA</v>
          </cell>
          <cell r="E817" t="str">
            <v>MT</v>
          </cell>
          <cell r="F817">
            <v>46314</v>
          </cell>
          <cell r="G817">
            <v>863.06999999999994</v>
          </cell>
          <cell r="I817" t="str">
            <v>Comprou Marcas</v>
          </cell>
        </row>
        <row r="818">
          <cell r="A818">
            <v>4110283000185</v>
          </cell>
          <cell r="B818" t="str">
            <v>DROGARIA ECONOMICA I I</v>
          </cell>
          <cell r="C818" t="str">
            <v>COMPRE BEM</v>
          </cell>
          <cell r="D818" t="str">
            <v>PEDRA PRETA</v>
          </cell>
          <cell r="E818" t="str">
            <v>MT</v>
          </cell>
          <cell r="F818">
            <v>46310</v>
          </cell>
          <cell r="G818">
            <v>137.85</v>
          </cell>
          <cell r="I818" t="str">
            <v>Comprou Marcas</v>
          </cell>
        </row>
        <row r="819">
          <cell r="A819">
            <v>48771964000160</v>
          </cell>
          <cell r="B819" t="str">
            <v>DROGARIA ECONOMIA JURUMIRIM</v>
          </cell>
          <cell r="C819" t="str">
            <v>ECONOMIZE RONDONOPOLIS</v>
          </cell>
          <cell r="D819" t="str">
            <v>CUIABA</v>
          </cell>
          <cell r="E819" t="str">
            <v>MT</v>
          </cell>
          <cell r="F819">
            <v>46303</v>
          </cell>
          <cell r="G819">
            <v>137.85</v>
          </cell>
          <cell r="I819" t="str">
            <v>Comprou Marcas</v>
          </cell>
        </row>
        <row r="820">
          <cell r="A820">
            <v>3381216000132</v>
          </cell>
          <cell r="B820" t="str">
            <v>DROGARIA E CIRURGICA SANTA CECILIA</v>
          </cell>
          <cell r="C820" t="str">
            <v>INDEPENDENTES VIN</v>
          </cell>
          <cell r="D820" t="str">
            <v>PRESIDENTE VENCESLAU</v>
          </cell>
          <cell r="E820" t="str">
            <v>SP</v>
          </cell>
          <cell r="F820">
            <v>46310</v>
          </cell>
          <cell r="G820">
            <v>955.43000000000006</v>
          </cell>
          <cell r="I820" t="str">
            <v>Comprou Marcas</v>
          </cell>
        </row>
        <row r="821">
          <cell r="A821">
            <v>27785214000681</v>
          </cell>
          <cell r="B821" t="str">
            <v>DROGARIA DROGAO POPULAR</v>
          </cell>
          <cell r="C821" t="str">
            <v>ASSOCIADAS</v>
          </cell>
          <cell r="D821" t="str">
            <v>BONITO</v>
          </cell>
          <cell r="E821" t="str">
            <v>MS</v>
          </cell>
          <cell r="F821">
            <v>46310</v>
          </cell>
          <cell r="G821">
            <v>3618.2400000000007</v>
          </cell>
          <cell r="I821" t="str">
            <v>Comprou Marcas</v>
          </cell>
        </row>
        <row r="822">
          <cell r="A822">
            <v>27785214000258</v>
          </cell>
          <cell r="B822" t="str">
            <v>DROGARIA DROGAO</v>
          </cell>
          <cell r="C822" t="str">
            <v>ASSOCIADAS</v>
          </cell>
          <cell r="D822" t="str">
            <v>BONITO</v>
          </cell>
          <cell r="E822" t="str">
            <v>MS</v>
          </cell>
          <cell r="F822">
            <v>46310</v>
          </cell>
          <cell r="G822">
            <v>3658.5000000000009</v>
          </cell>
          <cell r="I822" t="str">
            <v>Comprou Marcas</v>
          </cell>
        </row>
        <row r="823">
          <cell r="A823">
            <v>67759241000190</v>
          </cell>
          <cell r="B823" t="str">
            <v>DROGARIA DROGANOSSA</v>
          </cell>
          <cell r="C823" t="str">
            <v>FARMAIS</v>
          </cell>
          <cell r="D823" t="str">
            <v>GUARACAI</v>
          </cell>
          <cell r="E823" t="str">
            <v>SP</v>
          </cell>
          <cell r="F823">
            <v>46308</v>
          </cell>
          <cell r="G823">
            <v>862.37</v>
          </cell>
          <cell r="I823" t="str">
            <v>Comprou Marcas</v>
          </cell>
        </row>
        <row r="824">
          <cell r="A824">
            <v>11780832000194</v>
          </cell>
          <cell r="B824" t="str">
            <v>DROGARIA DROGANORTE</v>
          </cell>
          <cell r="C824" t="str">
            <v>FARMARCAS</v>
          </cell>
          <cell r="D824" t="str">
            <v>TAPURAH</v>
          </cell>
          <cell r="E824" t="str">
            <v>MT</v>
          </cell>
          <cell r="F824">
            <v>46314</v>
          </cell>
          <cell r="G824">
            <v>12026.34</v>
          </cell>
          <cell r="I824" t="str">
            <v>Comprou Marcas</v>
          </cell>
        </row>
        <row r="825">
          <cell r="A825">
            <v>58219068000146</v>
          </cell>
          <cell r="B825" t="str">
            <v>DROGARIA DROGAMED</v>
          </cell>
          <cell r="C825" t="str">
            <v>INDEPENDENTES VIN</v>
          </cell>
          <cell r="D825" t="str">
            <v>TRES LAGOAS</v>
          </cell>
          <cell r="E825" t="str">
            <v>MS</v>
          </cell>
          <cell r="F825">
            <v>46314</v>
          </cell>
          <cell r="G825">
            <v>383.86</v>
          </cell>
          <cell r="I825" t="str">
            <v>Comprou Marcas</v>
          </cell>
        </row>
        <row r="826">
          <cell r="A826">
            <v>21996240000168</v>
          </cell>
          <cell r="B826" t="str">
            <v>DROGARIA DROGAGIL</v>
          </cell>
          <cell r="C826" t="str">
            <v>ASSOCIADAS</v>
          </cell>
          <cell r="D826" t="str">
            <v>MARACAJU</v>
          </cell>
          <cell r="E826" t="str">
            <v>MS</v>
          </cell>
          <cell r="I826" t="str">
            <v>Não Comprou</v>
          </cell>
        </row>
        <row r="827">
          <cell r="A827">
            <v>4083576000110</v>
          </cell>
          <cell r="B827" t="str">
            <v>DROGARIA DROGADON</v>
          </cell>
          <cell r="C827" t="str">
            <v>MASTERFARMA</v>
          </cell>
          <cell r="D827" t="str">
            <v>RIBAS DO RIO PARDO</v>
          </cell>
          <cell r="E827" t="str">
            <v>MS</v>
          </cell>
          <cell r="I827" t="str">
            <v>Não Comprou</v>
          </cell>
        </row>
        <row r="828">
          <cell r="A828">
            <v>25204663000159</v>
          </cell>
          <cell r="B828" t="str">
            <v>DROGARIA DROGA VIDA</v>
          </cell>
          <cell r="C828" t="str">
            <v>INDEPENDENTES VIN</v>
          </cell>
          <cell r="D828" t="str">
            <v>PARANATINGA</v>
          </cell>
          <cell r="E828" t="str">
            <v>MT</v>
          </cell>
          <cell r="I828" t="str">
            <v>Não Comprou</v>
          </cell>
        </row>
        <row r="829">
          <cell r="A829">
            <v>15059340000165</v>
          </cell>
          <cell r="B829" t="str">
            <v>DROGARIA DROGA TEM</v>
          </cell>
          <cell r="C829" t="str">
            <v>MASTERFARMA</v>
          </cell>
          <cell r="D829" t="str">
            <v>AGUA BOA</v>
          </cell>
          <cell r="E829" t="str">
            <v>MT</v>
          </cell>
          <cell r="I829" t="str">
            <v>Não Comprou</v>
          </cell>
        </row>
        <row r="830">
          <cell r="A830">
            <v>1987999000177</v>
          </cell>
          <cell r="B830" t="str">
            <v>DROGARIA DROGA FACIL</v>
          </cell>
          <cell r="C830" t="str">
            <v>REDE SOMA</v>
          </cell>
          <cell r="D830" t="str">
            <v>PRIMAVERA DO LESTE</v>
          </cell>
          <cell r="E830" t="str">
            <v>MT</v>
          </cell>
          <cell r="F830">
            <v>46307</v>
          </cell>
          <cell r="G830">
            <v>467.65</v>
          </cell>
          <cell r="I830" t="str">
            <v>Comprou Marcas</v>
          </cell>
        </row>
        <row r="831">
          <cell r="A831">
            <v>2923540000172</v>
          </cell>
          <cell r="B831" t="str">
            <v>DROGARIA DROGA BARAO</v>
          </cell>
          <cell r="C831" t="str">
            <v>DROGARIA TOTAL</v>
          </cell>
          <cell r="D831" t="str">
            <v>ANDRADINA</v>
          </cell>
          <cell r="E831" t="str">
            <v>SP</v>
          </cell>
          <cell r="F831">
            <v>46314</v>
          </cell>
          <cell r="G831">
            <v>1375.7400000000007</v>
          </cell>
          <cell r="H831">
            <v>1732.8099999999997</v>
          </cell>
          <cell r="I831" t="str">
            <v>Comprou Marcas e SG</v>
          </cell>
        </row>
        <row r="832">
          <cell r="A832">
            <v>41008901000107</v>
          </cell>
          <cell r="B832" t="str">
            <v>DROGARIA DR. FABIO</v>
          </cell>
          <cell r="C832" t="str">
            <v>HIPER SAUDE</v>
          </cell>
          <cell r="D832" t="str">
            <v>CUIABA</v>
          </cell>
          <cell r="E832" t="str">
            <v>MT</v>
          </cell>
          <cell r="I832" t="str">
            <v>Não Comprou</v>
          </cell>
        </row>
        <row r="833">
          <cell r="A833">
            <v>18380223000197</v>
          </cell>
          <cell r="B833" t="str">
            <v>DROGARIA DR FABIO</v>
          </cell>
          <cell r="C833" t="str">
            <v>INDEPENDENTES VIN</v>
          </cell>
          <cell r="D833" t="str">
            <v>CUIABA</v>
          </cell>
          <cell r="E833" t="str">
            <v>MT</v>
          </cell>
          <cell r="F833">
            <v>46303</v>
          </cell>
          <cell r="G833">
            <v>137.85</v>
          </cell>
          <cell r="I833" t="str">
            <v>Comprou Marcas</v>
          </cell>
        </row>
        <row r="834">
          <cell r="A834">
            <v>16465328000113</v>
          </cell>
          <cell r="B834" t="str">
            <v>DROGARIA DOSE CERTA</v>
          </cell>
          <cell r="C834" t="str">
            <v>ASSOCIADAS</v>
          </cell>
          <cell r="D834" t="str">
            <v>TANGARA DA SERRA</v>
          </cell>
          <cell r="E834" t="str">
            <v>MT</v>
          </cell>
          <cell r="F834">
            <v>46304</v>
          </cell>
          <cell r="G834">
            <v>825.66000000000008</v>
          </cell>
          <cell r="I834" t="str">
            <v>Comprou Marcas</v>
          </cell>
        </row>
        <row r="835">
          <cell r="A835">
            <v>53548149000176</v>
          </cell>
          <cell r="B835" t="str">
            <v>DROGARIA DOS TRABALHADORES</v>
          </cell>
          <cell r="C835" t="str">
            <v>INDEPENDENTES VIN</v>
          </cell>
          <cell r="D835" t="str">
            <v>BARRA DO GARCAS</v>
          </cell>
          <cell r="E835" t="str">
            <v>MT</v>
          </cell>
          <cell r="I835" t="str">
            <v>Não Comprou</v>
          </cell>
        </row>
        <row r="836">
          <cell r="A836">
            <v>328405000404</v>
          </cell>
          <cell r="B836" t="str">
            <v>DROGARIA DOS AMIGOS FILIAL III</v>
          </cell>
          <cell r="C836" t="str">
            <v>DSG FARMA</v>
          </cell>
          <cell r="D836" t="str">
            <v>INOCENCIA</v>
          </cell>
          <cell r="E836" t="str">
            <v>MS</v>
          </cell>
          <cell r="I836" t="str">
            <v>Não Comprou</v>
          </cell>
        </row>
        <row r="837">
          <cell r="A837">
            <v>1894476000186</v>
          </cell>
          <cell r="B837" t="str">
            <v>DROGARIA DO RUBENS</v>
          </cell>
          <cell r="C837" t="str">
            <v>ASSOCIADAS</v>
          </cell>
          <cell r="D837" t="str">
            <v>COLIDER</v>
          </cell>
          <cell r="E837" t="str">
            <v>MT</v>
          </cell>
          <cell r="F837">
            <v>46314</v>
          </cell>
          <cell r="G837">
            <v>1400.3</v>
          </cell>
          <cell r="I837" t="str">
            <v>Comprou Marcas</v>
          </cell>
        </row>
        <row r="838">
          <cell r="A838">
            <v>13445025000140</v>
          </cell>
          <cell r="B838" t="str">
            <v>DROGARIA DO POVO</v>
          </cell>
          <cell r="C838" t="str">
            <v>FARMA &amp; FARMA</v>
          </cell>
          <cell r="D838" t="str">
            <v>RIO VERDE DE MATO GROSSO</v>
          </cell>
          <cell r="E838" t="str">
            <v>MS</v>
          </cell>
          <cell r="I838" t="str">
            <v>Não Comprou</v>
          </cell>
        </row>
        <row r="839">
          <cell r="A839">
            <v>4256383000114</v>
          </cell>
          <cell r="B839" t="str">
            <v>DROGARIA DO POVO</v>
          </cell>
          <cell r="C839" t="str">
            <v>COMPRE BEM</v>
          </cell>
          <cell r="D839" t="str">
            <v>SAO JOSE DO RIO CLARO</v>
          </cell>
          <cell r="E839" t="str">
            <v>MT</v>
          </cell>
          <cell r="F839">
            <v>46303</v>
          </cell>
          <cell r="G839">
            <v>3119.920000000001</v>
          </cell>
          <cell r="I839" t="str">
            <v>Comprou Marcas</v>
          </cell>
        </row>
        <row r="840">
          <cell r="A840">
            <v>31525761000190</v>
          </cell>
          <cell r="B840" t="str">
            <v>DROGARIA DO POVO</v>
          </cell>
          <cell r="C840" t="str">
            <v>INDEPENDENTES VIN</v>
          </cell>
          <cell r="D840" t="str">
            <v>NOVA MUTUM</v>
          </cell>
          <cell r="E840" t="str">
            <v>MT</v>
          </cell>
          <cell r="F840">
            <v>46303</v>
          </cell>
          <cell r="G840">
            <v>3626.7200000000003</v>
          </cell>
          <cell r="I840" t="str">
            <v>Comprou Marcas</v>
          </cell>
        </row>
        <row r="841">
          <cell r="A841">
            <v>7917231000103</v>
          </cell>
          <cell r="B841" t="str">
            <v>DROGARIA DO POVO</v>
          </cell>
          <cell r="C841" t="str">
            <v>INDEPENDENTES VIN</v>
          </cell>
          <cell r="D841" t="str">
            <v>ARAGUAIANA</v>
          </cell>
          <cell r="E841" t="str">
            <v>MT</v>
          </cell>
          <cell r="I841" t="str">
            <v>Não Comprou</v>
          </cell>
        </row>
        <row r="842">
          <cell r="A842">
            <v>5072221000199</v>
          </cell>
          <cell r="B842" t="str">
            <v>DROGARIA DO PAULINHO</v>
          </cell>
          <cell r="C842" t="str">
            <v>MASTERFARMA</v>
          </cell>
          <cell r="D842" t="str">
            <v>ALTA FLORESTA</v>
          </cell>
          <cell r="E842" t="str">
            <v>MT</v>
          </cell>
          <cell r="F842">
            <v>46314</v>
          </cell>
          <cell r="G842">
            <v>96.67</v>
          </cell>
          <cell r="I842" t="str">
            <v>Comprou Marcas</v>
          </cell>
        </row>
        <row r="843">
          <cell r="A843">
            <v>67096438000196</v>
          </cell>
          <cell r="B843" t="str">
            <v>DROGARIA DO LAR</v>
          </cell>
          <cell r="C843" t="str">
            <v>MULTIDROGAS</v>
          </cell>
          <cell r="D843" t="str">
            <v>MURUTINGA DO SUL</v>
          </cell>
          <cell r="E843" t="str">
            <v>SP</v>
          </cell>
          <cell r="F843">
            <v>46314</v>
          </cell>
          <cell r="G843">
            <v>633.44000000000005</v>
          </cell>
          <cell r="H843">
            <v>1143.7</v>
          </cell>
          <cell r="I843" t="str">
            <v>Comprou Marcas e SG</v>
          </cell>
        </row>
        <row r="844">
          <cell r="A844">
            <v>14876562000108</v>
          </cell>
          <cell r="B844" t="str">
            <v>DROGARIA DO FERNANDINHO</v>
          </cell>
          <cell r="C844" t="str">
            <v>MASTERFARMA</v>
          </cell>
          <cell r="D844" t="str">
            <v>CARLINDA</v>
          </cell>
          <cell r="E844" t="str">
            <v>MT</v>
          </cell>
          <cell r="F844">
            <v>46315</v>
          </cell>
          <cell r="G844">
            <v>3620.0700000000006</v>
          </cell>
          <cell r="I844" t="str">
            <v>Comprou Marcas</v>
          </cell>
        </row>
        <row r="845">
          <cell r="A845">
            <v>3492774000175</v>
          </cell>
          <cell r="B845" t="str">
            <v>DROGARIA DO AIRTON</v>
          </cell>
          <cell r="C845" t="str">
            <v>MASTERFARMA</v>
          </cell>
          <cell r="D845" t="str">
            <v>COXIM</v>
          </cell>
          <cell r="E845" t="str">
            <v>MS</v>
          </cell>
          <cell r="F845">
            <v>46315</v>
          </cell>
          <cell r="G845">
            <v>154.56</v>
          </cell>
          <cell r="I845" t="str">
            <v>Comprou Marcas</v>
          </cell>
        </row>
        <row r="846">
          <cell r="A846">
            <v>10341045002470</v>
          </cell>
          <cell r="B846" t="str">
            <v>DROGARIA DMD</v>
          </cell>
          <cell r="C846" t="str">
            <v>FARMARCAS</v>
          </cell>
          <cell r="D846" t="str">
            <v>CUIABA</v>
          </cell>
          <cell r="E846" t="str">
            <v>MT</v>
          </cell>
          <cell r="F846">
            <v>46315</v>
          </cell>
          <cell r="G846">
            <v>7078.2499999999991</v>
          </cell>
          <cell r="H846">
            <v>2209.5899999999997</v>
          </cell>
          <cell r="I846" t="str">
            <v>Comprou Marcas e SG</v>
          </cell>
        </row>
        <row r="847">
          <cell r="A847">
            <v>10341045002550</v>
          </cell>
          <cell r="B847" t="str">
            <v>DROGARIA DMD</v>
          </cell>
          <cell r="C847" t="str">
            <v>FARMARCAS</v>
          </cell>
          <cell r="D847" t="str">
            <v>NOBRES</v>
          </cell>
          <cell r="E847" t="str">
            <v>MT</v>
          </cell>
          <cell r="F847">
            <v>46315</v>
          </cell>
          <cell r="G847">
            <v>12341.89</v>
          </cell>
          <cell r="H847">
            <v>7605.7899999999991</v>
          </cell>
          <cell r="I847" t="str">
            <v>Comprou Marcas e SG</v>
          </cell>
        </row>
        <row r="848">
          <cell r="A848">
            <v>10341045002631</v>
          </cell>
          <cell r="B848" t="str">
            <v>DROGARIA DMD</v>
          </cell>
          <cell r="C848" t="str">
            <v>FARMARCAS</v>
          </cell>
          <cell r="D848" t="str">
            <v>ROSARIO OESTE</v>
          </cell>
          <cell r="E848" t="str">
            <v>MT</v>
          </cell>
          <cell r="F848">
            <v>46315</v>
          </cell>
          <cell r="G848">
            <v>8313.91</v>
          </cell>
          <cell r="H848">
            <v>3370.7599999999998</v>
          </cell>
          <cell r="I848" t="str">
            <v>Comprou Marcas e SG</v>
          </cell>
        </row>
        <row r="849">
          <cell r="A849">
            <v>7311428000102</v>
          </cell>
          <cell r="B849" t="str">
            <v>DROGARIA DINAMICA</v>
          </cell>
          <cell r="C849" t="str">
            <v>ASSOCIADAS</v>
          </cell>
          <cell r="D849" t="str">
            <v>DOURADOS</v>
          </cell>
          <cell r="E849" t="str">
            <v>MS</v>
          </cell>
          <cell r="F849">
            <v>46310</v>
          </cell>
          <cell r="G849">
            <v>683.70999999999992</v>
          </cell>
          <cell r="I849" t="str">
            <v>Comprou Marcas</v>
          </cell>
        </row>
        <row r="850">
          <cell r="A850">
            <v>37830039000146</v>
          </cell>
          <cell r="B850" t="str">
            <v>DROGARIA DESTRO</v>
          </cell>
          <cell r="C850" t="str">
            <v>INDEPENDENTES VIN</v>
          </cell>
          <cell r="D850" t="str">
            <v>PRESIDENTE PRUDENTE</v>
          </cell>
          <cell r="E850" t="str">
            <v>SP</v>
          </cell>
          <cell r="I850" t="str">
            <v>Não Comprou</v>
          </cell>
        </row>
        <row r="851">
          <cell r="A851">
            <v>2366173000153</v>
          </cell>
          <cell r="B851" t="str">
            <v>DROGARIA DENIZ FARMA</v>
          </cell>
          <cell r="C851" t="str">
            <v>INDEPENDENTES VIN</v>
          </cell>
          <cell r="D851" t="str">
            <v>CASTILHO</v>
          </cell>
          <cell r="E851" t="str">
            <v>SP</v>
          </cell>
          <cell r="F851">
            <v>46315</v>
          </cell>
          <cell r="H851">
            <v>9683.9699999999993</v>
          </cell>
          <cell r="I851" t="str">
            <v>Comprou SG</v>
          </cell>
        </row>
        <row r="852">
          <cell r="A852">
            <v>2440068000117</v>
          </cell>
          <cell r="B852" t="str">
            <v>DROGARIA DENISE</v>
          </cell>
          <cell r="C852" t="str">
            <v>ECONOMIZE RONDONOPOLIS</v>
          </cell>
          <cell r="D852" t="str">
            <v>DENISE</v>
          </cell>
          <cell r="E852" t="str">
            <v>MT</v>
          </cell>
          <cell r="F852">
            <v>46315</v>
          </cell>
          <cell r="G852">
            <v>4148.0200000000004</v>
          </cell>
          <cell r="I852" t="str">
            <v>Comprou Marcas</v>
          </cell>
        </row>
        <row r="853">
          <cell r="A853">
            <v>4437649000125</v>
          </cell>
          <cell r="B853" t="str">
            <v>DROGARIA DELTA MED</v>
          </cell>
          <cell r="C853" t="str">
            <v>DROGARIA TOTAL</v>
          </cell>
          <cell r="D853" t="str">
            <v>PRESIDENTE BERNARDES</v>
          </cell>
          <cell r="E853" t="str">
            <v>SP</v>
          </cell>
          <cell r="F853">
            <v>46303</v>
          </cell>
          <cell r="G853">
            <v>275.42</v>
          </cell>
          <cell r="H853">
            <v>1996.8</v>
          </cell>
          <cell r="I853" t="str">
            <v>Comprou Marcas e SG</v>
          </cell>
        </row>
        <row r="854">
          <cell r="A854">
            <v>42070773000194</v>
          </cell>
          <cell r="B854" t="str">
            <v>DROGARIA DAVI PAJU</v>
          </cell>
          <cell r="C854" t="str">
            <v>FARMA &amp; FARMA</v>
          </cell>
          <cell r="D854" t="str">
            <v>APARECIDA DO TABOADO</v>
          </cell>
          <cell r="E854" t="str">
            <v>MS</v>
          </cell>
          <cell r="F854">
            <v>46316</v>
          </cell>
          <cell r="G854">
            <v>8041.54</v>
          </cell>
          <cell r="I854" t="str">
            <v>Comprou Marcas</v>
          </cell>
        </row>
        <row r="855">
          <cell r="A855">
            <v>42070773000275</v>
          </cell>
          <cell r="B855" t="str">
            <v>DROGARIA DAVI PAJU</v>
          </cell>
          <cell r="C855" t="str">
            <v>FARMA &amp; FARMA</v>
          </cell>
          <cell r="D855" t="str">
            <v>PARANAIBA</v>
          </cell>
          <cell r="E855" t="str">
            <v>MS</v>
          </cell>
          <cell r="F855">
            <v>46316</v>
          </cell>
          <cell r="G855">
            <v>3667.5599999999995</v>
          </cell>
          <cell r="I855" t="str">
            <v>Comprou Marcas</v>
          </cell>
        </row>
        <row r="856">
          <cell r="A856">
            <v>21303831000102</v>
          </cell>
          <cell r="B856" t="str">
            <v>DROGARIA CUSTO POPULAR</v>
          </cell>
          <cell r="C856" t="str">
            <v>HIPER SAUDE</v>
          </cell>
          <cell r="D856" t="str">
            <v>CUIABA</v>
          </cell>
          <cell r="E856" t="str">
            <v>MT</v>
          </cell>
          <cell r="F856">
            <v>46303</v>
          </cell>
          <cell r="G856">
            <v>776.93999999999994</v>
          </cell>
          <cell r="I856" t="str">
            <v>Comprou Marcas</v>
          </cell>
        </row>
        <row r="857">
          <cell r="A857">
            <v>33687112000111</v>
          </cell>
          <cell r="B857" t="str">
            <v>DROGARIA CRISTAL</v>
          </cell>
          <cell r="C857" t="str">
            <v>MASTERFARMA</v>
          </cell>
          <cell r="D857" t="str">
            <v>MIRASSOL D'OESTE</v>
          </cell>
          <cell r="E857" t="str">
            <v>MT</v>
          </cell>
          <cell r="F857">
            <v>46303</v>
          </cell>
          <cell r="G857">
            <v>1757.3799999999997</v>
          </cell>
          <cell r="I857" t="str">
            <v>Comprou Marcas</v>
          </cell>
        </row>
        <row r="858">
          <cell r="A858">
            <v>55248561000104</v>
          </cell>
          <cell r="B858" t="str">
            <v>DROGARIA CORACAO DE JESUS</v>
          </cell>
          <cell r="C858" t="str">
            <v>BIODROGAS</v>
          </cell>
          <cell r="D858" t="str">
            <v>PRESIDENTE BERNARDES</v>
          </cell>
          <cell r="E858" t="str">
            <v>SP</v>
          </cell>
          <cell r="F858">
            <v>46311</v>
          </cell>
          <cell r="G858">
            <v>1463.4800000000002</v>
          </cell>
          <cell r="I858" t="str">
            <v>Comprou Marcas</v>
          </cell>
        </row>
        <row r="859">
          <cell r="A859">
            <v>20412740000142</v>
          </cell>
          <cell r="B859" t="str">
            <v>DROGARIA CONFIANCA</v>
          </cell>
          <cell r="C859" t="str">
            <v>INDEPENDENTES VIN</v>
          </cell>
          <cell r="D859" t="str">
            <v>MARACAJU</v>
          </cell>
          <cell r="E859" t="str">
            <v>MS</v>
          </cell>
          <cell r="I859" t="str">
            <v>Não Comprou</v>
          </cell>
        </row>
        <row r="860">
          <cell r="A860">
            <v>15116990000103</v>
          </cell>
          <cell r="B860" t="str">
            <v>DROGARIA CONFIANCA</v>
          </cell>
          <cell r="C860" t="str">
            <v>INDEPENDENTES VIN</v>
          </cell>
          <cell r="D860" t="str">
            <v>JUINA</v>
          </cell>
          <cell r="E860" t="str">
            <v>MT</v>
          </cell>
          <cell r="F860">
            <v>46304</v>
          </cell>
          <cell r="G860">
            <v>3565.92</v>
          </cell>
          <cell r="I860" t="str">
            <v>Comprou Marcas</v>
          </cell>
        </row>
        <row r="861">
          <cell r="A861">
            <v>10392940000127</v>
          </cell>
          <cell r="B861" t="str">
            <v>DROGARIA CONFIANCA</v>
          </cell>
          <cell r="C861" t="str">
            <v>INDEPENDENTES VIN</v>
          </cell>
          <cell r="D861" t="str">
            <v>QUERENCIA</v>
          </cell>
          <cell r="E861" t="str">
            <v>MT</v>
          </cell>
          <cell r="I861" t="str">
            <v>Não Comprou</v>
          </cell>
        </row>
        <row r="862">
          <cell r="A862">
            <v>59412809000173</v>
          </cell>
          <cell r="B862" t="str">
            <v>DROGARIA CONFIANCA</v>
          </cell>
          <cell r="C862" t="str">
            <v>INDEPENDENTES VIN</v>
          </cell>
          <cell r="D862" t="str">
            <v>PRESIDENTE VENCESLAU</v>
          </cell>
          <cell r="E862" t="str">
            <v>SP</v>
          </cell>
          <cell r="I862" t="str">
            <v>Não Comprou</v>
          </cell>
        </row>
        <row r="863">
          <cell r="A863">
            <v>9364347000198</v>
          </cell>
          <cell r="B863" t="str">
            <v>DROGARIA CONCORDIA</v>
          </cell>
          <cell r="C863" t="str">
            <v>INDEPENDENTES VIN</v>
          </cell>
          <cell r="D863" t="str">
            <v>PARANATINGA</v>
          </cell>
          <cell r="E863" t="str">
            <v>MT</v>
          </cell>
          <cell r="I863" t="str">
            <v>Não Comprou</v>
          </cell>
        </row>
        <row r="864">
          <cell r="A864">
            <v>9555593000127</v>
          </cell>
          <cell r="B864" t="str">
            <v>DROGARIA COMPRE CERTO</v>
          </cell>
          <cell r="C864" t="str">
            <v>REDE COMPRE CERTO</v>
          </cell>
          <cell r="D864" t="str">
            <v>APARECIDA DO TABOADO</v>
          </cell>
          <cell r="E864" t="str">
            <v>MS</v>
          </cell>
          <cell r="F864">
            <v>46314</v>
          </cell>
          <cell r="G864">
            <v>2594.6800000000003</v>
          </cell>
          <cell r="I864" t="str">
            <v>Comprou Marcas</v>
          </cell>
        </row>
        <row r="865">
          <cell r="A865">
            <v>12040504000114</v>
          </cell>
          <cell r="B865" t="str">
            <v>DROGARIA COHAB LTDA ME</v>
          </cell>
          <cell r="C865" t="str">
            <v>REDE SANTA CATARINA</v>
          </cell>
          <cell r="D865" t="str">
            <v>PRESIDENTE PRUDENTE</v>
          </cell>
          <cell r="E865" t="str">
            <v>SP</v>
          </cell>
          <cell r="F865">
            <v>46316</v>
          </cell>
          <cell r="G865">
            <v>3057.5199999999995</v>
          </cell>
          <cell r="H865">
            <v>8171.57</v>
          </cell>
          <cell r="I865" t="str">
            <v>Comprou Marcas e SG</v>
          </cell>
        </row>
        <row r="866">
          <cell r="A866">
            <v>63102694000198</v>
          </cell>
          <cell r="B866" t="str">
            <v>DROGARIA COHAB</v>
          </cell>
          <cell r="C866" t="str">
            <v>INDEPENDENTES VIN</v>
          </cell>
          <cell r="D866" t="str">
            <v>MIRASSOL D'OESTE</v>
          </cell>
          <cell r="E866" t="str">
            <v>MT</v>
          </cell>
          <cell r="I866" t="str">
            <v>Não Comprou</v>
          </cell>
        </row>
        <row r="867">
          <cell r="A867">
            <v>2351409000188</v>
          </cell>
          <cell r="B867" t="str">
            <v>DROGARIA CLAUDIAFARMA</v>
          </cell>
          <cell r="C867" t="str">
            <v>DROGARIA TOTAL</v>
          </cell>
          <cell r="D867" t="str">
            <v>DRACENA</v>
          </cell>
          <cell r="E867" t="str">
            <v>SP</v>
          </cell>
          <cell r="F867">
            <v>46316</v>
          </cell>
          <cell r="G867">
            <v>3582.8700000000003</v>
          </cell>
          <cell r="I867" t="str">
            <v>Comprou Marcas</v>
          </cell>
        </row>
        <row r="868">
          <cell r="A868">
            <v>22355280000193</v>
          </cell>
          <cell r="B868" t="str">
            <v>DROGARIA CIDADE</v>
          </cell>
          <cell r="C868" t="str">
            <v>ASSOCIADAS</v>
          </cell>
          <cell r="D868" t="str">
            <v>ITIQUIRA</v>
          </cell>
          <cell r="E868" t="str">
            <v>MT</v>
          </cell>
          <cell r="F868">
            <v>46310</v>
          </cell>
          <cell r="G868">
            <v>137.85</v>
          </cell>
          <cell r="I868" t="str">
            <v>Comprou Marcas</v>
          </cell>
        </row>
        <row r="869">
          <cell r="A869">
            <v>12804850000121</v>
          </cell>
          <cell r="B869" t="str">
            <v>DROGARIA CERTA</v>
          </cell>
          <cell r="C869" t="str">
            <v>ASSOCIADAS</v>
          </cell>
          <cell r="D869" t="str">
            <v>BARRA DO GARCAS</v>
          </cell>
          <cell r="E869" t="str">
            <v>MT</v>
          </cell>
          <cell r="I869" t="str">
            <v>Não Comprou</v>
          </cell>
        </row>
        <row r="870">
          <cell r="A870">
            <v>15433090000181</v>
          </cell>
          <cell r="B870" t="str">
            <v>DROGARIA CENTRALFARMA</v>
          </cell>
          <cell r="C870" t="str">
            <v>INDEPENDENTES VIN</v>
          </cell>
          <cell r="D870" t="str">
            <v>CAMPO GRANDE</v>
          </cell>
          <cell r="E870" t="str">
            <v>MS</v>
          </cell>
          <cell r="I870" t="str">
            <v>Não Comprou</v>
          </cell>
        </row>
        <row r="871">
          <cell r="A871">
            <v>2489904000158</v>
          </cell>
          <cell r="B871" t="str">
            <v>DROGARIA CENTRAL</v>
          </cell>
          <cell r="C871" t="str">
            <v>MASTERFARMA</v>
          </cell>
          <cell r="D871" t="str">
            <v>SAO JOSE DO RIO CLARO</v>
          </cell>
          <cell r="E871" t="str">
            <v>MT</v>
          </cell>
          <cell r="F871">
            <v>46310</v>
          </cell>
          <cell r="G871">
            <v>778.7399999999999</v>
          </cell>
          <cell r="I871" t="str">
            <v>Comprou Marcas</v>
          </cell>
        </row>
        <row r="872">
          <cell r="A872">
            <v>7382151000109</v>
          </cell>
          <cell r="B872" t="str">
            <v>DROGARIA CENTRAL</v>
          </cell>
          <cell r="C872" t="str">
            <v>HIPER SAUDE</v>
          </cell>
          <cell r="D872" t="str">
            <v>RIBEIRAO CASCALHEIRA</v>
          </cell>
          <cell r="E872" t="str">
            <v>MT</v>
          </cell>
          <cell r="F872">
            <v>46303</v>
          </cell>
          <cell r="G872">
            <v>3168.5399999999995</v>
          </cell>
          <cell r="I872" t="str">
            <v>Comprou Marcas</v>
          </cell>
        </row>
        <row r="873">
          <cell r="A873">
            <v>1856884000143</v>
          </cell>
          <cell r="B873" t="str">
            <v>DROGARIA CENTRAL</v>
          </cell>
          <cell r="C873" t="str">
            <v>INDEPENDENTES VIN</v>
          </cell>
          <cell r="D873" t="str">
            <v>RANCHARIA</v>
          </cell>
          <cell r="E873" t="str">
            <v>SP</v>
          </cell>
          <cell r="I873" t="str">
            <v>Não Comprou</v>
          </cell>
        </row>
        <row r="874">
          <cell r="A874">
            <v>1053206000142</v>
          </cell>
          <cell r="B874" t="str">
            <v>DROGARIA BRASNORTE</v>
          </cell>
          <cell r="C874" t="str">
            <v>INDEPENDENTES VIN</v>
          </cell>
          <cell r="D874" t="str">
            <v>BRASNORTE</v>
          </cell>
          <cell r="E874" t="str">
            <v>MT</v>
          </cell>
          <cell r="F874">
            <v>46315</v>
          </cell>
          <cell r="G874">
            <v>1286.3899999999999</v>
          </cell>
          <cell r="I874" t="str">
            <v>Comprou Marcas</v>
          </cell>
        </row>
        <row r="875">
          <cell r="A875">
            <v>54288141000180</v>
          </cell>
          <cell r="B875" t="str">
            <v>DROGARIA BRASIL SUL</v>
          </cell>
          <cell r="C875" t="str">
            <v>INDEPENDENTES VIN</v>
          </cell>
          <cell r="D875" t="str">
            <v>CAMPO GRANDE</v>
          </cell>
          <cell r="E875" t="str">
            <v>MS</v>
          </cell>
          <cell r="F875">
            <v>46315</v>
          </cell>
          <cell r="G875">
            <v>911.49000000000012</v>
          </cell>
          <cell r="I875" t="str">
            <v>Comprou Marcas</v>
          </cell>
        </row>
        <row r="876">
          <cell r="A876">
            <v>1323294000155</v>
          </cell>
          <cell r="B876" t="str">
            <v>DROGARIA BRASIL</v>
          </cell>
          <cell r="C876" t="str">
            <v>INDEPENDENTES VIN</v>
          </cell>
          <cell r="D876" t="str">
            <v>BARRA DO GARCAS</v>
          </cell>
          <cell r="E876" t="str">
            <v>MT</v>
          </cell>
          <cell r="I876" t="str">
            <v>Não Comprou</v>
          </cell>
        </row>
        <row r="877">
          <cell r="A877">
            <v>21784054000165</v>
          </cell>
          <cell r="B877" t="str">
            <v>DROGARIA BONFIM</v>
          </cell>
          <cell r="C877" t="str">
            <v>ASSOCIADAS</v>
          </cell>
          <cell r="D877" t="str">
            <v>CAMAPUA</v>
          </cell>
          <cell r="E877" t="str">
            <v>MS</v>
          </cell>
          <cell r="F877">
            <v>46311</v>
          </cell>
          <cell r="G877">
            <v>9171.39</v>
          </cell>
          <cell r="I877" t="str">
            <v>Comprou Marcas</v>
          </cell>
        </row>
        <row r="878">
          <cell r="A878">
            <v>18235089000130</v>
          </cell>
          <cell r="B878" t="str">
            <v>DROGARIA BOM PRECO</v>
          </cell>
          <cell r="C878" t="str">
            <v>ASSOCIADAS</v>
          </cell>
          <cell r="D878" t="str">
            <v>RIO VERDE DE MATO GROSSO</v>
          </cell>
          <cell r="E878" t="str">
            <v>MS</v>
          </cell>
          <cell r="F878">
            <v>46315</v>
          </cell>
          <cell r="G878">
            <v>2694.8500000000004</v>
          </cell>
          <cell r="H878">
            <v>325.67</v>
          </cell>
          <cell r="I878" t="str">
            <v>Comprou Marcas e SG</v>
          </cell>
        </row>
        <row r="879">
          <cell r="A879">
            <v>45665886000120</v>
          </cell>
          <cell r="B879" t="str">
            <v>DROGARIA BOM PRECO</v>
          </cell>
          <cell r="C879" t="str">
            <v>ASSOCIADAS</v>
          </cell>
          <cell r="D879" t="str">
            <v>ALTO GARCAS</v>
          </cell>
          <cell r="E879" t="str">
            <v>MT</v>
          </cell>
          <cell r="F879">
            <v>46302</v>
          </cell>
          <cell r="G879">
            <v>134.41999999999999</v>
          </cell>
          <cell r="I879" t="str">
            <v>Comprou Marcas</v>
          </cell>
        </row>
        <row r="880">
          <cell r="A880">
            <v>14913432000106</v>
          </cell>
          <cell r="B880" t="str">
            <v>DROGARIA BOM PASTOR</v>
          </cell>
          <cell r="C880" t="str">
            <v>MASTERFARMA</v>
          </cell>
          <cell r="D880" t="str">
            <v>JUINA</v>
          </cell>
          <cell r="E880" t="str">
            <v>MT</v>
          </cell>
          <cell r="F880">
            <v>46314</v>
          </cell>
          <cell r="G880">
            <v>1055.32</v>
          </cell>
          <cell r="I880" t="str">
            <v>Comprou Marcas</v>
          </cell>
        </row>
        <row r="881">
          <cell r="A881">
            <v>1069181000175</v>
          </cell>
          <cell r="B881" t="str">
            <v>DROGARIA BOM JESUS</v>
          </cell>
          <cell r="C881" t="str">
            <v>INDEPENDENTES VIN</v>
          </cell>
          <cell r="D881" t="str">
            <v>PONTE BRANCA</v>
          </cell>
          <cell r="E881" t="str">
            <v>MT</v>
          </cell>
          <cell r="I881" t="str">
            <v>Não Comprou</v>
          </cell>
        </row>
        <row r="882">
          <cell r="A882">
            <v>7236140000102</v>
          </cell>
          <cell r="B882" t="str">
            <v>DROGARIA BIOFARMA</v>
          </cell>
          <cell r="C882" t="str">
            <v>FARMA &amp; FARMA</v>
          </cell>
          <cell r="D882" t="str">
            <v>MATUPA</v>
          </cell>
          <cell r="E882" t="str">
            <v>MT</v>
          </cell>
          <cell r="F882">
            <v>46310</v>
          </cell>
          <cell r="G882">
            <v>3608.0199999999986</v>
          </cell>
          <cell r="I882" t="str">
            <v>Comprou Marcas</v>
          </cell>
        </row>
        <row r="883">
          <cell r="A883">
            <v>7832402000100</v>
          </cell>
          <cell r="B883" t="str">
            <v>DROGARIA BIOFARMA</v>
          </cell>
          <cell r="C883" t="str">
            <v>REDE SMALLFARMA</v>
          </cell>
          <cell r="D883" t="str">
            <v>MARTINOPOLIS</v>
          </cell>
          <cell r="E883" t="str">
            <v>SP</v>
          </cell>
          <cell r="F883">
            <v>46316</v>
          </cell>
          <cell r="G883">
            <v>2118.36</v>
          </cell>
          <cell r="I883" t="str">
            <v>Comprou Marcas</v>
          </cell>
        </row>
        <row r="884">
          <cell r="A884">
            <v>10698745000120</v>
          </cell>
          <cell r="B884" t="str">
            <v>DROGARIA BIODROGAS</v>
          </cell>
          <cell r="C884" t="str">
            <v>INDEPENDENTES VIN</v>
          </cell>
          <cell r="D884" t="str">
            <v>PORTO ESPERIDIAO</v>
          </cell>
          <cell r="E884" t="str">
            <v>MT</v>
          </cell>
          <cell r="I884" t="str">
            <v>Não Comprou</v>
          </cell>
        </row>
        <row r="885">
          <cell r="A885">
            <v>42038804000120</v>
          </cell>
          <cell r="B885" t="str">
            <v>DROGARIA BIG MAIS</v>
          </cell>
          <cell r="C885" t="str">
            <v>MASTERFARMA</v>
          </cell>
          <cell r="D885" t="str">
            <v>VARZEA GRANDE</v>
          </cell>
          <cell r="E885" t="str">
            <v>MT</v>
          </cell>
          <cell r="I885" t="str">
            <v>Não Comprou</v>
          </cell>
        </row>
        <row r="886">
          <cell r="A886">
            <v>65937282000101</v>
          </cell>
          <cell r="B886" t="str">
            <v>DROGARIA BETEL</v>
          </cell>
          <cell r="C886" t="str">
            <v>INDEPENDENTES VIN</v>
          </cell>
          <cell r="D886" t="str">
            <v>VALPARAISO</v>
          </cell>
          <cell r="E886" t="str">
            <v>SP</v>
          </cell>
          <cell r="F886">
            <v>46314</v>
          </cell>
          <cell r="G886">
            <v>441.17</v>
          </cell>
          <cell r="I886" t="str">
            <v>Comprou Marcas</v>
          </cell>
        </row>
        <row r="887">
          <cell r="A887">
            <v>7217112000229</v>
          </cell>
          <cell r="B887" t="str">
            <v>DROGARIA BEM-ESTTAR</v>
          </cell>
          <cell r="C887" t="str">
            <v>INDEPENDENTES VIN</v>
          </cell>
          <cell r="D887" t="str">
            <v>DIAMANTINO</v>
          </cell>
          <cell r="E887" t="str">
            <v>MT</v>
          </cell>
          <cell r="F887">
            <v>46314</v>
          </cell>
          <cell r="G887">
            <v>158.22</v>
          </cell>
          <cell r="I887" t="str">
            <v>Comprou Marcas</v>
          </cell>
        </row>
        <row r="888">
          <cell r="A888">
            <v>39350015000115</v>
          </cell>
          <cell r="B888" t="str">
            <v>DROGARIA BEM POPULAR BRASIL</v>
          </cell>
          <cell r="C888" t="str">
            <v>COMPRE BEM</v>
          </cell>
          <cell r="D888" t="str">
            <v>PONTES E LACERDA</v>
          </cell>
          <cell r="E888" t="str">
            <v>MT</v>
          </cell>
          <cell r="I888" t="str">
            <v>Não Comprou</v>
          </cell>
        </row>
        <row r="889">
          <cell r="A889">
            <v>51945744000110</v>
          </cell>
          <cell r="B889" t="str">
            <v>DROGARIA BEM POPULAR BRASIL</v>
          </cell>
          <cell r="C889" t="str">
            <v>COMPRE BEM</v>
          </cell>
          <cell r="D889" t="str">
            <v>CANARANA</v>
          </cell>
          <cell r="E889" t="str">
            <v>MT</v>
          </cell>
          <cell r="F889">
            <v>46303</v>
          </cell>
          <cell r="G889">
            <v>779.43000000000006</v>
          </cell>
          <cell r="I889" t="str">
            <v>Comprou Marcas</v>
          </cell>
        </row>
        <row r="890">
          <cell r="A890">
            <v>1335144000161</v>
          </cell>
          <cell r="B890" t="str">
            <v>DROGARIA BEM POPULAR</v>
          </cell>
          <cell r="C890" t="str">
            <v>INDEPENDENTES VIN</v>
          </cell>
          <cell r="D890" t="str">
            <v>ARENAPOLIS</v>
          </cell>
          <cell r="E890" t="str">
            <v>MT</v>
          </cell>
          <cell r="I890" t="str">
            <v>Não Comprou</v>
          </cell>
        </row>
        <row r="891">
          <cell r="A891">
            <v>52834325000173</v>
          </cell>
          <cell r="B891" t="str">
            <v>DROGARIA BEM MAIS POPULAR BRASIL</v>
          </cell>
          <cell r="C891" t="str">
            <v>COMPRE BEM</v>
          </cell>
          <cell r="D891" t="str">
            <v>AGUA BOA</v>
          </cell>
          <cell r="E891" t="str">
            <v>MT</v>
          </cell>
          <cell r="I891" t="str">
            <v>Não Comprou</v>
          </cell>
        </row>
        <row r="892">
          <cell r="A892">
            <v>43963049000152</v>
          </cell>
          <cell r="B892" t="str">
            <v>DROGARIA BEM MAIS POPULAR</v>
          </cell>
          <cell r="C892" t="str">
            <v>INDEPENDENTES VIN</v>
          </cell>
          <cell r="D892" t="str">
            <v>ANDRADINA</v>
          </cell>
          <cell r="E892" t="str">
            <v>SP</v>
          </cell>
          <cell r="F892">
            <v>46315</v>
          </cell>
          <cell r="H892">
            <v>4567.84</v>
          </cell>
          <cell r="I892" t="str">
            <v>Comprou SG</v>
          </cell>
        </row>
        <row r="893">
          <cell r="A893">
            <v>14775673000128</v>
          </cell>
          <cell r="B893" t="str">
            <v>DROGARIA BEM ESTAR</v>
          </cell>
          <cell r="C893" t="str">
            <v>MASTERFARMA</v>
          </cell>
          <cell r="D893" t="str">
            <v>GLORIA D'OESTE</v>
          </cell>
          <cell r="E893" t="str">
            <v>MT</v>
          </cell>
          <cell r="F893">
            <v>46304</v>
          </cell>
          <cell r="G893">
            <v>2235.6699999999996</v>
          </cell>
          <cell r="I893" t="str">
            <v>Comprou Marcas</v>
          </cell>
        </row>
        <row r="894">
          <cell r="A894">
            <v>35652065000104</v>
          </cell>
          <cell r="B894" t="str">
            <v>DROGARIA BEM ESTAR</v>
          </cell>
          <cell r="C894" t="str">
            <v>INDEPENDENTES VIN</v>
          </cell>
          <cell r="D894" t="str">
            <v>PONTAL DO ARAGUAIA</v>
          </cell>
          <cell r="E894" t="str">
            <v>MT</v>
          </cell>
          <cell r="I894" t="str">
            <v>Não Comprou</v>
          </cell>
        </row>
        <row r="895">
          <cell r="A895">
            <v>33156596000172</v>
          </cell>
          <cell r="B895" t="str">
            <v>DROGARIA BEM ESTAR</v>
          </cell>
          <cell r="C895" t="str">
            <v>INDEPENDENTES VIN</v>
          </cell>
          <cell r="D895" t="str">
            <v>APARECIDA DO TABOADO</v>
          </cell>
          <cell r="E895" t="str">
            <v>MS</v>
          </cell>
          <cell r="I895" t="str">
            <v>Não Comprou</v>
          </cell>
        </row>
        <row r="896">
          <cell r="A896">
            <v>10816100000144</v>
          </cell>
          <cell r="B896" t="str">
            <v>DROGARIA BELLA FARMA</v>
          </cell>
          <cell r="C896" t="str">
            <v>FARMARCAS</v>
          </cell>
          <cell r="D896" t="str">
            <v>MIRANDA</v>
          </cell>
          <cell r="E896" t="str">
            <v>MS</v>
          </cell>
          <cell r="F896">
            <v>46316</v>
          </cell>
          <cell r="G896">
            <v>2621.61</v>
          </cell>
          <cell r="I896" t="str">
            <v>Comprou Marcas</v>
          </cell>
        </row>
        <row r="897">
          <cell r="A897">
            <v>16022063000189</v>
          </cell>
          <cell r="B897" t="str">
            <v>DROGARIA BELA VISTA</v>
          </cell>
          <cell r="C897" t="str">
            <v>INDEPENDENTES VIN</v>
          </cell>
          <cell r="D897" t="str">
            <v>DOURADOS</v>
          </cell>
          <cell r="E897" t="str">
            <v>MS</v>
          </cell>
          <cell r="F897">
            <v>46310</v>
          </cell>
          <cell r="G897">
            <v>357.24</v>
          </cell>
          <cell r="I897" t="str">
            <v>Comprou Marcas</v>
          </cell>
        </row>
        <row r="898">
          <cell r="A898">
            <v>55284053000173</v>
          </cell>
          <cell r="B898" t="str">
            <v>DROGARIA BARAO</v>
          </cell>
          <cell r="C898" t="str">
            <v>INDEPENDENTES VIN</v>
          </cell>
          <cell r="D898" t="str">
            <v>RANCHARIA</v>
          </cell>
          <cell r="E898" t="str">
            <v>SP</v>
          </cell>
          <cell r="F898">
            <v>46315</v>
          </cell>
          <cell r="G898">
            <v>6088.8099999999986</v>
          </cell>
          <cell r="I898" t="str">
            <v>Comprou Marcas</v>
          </cell>
        </row>
        <row r="899">
          <cell r="A899">
            <v>8705108000191</v>
          </cell>
          <cell r="B899" t="str">
            <v>DROGARIA BARAO</v>
          </cell>
          <cell r="C899" t="str">
            <v>MULTIDROGAS</v>
          </cell>
          <cell r="D899" t="str">
            <v>BRAUNA</v>
          </cell>
          <cell r="E899" t="str">
            <v>SP</v>
          </cell>
          <cell r="F899">
            <v>46311</v>
          </cell>
          <cell r="G899">
            <v>5915.1100000000006</v>
          </cell>
          <cell r="I899" t="str">
            <v>Comprou Marcas</v>
          </cell>
        </row>
        <row r="900">
          <cell r="A900">
            <v>27899501000108</v>
          </cell>
          <cell r="B900" t="str">
            <v>DROGARIA AVIACAO</v>
          </cell>
          <cell r="C900" t="str">
            <v>INDEPENDENTES VIN</v>
          </cell>
          <cell r="D900" t="str">
            <v>PONTE BRANCA</v>
          </cell>
          <cell r="E900" t="str">
            <v>MT</v>
          </cell>
          <cell r="I900" t="str">
            <v>Não Comprou</v>
          </cell>
        </row>
        <row r="901">
          <cell r="A901">
            <v>36883544000196</v>
          </cell>
          <cell r="B901" t="str">
            <v>DROGARIA AVENIDA LTDA</v>
          </cell>
          <cell r="C901" t="str">
            <v>INDEPENDENTES VIN</v>
          </cell>
          <cell r="D901" t="str">
            <v>COMODORO</v>
          </cell>
          <cell r="E901" t="str">
            <v>MT</v>
          </cell>
          <cell r="I901" t="str">
            <v>Não Comprou</v>
          </cell>
        </row>
        <row r="902">
          <cell r="A902">
            <v>1756694000154</v>
          </cell>
          <cell r="B902" t="str">
            <v>DROGARIA AVENIDA</v>
          </cell>
          <cell r="C902" t="str">
            <v>HIPER SAUDE</v>
          </cell>
          <cell r="D902" t="str">
            <v>CAARAPO</v>
          </cell>
          <cell r="E902" t="str">
            <v>MS</v>
          </cell>
          <cell r="I902" t="str">
            <v>Não Comprou</v>
          </cell>
        </row>
        <row r="903">
          <cell r="A903">
            <v>4837150000105</v>
          </cell>
          <cell r="B903" t="str">
            <v>DROGARIA AVENIDA</v>
          </cell>
          <cell r="C903" t="str">
            <v>MASTERFARMA</v>
          </cell>
          <cell r="D903" t="str">
            <v>TANGARA DA SERRA</v>
          </cell>
          <cell r="E903" t="str">
            <v>MT</v>
          </cell>
          <cell r="F903">
            <v>46303</v>
          </cell>
          <cell r="G903">
            <v>1025.9099999999999</v>
          </cell>
          <cell r="I903" t="str">
            <v>Comprou Marcas</v>
          </cell>
        </row>
        <row r="904">
          <cell r="A904">
            <v>9137352000168</v>
          </cell>
          <cell r="B904" t="str">
            <v>DROGARIA AVENIDA</v>
          </cell>
          <cell r="C904" t="str">
            <v>INDEPENDENTES VIN</v>
          </cell>
          <cell r="D904" t="str">
            <v>ARAGARCAS</v>
          </cell>
          <cell r="E904" t="str">
            <v>GO</v>
          </cell>
          <cell r="I904" t="str">
            <v>Não Comprou</v>
          </cell>
        </row>
        <row r="905">
          <cell r="A905">
            <v>12625289000113</v>
          </cell>
          <cell r="B905" t="str">
            <v>DROGARIA ATIVA SAUDE</v>
          </cell>
          <cell r="C905" t="str">
            <v>ECONOMIZE RONDONOPOLIS</v>
          </cell>
          <cell r="D905" t="str">
            <v>CAMPO GRANDE</v>
          </cell>
          <cell r="E905" t="str">
            <v>MS</v>
          </cell>
          <cell r="I905" t="str">
            <v>Não Comprou</v>
          </cell>
        </row>
        <row r="906">
          <cell r="A906">
            <v>11453021000189</v>
          </cell>
          <cell r="B906" t="str">
            <v>DROGARIA ATIVA</v>
          </cell>
          <cell r="C906" t="str">
            <v>INDEPENDENTES VIN</v>
          </cell>
          <cell r="D906" t="str">
            <v>BARRA DO GARCAS</v>
          </cell>
          <cell r="E906" t="str">
            <v>MT</v>
          </cell>
          <cell r="I906" t="str">
            <v>Não Comprou</v>
          </cell>
        </row>
        <row r="907">
          <cell r="A907">
            <v>19825473000156</v>
          </cell>
          <cell r="B907" t="str">
            <v>DROGARIA ARARAS</v>
          </cell>
          <cell r="C907" t="str">
            <v>HIPER SAUDE</v>
          </cell>
          <cell r="D907" t="str">
            <v>NOVA MUTUM</v>
          </cell>
          <cell r="E907" t="str">
            <v>MT</v>
          </cell>
          <cell r="F907">
            <v>46314</v>
          </cell>
          <cell r="G907">
            <v>444.16999999999996</v>
          </cell>
          <cell r="I907" t="str">
            <v>Comprou Marcas</v>
          </cell>
        </row>
        <row r="908">
          <cell r="A908">
            <v>19825473000237</v>
          </cell>
          <cell r="B908" t="str">
            <v>DROGARIA ARARAS</v>
          </cell>
          <cell r="C908" t="str">
            <v>HIPER SAUDE</v>
          </cell>
          <cell r="D908" t="str">
            <v>NOVA MUTUM</v>
          </cell>
          <cell r="E908" t="str">
            <v>MT</v>
          </cell>
          <cell r="F908">
            <v>46311</v>
          </cell>
          <cell r="G908">
            <v>174.54000000000002</v>
          </cell>
          <cell r="I908" t="str">
            <v>Comprou Marcas</v>
          </cell>
        </row>
        <row r="909">
          <cell r="A909">
            <v>17967556000154</v>
          </cell>
          <cell r="B909" t="str">
            <v>DROGARIA AQUIDAUANA</v>
          </cell>
          <cell r="C909" t="str">
            <v>ASSOCIADAS</v>
          </cell>
          <cell r="D909" t="str">
            <v>AQUIDAUANA</v>
          </cell>
          <cell r="E909" t="str">
            <v>MS</v>
          </cell>
          <cell r="F909">
            <v>46313</v>
          </cell>
          <cell r="G909">
            <v>33192.689999999995</v>
          </cell>
          <cell r="I909" t="str">
            <v>Comprou Marcas</v>
          </cell>
        </row>
        <row r="910">
          <cell r="A910">
            <v>35976688000124</v>
          </cell>
          <cell r="B910" t="str">
            <v>DROGARIA AMERICAURILIA</v>
          </cell>
          <cell r="C910" t="str">
            <v>INDEPENDENTES VIN</v>
          </cell>
          <cell r="D910" t="str">
            <v>VARZEA GRANDE</v>
          </cell>
          <cell r="E910" t="str">
            <v>MT</v>
          </cell>
          <cell r="F910">
            <v>46310</v>
          </cell>
          <cell r="G910">
            <v>137.85</v>
          </cell>
          <cell r="I910" t="str">
            <v>Comprou Marcas</v>
          </cell>
        </row>
        <row r="911">
          <cell r="A911">
            <v>2462665000142</v>
          </cell>
          <cell r="B911" t="str">
            <v>DROGARIA AMERICANA</v>
          </cell>
          <cell r="C911" t="str">
            <v>INDEPENDENTES VIN</v>
          </cell>
          <cell r="D911" t="str">
            <v>COXIM</v>
          </cell>
          <cell r="E911" t="str">
            <v>MS</v>
          </cell>
          <cell r="F911">
            <v>46316</v>
          </cell>
          <cell r="G911">
            <v>1689.8600000000001</v>
          </cell>
          <cell r="H911">
            <v>7306.9799999999987</v>
          </cell>
          <cell r="I911" t="str">
            <v>Comprou Marcas e SG</v>
          </cell>
        </row>
        <row r="912">
          <cell r="A912">
            <v>11119143000133</v>
          </cell>
          <cell r="B912" t="str">
            <v>DROGARIA AMERICA</v>
          </cell>
          <cell r="C912" t="str">
            <v>INDEPENDENTES VIN</v>
          </cell>
          <cell r="D912" t="str">
            <v>MIRASSOL D'OESTE</v>
          </cell>
          <cell r="E912" t="str">
            <v>MT</v>
          </cell>
          <cell r="I912" t="str">
            <v>Não Comprou</v>
          </cell>
        </row>
        <row r="913">
          <cell r="A913">
            <v>29601304000196</v>
          </cell>
          <cell r="B913" t="str">
            <v>DROGARIA ALVORADA</v>
          </cell>
          <cell r="C913" t="str">
            <v>ASSOCIADAS</v>
          </cell>
          <cell r="D913" t="str">
            <v>NOVA ALVORADA DO SUL</v>
          </cell>
          <cell r="E913" t="str">
            <v>MS</v>
          </cell>
          <cell r="F913">
            <v>46309</v>
          </cell>
          <cell r="G913">
            <v>4708.41</v>
          </cell>
          <cell r="I913" t="str">
            <v>Comprou Marcas</v>
          </cell>
        </row>
        <row r="914">
          <cell r="A914">
            <v>40584253000174</v>
          </cell>
          <cell r="B914" t="str">
            <v>DROGARIA ALVORADA</v>
          </cell>
          <cell r="C914" t="str">
            <v>INDEPENDENTES VIN</v>
          </cell>
          <cell r="D914" t="str">
            <v>SAO GABRIEL DO OESTE</v>
          </cell>
          <cell r="E914" t="str">
            <v>MS</v>
          </cell>
          <cell r="I914" t="str">
            <v>Não Comprou</v>
          </cell>
        </row>
        <row r="915">
          <cell r="A915">
            <v>6350948000153</v>
          </cell>
          <cell r="B915" t="str">
            <v>DROGARIA ACAO</v>
          </cell>
          <cell r="C915" t="str">
            <v>FARMARCAS</v>
          </cell>
          <cell r="D915" t="str">
            <v>ALTO ARAGUAIA</v>
          </cell>
          <cell r="E915" t="str">
            <v>MT</v>
          </cell>
          <cell r="I915" t="str">
            <v>Não Comprou</v>
          </cell>
        </row>
        <row r="916">
          <cell r="A916">
            <v>30960236000130</v>
          </cell>
          <cell r="B916" t="str">
            <v>DROGARIA A MAIS POPULAR</v>
          </cell>
          <cell r="C916" t="str">
            <v>INDEPENDENTES VIN</v>
          </cell>
          <cell r="D916" t="str">
            <v>SETE QUEDAS</v>
          </cell>
          <cell r="E916" t="str">
            <v>MS</v>
          </cell>
          <cell r="F916">
            <v>46314</v>
          </cell>
          <cell r="G916">
            <v>451.95000000000005</v>
          </cell>
          <cell r="I916" t="str">
            <v>Comprou Marcas</v>
          </cell>
        </row>
        <row r="917">
          <cell r="A917">
            <v>37447212000121</v>
          </cell>
          <cell r="B917" t="str">
            <v>DROGARIA A</v>
          </cell>
          <cell r="C917" t="str">
            <v>INDEPENDENTES VIN</v>
          </cell>
          <cell r="D917" t="str">
            <v>TORIXOREU</v>
          </cell>
          <cell r="E917" t="str">
            <v>MT</v>
          </cell>
          <cell r="I917" t="str">
            <v>Não Comprou</v>
          </cell>
        </row>
        <row r="918">
          <cell r="A918">
            <v>10732561000139</v>
          </cell>
          <cell r="B918" t="str">
            <v>DROGARIA + SINOP</v>
          </cell>
          <cell r="C918" t="str">
            <v>ASSOCIADAS</v>
          </cell>
          <cell r="D918" t="str">
            <v>SINOP</v>
          </cell>
          <cell r="E918" t="str">
            <v>MT</v>
          </cell>
          <cell r="F918">
            <v>46314</v>
          </cell>
          <cell r="G918">
            <v>3193.2700000000004</v>
          </cell>
          <cell r="I918" t="str">
            <v>Comprou Marcas</v>
          </cell>
        </row>
        <row r="919">
          <cell r="A919">
            <v>32266459000128</v>
          </cell>
          <cell r="B919" t="str">
            <v>DROGARIA + ECONOMICA</v>
          </cell>
          <cell r="C919" t="str">
            <v>INDEPENDENTES VIN</v>
          </cell>
          <cell r="D919" t="str">
            <v>CORUMBA</v>
          </cell>
          <cell r="E919" t="str">
            <v>MS</v>
          </cell>
          <cell r="F919">
            <v>46315</v>
          </cell>
          <cell r="G919">
            <v>4475.83</v>
          </cell>
          <cell r="H919">
            <v>11821.480000000003</v>
          </cell>
          <cell r="I919" t="str">
            <v>Comprou Marcas e SG</v>
          </cell>
        </row>
        <row r="920">
          <cell r="A920">
            <v>3328971000153</v>
          </cell>
          <cell r="B920" t="str">
            <v>DROGARELLI</v>
          </cell>
          <cell r="C920" t="str">
            <v>MULTIDROGAS</v>
          </cell>
          <cell r="D920" t="str">
            <v>NOVA GUATAPORANGA</v>
          </cell>
          <cell r="E920" t="str">
            <v>SP</v>
          </cell>
          <cell r="F920">
            <v>46311</v>
          </cell>
          <cell r="G920">
            <v>1191.02</v>
          </cell>
          <cell r="I920" t="str">
            <v>Comprou Marcas</v>
          </cell>
        </row>
        <row r="921">
          <cell r="A921">
            <v>20787984000100</v>
          </cell>
          <cell r="B921" t="str">
            <v>DROGAPLUS POPULAR</v>
          </cell>
          <cell r="C921" t="str">
            <v>DROGASHOP</v>
          </cell>
          <cell r="D921" t="str">
            <v>TANGARA DA SERRA</v>
          </cell>
          <cell r="E921" t="str">
            <v>MT</v>
          </cell>
          <cell r="F921">
            <v>46316</v>
          </cell>
          <cell r="G921">
            <v>2739.1400000000003</v>
          </cell>
          <cell r="I921" t="str">
            <v>Comprou Marcas</v>
          </cell>
        </row>
        <row r="922">
          <cell r="A922">
            <v>20787984000290</v>
          </cell>
          <cell r="B922" t="str">
            <v>DROGAPLUS POPULAR</v>
          </cell>
          <cell r="C922" t="str">
            <v>DROGASHOP</v>
          </cell>
          <cell r="D922" t="str">
            <v>TANGARA DA SERRA</v>
          </cell>
          <cell r="E922" t="str">
            <v>MT</v>
          </cell>
          <cell r="F922">
            <v>46316</v>
          </cell>
          <cell r="G922">
            <v>2981.1000000000004</v>
          </cell>
          <cell r="I922" t="str">
            <v>Comprou Marcas</v>
          </cell>
        </row>
        <row r="923">
          <cell r="A923">
            <v>20787984000614</v>
          </cell>
          <cell r="B923" t="str">
            <v>DROGAPLUS POPULAR</v>
          </cell>
          <cell r="C923" t="str">
            <v>DROGASHOP</v>
          </cell>
          <cell r="D923" t="str">
            <v>TANGARA DA SERRA</v>
          </cell>
          <cell r="E923" t="str">
            <v>MT</v>
          </cell>
          <cell r="F923">
            <v>46316</v>
          </cell>
          <cell r="G923">
            <v>3510.1699999999996</v>
          </cell>
          <cell r="I923" t="str">
            <v>Comprou Marcas</v>
          </cell>
        </row>
        <row r="924">
          <cell r="A924">
            <v>20787984000703</v>
          </cell>
          <cell r="B924" t="str">
            <v>DROGAPLUS POPULAR</v>
          </cell>
          <cell r="C924" t="str">
            <v>DROGASHOP</v>
          </cell>
          <cell r="D924" t="str">
            <v>TANGARA DA SERRA</v>
          </cell>
          <cell r="E924" t="str">
            <v>MT</v>
          </cell>
          <cell r="F924">
            <v>46316</v>
          </cell>
          <cell r="G924">
            <v>1373.7499999999998</v>
          </cell>
          <cell r="I924" t="str">
            <v>Comprou Marcas</v>
          </cell>
        </row>
        <row r="925">
          <cell r="A925">
            <v>20787984000886</v>
          </cell>
          <cell r="B925" t="str">
            <v>DROGAPLUS POPULAR</v>
          </cell>
          <cell r="C925" t="str">
            <v>DROGASHOP</v>
          </cell>
          <cell r="D925" t="str">
            <v>CAMPO NOVO DO PARECIS</v>
          </cell>
          <cell r="E925" t="str">
            <v>MT</v>
          </cell>
          <cell r="F925">
            <v>46316</v>
          </cell>
          <cell r="G925">
            <v>2097.65</v>
          </cell>
          <cell r="I925" t="str">
            <v>Comprou Marcas</v>
          </cell>
        </row>
        <row r="926">
          <cell r="A926">
            <v>20787984000967</v>
          </cell>
          <cell r="B926" t="str">
            <v>DROGAPLUS POPULAR</v>
          </cell>
          <cell r="C926" t="str">
            <v>DROGASHOP</v>
          </cell>
          <cell r="D926" t="str">
            <v>CAMPO NOVO DO PARECIS</v>
          </cell>
          <cell r="E926" t="str">
            <v>MT</v>
          </cell>
          <cell r="F926">
            <v>46316</v>
          </cell>
          <cell r="G926">
            <v>1937.65</v>
          </cell>
          <cell r="I926" t="str">
            <v>Comprou Marcas</v>
          </cell>
        </row>
        <row r="927">
          <cell r="A927">
            <v>53889242000144</v>
          </cell>
          <cell r="B927" t="str">
            <v>DROGAPLIS</v>
          </cell>
          <cell r="C927" t="str">
            <v>DROGARIA TOTAL</v>
          </cell>
          <cell r="D927" t="str">
            <v>PENAPOLIS</v>
          </cell>
          <cell r="E927" t="str">
            <v>SP</v>
          </cell>
          <cell r="I927" t="str">
            <v>Não Comprou</v>
          </cell>
        </row>
        <row r="928">
          <cell r="A928">
            <v>1394350000142</v>
          </cell>
          <cell r="B928" t="str">
            <v>DROGAO POPULAR</v>
          </cell>
          <cell r="C928" t="str">
            <v>ASSOCIADAS</v>
          </cell>
          <cell r="D928" t="str">
            <v>MARACAJU</v>
          </cell>
          <cell r="E928" t="str">
            <v>MS</v>
          </cell>
          <cell r="F928">
            <v>46310</v>
          </cell>
          <cell r="G928">
            <v>4517.82</v>
          </cell>
          <cell r="I928" t="str">
            <v>Comprou Marcas</v>
          </cell>
        </row>
        <row r="929">
          <cell r="A929">
            <v>27785214000339</v>
          </cell>
          <cell r="B929" t="str">
            <v>DROGAO POPULAR</v>
          </cell>
          <cell r="C929" t="str">
            <v>ASSOCIADAS</v>
          </cell>
          <cell r="D929" t="str">
            <v>PONTA PORA</v>
          </cell>
          <cell r="E929" t="str">
            <v>MS</v>
          </cell>
          <cell r="F929">
            <v>46310</v>
          </cell>
          <cell r="G929">
            <v>6625.4000000000024</v>
          </cell>
          <cell r="I929" t="str">
            <v>Comprou Marcas</v>
          </cell>
        </row>
        <row r="930">
          <cell r="A930">
            <v>27785214000410</v>
          </cell>
          <cell r="B930" t="str">
            <v>DROGAO POPULAR</v>
          </cell>
          <cell r="C930" t="str">
            <v>ASSOCIADAS</v>
          </cell>
          <cell r="D930" t="str">
            <v>MARACAJU</v>
          </cell>
          <cell r="E930" t="str">
            <v>MS</v>
          </cell>
          <cell r="F930">
            <v>46310</v>
          </cell>
          <cell r="G930">
            <v>9026.42</v>
          </cell>
          <cell r="I930" t="str">
            <v>Comprou Marcas</v>
          </cell>
        </row>
        <row r="931">
          <cell r="A931">
            <v>29974778000183</v>
          </cell>
          <cell r="B931" t="str">
            <v>DROGAO POPULAR</v>
          </cell>
          <cell r="C931" t="str">
            <v>ASSOCIADAS</v>
          </cell>
          <cell r="D931" t="str">
            <v>CANARANA</v>
          </cell>
          <cell r="E931" t="str">
            <v>MT</v>
          </cell>
          <cell r="F931">
            <v>46311</v>
          </cell>
          <cell r="G931">
            <v>5238.12</v>
          </cell>
          <cell r="I931" t="str">
            <v>Comprou Marcas</v>
          </cell>
        </row>
        <row r="932">
          <cell r="A932">
            <v>37836714000144</v>
          </cell>
          <cell r="B932" t="str">
            <v>DROGAO POPULAR</v>
          </cell>
          <cell r="C932" t="str">
            <v>INDEPENDENTES VIN</v>
          </cell>
          <cell r="D932" t="str">
            <v>TUPI PAULISTA</v>
          </cell>
          <cell r="E932" t="str">
            <v>SP</v>
          </cell>
          <cell r="I932" t="str">
            <v>Não Comprou</v>
          </cell>
        </row>
        <row r="933">
          <cell r="A933">
            <v>5123132000124</v>
          </cell>
          <cell r="B933" t="str">
            <v>DROGAO + INTERIOR</v>
          </cell>
          <cell r="C933" t="str">
            <v>DSG FARMA</v>
          </cell>
          <cell r="D933" t="str">
            <v>VALPARAISO</v>
          </cell>
          <cell r="E933" t="str">
            <v>SP</v>
          </cell>
          <cell r="F933">
            <v>46311</v>
          </cell>
          <cell r="G933">
            <v>1819.55</v>
          </cell>
          <cell r="I933" t="str">
            <v>Comprou Marcas</v>
          </cell>
        </row>
        <row r="934">
          <cell r="A934">
            <v>15722053000193</v>
          </cell>
          <cell r="B934" t="str">
            <v>DROGAMIX</v>
          </cell>
          <cell r="C934" t="str">
            <v>ASSOCIADAS</v>
          </cell>
          <cell r="D934" t="str">
            <v>DOURADOS</v>
          </cell>
          <cell r="E934" t="str">
            <v>MS</v>
          </cell>
          <cell r="F934">
            <v>46311</v>
          </cell>
          <cell r="G934">
            <v>1658.66</v>
          </cell>
          <cell r="I934" t="str">
            <v>Comprou Marcas</v>
          </cell>
        </row>
        <row r="935">
          <cell r="A935">
            <v>7688383000181</v>
          </cell>
          <cell r="B935" t="str">
            <v>DROGAMIL</v>
          </cell>
          <cell r="C935" t="str">
            <v>DSG FARMA</v>
          </cell>
          <cell r="D935" t="str">
            <v>RONDONOPOLIS</v>
          </cell>
          <cell r="E935" t="str">
            <v>MT</v>
          </cell>
          <cell r="F935">
            <v>46304</v>
          </cell>
          <cell r="G935">
            <v>3002.45</v>
          </cell>
          <cell r="I935" t="str">
            <v>Comprou Marcas</v>
          </cell>
        </row>
        <row r="936">
          <cell r="A936">
            <v>32062591000118</v>
          </cell>
          <cell r="B936" t="str">
            <v>DROGAMED POPULAR</v>
          </cell>
          <cell r="C936" t="str">
            <v>INDEPENDENTES VIN</v>
          </cell>
          <cell r="D936" t="str">
            <v>COXIM</v>
          </cell>
          <cell r="E936" t="str">
            <v>MS</v>
          </cell>
          <cell r="I936" t="str">
            <v>Não Comprou</v>
          </cell>
        </row>
        <row r="937">
          <cell r="A937">
            <v>18096092000110</v>
          </cell>
          <cell r="B937" t="str">
            <v>DROGAMED</v>
          </cell>
          <cell r="C937" t="str">
            <v>ASSOCIADAS</v>
          </cell>
          <cell r="D937" t="str">
            <v>SAO GABRIEL DO OESTE</v>
          </cell>
          <cell r="E937" t="str">
            <v>MS</v>
          </cell>
          <cell r="F937">
            <v>46303</v>
          </cell>
          <cell r="G937">
            <v>4024.4900000000007</v>
          </cell>
          <cell r="I937" t="str">
            <v>Comprou Marcas</v>
          </cell>
        </row>
        <row r="938">
          <cell r="A938">
            <v>4965294000147</v>
          </cell>
          <cell r="B938" t="str">
            <v>DROGAMED</v>
          </cell>
          <cell r="C938" t="str">
            <v>ASSOCIADAS</v>
          </cell>
          <cell r="D938" t="str">
            <v>PARAISO DAS AGUAS</v>
          </cell>
          <cell r="E938" t="str">
            <v>MS</v>
          </cell>
          <cell r="F938">
            <v>46304</v>
          </cell>
          <cell r="G938">
            <v>1750.56</v>
          </cell>
          <cell r="I938" t="str">
            <v>Comprou Marcas</v>
          </cell>
        </row>
        <row r="939">
          <cell r="A939">
            <v>53257815000117</v>
          </cell>
          <cell r="B939" t="str">
            <v>DROGAMAQ</v>
          </cell>
          <cell r="C939" t="str">
            <v>INDEPENDENTES VIN</v>
          </cell>
          <cell r="D939" t="str">
            <v>CASTILHO</v>
          </cell>
          <cell r="E939" t="str">
            <v>SP</v>
          </cell>
          <cell r="I939" t="str">
            <v>Não Comprou</v>
          </cell>
        </row>
        <row r="940">
          <cell r="A940">
            <v>14699069000160</v>
          </cell>
          <cell r="B940" t="str">
            <v>DROGALIN</v>
          </cell>
          <cell r="C940" t="str">
            <v>INDEPENDENTES VIN</v>
          </cell>
          <cell r="D940" t="str">
            <v>JUNQUEIROPOLIS</v>
          </cell>
          <cell r="E940" t="str">
            <v>SP</v>
          </cell>
          <cell r="F940">
            <v>46310</v>
          </cell>
          <cell r="G940">
            <v>1076.4399999999998</v>
          </cell>
          <cell r="I940" t="str">
            <v>Comprou Marcas</v>
          </cell>
        </row>
        <row r="941">
          <cell r="A941">
            <v>5328012000163</v>
          </cell>
          <cell r="B941" t="str">
            <v>DROGALAR</v>
          </cell>
          <cell r="C941" t="str">
            <v>MASTERFARMA</v>
          </cell>
          <cell r="D941" t="str">
            <v>TANGARA DA SERRA</v>
          </cell>
          <cell r="E941" t="str">
            <v>MT</v>
          </cell>
          <cell r="F941">
            <v>46314</v>
          </cell>
          <cell r="G941">
            <v>3387.92</v>
          </cell>
          <cell r="I941" t="str">
            <v>Comprou Marcas</v>
          </cell>
        </row>
        <row r="942">
          <cell r="A942">
            <v>5006001000167</v>
          </cell>
          <cell r="B942" t="str">
            <v>DROGALAR</v>
          </cell>
          <cell r="C942" t="str">
            <v>INDEPENDENTES VIN</v>
          </cell>
          <cell r="D942" t="str">
            <v>CANARANA</v>
          </cell>
          <cell r="E942" t="str">
            <v>MT</v>
          </cell>
          <cell r="I942" t="str">
            <v>Não Comprou</v>
          </cell>
        </row>
        <row r="943">
          <cell r="A943">
            <v>1189590000105</v>
          </cell>
          <cell r="B943" t="str">
            <v>DROGALAB</v>
          </cell>
          <cell r="C943" t="str">
            <v>INDEPENDENTES VIN</v>
          </cell>
          <cell r="D943" t="str">
            <v>CAMPO GRANDE</v>
          </cell>
          <cell r="E943" t="str">
            <v>MS</v>
          </cell>
          <cell r="F943">
            <v>46309</v>
          </cell>
          <cell r="G943">
            <v>2034.6100000000001</v>
          </cell>
          <cell r="I943" t="str">
            <v>Comprou Marcas</v>
          </cell>
        </row>
        <row r="944">
          <cell r="A944">
            <v>11058284000193</v>
          </cell>
          <cell r="B944" t="str">
            <v>DROGAFIC</v>
          </cell>
          <cell r="C944" t="str">
            <v>INDEPENDENTES VIN</v>
          </cell>
          <cell r="D944" t="str">
            <v>CAMPO GRANDE</v>
          </cell>
          <cell r="E944" t="str">
            <v>MS</v>
          </cell>
          <cell r="I944" t="str">
            <v>Não Comprou</v>
          </cell>
        </row>
        <row r="945">
          <cell r="A945">
            <v>10601751000117</v>
          </cell>
          <cell r="B945" t="str">
            <v>DROGAFARMA</v>
          </cell>
          <cell r="C945" t="str">
            <v>MASTERFARMA</v>
          </cell>
          <cell r="D945" t="str">
            <v>BARRA DO GARCAS</v>
          </cell>
          <cell r="E945" t="str">
            <v>MT</v>
          </cell>
          <cell r="F945">
            <v>46310</v>
          </cell>
          <cell r="G945">
            <v>1130.08</v>
          </cell>
          <cell r="I945" t="str">
            <v>Comprou Marcas</v>
          </cell>
        </row>
        <row r="946">
          <cell r="A946">
            <v>9112212000216</v>
          </cell>
          <cell r="B946" t="str">
            <v>DROGACERTA</v>
          </cell>
          <cell r="C946" t="str">
            <v>ASSOCIADAS</v>
          </cell>
          <cell r="D946" t="str">
            <v>BARRA DO GARCAS</v>
          </cell>
          <cell r="E946" t="str">
            <v>MT</v>
          </cell>
          <cell r="I946" t="str">
            <v>Não Comprou</v>
          </cell>
        </row>
        <row r="947">
          <cell r="A947">
            <v>47216701000126</v>
          </cell>
          <cell r="B947" t="str">
            <v>DROGACERTA</v>
          </cell>
          <cell r="C947" t="str">
            <v>ASSOCIADAS</v>
          </cell>
          <cell r="D947" t="str">
            <v>BARRA DO GARCAS</v>
          </cell>
          <cell r="E947" t="str">
            <v>MT</v>
          </cell>
          <cell r="F947">
            <v>46316</v>
          </cell>
          <cell r="G947">
            <v>205.9</v>
          </cell>
          <cell r="I947" t="str">
            <v>Comprou Marcas</v>
          </cell>
        </row>
        <row r="948">
          <cell r="A948">
            <v>60511756000127</v>
          </cell>
          <cell r="B948" t="str">
            <v>DROGACENTER RIBEIRO</v>
          </cell>
          <cell r="C948" t="str">
            <v>DROGARIA TOTAL</v>
          </cell>
          <cell r="D948" t="str">
            <v>CASTILHO</v>
          </cell>
          <cell r="E948" t="str">
            <v>SP</v>
          </cell>
          <cell r="I948" t="str">
            <v>Não Comprou</v>
          </cell>
        </row>
        <row r="949">
          <cell r="A949">
            <v>19955526000153</v>
          </cell>
          <cell r="B949" t="str">
            <v>DROGACENTER</v>
          </cell>
          <cell r="C949" t="str">
            <v>INDEPENDENTES VIN</v>
          </cell>
          <cell r="D949" t="str">
            <v>BARRA DO GARCAS</v>
          </cell>
          <cell r="E949" t="str">
            <v>MT</v>
          </cell>
          <cell r="F949">
            <v>46316</v>
          </cell>
          <cell r="G949">
            <v>35.96</v>
          </cell>
          <cell r="I949" t="str">
            <v>Comprou Marcas</v>
          </cell>
        </row>
        <row r="950">
          <cell r="A950">
            <v>37489689000170</v>
          </cell>
          <cell r="B950" t="str">
            <v>DROGACENTER</v>
          </cell>
          <cell r="C950" t="str">
            <v>ASSOCIADAS</v>
          </cell>
          <cell r="D950" t="str">
            <v>CANARANA</v>
          </cell>
          <cell r="E950" t="str">
            <v>MT</v>
          </cell>
          <cell r="I950" t="str">
            <v>Não Comprou</v>
          </cell>
        </row>
        <row r="951">
          <cell r="A951">
            <v>2553791000102</v>
          </cell>
          <cell r="B951" t="str">
            <v>DROGACAN</v>
          </cell>
          <cell r="C951" t="str">
            <v>INDEPENDENTES VIN</v>
          </cell>
          <cell r="D951" t="str">
            <v>CANARANA</v>
          </cell>
          <cell r="E951" t="str">
            <v>MT</v>
          </cell>
          <cell r="I951" t="str">
            <v>Não Comprou</v>
          </cell>
        </row>
        <row r="952">
          <cell r="A952">
            <v>62510454000160</v>
          </cell>
          <cell r="B952" t="str">
            <v>DROGABEL</v>
          </cell>
          <cell r="C952" t="str">
            <v>INDEPENDENTES VIN</v>
          </cell>
          <cell r="D952" t="str">
            <v>CANARANA</v>
          </cell>
          <cell r="E952" t="str">
            <v>MT</v>
          </cell>
          <cell r="I952" t="str">
            <v>Não Comprou</v>
          </cell>
        </row>
        <row r="953">
          <cell r="A953">
            <v>9146590000130</v>
          </cell>
          <cell r="B953" t="str">
            <v>DROGA VIVA</v>
          </cell>
          <cell r="C953" t="str">
            <v>ECONOMIZE RONDONOPOLIS</v>
          </cell>
          <cell r="D953" t="str">
            <v>CUIABA</v>
          </cell>
          <cell r="E953" t="str">
            <v>MT</v>
          </cell>
          <cell r="F953">
            <v>46303</v>
          </cell>
          <cell r="G953">
            <v>137.85</v>
          </cell>
          <cell r="I953" t="str">
            <v>Comprou Marcas</v>
          </cell>
        </row>
        <row r="954">
          <cell r="A954">
            <v>40214024000168</v>
          </cell>
          <cell r="B954" t="str">
            <v>DROGA VITA</v>
          </cell>
          <cell r="C954" t="str">
            <v>MASTERFARMA</v>
          </cell>
          <cell r="D954" t="str">
            <v>RIO VERDE DE MATO GROSSO</v>
          </cell>
          <cell r="E954" t="str">
            <v>MS</v>
          </cell>
          <cell r="I954" t="str">
            <v>Não Comprou</v>
          </cell>
        </row>
        <row r="955">
          <cell r="A955">
            <v>31509807000188</v>
          </cell>
          <cell r="B955" t="str">
            <v>DROGA VIDA POPULAR</v>
          </cell>
          <cell r="C955" t="str">
            <v>INDEPENDENTES VIN</v>
          </cell>
          <cell r="D955" t="str">
            <v>JUARA</v>
          </cell>
          <cell r="E955" t="str">
            <v>MT</v>
          </cell>
          <cell r="F955">
            <v>46315</v>
          </cell>
          <cell r="G955">
            <v>2144.3500000000004</v>
          </cell>
          <cell r="I955" t="str">
            <v>Comprou Marcas</v>
          </cell>
        </row>
        <row r="956">
          <cell r="A956">
            <v>40190327000198</v>
          </cell>
          <cell r="B956" t="str">
            <v>DROGA VIDA POPULAR</v>
          </cell>
          <cell r="C956" t="str">
            <v>INDEPENDENTES VIN</v>
          </cell>
          <cell r="D956" t="str">
            <v>ARAGARCAS</v>
          </cell>
          <cell r="E956" t="str">
            <v>GO</v>
          </cell>
          <cell r="I956" t="str">
            <v>Não Comprou</v>
          </cell>
        </row>
        <row r="957">
          <cell r="A957">
            <v>7243216000127</v>
          </cell>
          <cell r="B957" t="str">
            <v>DROGA VIDA</v>
          </cell>
          <cell r="C957" t="str">
            <v>DSG FARMA</v>
          </cell>
          <cell r="D957" t="str">
            <v>NOVA XAVANTINA</v>
          </cell>
          <cell r="E957" t="str">
            <v>MT</v>
          </cell>
          <cell r="F957">
            <v>46310</v>
          </cell>
          <cell r="G957">
            <v>1374.2300000000002</v>
          </cell>
          <cell r="I957" t="str">
            <v>Comprou Marcas</v>
          </cell>
        </row>
        <row r="958">
          <cell r="A958">
            <v>8604819000170</v>
          </cell>
          <cell r="B958" t="str">
            <v>DROGA SOL</v>
          </cell>
          <cell r="C958" t="str">
            <v>MASTERFARMA</v>
          </cell>
          <cell r="D958" t="str">
            <v>CASSILANDIA</v>
          </cell>
          <cell r="E958" t="str">
            <v>MS</v>
          </cell>
          <cell r="F958">
            <v>46314</v>
          </cell>
          <cell r="G958">
            <v>2840.9400000000005</v>
          </cell>
          <cell r="I958" t="str">
            <v>Comprou Marcas</v>
          </cell>
        </row>
        <row r="959">
          <cell r="A959">
            <v>55845358000107</v>
          </cell>
          <cell r="B959" t="str">
            <v>DROGA SERV</v>
          </cell>
          <cell r="C959" t="str">
            <v>MASTERFARMA</v>
          </cell>
          <cell r="D959" t="str">
            <v>PRESIDENTE PRUDENTE</v>
          </cell>
          <cell r="E959" t="str">
            <v>SP</v>
          </cell>
          <cell r="I959" t="str">
            <v>Não Comprou</v>
          </cell>
        </row>
        <row r="960">
          <cell r="A960">
            <v>1524705000170</v>
          </cell>
          <cell r="B960" t="str">
            <v>DROGA SANTOS</v>
          </cell>
          <cell r="C960" t="str">
            <v>MULTIDROGAS</v>
          </cell>
          <cell r="D960" t="str">
            <v>PAULICEIA</v>
          </cell>
          <cell r="E960" t="str">
            <v>SP</v>
          </cell>
          <cell r="F960">
            <v>46316</v>
          </cell>
          <cell r="G960">
            <v>774.81</v>
          </cell>
          <cell r="I960" t="str">
            <v>Comprou Marcas</v>
          </cell>
        </row>
        <row r="961">
          <cell r="A961">
            <v>7234960000165</v>
          </cell>
          <cell r="B961" t="str">
            <v>DROGA PRACA</v>
          </cell>
          <cell r="C961" t="str">
            <v>MASTERFARMA</v>
          </cell>
          <cell r="D961" t="str">
            <v>PONTES E LACERDA</v>
          </cell>
          <cell r="E961" t="str">
            <v>MT</v>
          </cell>
          <cell r="F961">
            <v>46303</v>
          </cell>
          <cell r="G961">
            <v>2239.92</v>
          </cell>
          <cell r="I961" t="str">
            <v>Comprou Marcas</v>
          </cell>
        </row>
        <row r="962">
          <cell r="A962">
            <v>2486244000151</v>
          </cell>
          <cell r="B962" t="str">
            <v>DROGA MERY</v>
          </cell>
          <cell r="C962" t="str">
            <v>INDEPENDENTES VIN</v>
          </cell>
          <cell r="D962" t="str">
            <v>SINOP</v>
          </cell>
          <cell r="E962" t="str">
            <v>MT</v>
          </cell>
          <cell r="I962" t="str">
            <v>Não Comprou</v>
          </cell>
        </row>
        <row r="963">
          <cell r="A963">
            <v>25064025000180</v>
          </cell>
          <cell r="B963" t="str">
            <v>DROGA MAX</v>
          </cell>
          <cell r="C963" t="str">
            <v>INDEPENDENTES VIN</v>
          </cell>
          <cell r="D963" t="str">
            <v>TANGARA DA SERRA</v>
          </cell>
          <cell r="E963" t="str">
            <v>MT</v>
          </cell>
          <cell r="F963">
            <v>46315</v>
          </cell>
          <cell r="G963">
            <v>4647.3499999999995</v>
          </cell>
          <cell r="I963" t="str">
            <v>Comprou Marcas</v>
          </cell>
        </row>
        <row r="964">
          <cell r="A964">
            <v>11210256000140</v>
          </cell>
          <cell r="B964" t="str">
            <v>DROGA MASTER</v>
          </cell>
          <cell r="C964" t="str">
            <v>HIPER SAUDE</v>
          </cell>
          <cell r="D964" t="str">
            <v>COMODORO</v>
          </cell>
          <cell r="E964" t="str">
            <v>MT</v>
          </cell>
          <cell r="F964">
            <v>46304</v>
          </cell>
          <cell r="G964">
            <v>1143.3499999999999</v>
          </cell>
          <cell r="I964" t="str">
            <v>Comprou Marcas</v>
          </cell>
        </row>
        <row r="965">
          <cell r="A965">
            <v>19325814000124</v>
          </cell>
          <cell r="B965" t="str">
            <v>DROGA MASTER</v>
          </cell>
          <cell r="C965" t="str">
            <v>INDEPENDENTES VIN</v>
          </cell>
          <cell r="D965" t="str">
            <v>TANGARA DA SERRA</v>
          </cell>
          <cell r="E965" t="str">
            <v>MT</v>
          </cell>
          <cell r="I965" t="str">
            <v>Não Comprou</v>
          </cell>
        </row>
        <row r="966">
          <cell r="A966">
            <v>36004691000149</v>
          </cell>
          <cell r="B966" t="str">
            <v>DROGA MAIS SUPER POPULAR</v>
          </cell>
          <cell r="C966" t="str">
            <v>HIPER SAUDE</v>
          </cell>
          <cell r="D966" t="str">
            <v>NOVA XAVANTINA</v>
          </cell>
          <cell r="E966" t="str">
            <v>MT</v>
          </cell>
          <cell r="I966" t="str">
            <v>Não Comprou</v>
          </cell>
        </row>
        <row r="967">
          <cell r="A967">
            <v>18723666000133</v>
          </cell>
          <cell r="B967" t="str">
            <v>DROGA MAIS</v>
          </cell>
          <cell r="C967" t="str">
            <v>HIPER SAUDE</v>
          </cell>
          <cell r="D967" t="str">
            <v>NOVA XAVANTINA</v>
          </cell>
          <cell r="E967" t="str">
            <v>MT</v>
          </cell>
          <cell r="F967">
            <v>46308</v>
          </cell>
          <cell r="G967">
            <v>2658.26</v>
          </cell>
          <cell r="H967">
            <v>2037.86</v>
          </cell>
          <cell r="I967" t="str">
            <v>Comprou Marcas e SG</v>
          </cell>
        </row>
        <row r="968">
          <cell r="A968">
            <v>34508395000150</v>
          </cell>
          <cell r="B968" t="str">
            <v>DROGA MAIS</v>
          </cell>
          <cell r="C968" t="str">
            <v>INDEPENDENTES VIN</v>
          </cell>
          <cell r="D968" t="str">
            <v>ALTO ARAGUAIA</v>
          </cell>
          <cell r="E968" t="str">
            <v>MT</v>
          </cell>
          <cell r="I968" t="str">
            <v>Não Comprou</v>
          </cell>
        </row>
        <row r="969">
          <cell r="A969">
            <v>9642282000103</v>
          </cell>
          <cell r="B969" t="str">
            <v>DROGA LUZ</v>
          </cell>
          <cell r="C969" t="str">
            <v>INDEPENDENTES VIN</v>
          </cell>
          <cell r="D969" t="str">
            <v>VARZEA GRANDE</v>
          </cell>
          <cell r="E969" t="str">
            <v>MT</v>
          </cell>
          <cell r="F969">
            <v>46307</v>
          </cell>
          <cell r="G969">
            <v>715.55</v>
          </cell>
          <cell r="I969" t="str">
            <v>Comprou Marcas</v>
          </cell>
        </row>
        <row r="970">
          <cell r="A970">
            <v>16925842000194</v>
          </cell>
          <cell r="B970" t="str">
            <v>DROGA LIDER</v>
          </cell>
          <cell r="C970" t="str">
            <v>MASTERFARMA</v>
          </cell>
          <cell r="D970" t="str">
            <v>PARANAIBA</v>
          </cell>
          <cell r="E970" t="str">
            <v>MS</v>
          </cell>
          <cell r="F970">
            <v>46303</v>
          </cell>
          <cell r="G970">
            <v>243.67</v>
          </cell>
          <cell r="I970" t="str">
            <v>Comprou Marcas</v>
          </cell>
        </row>
        <row r="971">
          <cell r="A971">
            <v>9433797000195</v>
          </cell>
          <cell r="B971" t="str">
            <v>DROGA FARMAKO</v>
          </cell>
          <cell r="C971" t="str">
            <v>FARMAIS</v>
          </cell>
          <cell r="D971" t="str">
            <v>BRASILANDIA</v>
          </cell>
          <cell r="E971" t="str">
            <v>MS</v>
          </cell>
          <cell r="F971">
            <v>46316</v>
          </cell>
          <cell r="G971">
            <v>5797.3899999999976</v>
          </cell>
          <cell r="I971" t="str">
            <v>Comprou Marcas</v>
          </cell>
        </row>
        <row r="972">
          <cell r="A972">
            <v>32338157000118</v>
          </cell>
          <cell r="B972" t="str">
            <v>DROGA FACIL</v>
          </cell>
          <cell r="C972" t="str">
            <v>INDEPENDENTES VIN</v>
          </cell>
          <cell r="D972" t="str">
            <v>PARANATINGA</v>
          </cell>
          <cell r="E972" t="str">
            <v>MT</v>
          </cell>
          <cell r="I972" t="str">
            <v>Não Comprou</v>
          </cell>
        </row>
        <row r="973">
          <cell r="A973">
            <v>29946302000139</v>
          </cell>
          <cell r="B973" t="str">
            <v>DROGA CERTA</v>
          </cell>
          <cell r="C973" t="str">
            <v>ASSOCIADAS</v>
          </cell>
          <cell r="D973" t="str">
            <v>AGUA BOA</v>
          </cell>
          <cell r="E973" t="str">
            <v>MT</v>
          </cell>
          <cell r="I973" t="str">
            <v>Não Comprou</v>
          </cell>
        </row>
        <row r="974">
          <cell r="A974">
            <v>13304645000160</v>
          </cell>
          <cell r="B974" t="str">
            <v>DROGA CENTER</v>
          </cell>
          <cell r="C974" t="str">
            <v>INDEPENDENTES VIN</v>
          </cell>
          <cell r="D974" t="str">
            <v>AGUA CLARA</v>
          </cell>
          <cell r="E974" t="str">
            <v>MS</v>
          </cell>
          <cell r="F974">
            <v>46301</v>
          </cell>
          <cell r="G974">
            <v>391.96</v>
          </cell>
          <cell r="I974" t="str">
            <v>Comprou Marcas</v>
          </cell>
        </row>
        <row r="975">
          <cell r="A975">
            <v>30878190000105</v>
          </cell>
          <cell r="B975" t="str">
            <v>DROGA CENTER</v>
          </cell>
          <cell r="C975" t="str">
            <v>MASTERFARMA</v>
          </cell>
          <cell r="D975" t="str">
            <v>SONORA</v>
          </cell>
          <cell r="E975" t="str">
            <v>MS</v>
          </cell>
          <cell r="F975">
            <v>46307</v>
          </cell>
          <cell r="G975">
            <v>4317.4599999999991</v>
          </cell>
          <cell r="I975" t="str">
            <v>Comprou Marcas</v>
          </cell>
        </row>
        <row r="976">
          <cell r="A976">
            <v>1561919000117</v>
          </cell>
          <cell r="B976" t="str">
            <v>DROGA BRASILEIRA</v>
          </cell>
          <cell r="C976" t="str">
            <v>ASSOCIADAS</v>
          </cell>
          <cell r="D976" t="str">
            <v>BANDEIRANTES</v>
          </cell>
          <cell r="E976" t="str">
            <v>MS</v>
          </cell>
          <cell r="I976" t="str">
            <v>Não Comprou</v>
          </cell>
        </row>
        <row r="977">
          <cell r="A977">
            <v>36630262000187</v>
          </cell>
          <cell r="B977" t="str">
            <v>DROGA BOX</v>
          </cell>
          <cell r="C977" t="str">
            <v>HIPER SAUDE</v>
          </cell>
          <cell r="D977" t="str">
            <v>CUIABA</v>
          </cell>
          <cell r="E977" t="str">
            <v>MT</v>
          </cell>
          <cell r="F977">
            <v>46303</v>
          </cell>
          <cell r="G977">
            <v>137.85</v>
          </cell>
          <cell r="I977" t="str">
            <v>Comprou Marcas</v>
          </cell>
        </row>
        <row r="978">
          <cell r="A978">
            <v>8821476000103</v>
          </cell>
          <cell r="B978" t="str">
            <v>DROGA BEM</v>
          </cell>
          <cell r="C978" t="str">
            <v>INDEPENDENTES VIN</v>
          </cell>
          <cell r="D978" t="str">
            <v>CAMPO GRANDE</v>
          </cell>
          <cell r="E978" t="str">
            <v>MS</v>
          </cell>
          <cell r="F978">
            <v>46315</v>
          </cell>
          <cell r="G978">
            <v>944.20999999999981</v>
          </cell>
          <cell r="I978" t="str">
            <v>Comprou Marcas</v>
          </cell>
        </row>
        <row r="979">
          <cell r="A979">
            <v>9496232000157</v>
          </cell>
          <cell r="B979" t="str">
            <v>DROGA ASSIS</v>
          </cell>
          <cell r="C979" t="str">
            <v>ASFAR FARMACIAS</v>
          </cell>
          <cell r="D979" t="str">
            <v>JUARA</v>
          </cell>
          <cell r="E979" t="str">
            <v>MT</v>
          </cell>
          <cell r="F979">
            <v>46316</v>
          </cell>
          <cell r="G979">
            <v>6834.6099999999969</v>
          </cell>
          <cell r="I979" t="str">
            <v>Comprou Marcas</v>
          </cell>
        </row>
        <row r="980">
          <cell r="A980">
            <v>9496232000238</v>
          </cell>
          <cell r="B980" t="str">
            <v>DROGA ASSIS</v>
          </cell>
          <cell r="C980" t="str">
            <v>ASFAR FARMACIAS</v>
          </cell>
          <cell r="D980" t="str">
            <v>JUARA</v>
          </cell>
          <cell r="E980" t="str">
            <v>MT</v>
          </cell>
          <cell r="F980">
            <v>46314</v>
          </cell>
          <cell r="G980">
            <v>3508.09</v>
          </cell>
          <cell r="I980" t="str">
            <v>Comprou Marcas</v>
          </cell>
        </row>
        <row r="981">
          <cell r="A981">
            <v>9496232000319</v>
          </cell>
          <cell r="B981" t="str">
            <v>DROGA ASSIS</v>
          </cell>
          <cell r="C981" t="str">
            <v>ASFAR FARMACIAS</v>
          </cell>
          <cell r="D981" t="str">
            <v>JUARA</v>
          </cell>
          <cell r="E981" t="str">
            <v>MT</v>
          </cell>
          <cell r="F981">
            <v>46311</v>
          </cell>
          <cell r="G981">
            <v>91.61</v>
          </cell>
          <cell r="I981" t="str">
            <v>Comprou Marcas</v>
          </cell>
        </row>
        <row r="982">
          <cell r="A982">
            <v>2025871000195</v>
          </cell>
          <cell r="B982" t="str">
            <v>DROG VELASQUES</v>
          </cell>
          <cell r="C982" t="str">
            <v>REDE SANTA CATARINA</v>
          </cell>
          <cell r="D982" t="str">
            <v>PRESIDENTE PRUDENTE</v>
          </cell>
          <cell r="E982" t="str">
            <v>SP</v>
          </cell>
          <cell r="F982">
            <v>46316</v>
          </cell>
          <cell r="G982">
            <v>4054.58</v>
          </cell>
          <cell r="H982">
            <v>2684.47</v>
          </cell>
          <cell r="I982" t="str">
            <v>Comprou Marcas e SG</v>
          </cell>
        </row>
        <row r="983">
          <cell r="A983">
            <v>15532062000111</v>
          </cell>
          <cell r="B983" t="str">
            <v>DROG STO ANTONIO</v>
          </cell>
          <cell r="C983" t="str">
            <v>INDEPENDENTES VIN</v>
          </cell>
          <cell r="D983" t="str">
            <v>JARDIM</v>
          </cell>
          <cell r="E983" t="str">
            <v>MS</v>
          </cell>
          <cell r="F983">
            <v>46310</v>
          </cell>
          <cell r="G983">
            <v>278.31</v>
          </cell>
          <cell r="I983" t="str">
            <v>Comprou Marcas</v>
          </cell>
        </row>
        <row r="984">
          <cell r="A984">
            <v>5528457000197</v>
          </cell>
          <cell r="B984" t="str">
            <v>DROG SOLUCAO</v>
          </cell>
          <cell r="C984" t="str">
            <v>INDEPENDENTES VIN</v>
          </cell>
          <cell r="D984" t="str">
            <v>ALTO GARCAS</v>
          </cell>
          <cell r="E984" t="str">
            <v>MT</v>
          </cell>
          <cell r="I984" t="str">
            <v>Não Comprou</v>
          </cell>
        </row>
        <row r="985">
          <cell r="A985">
            <v>7434377000106</v>
          </cell>
          <cell r="B985" t="str">
            <v>DROG SILVA</v>
          </cell>
          <cell r="C985" t="str">
            <v>INDEPENDENTES VIN</v>
          </cell>
          <cell r="D985" t="str">
            <v>PAULICEIA</v>
          </cell>
          <cell r="E985" t="str">
            <v>SP</v>
          </cell>
          <cell r="F985">
            <v>46316</v>
          </cell>
          <cell r="G985">
            <v>2365.4899999999998</v>
          </cell>
          <cell r="I985" t="str">
            <v>Comprou Marcas</v>
          </cell>
        </row>
        <row r="986">
          <cell r="A986">
            <v>1719283000199</v>
          </cell>
          <cell r="B986" t="str">
            <v>DROG SIDRO</v>
          </cell>
          <cell r="C986" t="str">
            <v>INDEPENDENTES VIN</v>
          </cell>
          <cell r="D986" t="str">
            <v>SIDROLANDIA</v>
          </cell>
          <cell r="E986" t="str">
            <v>MS</v>
          </cell>
          <cell r="I986" t="str">
            <v>Não Comprou</v>
          </cell>
        </row>
        <row r="987">
          <cell r="A987">
            <v>8464650000108</v>
          </cell>
          <cell r="B987" t="str">
            <v>DROG SAUDE</v>
          </cell>
          <cell r="C987" t="str">
            <v>ASSOCIADAS</v>
          </cell>
          <cell r="D987" t="str">
            <v>ARAGARCAS</v>
          </cell>
          <cell r="E987" t="str">
            <v>GO</v>
          </cell>
          <cell r="F987">
            <v>46310</v>
          </cell>
          <cell r="G987">
            <v>1147.5599999999997</v>
          </cell>
          <cell r="I987" t="str">
            <v>Comprou Marcas</v>
          </cell>
        </row>
        <row r="988">
          <cell r="A988">
            <v>4592381000104</v>
          </cell>
          <cell r="B988" t="str">
            <v>DROG SAUDE</v>
          </cell>
          <cell r="C988" t="str">
            <v>HIPER SAUDE</v>
          </cell>
          <cell r="D988" t="str">
            <v>PARANAIBA</v>
          </cell>
          <cell r="E988" t="str">
            <v>MS</v>
          </cell>
          <cell r="I988" t="str">
            <v>Não Comprou</v>
          </cell>
        </row>
        <row r="989">
          <cell r="A989">
            <v>1134776000167</v>
          </cell>
          <cell r="B989" t="str">
            <v>DROG SAO PAULO</v>
          </cell>
          <cell r="C989" t="str">
            <v>ASSOCIADAS</v>
          </cell>
          <cell r="D989" t="str">
            <v>ALTA FLORESTA</v>
          </cell>
          <cell r="E989" t="str">
            <v>MT</v>
          </cell>
          <cell r="F989">
            <v>46315</v>
          </cell>
          <cell r="G989">
            <v>6287.7900000000009</v>
          </cell>
          <cell r="I989" t="str">
            <v>Comprou Marcas</v>
          </cell>
        </row>
        <row r="990">
          <cell r="A990">
            <v>1897271000154</v>
          </cell>
          <cell r="B990" t="str">
            <v>DROG SAO LUCAS</v>
          </cell>
          <cell r="C990" t="str">
            <v>INDEPENDENTES VIN</v>
          </cell>
          <cell r="D990" t="str">
            <v>ALTO GARCAS</v>
          </cell>
          <cell r="E990" t="str">
            <v>MT</v>
          </cell>
          <cell r="I990" t="str">
            <v>Não Comprou</v>
          </cell>
        </row>
        <row r="991">
          <cell r="A991">
            <v>7113333000176</v>
          </cell>
          <cell r="B991" t="str">
            <v>DROG SAO LUCAS</v>
          </cell>
          <cell r="C991" t="str">
            <v>REDE COMPRE CERTO</v>
          </cell>
          <cell r="D991" t="str">
            <v>QUERENCIA</v>
          </cell>
          <cell r="E991" t="str">
            <v>MT</v>
          </cell>
          <cell r="I991" t="str">
            <v>Não Comprou</v>
          </cell>
        </row>
        <row r="992">
          <cell r="A992">
            <v>3377845000199</v>
          </cell>
          <cell r="B992" t="str">
            <v>DROG SAO JOSE MANIP</v>
          </cell>
          <cell r="C992" t="str">
            <v>INDEPENDENTES VIN</v>
          </cell>
          <cell r="D992" t="str">
            <v>AMAMBAI</v>
          </cell>
          <cell r="E992" t="str">
            <v>MS</v>
          </cell>
          <cell r="F992">
            <v>46310</v>
          </cell>
          <cell r="G992">
            <v>518.91000000000008</v>
          </cell>
          <cell r="I992" t="str">
            <v>Comprou Marcas</v>
          </cell>
        </row>
        <row r="993">
          <cell r="A993">
            <v>388531000101</v>
          </cell>
          <cell r="B993" t="str">
            <v>DROG SANTO ANTONIO</v>
          </cell>
          <cell r="C993" t="str">
            <v>INDEPENDENTES VIN</v>
          </cell>
          <cell r="D993" t="str">
            <v>NIOAQUE</v>
          </cell>
          <cell r="E993" t="str">
            <v>MS</v>
          </cell>
          <cell r="I993" t="str">
            <v>Não Comprou</v>
          </cell>
        </row>
        <row r="994">
          <cell r="A994">
            <v>55323943000147</v>
          </cell>
          <cell r="B994" t="str">
            <v>DROG SANTA RITA</v>
          </cell>
          <cell r="C994" t="str">
            <v>INDEPENDENTES VIN</v>
          </cell>
          <cell r="D994" t="str">
            <v>PRESIDENTE PRUDENTE</v>
          </cell>
          <cell r="E994" t="str">
            <v>SP</v>
          </cell>
          <cell r="I994" t="str">
            <v>Não Comprou</v>
          </cell>
        </row>
        <row r="995">
          <cell r="A995">
            <v>1617371000180</v>
          </cell>
          <cell r="B995" t="str">
            <v>DROG SANTA LUZIA</v>
          </cell>
          <cell r="C995" t="str">
            <v>MULTIDROGAS</v>
          </cell>
          <cell r="D995" t="str">
            <v>LUCELIA</v>
          </cell>
          <cell r="E995" t="str">
            <v>SP</v>
          </cell>
          <cell r="F995">
            <v>46308</v>
          </cell>
          <cell r="G995">
            <v>15801.26</v>
          </cell>
          <cell r="H995">
            <v>19989.740000000002</v>
          </cell>
          <cell r="I995" t="str">
            <v>Comprou Marcas e SG</v>
          </cell>
        </row>
        <row r="996">
          <cell r="A996">
            <v>3141355000199</v>
          </cell>
          <cell r="B996" t="str">
            <v>DROG SANTA EFIGENIA</v>
          </cell>
          <cell r="C996" t="str">
            <v>INDEPENDENTES VIN</v>
          </cell>
          <cell r="D996" t="str">
            <v>ALTO GARCAS</v>
          </cell>
          <cell r="E996" t="str">
            <v>MT</v>
          </cell>
          <cell r="I996" t="str">
            <v>Não Comprou</v>
          </cell>
        </row>
        <row r="997">
          <cell r="A997">
            <v>4986853000103</v>
          </cell>
          <cell r="B997" t="str">
            <v>DROG SANTA ANA</v>
          </cell>
          <cell r="C997" t="str">
            <v>INDEPENDENTES VIN</v>
          </cell>
          <cell r="D997" t="str">
            <v>BARRA DO GARCAS</v>
          </cell>
          <cell r="E997" t="str">
            <v>MT</v>
          </cell>
          <cell r="I997" t="str">
            <v>Não Comprou</v>
          </cell>
        </row>
        <row r="998">
          <cell r="A998">
            <v>4237820000152</v>
          </cell>
          <cell r="B998" t="str">
            <v>DROG SAN MARINO</v>
          </cell>
          <cell r="C998" t="str">
            <v>ASSOCIADAS</v>
          </cell>
          <cell r="D998" t="str">
            <v>MARACAJU</v>
          </cell>
          <cell r="E998" t="str">
            <v>MS</v>
          </cell>
          <cell r="F998">
            <v>46314</v>
          </cell>
          <cell r="G998">
            <v>6758.64</v>
          </cell>
          <cell r="I998" t="str">
            <v>Comprou Marcas</v>
          </cell>
        </row>
        <row r="999">
          <cell r="A999">
            <v>4344448000183</v>
          </cell>
          <cell r="B999" t="str">
            <v>DROG RODOFARMA</v>
          </cell>
          <cell r="C999" t="str">
            <v>INDEPENDENTES VIN</v>
          </cell>
          <cell r="D999" t="str">
            <v>TRES LAGOAS</v>
          </cell>
          <cell r="E999" t="str">
            <v>MS</v>
          </cell>
          <cell r="I999" t="str">
            <v>Não Comprou</v>
          </cell>
        </row>
        <row r="1000">
          <cell r="A1000">
            <v>4597961000186</v>
          </cell>
          <cell r="B1000" t="str">
            <v>DROG RIZZO</v>
          </cell>
          <cell r="C1000" t="str">
            <v>INDEPENDENTES VIN</v>
          </cell>
          <cell r="D1000" t="str">
            <v>PRESIDENTE PRUDENTE</v>
          </cell>
          <cell r="E1000" t="str">
            <v>SP</v>
          </cell>
          <cell r="F1000">
            <v>46308</v>
          </cell>
          <cell r="G1000">
            <v>2369.7200000000003</v>
          </cell>
          <cell r="I1000" t="str">
            <v>Comprou Marcas</v>
          </cell>
        </row>
        <row r="1001">
          <cell r="A1001">
            <v>67943415000170</v>
          </cell>
          <cell r="B1001" t="str">
            <v>DROG RIZZO</v>
          </cell>
          <cell r="C1001" t="str">
            <v>INDEPENDENTES VIN</v>
          </cell>
          <cell r="D1001" t="str">
            <v>PRESIDENTE PRUDENTE</v>
          </cell>
          <cell r="E1001" t="str">
            <v>SP</v>
          </cell>
          <cell r="I1001" t="str">
            <v>Não Comprou</v>
          </cell>
        </row>
        <row r="1002">
          <cell r="A1002">
            <v>26851782000166</v>
          </cell>
          <cell r="B1002" t="str">
            <v>DROG REALEZA</v>
          </cell>
          <cell r="C1002" t="str">
            <v>INDEPENDENTES VIN</v>
          </cell>
          <cell r="D1002" t="str">
            <v>DEODAPOLIS</v>
          </cell>
          <cell r="E1002" t="str">
            <v>MS</v>
          </cell>
          <cell r="I1002" t="str">
            <v>Não Comprou</v>
          </cell>
        </row>
        <row r="1003">
          <cell r="A1003">
            <v>1913782000112</v>
          </cell>
          <cell r="B1003" t="str">
            <v>DROG PRUDENFARMA</v>
          </cell>
          <cell r="C1003" t="str">
            <v>DROG PRUDENFARMA</v>
          </cell>
          <cell r="D1003" t="str">
            <v>PRESIDENTE PRUDENTE</v>
          </cell>
          <cell r="E1003" t="str">
            <v>SP</v>
          </cell>
          <cell r="F1003">
            <v>46315</v>
          </cell>
          <cell r="H1003">
            <v>8175.55</v>
          </cell>
          <cell r="I1003" t="str">
            <v>Comprou SG</v>
          </cell>
        </row>
        <row r="1004">
          <cell r="A1004">
            <v>8685407000101</v>
          </cell>
          <cell r="B1004" t="str">
            <v>DROG POPULAR</v>
          </cell>
          <cell r="C1004" t="str">
            <v>MASTERFARMA</v>
          </cell>
          <cell r="D1004" t="str">
            <v>JUNQUEIROPOLIS</v>
          </cell>
          <cell r="E1004" t="str">
            <v>SP</v>
          </cell>
          <cell r="F1004">
            <v>46303</v>
          </cell>
          <cell r="G1004">
            <v>1412.6599999999999</v>
          </cell>
          <cell r="I1004" t="str">
            <v>Comprou Marcas</v>
          </cell>
        </row>
        <row r="1005">
          <cell r="A1005">
            <v>1569011000150</v>
          </cell>
          <cell r="B1005" t="str">
            <v>DROG PALMEIRA</v>
          </cell>
          <cell r="C1005" t="str">
            <v>MASTERFARMA</v>
          </cell>
          <cell r="D1005" t="str">
            <v>CORUMBA</v>
          </cell>
          <cell r="E1005" t="str">
            <v>MS</v>
          </cell>
          <cell r="F1005">
            <v>46315</v>
          </cell>
          <cell r="G1005">
            <v>1379.81</v>
          </cell>
          <cell r="I1005" t="str">
            <v>Comprou Marcas</v>
          </cell>
        </row>
        <row r="1006">
          <cell r="A1006">
            <v>1617468000192</v>
          </cell>
          <cell r="B1006" t="str">
            <v>DROG OPERARIA</v>
          </cell>
          <cell r="C1006" t="str">
            <v>ASSOCIADAS</v>
          </cell>
          <cell r="D1006" t="str">
            <v>RONDONOPOLIS</v>
          </cell>
          <cell r="E1006" t="str">
            <v>MT</v>
          </cell>
          <cell r="F1006">
            <v>46310</v>
          </cell>
          <cell r="G1006">
            <v>137.85</v>
          </cell>
          <cell r="I1006" t="str">
            <v>Comprou Marcas</v>
          </cell>
        </row>
        <row r="1007">
          <cell r="A1007">
            <v>4248248000127</v>
          </cell>
          <cell r="B1007" t="str">
            <v>DROG ODEON II</v>
          </cell>
          <cell r="C1007" t="str">
            <v>MULTIDROGAS</v>
          </cell>
          <cell r="D1007" t="str">
            <v>TRES LAGOAS</v>
          </cell>
          <cell r="E1007" t="str">
            <v>MS</v>
          </cell>
          <cell r="F1007">
            <v>46316</v>
          </cell>
          <cell r="G1007">
            <v>24120.17</v>
          </cell>
          <cell r="H1007">
            <v>1176.1599999999999</v>
          </cell>
          <cell r="I1007" t="str">
            <v>Comprou Marcas e SG</v>
          </cell>
        </row>
        <row r="1008">
          <cell r="A1008">
            <v>33193095000166</v>
          </cell>
          <cell r="B1008" t="str">
            <v>DROG NSA SRA APARECIDA</v>
          </cell>
          <cell r="C1008" t="str">
            <v>ASSOCIADAS</v>
          </cell>
          <cell r="D1008" t="str">
            <v>JARDIM</v>
          </cell>
          <cell r="E1008" t="str">
            <v>MS</v>
          </cell>
          <cell r="F1008">
            <v>46310</v>
          </cell>
          <cell r="G1008">
            <v>7587.5</v>
          </cell>
          <cell r="I1008" t="str">
            <v>Comprou Marcas</v>
          </cell>
        </row>
        <row r="1009">
          <cell r="A1009">
            <v>9033695000182</v>
          </cell>
          <cell r="B1009" t="str">
            <v>DROG NOSSO LAR</v>
          </cell>
          <cell r="C1009" t="str">
            <v>INDEPENDENTES VIN</v>
          </cell>
          <cell r="D1009" t="str">
            <v>BRASNORTE</v>
          </cell>
          <cell r="E1009" t="str">
            <v>MT</v>
          </cell>
          <cell r="I1009" t="str">
            <v>Não Comprou</v>
          </cell>
        </row>
        <row r="1010">
          <cell r="A1010">
            <v>2330544000147</v>
          </cell>
          <cell r="B1010" t="str">
            <v>DROG NOSSA SENHORA APAREC</v>
          </cell>
          <cell r="C1010" t="str">
            <v>MASTERFARMA</v>
          </cell>
          <cell r="D1010" t="str">
            <v>BRASNORTE</v>
          </cell>
          <cell r="E1010" t="str">
            <v>MT</v>
          </cell>
          <cell r="F1010">
            <v>46310</v>
          </cell>
          <cell r="G1010">
            <v>1195.3300000000004</v>
          </cell>
          <cell r="I1010" t="str">
            <v>Comprou Marcas</v>
          </cell>
        </row>
        <row r="1011">
          <cell r="A1011">
            <v>932885000167</v>
          </cell>
          <cell r="B1011" t="str">
            <v>DROG NOGUCHI &amp; KATO LTDA</v>
          </cell>
          <cell r="C1011" t="str">
            <v>INDEPENDENTES VIN</v>
          </cell>
          <cell r="D1011" t="str">
            <v>OURO VERDE</v>
          </cell>
          <cell r="E1011" t="str">
            <v>SP</v>
          </cell>
          <cell r="F1011">
            <v>46316</v>
          </cell>
          <cell r="G1011">
            <v>5029.8399999999992</v>
          </cell>
          <cell r="I1011" t="str">
            <v>Comprou Marcas</v>
          </cell>
        </row>
        <row r="1012">
          <cell r="A1012">
            <v>4077499000196</v>
          </cell>
          <cell r="B1012" t="str">
            <v>DROG NEIDE M S P CAMARGO</v>
          </cell>
          <cell r="C1012" t="str">
            <v>INDEPENDENTES VIN</v>
          </cell>
          <cell r="D1012" t="str">
            <v>BARRA DO BUGRES</v>
          </cell>
          <cell r="E1012" t="str">
            <v>MT</v>
          </cell>
          <cell r="I1012" t="str">
            <v>Não Comprou</v>
          </cell>
        </row>
        <row r="1013">
          <cell r="A1013">
            <v>7272090000119</v>
          </cell>
          <cell r="B1013" t="str">
            <v>DROG NATALIA</v>
          </cell>
          <cell r="C1013" t="str">
            <v>INDEPENDENTES VIN</v>
          </cell>
          <cell r="D1013" t="str">
            <v>ALTO GARCAS</v>
          </cell>
          <cell r="E1013" t="str">
            <v>MT</v>
          </cell>
          <cell r="I1013" t="str">
            <v>Não Comprou</v>
          </cell>
        </row>
        <row r="1014">
          <cell r="A1014">
            <v>26609370000114</v>
          </cell>
          <cell r="B1014" t="str">
            <v>DROG NACIONAL</v>
          </cell>
          <cell r="C1014" t="str">
            <v>INDEPENDENTES VIN</v>
          </cell>
          <cell r="D1014" t="str">
            <v>RIBEIRAO CASCALHEIRA</v>
          </cell>
          <cell r="E1014" t="str">
            <v>MT</v>
          </cell>
          <cell r="I1014" t="str">
            <v>Não Comprou</v>
          </cell>
        </row>
        <row r="1015">
          <cell r="A1015">
            <v>7496421000102</v>
          </cell>
          <cell r="B1015" t="str">
            <v>DROG MIRASSOL</v>
          </cell>
          <cell r="C1015" t="str">
            <v>INDEPENDENTES VIN</v>
          </cell>
          <cell r="D1015" t="str">
            <v>MIRASSOL D'OESTE</v>
          </cell>
          <cell r="E1015" t="str">
            <v>MT</v>
          </cell>
          <cell r="I1015" t="str">
            <v>Não Comprou</v>
          </cell>
        </row>
        <row r="1016">
          <cell r="A1016">
            <v>8366044000141</v>
          </cell>
          <cell r="B1016" t="str">
            <v>DROG MILENA</v>
          </cell>
          <cell r="C1016" t="str">
            <v>ASSOCIADAS</v>
          </cell>
          <cell r="D1016" t="str">
            <v>CAMPO GRANDE</v>
          </cell>
          <cell r="E1016" t="str">
            <v>MS</v>
          </cell>
          <cell r="F1016">
            <v>46303</v>
          </cell>
          <cell r="G1016">
            <v>1192.8499999999999</v>
          </cell>
          <cell r="I1016" t="str">
            <v>Comprou Marcas</v>
          </cell>
        </row>
        <row r="1017">
          <cell r="A1017">
            <v>8298153000179</v>
          </cell>
          <cell r="B1017" t="str">
            <v>DROG MATO GROSSO</v>
          </cell>
          <cell r="C1017" t="str">
            <v>INDEPENDENTES VIN</v>
          </cell>
          <cell r="D1017" t="str">
            <v>LUCAS DO RIO VERDE</v>
          </cell>
          <cell r="E1017" t="str">
            <v>MT</v>
          </cell>
          <cell r="F1017">
            <v>46311</v>
          </cell>
          <cell r="G1017">
            <v>524.75</v>
          </cell>
          <cell r="I1017" t="str">
            <v>Comprou Marcas</v>
          </cell>
        </row>
        <row r="1018">
          <cell r="A1018">
            <v>5088829000101</v>
          </cell>
          <cell r="B1018" t="str">
            <v>DROG MACHADO</v>
          </cell>
          <cell r="C1018" t="str">
            <v>INDEPENDENTES VIN</v>
          </cell>
          <cell r="D1018" t="str">
            <v>COLIDER</v>
          </cell>
          <cell r="E1018" t="str">
            <v>MT</v>
          </cell>
          <cell r="F1018">
            <v>46316</v>
          </cell>
          <cell r="G1018">
            <v>2181.1600000000003</v>
          </cell>
          <cell r="I1018" t="str">
            <v>Comprou Marcas</v>
          </cell>
        </row>
        <row r="1019">
          <cell r="A1019">
            <v>7139095000178</v>
          </cell>
          <cell r="B1019" t="str">
            <v>DROG LUCIA</v>
          </cell>
          <cell r="C1019" t="str">
            <v>FARMA &amp; FARMA</v>
          </cell>
          <cell r="D1019" t="str">
            <v>CASSILANDIA</v>
          </cell>
          <cell r="E1019" t="str">
            <v>MS</v>
          </cell>
          <cell r="I1019" t="str">
            <v>Não Comprou</v>
          </cell>
        </row>
        <row r="1020">
          <cell r="A1020">
            <v>5638726000178</v>
          </cell>
          <cell r="B1020" t="str">
            <v>DROG LIVRAMENTO</v>
          </cell>
          <cell r="C1020" t="str">
            <v>ASSOCIADAS</v>
          </cell>
          <cell r="D1020" t="str">
            <v>NOSSA SENHORA DO LIVRAMENTO</v>
          </cell>
          <cell r="E1020" t="str">
            <v>MT</v>
          </cell>
          <cell r="F1020">
            <v>46311</v>
          </cell>
          <cell r="G1020">
            <v>1869.2899999999997</v>
          </cell>
          <cell r="I1020" t="str">
            <v>Comprou Marcas</v>
          </cell>
        </row>
        <row r="1021">
          <cell r="A1021">
            <v>7734117000148</v>
          </cell>
          <cell r="B1021" t="str">
            <v>DROG LIMA</v>
          </cell>
          <cell r="C1021" t="str">
            <v>ASSOCIADAS</v>
          </cell>
          <cell r="D1021" t="str">
            <v>RONDONOPOLIS</v>
          </cell>
          <cell r="E1021" t="str">
            <v>MT</v>
          </cell>
          <cell r="F1021">
            <v>46310</v>
          </cell>
          <cell r="G1021">
            <v>137.85</v>
          </cell>
          <cell r="I1021" t="str">
            <v>Comprou Marcas</v>
          </cell>
        </row>
        <row r="1022">
          <cell r="A1022">
            <v>4336468000102</v>
          </cell>
          <cell r="B1022" t="str">
            <v>DROG LEITE BARBOSA</v>
          </cell>
          <cell r="C1022" t="str">
            <v>INDEPENDENTES VIN</v>
          </cell>
          <cell r="D1022" t="str">
            <v>CUIABA</v>
          </cell>
          <cell r="E1022" t="str">
            <v>MT</v>
          </cell>
          <cell r="F1022">
            <v>46304</v>
          </cell>
          <cell r="G1022">
            <v>363.68</v>
          </cell>
          <cell r="I1022" t="str">
            <v>Comprou Marcas</v>
          </cell>
        </row>
        <row r="1023">
          <cell r="A1023">
            <v>3110652000177</v>
          </cell>
          <cell r="B1023" t="str">
            <v>DROG L S DO NASCIMENTO</v>
          </cell>
          <cell r="C1023" t="str">
            <v>HIPER SAUDE</v>
          </cell>
          <cell r="D1023" t="str">
            <v>CANARANA</v>
          </cell>
          <cell r="E1023" t="str">
            <v>MT</v>
          </cell>
          <cell r="I1023" t="str">
            <v>Não Comprou</v>
          </cell>
        </row>
        <row r="1024">
          <cell r="A1024">
            <v>5244921000113</v>
          </cell>
          <cell r="B1024" t="str">
            <v>DROG JANINI</v>
          </cell>
          <cell r="C1024" t="str">
            <v>DSG FARMA</v>
          </cell>
          <cell r="D1024" t="str">
            <v>CASTILHO</v>
          </cell>
          <cell r="E1024" t="str">
            <v>SP</v>
          </cell>
          <cell r="I1024" t="str">
            <v>Não Comprou</v>
          </cell>
        </row>
        <row r="1025">
          <cell r="A1025">
            <v>3744695000104</v>
          </cell>
          <cell r="B1025" t="str">
            <v>DROG ITAPORA LTDA</v>
          </cell>
          <cell r="C1025" t="str">
            <v>ASSOCIADAS</v>
          </cell>
          <cell r="D1025" t="str">
            <v>ITAPORA</v>
          </cell>
          <cell r="E1025" t="str">
            <v>MS</v>
          </cell>
          <cell r="F1025">
            <v>46310</v>
          </cell>
          <cell r="G1025">
            <v>252.37</v>
          </cell>
          <cell r="I1025" t="str">
            <v>Comprou Marcas</v>
          </cell>
        </row>
        <row r="1026">
          <cell r="A1026">
            <v>2635097000134</v>
          </cell>
          <cell r="B1026" t="str">
            <v>DROG FLAVIO ASANO</v>
          </cell>
          <cell r="C1026" t="str">
            <v>INDEPENDENTES VIN</v>
          </cell>
          <cell r="D1026" t="str">
            <v>ARACATUBA</v>
          </cell>
          <cell r="E1026" t="str">
            <v>SP</v>
          </cell>
          <cell r="F1026">
            <v>46314</v>
          </cell>
          <cell r="G1026">
            <v>4129.13</v>
          </cell>
          <cell r="H1026">
            <v>1325.9099999999999</v>
          </cell>
          <cell r="I1026" t="str">
            <v>Comprou Marcas e SG</v>
          </cell>
        </row>
        <row r="1027">
          <cell r="A1027">
            <v>7556217000121</v>
          </cell>
          <cell r="B1027" t="str">
            <v>DROG FARMAVIDA</v>
          </cell>
          <cell r="C1027" t="str">
            <v>INDEPENDENTES VIN</v>
          </cell>
          <cell r="D1027" t="str">
            <v>MARTINOPOLIS</v>
          </cell>
          <cell r="E1027" t="str">
            <v>SP</v>
          </cell>
          <cell r="F1027">
            <v>46311</v>
          </cell>
          <cell r="H1027">
            <v>3831.81</v>
          </cell>
          <cell r="I1027" t="str">
            <v>Comprou SG</v>
          </cell>
        </row>
        <row r="1028">
          <cell r="A1028">
            <v>58750720000154</v>
          </cell>
          <cell r="B1028" t="str">
            <v>DROG FARMALAR</v>
          </cell>
          <cell r="C1028" t="str">
            <v>INDEPENDENTES VIN</v>
          </cell>
          <cell r="D1028" t="str">
            <v>ADAMANTINA</v>
          </cell>
          <cell r="E1028" t="str">
            <v>SP</v>
          </cell>
          <cell r="F1028">
            <v>46314</v>
          </cell>
          <cell r="G1028">
            <v>1861.62</v>
          </cell>
          <cell r="I1028" t="str">
            <v>Comprou Marcas</v>
          </cell>
        </row>
        <row r="1029">
          <cell r="A1029">
            <v>5340715000107</v>
          </cell>
          <cell r="B1029" t="str">
            <v>DROG FABIANA</v>
          </cell>
          <cell r="C1029" t="str">
            <v>INDEPENDENTES VIN</v>
          </cell>
          <cell r="D1029" t="str">
            <v>CAMPO GRANDE</v>
          </cell>
          <cell r="E1029" t="str">
            <v>MS</v>
          </cell>
          <cell r="F1029">
            <v>46308</v>
          </cell>
          <cell r="G1029">
            <v>2740.7999999999997</v>
          </cell>
          <cell r="I1029" t="str">
            <v>Comprou Marcas</v>
          </cell>
        </row>
        <row r="1030">
          <cell r="A1030">
            <v>3995944000134</v>
          </cell>
          <cell r="B1030" t="str">
            <v>DROG E PERF AMERICA</v>
          </cell>
          <cell r="C1030" t="str">
            <v>ASSOCIADAS</v>
          </cell>
          <cell r="D1030" t="str">
            <v>PRIMAVERA DO LESTE</v>
          </cell>
          <cell r="E1030" t="str">
            <v>MT</v>
          </cell>
          <cell r="F1030">
            <v>46315</v>
          </cell>
          <cell r="G1030">
            <v>4228.13</v>
          </cell>
          <cell r="I1030" t="str">
            <v>Comprou Marcas</v>
          </cell>
        </row>
        <row r="1031">
          <cell r="A1031">
            <v>7220741000127</v>
          </cell>
          <cell r="B1031" t="str">
            <v>DROG DROGATEM</v>
          </cell>
          <cell r="C1031" t="str">
            <v>ASSOCIADAS</v>
          </cell>
          <cell r="D1031" t="str">
            <v>ARAGARCAS</v>
          </cell>
          <cell r="E1031" t="str">
            <v>GO</v>
          </cell>
          <cell r="F1031">
            <v>46310</v>
          </cell>
          <cell r="G1031">
            <v>726.04</v>
          </cell>
          <cell r="I1031" t="str">
            <v>Comprou Marcas</v>
          </cell>
        </row>
        <row r="1032">
          <cell r="A1032">
            <v>1996877000147</v>
          </cell>
          <cell r="B1032" t="str">
            <v>DROG DROGA NOVA</v>
          </cell>
          <cell r="C1032" t="str">
            <v>INDEPENDENTES VIN</v>
          </cell>
          <cell r="D1032" t="str">
            <v>SAO GABRIEL DO OESTE</v>
          </cell>
          <cell r="E1032" t="str">
            <v>MS</v>
          </cell>
          <cell r="I1032" t="str">
            <v>Não Comprou</v>
          </cell>
        </row>
        <row r="1033">
          <cell r="A1033">
            <v>3838252000182</v>
          </cell>
          <cell r="B1033" t="str">
            <v>DROG DROGA BOM JESUS</v>
          </cell>
          <cell r="C1033" t="str">
            <v>DSG FARMA</v>
          </cell>
          <cell r="D1033" t="str">
            <v>ARACATUBA</v>
          </cell>
          <cell r="E1033" t="str">
            <v>SP</v>
          </cell>
          <cell r="F1033">
            <v>46316</v>
          </cell>
          <cell r="G1033">
            <v>1383.7</v>
          </cell>
          <cell r="I1033" t="str">
            <v>Comprou Marcas</v>
          </cell>
        </row>
        <row r="1034">
          <cell r="A1034">
            <v>1727308000104</v>
          </cell>
          <cell r="B1034" t="str">
            <v>DROG CONFIANCA</v>
          </cell>
          <cell r="C1034" t="str">
            <v>ASSOCIADAS</v>
          </cell>
          <cell r="D1034" t="str">
            <v>PEDRA PRETA</v>
          </cell>
          <cell r="E1034" t="str">
            <v>MT</v>
          </cell>
          <cell r="F1034">
            <v>46310</v>
          </cell>
          <cell r="G1034">
            <v>137.85</v>
          </cell>
          <cell r="I1034" t="str">
            <v>Comprou Marcas</v>
          </cell>
        </row>
        <row r="1035">
          <cell r="A1035">
            <v>5398931000103</v>
          </cell>
          <cell r="B1035" t="str">
            <v>DROG CERTA</v>
          </cell>
          <cell r="C1035" t="str">
            <v>ASSOCIADAS</v>
          </cell>
          <cell r="D1035" t="str">
            <v>RONDONOPOLIS</v>
          </cell>
          <cell r="E1035" t="str">
            <v>MT</v>
          </cell>
          <cell r="F1035">
            <v>46310</v>
          </cell>
          <cell r="G1035">
            <v>137.85</v>
          </cell>
          <cell r="I1035" t="str">
            <v>Comprou Marcas</v>
          </cell>
        </row>
        <row r="1036">
          <cell r="A1036">
            <v>4225403000190</v>
          </cell>
          <cell r="B1036" t="str">
            <v>DROG CATARINENSE</v>
          </cell>
          <cell r="C1036" t="str">
            <v>INDEPENDENTES VIN</v>
          </cell>
          <cell r="D1036" t="str">
            <v>CANARANA</v>
          </cell>
          <cell r="E1036" t="str">
            <v>MT</v>
          </cell>
          <cell r="I1036" t="str">
            <v>Não Comprou</v>
          </cell>
        </row>
        <row r="1037">
          <cell r="A1037">
            <v>4268705000145</v>
          </cell>
          <cell r="B1037" t="str">
            <v>DROG BRASIL</v>
          </cell>
          <cell r="C1037" t="str">
            <v>ASSOCIADAS</v>
          </cell>
          <cell r="D1037" t="str">
            <v>MARACAJU</v>
          </cell>
          <cell r="E1037" t="str">
            <v>MS</v>
          </cell>
          <cell r="F1037">
            <v>46308</v>
          </cell>
          <cell r="G1037">
            <v>195.37</v>
          </cell>
          <cell r="I1037" t="str">
            <v>Comprou Marcas</v>
          </cell>
        </row>
        <row r="1038">
          <cell r="A1038">
            <v>7796647000110</v>
          </cell>
          <cell r="B1038" t="str">
            <v>DROG BRASIL</v>
          </cell>
          <cell r="C1038" t="str">
            <v>ASSOCIADAS</v>
          </cell>
          <cell r="D1038" t="str">
            <v>RONDONOPOLIS</v>
          </cell>
          <cell r="E1038" t="str">
            <v>MT</v>
          </cell>
          <cell r="F1038">
            <v>46310</v>
          </cell>
          <cell r="G1038">
            <v>137.85</v>
          </cell>
          <cell r="I1038" t="str">
            <v>Comprou Marcas</v>
          </cell>
        </row>
        <row r="1039">
          <cell r="A1039">
            <v>48464291000103</v>
          </cell>
          <cell r="B1039" t="str">
            <v>DROG BRASIL</v>
          </cell>
          <cell r="C1039" t="str">
            <v>DSG FARMA</v>
          </cell>
          <cell r="D1039" t="str">
            <v>GUARARAPES</v>
          </cell>
          <cell r="E1039" t="str">
            <v>SP</v>
          </cell>
          <cell r="F1039">
            <v>46311</v>
          </cell>
          <cell r="G1039">
            <v>2130.2799999999997</v>
          </cell>
          <cell r="H1039">
            <v>4494</v>
          </cell>
          <cell r="I1039" t="str">
            <v>Comprou Marcas e SG</v>
          </cell>
        </row>
        <row r="1040">
          <cell r="A1040">
            <v>10497520000105</v>
          </cell>
          <cell r="B1040" t="str">
            <v>DROG BOM JESUS PREVER</v>
          </cell>
          <cell r="C1040" t="str">
            <v>DROGARIA TOTAL</v>
          </cell>
          <cell r="D1040" t="str">
            <v>AVANHANDAVA</v>
          </cell>
          <cell r="E1040" t="str">
            <v>SP</v>
          </cell>
          <cell r="I1040" t="str">
            <v>Não Comprou</v>
          </cell>
        </row>
        <row r="1041">
          <cell r="A1041">
            <v>5233140000123</v>
          </cell>
          <cell r="B1041" t="str">
            <v>DROG BOA ESPERANCA</v>
          </cell>
          <cell r="C1041" t="str">
            <v>INDEPENDENTES VIN</v>
          </cell>
          <cell r="D1041" t="str">
            <v>MIRASSOL D'OESTE</v>
          </cell>
          <cell r="E1041" t="str">
            <v>MT</v>
          </cell>
          <cell r="I1041" t="str">
            <v>Não Comprou</v>
          </cell>
        </row>
        <row r="1042">
          <cell r="A1042">
            <v>2736133000156</v>
          </cell>
          <cell r="B1042" t="str">
            <v>DROG BIOFARMA</v>
          </cell>
          <cell r="C1042" t="str">
            <v>FARMA &amp; FARMA</v>
          </cell>
          <cell r="D1042" t="str">
            <v>CANARANA</v>
          </cell>
          <cell r="E1042" t="str">
            <v>MT</v>
          </cell>
          <cell r="F1042">
            <v>46308</v>
          </cell>
          <cell r="G1042">
            <v>395.30999999999995</v>
          </cell>
          <cell r="I1042" t="str">
            <v>Comprou Marcas</v>
          </cell>
        </row>
        <row r="1043">
          <cell r="A1043">
            <v>1559060000101</v>
          </cell>
          <cell r="B1043" t="str">
            <v>DROG AVENIDA</v>
          </cell>
          <cell r="C1043" t="str">
            <v>INDEPENDENTES VIN</v>
          </cell>
          <cell r="D1043" t="str">
            <v>IVINHEMA</v>
          </cell>
          <cell r="E1043" t="str">
            <v>MS</v>
          </cell>
          <cell r="F1043">
            <v>46308</v>
          </cell>
          <cell r="G1043">
            <v>453.49</v>
          </cell>
          <cell r="I1043" t="str">
            <v>Comprou Marcas</v>
          </cell>
        </row>
        <row r="1044">
          <cell r="A1044">
            <v>5639734000139</v>
          </cell>
          <cell r="B1044" t="str">
            <v>DROG AVENIDA</v>
          </cell>
          <cell r="C1044" t="str">
            <v>HIPER SAUDE</v>
          </cell>
          <cell r="D1044" t="str">
            <v>ALTO ARAGUAIA</v>
          </cell>
          <cell r="E1044" t="str">
            <v>MT</v>
          </cell>
          <cell r="I1044" t="str">
            <v>Não Comprou</v>
          </cell>
        </row>
        <row r="1045">
          <cell r="A1045">
            <v>6935814000102</v>
          </cell>
          <cell r="B1045" t="str">
            <v>DROG ATUAL</v>
          </cell>
          <cell r="C1045" t="str">
            <v>ASSOCIADAS</v>
          </cell>
          <cell r="D1045" t="str">
            <v>NAVIRAI</v>
          </cell>
          <cell r="E1045" t="str">
            <v>MS</v>
          </cell>
          <cell r="F1045">
            <v>46304</v>
          </cell>
          <cell r="G1045">
            <v>1969.36</v>
          </cell>
          <cell r="I1045" t="str">
            <v>Comprou Marcas</v>
          </cell>
        </row>
        <row r="1046">
          <cell r="A1046">
            <v>8600885000171</v>
          </cell>
          <cell r="B1046" t="str">
            <v>DROG ARENAPOLIS</v>
          </cell>
          <cell r="C1046" t="str">
            <v>ASSOCIADAS</v>
          </cell>
          <cell r="D1046" t="str">
            <v>ARENAPOLIS</v>
          </cell>
          <cell r="E1046" t="str">
            <v>MT</v>
          </cell>
          <cell r="F1046">
            <v>46310</v>
          </cell>
          <cell r="G1046">
            <v>1457.3999999999999</v>
          </cell>
          <cell r="I1046" t="str">
            <v>Comprou Marcas</v>
          </cell>
        </row>
        <row r="1047">
          <cell r="A1047">
            <v>72834344000107</v>
          </cell>
          <cell r="B1047" t="str">
            <v>DROG AGUAPE</v>
          </cell>
          <cell r="C1047" t="str">
            <v>INDEPENDENTES VIN</v>
          </cell>
          <cell r="D1047" t="str">
            <v>VALPARAISO</v>
          </cell>
          <cell r="E1047" t="str">
            <v>SP</v>
          </cell>
          <cell r="F1047">
            <v>46311</v>
          </cell>
          <cell r="G1047">
            <v>466.34000000000003</v>
          </cell>
          <cell r="I1047" t="str">
            <v>Comprou Marcas</v>
          </cell>
        </row>
        <row r="1048">
          <cell r="A1048">
            <v>34607195000154</v>
          </cell>
          <cell r="B1048" t="str">
            <v>DR DIELGUE FARMA</v>
          </cell>
          <cell r="C1048" t="str">
            <v>INDEPENDENTES VIN</v>
          </cell>
          <cell r="D1048" t="str">
            <v>AGUA CLARA</v>
          </cell>
          <cell r="E1048" t="str">
            <v>MS</v>
          </cell>
          <cell r="I1048" t="str">
            <v>Não Comprou</v>
          </cell>
        </row>
        <row r="1049">
          <cell r="A1049">
            <v>10689094000101</v>
          </cell>
          <cell r="B1049" t="str">
            <v>DOSE UNICA MEDICAMENTOS</v>
          </cell>
          <cell r="C1049" t="str">
            <v>ASSOCIADAS</v>
          </cell>
          <cell r="D1049" t="str">
            <v>ARAGARCAS</v>
          </cell>
          <cell r="E1049" t="str">
            <v>GO</v>
          </cell>
          <cell r="I1049" t="str">
            <v>Não Comprou</v>
          </cell>
        </row>
        <row r="1050">
          <cell r="A1050">
            <v>33780608000135</v>
          </cell>
          <cell r="B1050" t="str">
            <v>DORGA NOSSA</v>
          </cell>
          <cell r="C1050" t="str">
            <v>INDEPENDENTES VIN</v>
          </cell>
          <cell r="D1050" t="str">
            <v>JUINA</v>
          </cell>
          <cell r="E1050" t="str">
            <v>MT</v>
          </cell>
          <cell r="F1050">
            <v>46304</v>
          </cell>
          <cell r="G1050">
            <v>3203.7400000000002</v>
          </cell>
          <cell r="I1050" t="str">
            <v>Comprou Marcas</v>
          </cell>
        </row>
        <row r="1051">
          <cell r="A1051">
            <v>12113721000197</v>
          </cell>
          <cell r="B1051" t="str">
            <v>DOGRARIA MALACRIDA</v>
          </cell>
          <cell r="C1051" t="str">
            <v>MASTERFARMA</v>
          </cell>
          <cell r="D1051" t="str">
            <v>REGENTE FEIJO</v>
          </cell>
          <cell r="E1051" t="str">
            <v>SP</v>
          </cell>
          <cell r="F1051">
            <v>46315</v>
          </cell>
          <cell r="G1051">
            <v>1449.7400000000002</v>
          </cell>
          <cell r="H1051">
            <v>9124.0300000000007</v>
          </cell>
          <cell r="I1051" t="str">
            <v>Comprou Marcas e SG</v>
          </cell>
        </row>
        <row r="1052">
          <cell r="A1052">
            <v>50038493000127</v>
          </cell>
          <cell r="B1052" t="str">
            <v>DIVINA FARMA</v>
          </cell>
          <cell r="C1052" t="str">
            <v>INDEPENDENTES VIN</v>
          </cell>
          <cell r="D1052" t="str">
            <v>RIO BRILHANTE</v>
          </cell>
          <cell r="E1052" t="str">
            <v>MS</v>
          </cell>
          <cell r="F1052">
            <v>46316</v>
          </cell>
          <cell r="G1052">
            <v>2775.36</v>
          </cell>
          <cell r="I1052" t="str">
            <v>Comprou Marcas</v>
          </cell>
        </row>
        <row r="1053">
          <cell r="A1053">
            <v>36886133000154</v>
          </cell>
          <cell r="B1053" t="str">
            <v>DISC FARMA</v>
          </cell>
          <cell r="C1053" t="str">
            <v>INDEPENDENTES VIN</v>
          </cell>
          <cell r="D1053" t="str">
            <v>MIRASSOL D'OESTE</v>
          </cell>
          <cell r="E1053" t="str">
            <v>MT</v>
          </cell>
          <cell r="I1053" t="str">
            <v>Não Comprou</v>
          </cell>
        </row>
        <row r="1054">
          <cell r="A1054">
            <v>10779654000119</v>
          </cell>
          <cell r="B1054" t="str">
            <v>DIFARMA</v>
          </cell>
          <cell r="C1054" t="str">
            <v>INDEPENDENTES VIN</v>
          </cell>
          <cell r="D1054" t="str">
            <v>NOVO DIAMANTINO (DIAMANTINO)</v>
          </cell>
          <cell r="E1054" t="str">
            <v>MT</v>
          </cell>
          <cell r="F1054">
            <v>46304</v>
          </cell>
          <cell r="G1054">
            <v>718.26</v>
          </cell>
          <cell r="I1054" t="str">
            <v>Comprou Marcas</v>
          </cell>
        </row>
        <row r="1055">
          <cell r="A1055">
            <v>10272710000124</v>
          </cell>
          <cell r="B1055" t="str">
            <v>CRIS FARMA</v>
          </cell>
          <cell r="C1055" t="str">
            <v>INDEPENDENTES VIN</v>
          </cell>
          <cell r="D1055" t="str">
            <v>RIO BRILHANTE</v>
          </cell>
          <cell r="E1055" t="str">
            <v>MS</v>
          </cell>
          <cell r="F1055">
            <v>46308</v>
          </cell>
          <cell r="G1055">
            <v>557.9</v>
          </cell>
          <cell r="I1055" t="str">
            <v>Comprou Marcas</v>
          </cell>
        </row>
        <row r="1056">
          <cell r="A1056">
            <v>60706953000100</v>
          </cell>
          <cell r="B1056" t="str">
            <v>CONSULTE FARMA</v>
          </cell>
          <cell r="C1056" t="str">
            <v>MASTERFARMA</v>
          </cell>
          <cell r="D1056" t="str">
            <v>TRES LAGOAS</v>
          </cell>
          <cell r="E1056" t="str">
            <v>MS</v>
          </cell>
          <cell r="I1056" t="str">
            <v>Não Comprou</v>
          </cell>
        </row>
        <row r="1057">
          <cell r="A1057">
            <v>46943757000110</v>
          </cell>
          <cell r="B1057" t="str">
            <v>COMERCIAL DE MEDICAMENTOS E PERFUMARIA CANAZUE</v>
          </cell>
          <cell r="C1057" t="str">
            <v>ASSOCIADAS</v>
          </cell>
          <cell r="D1057" t="str">
            <v>CUIABA</v>
          </cell>
          <cell r="E1057" t="str">
            <v>MT</v>
          </cell>
          <cell r="F1057">
            <v>46316</v>
          </cell>
          <cell r="G1057">
            <v>306.70000000000005</v>
          </cell>
          <cell r="I1057" t="str">
            <v>Comprou Marcas</v>
          </cell>
        </row>
        <row r="1058">
          <cell r="A1058">
            <v>32844150000178</v>
          </cell>
          <cell r="B1058" t="str">
            <v>CLAUDINEI SARTORI DROGARIA</v>
          </cell>
          <cell r="C1058" t="str">
            <v>DSG FARMA</v>
          </cell>
          <cell r="D1058" t="str">
            <v>ARACATUBA</v>
          </cell>
          <cell r="E1058" t="str">
            <v>SP</v>
          </cell>
          <cell r="F1058">
            <v>46301</v>
          </cell>
          <cell r="H1058">
            <v>4645.1000000000004</v>
          </cell>
          <cell r="I1058" t="str">
            <v>Comprou SG</v>
          </cell>
        </row>
        <row r="1059">
          <cell r="A1059">
            <v>42917127000110</v>
          </cell>
          <cell r="B1059" t="str">
            <v>CIRURGICA VIANA LTDA</v>
          </cell>
          <cell r="C1059" t="str">
            <v>INDEPENDENTES VIN</v>
          </cell>
          <cell r="D1059" t="str">
            <v>PRESIDENTE PRUDENTE</v>
          </cell>
          <cell r="E1059" t="str">
            <v>SP</v>
          </cell>
          <cell r="F1059">
            <v>46302</v>
          </cell>
          <cell r="G1059">
            <v>132.08000000000001</v>
          </cell>
          <cell r="I1059" t="str">
            <v>Comprou Marcas</v>
          </cell>
        </row>
        <row r="1060">
          <cell r="A1060">
            <v>22646643000140</v>
          </cell>
          <cell r="B1060" t="str">
            <v>CENTROFARMA</v>
          </cell>
          <cell r="C1060" t="str">
            <v>INDEPENDENTES VIN</v>
          </cell>
          <cell r="D1060" t="str">
            <v>FATIMA DO SUL</v>
          </cell>
          <cell r="E1060" t="str">
            <v>MS</v>
          </cell>
          <cell r="F1060">
            <v>46308</v>
          </cell>
          <cell r="G1060">
            <v>471.01</v>
          </cell>
          <cell r="I1060" t="str">
            <v>Comprou Marcas</v>
          </cell>
        </row>
        <row r="1061">
          <cell r="A1061">
            <v>8954952000156</v>
          </cell>
          <cell r="B1061" t="str">
            <v>CENTRAL FARMA</v>
          </cell>
          <cell r="C1061" t="str">
            <v>MASTERFARMA</v>
          </cell>
          <cell r="D1061" t="str">
            <v>SINOP</v>
          </cell>
          <cell r="E1061" t="str">
            <v>MT</v>
          </cell>
          <cell r="F1061">
            <v>46308</v>
          </cell>
          <cell r="G1061">
            <v>1392.72</v>
          </cell>
          <cell r="H1061">
            <v>3283.07</v>
          </cell>
          <cell r="I1061" t="str">
            <v>Comprou Marcas e SG</v>
          </cell>
        </row>
        <row r="1062">
          <cell r="A1062">
            <v>8954952000237</v>
          </cell>
          <cell r="B1062" t="str">
            <v>CENTRAL FARMA</v>
          </cell>
          <cell r="C1062" t="str">
            <v>MASTERFARMA</v>
          </cell>
          <cell r="D1062" t="str">
            <v>SINOP</v>
          </cell>
          <cell r="E1062" t="str">
            <v>MT</v>
          </cell>
          <cell r="F1062">
            <v>46315</v>
          </cell>
          <cell r="G1062">
            <v>3749.0899999999997</v>
          </cell>
          <cell r="H1062">
            <v>3856.33</v>
          </cell>
          <cell r="I1062" t="str">
            <v>Comprou Marcas e SG</v>
          </cell>
        </row>
        <row r="1063">
          <cell r="A1063">
            <v>8954952000318</v>
          </cell>
          <cell r="B1063" t="str">
            <v>CENTRAL FARMA</v>
          </cell>
          <cell r="C1063" t="str">
            <v>MASTERFARMA</v>
          </cell>
          <cell r="D1063" t="str">
            <v>SINOP</v>
          </cell>
          <cell r="E1063" t="str">
            <v>MT</v>
          </cell>
          <cell r="F1063">
            <v>46316</v>
          </cell>
          <cell r="G1063">
            <v>7664.6299999999992</v>
          </cell>
          <cell r="H1063">
            <v>10050.52</v>
          </cell>
          <cell r="I1063" t="str">
            <v>Comprou Marcas e SG</v>
          </cell>
        </row>
        <row r="1064">
          <cell r="A1064">
            <v>8954952000407</v>
          </cell>
          <cell r="B1064" t="str">
            <v>CENTRAL FARMA</v>
          </cell>
          <cell r="C1064" t="str">
            <v>MASTERFARMA</v>
          </cell>
          <cell r="D1064" t="str">
            <v>SINOP</v>
          </cell>
          <cell r="E1064" t="str">
            <v>MT</v>
          </cell>
          <cell r="F1064">
            <v>46314</v>
          </cell>
          <cell r="G1064">
            <v>2285.71</v>
          </cell>
          <cell r="H1064">
            <v>1828.0900000000001</v>
          </cell>
          <cell r="I1064" t="str">
            <v>Comprou Marcas e SG</v>
          </cell>
        </row>
        <row r="1065">
          <cell r="A1065">
            <v>28059864000106</v>
          </cell>
          <cell r="B1065" t="str">
            <v>CARLOS EDUARDO MARCILIO ANHANI &amp; CIA (FARMACIA)</v>
          </cell>
          <cell r="C1065" t="str">
            <v>FARMARCAS</v>
          </cell>
          <cell r="D1065" t="str">
            <v>VALPARAISO</v>
          </cell>
          <cell r="E1065" t="str">
            <v>SP</v>
          </cell>
          <cell r="F1065">
            <v>46311</v>
          </cell>
          <cell r="G1065">
            <v>361.69</v>
          </cell>
          <cell r="I1065" t="str">
            <v>Comprou Marcas</v>
          </cell>
        </row>
        <row r="1066">
          <cell r="A1066">
            <v>44692168001403</v>
          </cell>
          <cell r="B1066" t="str">
            <v>CAASP</v>
          </cell>
          <cell r="C1066" t="str">
            <v>CAASP</v>
          </cell>
          <cell r="D1066" t="str">
            <v>PRESIDENTE PRUDENTE</v>
          </cell>
          <cell r="E1066" t="str">
            <v>SP</v>
          </cell>
          <cell r="F1066">
            <v>46304</v>
          </cell>
          <cell r="G1066">
            <v>1101.6799999999998</v>
          </cell>
          <cell r="I1066" t="str">
            <v>Comprou Marcas</v>
          </cell>
        </row>
        <row r="1067">
          <cell r="A1067">
            <v>44692168001071</v>
          </cell>
          <cell r="B1067" t="str">
            <v>CAASP</v>
          </cell>
          <cell r="C1067" t="str">
            <v>CAASP</v>
          </cell>
          <cell r="D1067" t="str">
            <v>ARACATUBA</v>
          </cell>
          <cell r="E1067" t="str">
            <v>SP</v>
          </cell>
          <cell r="F1067">
            <v>46304</v>
          </cell>
          <cell r="G1067">
            <v>692.93999999999983</v>
          </cell>
          <cell r="I1067" t="str">
            <v>Comprou Marcas</v>
          </cell>
        </row>
        <row r="1068">
          <cell r="A1068">
            <v>27545412000406</v>
          </cell>
          <cell r="B1068" t="str">
            <v>C. J. DA SILVA &amp; CIA</v>
          </cell>
          <cell r="C1068" t="str">
            <v>FARMARCAS</v>
          </cell>
          <cell r="D1068" t="str">
            <v>DIAMANTINO</v>
          </cell>
          <cell r="E1068" t="str">
            <v>MT</v>
          </cell>
          <cell r="F1068">
            <v>46316</v>
          </cell>
          <cell r="G1068">
            <v>6260.9900000000025</v>
          </cell>
          <cell r="I1068" t="str">
            <v>Comprou Marcas</v>
          </cell>
        </row>
        <row r="1069">
          <cell r="A1069">
            <v>50346593000110</v>
          </cell>
          <cell r="B1069" t="str">
            <v>BRANCO FARMA</v>
          </cell>
          <cell r="C1069" t="str">
            <v>FARMELHOR</v>
          </cell>
          <cell r="D1069" t="str">
            <v>CANARANA</v>
          </cell>
          <cell r="E1069" t="str">
            <v>MT</v>
          </cell>
          <cell r="I1069" t="str">
            <v>Não Comprou</v>
          </cell>
        </row>
        <row r="1070">
          <cell r="A1070">
            <v>12050037000103</v>
          </cell>
          <cell r="B1070" t="str">
            <v>BIOFARMA</v>
          </cell>
          <cell r="C1070" t="str">
            <v>MASTERFARMA</v>
          </cell>
          <cell r="D1070" t="str">
            <v>TANGARA DA SERRA</v>
          </cell>
          <cell r="E1070" t="str">
            <v>MT</v>
          </cell>
          <cell r="F1070">
            <v>46310</v>
          </cell>
          <cell r="G1070">
            <v>586.76</v>
          </cell>
          <cell r="I1070" t="str">
            <v>Comprou Marcas</v>
          </cell>
        </row>
        <row r="1071">
          <cell r="A1071">
            <v>21769166000309</v>
          </cell>
          <cell r="B1071" t="str">
            <v>BIOFARMA</v>
          </cell>
          <cell r="C1071" t="str">
            <v>MASTERFARMA</v>
          </cell>
          <cell r="D1071" t="str">
            <v>NOVA OLIMPIA</v>
          </cell>
          <cell r="E1071" t="str">
            <v>MT</v>
          </cell>
          <cell r="I1071" t="str">
            <v>Não Comprou</v>
          </cell>
        </row>
        <row r="1072">
          <cell r="A1072">
            <v>8967701000106</v>
          </cell>
          <cell r="B1072" t="str">
            <v>BIOFARMA</v>
          </cell>
          <cell r="C1072" t="str">
            <v>INDEPENDENTES VIN</v>
          </cell>
          <cell r="D1072" t="str">
            <v>APARECIDA DO TABOADO</v>
          </cell>
          <cell r="E1072" t="str">
            <v>MS</v>
          </cell>
          <cell r="F1072">
            <v>46303</v>
          </cell>
          <cell r="G1072">
            <v>488.14</v>
          </cell>
          <cell r="I1072" t="str">
            <v>Comprou Marcas</v>
          </cell>
        </row>
        <row r="1073">
          <cell r="A1073">
            <v>32641091000130</v>
          </cell>
          <cell r="B1073" t="str">
            <v>BIOFARDROGAS</v>
          </cell>
          <cell r="C1073" t="str">
            <v>BIOFARDROGAS</v>
          </cell>
          <cell r="D1073" t="str">
            <v>PROMISSAO</v>
          </cell>
          <cell r="E1073" t="str">
            <v>SP</v>
          </cell>
          <cell r="I1073" t="str">
            <v>Não Comprou</v>
          </cell>
        </row>
        <row r="1074">
          <cell r="A1074">
            <v>41677342000128</v>
          </cell>
          <cell r="B1074" t="str">
            <v>BIG FARMA POPULAR</v>
          </cell>
          <cell r="C1074" t="str">
            <v>INDEPENDENTES VIN</v>
          </cell>
          <cell r="D1074" t="str">
            <v>VARZEA GRANDE</v>
          </cell>
          <cell r="E1074" t="str">
            <v>MT</v>
          </cell>
          <cell r="F1074">
            <v>46310</v>
          </cell>
          <cell r="G1074">
            <v>137.85</v>
          </cell>
          <cell r="I1074" t="str">
            <v>Comprou Marcas</v>
          </cell>
        </row>
        <row r="1075">
          <cell r="A1075">
            <v>9465779000195</v>
          </cell>
          <cell r="B1075" t="str">
            <v>BETAFARMA</v>
          </cell>
          <cell r="C1075" t="str">
            <v>INDEPENDENTES VIN</v>
          </cell>
          <cell r="D1075" t="str">
            <v>ARENAPOLIS</v>
          </cell>
          <cell r="E1075" t="str">
            <v>MT</v>
          </cell>
          <cell r="I1075" t="str">
            <v>Não Comprou</v>
          </cell>
        </row>
        <row r="1076">
          <cell r="A1076">
            <v>48669698000169</v>
          </cell>
          <cell r="B1076" t="str">
            <v>BEM POPULAR BRASIL</v>
          </cell>
          <cell r="C1076" t="str">
            <v>COMPRE BEM</v>
          </cell>
          <cell r="D1076" t="str">
            <v>BRASNORTE</v>
          </cell>
          <cell r="E1076" t="str">
            <v>MT</v>
          </cell>
          <cell r="I1076" t="str">
            <v>Não Comprou</v>
          </cell>
        </row>
        <row r="1077">
          <cell r="A1077">
            <v>53446228000176</v>
          </cell>
          <cell r="B1077" t="str">
            <v>BEM POPULAR BRASIL</v>
          </cell>
          <cell r="C1077" t="str">
            <v>COMPRE BEM</v>
          </cell>
          <cell r="D1077" t="str">
            <v>ALTO ARAGUAIA</v>
          </cell>
          <cell r="E1077" t="str">
            <v>MT</v>
          </cell>
          <cell r="I1077" t="str">
            <v>Não Comprou</v>
          </cell>
        </row>
        <row r="1078">
          <cell r="A1078">
            <v>3300964000143</v>
          </cell>
          <cell r="B1078" t="str">
            <v>BELLA PHARMA - FARMACIA E MANIPULACAO</v>
          </cell>
          <cell r="C1078" t="str">
            <v>ASSOCIADAS</v>
          </cell>
          <cell r="D1078" t="str">
            <v>APARECIDA DO TABOADO</v>
          </cell>
          <cell r="E1078" t="str">
            <v>MS</v>
          </cell>
          <cell r="F1078">
            <v>46310</v>
          </cell>
          <cell r="G1078">
            <v>194.67000000000002</v>
          </cell>
          <cell r="I1078" t="str">
            <v>Comprou Marcas</v>
          </cell>
        </row>
        <row r="1079">
          <cell r="A1079">
            <v>35008629000162</v>
          </cell>
          <cell r="B1079" t="str">
            <v>BEC COMERCIO DE MEDICAMENTOS FARMACIA</v>
          </cell>
          <cell r="C1079" t="str">
            <v>MASTERFARMA</v>
          </cell>
          <cell r="D1079" t="str">
            <v>CAMPO GRANDE</v>
          </cell>
          <cell r="E1079" t="str">
            <v>MS</v>
          </cell>
          <cell r="F1079">
            <v>46316</v>
          </cell>
          <cell r="G1079">
            <v>440.7</v>
          </cell>
          <cell r="I1079" t="str">
            <v>Comprou Marcas</v>
          </cell>
        </row>
        <row r="1080">
          <cell r="A1080">
            <v>34959930000199</v>
          </cell>
          <cell r="B1080" t="str">
            <v>ATUAL FARMA</v>
          </cell>
          <cell r="C1080" t="str">
            <v>HIPER SAUDE</v>
          </cell>
          <cell r="D1080" t="str">
            <v>BATAGUASSU</v>
          </cell>
          <cell r="E1080" t="str">
            <v>MS</v>
          </cell>
          <cell r="F1080">
            <v>46303</v>
          </cell>
          <cell r="G1080">
            <v>1600.14</v>
          </cell>
          <cell r="I1080" t="str">
            <v>Comprou Marcas</v>
          </cell>
        </row>
        <row r="1081">
          <cell r="A1081">
            <v>12741296000180</v>
          </cell>
          <cell r="B1081" t="str">
            <v>ASTOLFI DROGARIA</v>
          </cell>
          <cell r="C1081" t="str">
            <v>HIPER SAUDE</v>
          </cell>
          <cell r="D1081" t="str">
            <v>PROMISSAO</v>
          </cell>
          <cell r="E1081" t="str">
            <v>SP</v>
          </cell>
          <cell r="F1081">
            <v>46303</v>
          </cell>
          <cell r="G1081">
            <v>361.34000000000003</v>
          </cell>
          <cell r="H1081">
            <v>2034.6</v>
          </cell>
          <cell r="I1081" t="str">
            <v>Comprou Marcas e SG</v>
          </cell>
        </row>
        <row r="1082">
          <cell r="A1082">
            <v>1531920000107</v>
          </cell>
          <cell r="B1082" t="str">
            <v>ARAL FARMA</v>
          </cell>
          <cell r="C1082" t="str">
            <v>ASSOCIADAS</v>
          </cell>
          <cell r="D1082" t="str">
            <v>ARAL MOREIRA</v>
          </cell>
          <cell r="E1082" t="str">
            <v>MS</v>
          </cell>
          <cell r="F1082">
            <v>46311</v>
          </cell>
          <cell r="G1082">
            <v>6574.6999999999989</v>
          </cell>
          <cell r="I1082" t="str">
            <v>Comprou Marcas</v>
          </cell>
        </row>
        <row r="1083">
          <cell r="A1083">
            <v>28760598000136</v>
          </cell>
          <cell r="B1083" t="str">
            <v>ARAGUAIA FARMA</v>
          </cell>
          <cell r="C1083" t="str">
            <v>INDEPENDENTES VIN</v>
          </cell>
          <cell r="D1083" t="str">
            <v>BARRA DO GARCAS</v>
          </cell>
          <cell r="E1083" t="str">
            <v>MT</v>
          </cell>
          <cell r="I1083" t="str">
            <v>Não Comprou</v>
          </cell>
        </row>
        <row r="1084">
          <cell r="A1084">
            <v>62028636000107</v>
          </cell>
          <cell r="B1084" t="str">
            <v>ANTONIO CLAUDIO TALON</v>
          </cell>
          <cell r="C1084" t="str">
            <v>ASSOCIADAS</v>
          </cell>
          <cell r="D1084" t="str">
            <v>BATAGUASSU</v>
          </cell>
          <cell r="E1084" t="str">
            <v>MS</v>
          </cell>
          <cell r="F1084">
            <v>46311</v>
          </cell>
          <cell r="G1084">
            <v>1575.1799999999996</v>
          </cell>
          <cell r="I1084" t="str">
            <v>Comprou Marcas</v>
          </cell>
        </row>
        <row r="1085">
          <cell r="A1085">
            <v>5113547000117</v>
          </cell>
          <cell r="B1085" t="str">
            <v>ANAFARMA</v>
          </cell>
          <cell r="C1085" t="str">
            <v>INDEPENDENTES VIN</v>
          </cell>
          <cell r="D1085" t="str">
            <v>PIRAPOZINHO</v>
          </cell>
          <cell r="E1085" t="str">
            <v>SP</v>
          </cell>
          <cell r="F1085">
            <v>46311</v>
          </cell>
          <cell r="G1085">
            <v>3735.54</v>
          </cell>
          <cell r="I1085" t="str">
            <v>Comprou Marcas</v>
          </cell>
        </row>
        <row r="1086">
          <cell r="A1086">
            <v>24248641000128</v>
          </cell>
          <cell r="B1086" t="str">
            <v>AMPLA FARMA</v>
          </cell>
          <cell r="C1086" t="str">
            <v>INDEPENDENTES VIN</v>
          </cell>
          <cell r="D1086" t="str">
            <v>TRES LAGOAS</v>
          </cell>
          <cell r="E1086" t="str">
            <v>MS</v>
          </cell>
          <cell r="F1086">
            <v>46304</v>
          </cell>
          <cell r="G1086">
            <v>745.04</v>
          </cell>
          <cell r="I1086" t="str">
            <v>Comprou Marcas</v>
          </cell>
        </row>
        <row r="1087">
          <cell r="A1087">
            <v>18919955000102</v>
          </cell>
          <cell r="B1087" t="str">
            <v>AMERICANA SAUDE</v>
          </cell>
          <cell r="C1087" t="str">
            <v>INDEPENDENTES VIN</v>
          </cell>
          <cell r="D1087" t="str">
            <v>PONTES E LACERDA</v>
          </cell>
          <cell r="E1087" t="str">
            <v>MT</v>
          </cell>
          <cell r="F1087">
            <v>46314</v>
          </cell>
          <cell r="G1087">
            <v>4401.51</v>
          </cell>
          <cell r="I1087" t="str">
            <v>Comprou Marcas</v>
          </cell>
        </row>
        <row r="1088">
          <cell r="A1088">
            <v>18919955000293</v>
          </cell>
          <cell r="B1088" t="str">
            <v>AMERICANA SAUDE</v>
          </cell>
          <cell r="C1088" t="str">
            <v>INDEPENDENTES VIN</v>
          </cell>
          <cell r="D1088" t="str">
            <v>PONTES E LACERDA</v>
          </cell>
          <cell r="E1088" t="str">
            <v>MT</v>
          </cell>
          <cell r="I1088" t="str">
            <v>Não Comprou</v>
          </cell>
        </row>
        <row r="1089">
          <cell r="A1089">
            <v>62392356000175</v>
          </cell>
          <cell r="B1089" t="str">
            <v>ALVORADA FARMA</v>
          </cell>
          <cell r="C1089" t="str">
            <v>ASSOCIADAS</v>
          </cell>
          <cell r="D1089" t="str">
            <v>DOURADOS</v>
          </cell>
          <cell r="E1089" t="str">
            <v>MS</v>
          </cell>
          <cell r="F1089">
            <v>46316</v>
          </cell>
          <cell r="G1089">
            <v>6530.1100000000006</v>
          </cell>
          <cell r="I1089" t="str">
            <v>Comprou Marcas</v>
          </cell>
        </row>
        <row r="1090">
          <cell r="A1090">
            <v>20397408000156</v>
          </cell>
          <cell r="B1090" t="str">
            <v>ALTA FARMA</v>
          </cell>
          <cell r="C1090" t="str">
            <v>INDEPENDENTES VIN</v>
          </cell>
          <cell r="D1090" t="str">
            <v>CAMPO VERDE</v>
          </cell>
          <cell r="E1090" t="str">
            <v>MT</v>
          </cell>
          <cell r="I1090" t="str">
            <v>Não Comprou</v>
          </cell>
        </row>
        <row r="1091">
          <cell r="A1091">
            <v>4433837000185</v>
          </cell>
          <cell r="B1091" t="str">
            <v>ACAO FARMA</v>
          </cell>
          <cell r="C1091" t="str">
            <v>REDE SMALLFARMA</v>
          </cell>
          <cell r="D1091" t="str">
            <v>PRESIDENTE PRUDENTE</v>
          </cell>
          <cell r="E1091" t="str">
            <v>SP</v>
          </cell>
          <cell r="I1091" t="str">
            <v>Não Comprou</v>
          </cell>
        </row>
        <row r="1092">
          <cell r="A1092">
            <v>36728431000388</v>
          </cell>
          <cell r="B1092" t="str">
            <v>ABRE FARMA COMERCIO DE MEDICAMENTOS E PERFUMARIA</v>
          </cell>
          <cell r="C1092" t="str">
            <v>FARMARCAS</v>
          </cell>
          <cell r="D1092" t="str">
            <v>CAMPO GRANDE</v>
          </cell>
          <cell r="E1092" t="str">
            <v>MS</v>
          </cell>
          <cell r="F1092">
            <v>46314</v>
          </cell>
          <cell r="G1092">
            <v>5884.1500000000005</v>
          </cell>
          <cell r="I1092" t="str">
            <v>Comprou Marcas</v>
          </cell>
        </row>
        <row r="1093">
          <cell r="A1093">
            <v>36728431000469</v>
          </cell>
          <cell r="B1093" t="str">
            <v>ABRE FARMA</v>
          </cell>
          <cell r="C1093" t="str">
            <v>FARMARCAS</v>
          </cell>
          <cell r="D1093" t="str">
            <v>CAMPO GRANDE</v>
          </cell>
          <cell r="E1093" t="str">
            <v>MS</v>
          </cell>
          <cell r="F1093">
            <v>46314</v>
          </cell>
          <cell r="G1093">
            <v>2283.6100000000006</v>
          </cell>
          <cell r="I1093" t="str">
            <v>Comprou Marcas</v>
          </cell>
        </row>
        <row r="1094">
          <cell r="A1094">
            <v>35588327000100</v>
          </cell>
          <cell r="B1094" t="str">
            <v>7 PHARMA</v>
          </cell>
          <cell r="C1094" t="str">
            <v>ASSOCIADAS</v>
          </cell>
          <cell r="D1094" t="str">
            <v>TRES LAGOAS</v>
          </cell>
          <cell r="E1094" t="str">
            <v>MS</v>
          </cell>
          <cell r="I1094" t="str">
            <v>Não Comprou</v>
          </cell>
        </row>
        <row r="1095">
          <cell r="A1095">
            <v>46018910000100</v>
          </cell>
          <cell r="B1095" t="str">
            <v>7 PHARMA</v>
          </cell>
          <cell r="C1095" t="str">
            <v>ASSOCIADAS</v>
          </cell>
          <cell r="D1095" t="str">
            <v>TRES LAGOAS</v>
          </cell>
          <cell r="E1095" t="str">
            <v>MS</v>
          </cell>
          <cell r="I1095" t="str">
            <v>Não Comprou</v>
          </cell>
        </row>
        <row r="1096">
          <cell r="A1096">
            <v>52852354000168</v>
          </cell>
          <cell r="B1096" t="str">
            <v>7 PHARMA</v>
          </cell>
          <cell r="C1096" t="str">
            <v>ASSOCIADAS</v>
          </cell>
          <cell r="D1096" t="str">
            <v>TRES LAGOAS</v>
          </cell>
          <cell r="E1096" t="str">
            <v>MS</v>
          </cell>
          <cell r="F1096">
            <v>46303</v>
          </cell>
          <cell r="G1096">
            <v>2148.46</v>
          </cell>
          <cell r="I1096" t="str">
            <v>Comprou Marcas</v>
          </cell>
        </row>
        <row r="1097">
          <cell r="A1097">
            <v>53091979000117</v>
          </cell>
          <cell r="B1097" t="str">
            <v>7 PHARMA</v>
          </cell>
          <cell r="C1097" t="str">
            <v>ASSOCIADAS</v>
          </cell>
          <cell r="D1097" t="str">
            <v>TRES LAGOAS</v>
          </cell>
          <cell r="E1097" t="str">
            <v>MS</v>
          </cell>
          <cell r="I1097" t="str">
            <v>Não Comprou</v>
          </cell>
        </row>
        <row r="1098">
          <cell r="A1098">
            <v>61144743000120</v>
          </cell>
          <cell r="B1098" t="str">
            <v>7 PHARMA</v>
          </cell>
          <cell r="C1098" t="str">
            <v>MASTERFARMA</v>
          </cell>
          <cell r="D1098" t="str">
            <v>TRES LAGOAS</v>
          </cell>
          <cell r="E1098" t="str">
            <v>MS</v>
          </cell>
          <cell r="F1098">
            <v>46313</v>
          </cell>
          <cell r="G1098">
            <v>568.84</v>
          </cell>
          <cell r="I1098" t="str">
            <v>Comprou Marcas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xport"/>
    </sheetNames>
    <sheetDataSet>
      <sheetData sheetId="0">
        <row r="1">
          <cell r="A1" t="str">
            <v>CNPJ PDV</v>
          </cell>
          <cell r="B1" t="str">
            <v>COTA (RS)</v>
          </cell>
          <cell r="C1" t="str">
            <v>MDTR (RS)</v>
          </cell>
          <cell r="D1" t="str">
            <v>COB. MDTR RS (%)</v>
          </cell>
          <cell r="E1" t="str">
            <v>SOLICITADO BRUTO (RS)</v>
          </cell>
          <cell r="F1" t="str">
            <v>NAO FAT BRUTO (RS)</v>
          </cell>
          <cell r="G1" t="str">
            <v>FAT BRUTO (RS)</v>
          </cell>
        </row>
        <row r="2">
          <cell r="A2">
            <v>14324344000160</v>
          </cell>
          <cell r="B2">
            <v>2615.3872434696023</v>
          </cell>
          <cell r="C2">
            <v>497.34000000000003</v>
          </cell>
          <cell r="D2">
            <v>0.19015922068206739</v>
          </cell>
          <cell r="E2">
            <v>0</v>
          </cell>
          <cell r="F2">
            <v>0</v>
          </cell>
          <cell r="G2">
            <v>0</v>
          </cell>
        </row>
        <row r="3">
          <cell r="A3">
            <v>23312338000184</v>
          </cell>
          <cell r="B3">
            <v>2432.3726812038117</v>
          </cell>
          <cell r="C3">
            <v>811.05999999999983</v>
          </cell>
          <cell r="D3">
            <v>0.33344396862679615</v>
          </cell>
          <cell r="E3">
            <v>636.83000000000004</v>
          </cell>
          <cell r="F3">
            <v>0</v>
          </cell>
          <cell r="G3">
            <v>636.83000000000004</v>
          </cell>
        </row>
        <row r="4">
          <cell r="A4">
            <v>68204486000202</v>
          </cell>
          <cell r="B4">
            <v>9861.2796559612416</v>
          </cell>
          <cell r="C4">
            <v>3108.35</v>
          </cell>
          <cell r="D4">
            <v>0.31520757025899487</v>
          </cell>
          <cell r="E4">
            <v>1903.5000000000002</v>
          </cell>
          <cell r="F4">
            <v>200.68000000000006</v>
          </cell>
          <cell r="G4">
            <v>1702.8200000000002</v>
          </cell>
        </row>
        <row r="5">
          <cell r="A5">
            <v>44053810000181</v>
          </cell>
          <cell r="B5">
            <v>26982.518715370577</v>
          </cell>
          <cell r="C5">
            <v>15166.91</v>
          </cell>
          <cell r="D5">
            <v>0.56210134272454626</v>
          </cell>
          <cell r="E5">
            <v>12945.39</v>
          </cell>
          <cell r="F5">
            <v>536.17000000000189</v>
          </cell>
          <cell r="G5">
            <v>12409.219999999998</v>
          </cell>
        </row>
        <row r="6">
          <cell r="A6">
            <v>58694365000143</v>
          </cell>
          <cell r="B6">
            <v>3876.5100431236701</v>
          </cell>
          <cell r="C6">
            <v>2915.5299999999993</v>
          </cell>
          <cell r="D6">
            <v>0.75210175326946438</v>
          </cell>
          <cell r="E6">
            <v>1789.5200000000004</v>
          </cell>
          <cell r="F6">
            <v>45.720000000000255</v>
          </cell>
          <cell r="G6">
            <v>1743.8000000000002</v>
          </cell>
        </row>
        <row r="7">
          <cell r="A7">
            <v>1987999000177</v>
          </cell>
          <cell r="B7">
            <v>3352.1939228006418</v>
          </cell>
          <cell r="C7">
            <v>901.48</v>
          </cell>
          <cell r="D7">
            <v>0.26892238956356224</v>
          </cell>
          <cell r="E7">
            <v>467.65</v>
          </cell>
          <cell r="F7">
            <v>0</v>
          </cell>
          <cell r="G7">
            <v>467.65</v>
          </cell>
        </row>
        <row r="8">
          <cell r="A8">
            <v>24622755000196</v>
          </cell>
          <cell r="B8">
            <v>3560.6784789011454</v>
          </cell>
          <cell r="C8">
            <v>1874.93</v>
          </cell>
          <cell r="D8">
            <v>0.52656537542210746</v>
          </cell>
          <cell r="E8">
            <v>828.32</v>
          </cell>
          <cell r="F8">
            <v>0</v>
          </cell>
          <cell r="G8">
            <v>828.32</v>
          </cell>
        </row>
        <row r="9">
          <cell r="A9">
            <v>4433837000185</v>
          </cell>
          <cell r="B9">
            <v>1456.1492804160741</v>
          </cell>
          <cell r="C9">
            <v>207.06</v>
          </cell>
          <cell r="D9">
            <v>0.14219695932606272</v>
          </cell>
          <cell r="E9">
            <v>0</v>
          </cell>
          <cell r="F9">
            <v>0</v>
          </cell>
          <cell r="G9">
            <v>0</v>
          </cell>
        </row>
        <row r="10">
          <cell r="A10">
            <v>7832402000100</v>
          </cell>
          <cell r="B10">
            <v>2680.8963606454436</v>
          </cell>
          <cell r="C10">
            <v>2049.23</v>
          </cell>
          <cell r="D10">
            <v>0.76438240212562125</v>
          </cell>
          <cell r="E10">
            <v>2318.4699999999998</v>
          </cell>
          <cell r="F10">
            <v>200.10999999999967</v>
          </cell>
          <cell r="G10">
            <v>2118.36</v>
          </cell>
        </row>
        <row r="11">
          <cell r="A11">
            <v>6213559000186</v>
          </cell>
          <cell r="B11">
            <v>738.4161936111559</v>
          </cell>
          <cell r="C11">
            <v>492.88</v>
          </cell>
          <cell r="D11">
            <v>0.66748265309515498</v>
          </cell>
          <cell r="E11">
            <v>591.65000000000009</v>
          </cell>
          <cell r="F11">
            <v>0</v>
          </cell>
          <cell r="G11">
            <v>591.65000000000009</v>
          </cell>
        </row>
        <row r="12">
          <cell r="A12">
            <v>49182677000187</v>
          </cell>
          <cell r="B12">
            <v>2109.3872524554695</v>
          </cell>
          <cell r="C12">
            <v>236.17000000000002</v>
          </cell>
          <cell r="D12">
            <v>0.11196142373814109</v>
          </cell>
          <cell r="E12">
            <v>565.81999999999994</v>
          </cell>
          <cell r="F12">
            <v>0</v>
          </cell>
          <cell r="G12">
            <v>565.81999999999994</v>
          </cell>
        </row>
        <row r="13">
          <cell r="A13">
            <v>2025871000195</v>
          </cell>
          <cell r="B13">
            <v>8586.7630668873317</v>
          </cell>
          <cell r="C13">
            <v>5660.8700000000017</v>
          </cell>
          <cell r="D13">
            <v>0.65925540927403803</v>
          </cell>
          <cell r="E13">
            <v>4501.16</v>
          </cell>
          <cell r="F13">
            <v>446.57999999999993</v>
          </cell>
          <cell r="G13">
            <v>4054.58</v>
          </cell>
        </row>
        <row r="14">
          <cell r="A14">
            <v>12040504000114</v>
          </cell>
          <cell r="B14">
            <v>7697.7983986724203</v>
          </cell>
          <cell r="C14">
            <v>2437.2199999999998</v>
          </cell>
          <cell r="D14">
            <v>0.31661260451044398</v>
          </cell>
          <cell r="E14">
            <v>3144.27</v>
          </cell>
          <cell r="F14">
            <v>86.75</v>
          </cell>
          <cell r="G14">
            <v>3057.52</v>
          </cell>
        </row>
        <row r="15">
          <cell r="A15">
            <v>15303440000195</v>
          </cell>
          <cell r="B15">
            <v>22597.464046858346</v>
          </cell>
          <cell r="C15">
            <v>11876.440000000008</v>
          </cell>
          <cell r="D15">
            <v>0.52556516852390578</v>
          </cell>
          <cell r="E15">
            <v>10319.710000000003</v>
          </cell>
          <cell r="F15">
            <v>3863.6900000000032</v>
          </cell>
          <cell r="G15">
            <v>6456.0199999999995</v>
          </cell>
        </row>
        <row r="16">
          <cell r="A16">
            <v>18465867000188</v>
          </cell>
          <cell r="B16">
            <v>17863.411448727737</v>
          </cell>
          <cell r="C16">
            <v>21231.359999999993</v>
          </cell>
          <cell r="D16">
            <v>1.1885389339510584</v>
          </cell>
          <cell r="E16">
            <v>15498.399999999996</v>
          </cell>
          <cell r="F16">
            <v>4611.3599999999969</v>
          </cell>
          <cell r="G16">
            <v>10887.039999999999</v>
          </cell>
        </row>
        <row r="17">
          <cell r="A17">
            <v>19671223000109</v>
          </cell>
          <cell r="B17">
            <v>20020.363440446486</v>
          </cell>
          <cell r="C17">
            <v>9972.61</v>
          </cell>
          <cell r="D17">
            <v>0.49812332476705506</v>
          </cell>
          <cell r="E17">
            <v>10862.979999999996</v>
          </cell>
          <cell r="F17">
            <v>4740.4499999999944</v>
          </cell>
          <cell r="G17">
            <v>6122.5300000000016</v>
          </cell>
        </row>
        <row r="18">
          <cell r="A18">
            <v>4834843001540</v>
          </cell>
          <cell r="B18">
            <v>14599.658423313305</v>
          </cell>
          <cell r="C18">
            <v>12079.769999999997</v>
          </cell>
          <cell r="D18">
            <v>0.82740086444149596</v>
          </cell>
          <cell r="E18">
            <v>14638.059999999998</v>
          </cell>
          <cell r="F18">
            <v>4422.6899999999969</v>
          </cell>
          <cell r="G18">
            <v>10215.370000000001</v>
          </cell>
        </row>
        <row r="19">
          <cell r="A19">
            <v>4834843002864</v>
          </cell>
          <cell r="B19">
            <v>6079.3335109697273</v>
          </cell>
          <cell r="C19">
            <v>2614.0300000000007</v>
          </cell>
          <cell r="D19">
            <v>0.42998627979254117</v>
          </cell>
          <cell r="E19">
            <v>3934.18</v>
          </cell>
          <cell r="F19">
            <v>794.77999999999929</v>
          </cell>
          <cell r="G19">
            <v>3139.4000000000005</v>
          </cell>
        </row>
        <row r="20">
          <cell r="A20">
            <v>4834843000144</v>
          </cell>
          <cell r="B20">
            <v>9320.8642371830938</v>
          </cell>
          <cell r="C20">
            <v>4300.7599999999993</v>
          </cell>
          <cell r="D20">
            <v>0.46141214919140955</v>
          </cell>
          <cell r="E20">
            <v>5354.6799999999994</v>
          </cell>
          <cell r="F20">
            <v>1435.58</v>
          </cell>
          <cell r="G20">
            <v>3919.0999999999995</v>
          </cell>
        </row>
        <row r="21">
          <cell r="A21">
            <v>4834843000225</v>
          </cell>
          <cell r="B21">
            <v>20490.174640322879</v>
          </cell>
          <cell r="C21">
            <v>17292.809999999994</v>
          </cell>
          <cell r="D21">
            <v>0.8439562035732604</v>
          </cell>
          <cell r="E21">
            <v>10580.949999999999</v>
          </cell>
          <cell r="F21">
            <v>3955.8699999999972</v>
          </cell>
          <cell r="G21">
            <v>6625.0800000000017</v>
          </cell>
        </row>
        <row r="22">
          <cell r="A22">
            <v>4834843000306</v>
          </cell>
          <cell r="B22">
            <v>22293.434257244946</v>
          </cell>
          <cell r="C22">
            <v>12811.279999999995</v>
          </cell>
          <cell r="D22">
            <v>0.57466605872249454</v>
          </cell>
          <cell r="E22">
            <v>12516.95</v>
          </cell>
          <cell r="F22">
            <v>873.85000000000218</v>
          </cell>
          <cell r="G22">
            <v>11643.099999999999</v>
          </cell>
        </row>
        <row r="23">
          <cell r="A23">
            <v>4834843000497</v>
          </cell>
          <cell r="B23">
            <v>22395.194126538547</v>
          </cell>
          <cell r="C23">
            <v>8422.39</v>
          </cell>
          <cell r="D23">
            <v>0.37608024080574398</v>
          </cell>
          <cell r="E23">
            <v>13070.64</v>
          </cell>
          <cell r="F23">
            <v>5086.5199999999986</v>
          </cell>
          <cell r="G23">
            <v>7984.1200000000008</v>
          </cell>
        </row>
        <row r="24">
          <cell r="A24">
            <v>4834843000578</v>
          </cell>
          <cell r="B24">
            <v>6227.5562485674054</v>
          </cell>
          <cell r="C24">
            <v>7542.6799999999994</v>
          </cell>
          <cell r="D24">
            <v>1.2111781409818863</v>
          </cell>
          <cell r="E24">
            <v>7461.9399999999978</v>
          </cell>
          <cell r="F24">
            <v>1057.0100000000002</v>
          </cell>
          <cell r="G24">
            <v>6404.9299999999976</v>
          </cell>
        </row>
        <row r="25">
          <cell r="A25">
            <v>4834843000659</v>
          </cell>
          <cell r="B25">
            <v>10723.979410472793</v>
          </cell>
          <cell r="C25">
            <v>4819.5600000000013</v>
          </cell>
          <cell r="D25">
            <v>0.44941899042563704</v>
          </cell>
          <cell r="E25">
            <v>6663.2699999999986</v>
          </cell>
          <cell r="F25">
            <v>2208.739999999998</v>
          </cell>
          <cell r="G25">
            <v>4454.5300000000007</v>
          </cell>
        </row>
        <row r="26">
          <cell r="A26">
            <v>4834843000730</v>
          </cell>
          <cell r="B26">
            <v>10907.616514440379</v>
          </cell>
          <cell r="C26">
            <v>6850.340000000002</v>
          </cell>
          <cell r="D26">
            <v>0.62803271374007075</v>
          </cell>
          <cell r="E26">
            <v>9784.6600000000035</v>
          </cell>
          <cell r="F26">
            <v>3534.3100000000022</v>
          </cell>
          <cell r="G26">
            <v>6250.3500000000013</v>
          </cell>
        </row>
        <row r="27">
          <cell r="A27">
            <v>4834843000810</v>
          </cell>
          <cell r="B27">
            <v>4688.8071811259551</v>
          </cell>
          <cell r="C27">
            <v>2868.7000000000007</v>
          </cell>
          <cell r="D27">
            <v>0.61181871831870049</v>
          </cell>
          <cell r="E27">
            <v>2931.6599999999994</v>
          </cell>
          <cell r="F27">
            <v>226.88000000000011</v>
          </cell>
          <cell r="G27">
            <v>2704.7799999999993</v>
          </cell>
        </row>
        <row r="28">
          <cell r="A28">
            <v>4834843000900</v>
          </cell>
          <cell r="B28">
            <v>8982.6240795125195</v>
          </cell>
          <cell r="C28">
            <v>7077.409999999998</v>
          </cell>
          <cell r="D28">
            <v>0.78790005429950971</v>
          </cell>
          <cell r="E28">
            <v>6735.3899999999994</v>
          </cell>
          <cell r="F28">
            <v>326.36000000000058</v>
          </cell>
          <cell r="G28">
            <v>6409.0299999999988</v>
          </cell>
        </row>
        <row r="29">
          <cell r="A29">
            <v>4834843001035</v>
          </cell>
          <cell r="B29">
            <v>17788.738593008398</v>
          </cell>
          <cell r="C29">
            <v>10764.44</v>
          </cell>
          <cell r="D29">
            <v>0.6051266616639589</v>
          </cell>
          <cell r="E29">
            <v>13785.430000000002</v>
          </cell>
          <cell r="F29">
            <v>5076.0600000000013</v>
          </cell>
          <cell r="G29">
            <v>8709.3700000000008</v>
          </cell>
        </row>
        <row r="30">
          <cell r="A30">
            <v>4834843001116</v>
          </cell>
          <cell r="B30">
            <v>7156.6243776662568</v>
          </cell>
          <cell r="C30">
            <v>6490.44</v>
          </cell>
          <cell r="D30">
            <v>0.90691360304653901</v>
          </cell>
          <cell r="E30">
            <v>8928.510000000002</v>
          </cell>
          <cell r="F30">
            <v>2017.8400000000029</v>
          </cell>
          <cell r="G30">
            <v>6910.6699999999992</v>
          </cell>
        </row>
        <row r="31">
          <cell r="A31">
            <v>4834843001205</v>
          </cell>
          <cell r="B31">
            <v>12314.180224979473</v>
          </cell>
          <cell r="C31">
            <v>8241.1299999999992</v>
          </cell>
          <cell r="D31">
            <v>0.66923902764414323</v>
          </cell>
          <cell r="E31">
            <v>9253.2899999999972</v>
          </cell>
          <cell r="F31">
            <v>2609.7199999999966</v>
          </cell>
          <cell r="G31">
            <v>6643.5700000000006</v>
          </cell>
        </row>
        <row r="32">
          <cell r="A32">
            <v>4834843001388</v>
          </cell>
          <cell r="B32">
            <v>5752.6982582331648</v>
          </cell>
          <cell r="C32">
            <v>2824.34</v>
          </cell>
          <cell r="D32">
            <v>0.49095917658428412</v>
          </cell>
          <cell r="E32">
            <v>3179.2</v>
          </cell>
          <cell r="F32">
            <v>1123.2599999999993</v>
          </cell>
          <cell r="G32">
            <v>2055.9400000000005</v>
          </cell>
        </row>
        <row r="33">
          <cell r="A33">
            <v>4834843001469</v>
          </cell>
          <cell r="B33">
            <v>5788.6244183784174</v>
          </cell>
          <cell r="C33">
            <v>3377.8999999999996</v>
          </cell>
          <cell r="D33">
            <v>0.58354105498284503</v>
          </cell>
          <cell r="E33">
            <v>3598.7700000000004</v>
          </cell>
          <cell r="F33">
            <v>175.39000000000078</v>
          </cell>
          <cell r="G33">
            <v>3423.3799999999997</v>
          </cell>
        </row>
        <row r="34">
          <cell r="A34">
            <v>4834843001620</v>
          </cell>
          <cell r="B34">
            <v>7244.006867904327</v>
          </cell>
          <cell r="C34">
            <v>6952.6</v>
          </cell>
          <cell r="D34">
            <v>0.95977269579968938</v>
          </cell>
          <cell r="E34">
            <v>6268.97</v>
          </cell>
          <cell r="F34">
            <v>154.21000000000004</v>
          </cell>
          <cell r="G34">
            <v>6114.76</v>
          </cell>
        </row>
        <row r="35">
          <cell r="A35">
            <v>4834843001701</v>
          </cell>
          <cell r="B35">
            <v>5774.8768224918858</v>
          </cell>
          <cell r="C35">
            <v>3325.3199999999997</v>
          </cell>
          <cell r="D35">
            <v>0.57582526904272724</v>
          </cell>
          <cell r="E35">
            <v>4573.9500000000007</v>
          </cell>
          <cell r="F35">
            <v>982.82000000000062</v>
          </cell>
          <cell r="G35">
            <v>3591.13</v>
          </cell>
        </row>
        <row r="36">
          <cell r="A36">
            <v>4834843001892</v>
          </cell>
          <cell r="B36">
            <v>9162.9330138946443</v>
          </cell>
          <cell r="C36">
            <v>5818.7700000000013</v>
          </cell>
          <cell r="D36">
            <v>0.63503356307160996</v>
          </cell>
          <cell r="E36">
            <v>6911.9</v>
          </cell>
          <cell r="F36">
            <v>1984.9799999999996</v>
          </cell>
          <cell r="G36">
            <v>4926.92</v>
          </cell>
        </row>
        <row r="37">
          <cell r="A37">
            <v>4834843001973</v>
          </cell>
          <cell r="B37">
            <v>12375.623459339813</v>
          </cell>
          <cell r="C37">
            <v>7396.23</v>
          </cell>
          <cell r="D37">
            <v>0.59764504182761857</v>
          </cell>
          <cell r="E37">
            <v>7811.3400000000011</v>
          </cell>
          <cell r="F37">
            <v>2110.2900000000018</v>
          </cell>
          <cell r="G37">
            <v>5701.0499999999993</v>
          </cell>
        </row>
        <row r="38">
          <cell r="A38">
            <v>4834843002007</v>
          </cell>
          <cell r="B38">
            <v>4514.8315353889247</v>
          </cell>
          <cell r="C38">
            <v>2573.48</v>
          </cell>
          <cell r="D38">
            <v>0.57000576429665406</v>
          </cell>
          <cell r="E38">
            <v>2841.6</v>
          </cell>
          <cell r="F38">
            <v>715.72999999999956</v>
          </cell>
          <cell r="G38">
            <v>2125.8700000000003</v>
          </cell>
        </row>
        <row r="39">
          <cell r="A39">
            <v>4834843002198</v>
          </cell>
          <cell r="B39">
            <v>9001.7860464774058</v>
          </cell>
          <cell r="C39">
            <v>5809.4400000000014</v>
          </cell>
          <cell r="D39">
            <v>0.64536526084991341</v>
          </cell>
          <cell r="E39">
            <v>7200.489999999998</v>
          </cell>
          <cell r="F39">
            <v>2314.8999999999978</v>
          </cell>
          <cell r="G39">
            <v>4885.59</v>
          </cell>
        </row>
        <row r="40">
          <cell r="A40">
            <v>4834843002279</v>
          </cell>
          <cell r="B40">
            <v>19825.793681531533</v>
          </cell>
          <cell r="C40">
            <v>12385.249999999996</v>
          </cell>
          <cell r="D40">
            <v>0.62470386804929368</v>
          </cell>
          <cell r="E40">
            <v>15866.129999999997</v>
          </cell>
          <cell r="F40">
            <v>4874.8999999999996</v>
          </cell>
          <cell r="G40">
            <v>10991.229999999998</v>
          </cell>
        </row>
        <row r="41">
          <cell r="A41">
            <v>4834843002350</v>
          </cell>
          <cell r="B41">
            <v>11143.578068045184</v>
          </cell>
          <cell r="C41">
            <v>9248.89</v>
          </cell>
          <cell r="D41">
            <v>0.82997489168417948</v>
          </cell>
          <cell r="E41">
            <v>7793.239999999998</v>
          </cell>
          <cell r="F41">
            <v>121.97999999999956</v>
          </cell>
          <cell r="G41">
            <v>7671.2599999999984</v>
          </cell>
        </row>
        <row r="42">
          <cell r="A42">
            <v>4834843002430</v>
          </cell>
          <cell r="B42">
            <v>12360.582361648758</v>
          </cell>
          <cell r="C42">
            <v>13005.410000000003</v>
          </cell>
          <cell r="D42">
            <v>1.0521680629184558</v>
          </cell>
          <cell r="E42">
            <v>9037.56</v>
          </cell>
          <cell r="F42">
            <v>448.38000000000102</v>
          </cell>
          <cell r="G42">
            <v>8589.1799999999985</v>
          </cell>
        </row>
        <row r="43">
          <cell r="A43">
            <v>4834843002511</v>
          </cell>
          <cell r="B43">
            <v>13865.005408956404</v>
          </cell>
          <cell r="C43">
            <v>8430.93</v>
          </cell>
          <cell r="D43">
            <v>0.60807260807513686</v>
          </cell>
          <cell r="E43">
            <v>9056.15</v>
          </cell>
          <cell r="F43">
            <v>3267.4999999999991</v>
          </cell>
          <cell r="G43">
            <v>5788.6500000000005</v>
          </cell>
        </row>
        <row r="44">
          <cell r="A44">
            <v>4834843002600</v>
          </cell>
          <cell r="B44">
            <v>7657.0218330299613</v>
          </cell>
          <cell r="C44">
            <v>6791.0800000000027</v>
          </cell>
          <cell r="D44">
            <v>0.88690879405690604</v>
          </cell>
          <cell r="E44">
            <v>9155.1200000000026</v>
          </cell>
          <cell r="F44">
            <v>46.960000000002765</v>
          </cell>
          <cell r="G44">
            <v>9108.16</v>
          </cell>
        </row>
        <row r="45">
          <cell r="A45">
            <v>4834843002783</v>
          </cell>
          <cell r="B45">
            <v>3511.8275288576097</v>
          </cell>
          <cell r="C45">
            <v>2218.89</v>
          </cell>
          <cell r="D45">
            <v>0.63183342056715419</v>
          </cell>
          <cell r="E45">
            <v>2721.06</v>
          </cell>
          <cell r="F45">
            <v>56.019999999999982</v>
          </cell>
          <cell r="G45">
            <v>2665.04</v>
          </cell>
        </row>
        <row r="46">
          <cell r="A46">
            <v>4834843002945</v>
          </cell>
          <cell r="B46">
            <v>4551.4157960586217</v>
          </cell>
          <cell r="C46">
            <v>4686.59</v>
          </cell>
          <cell r="D46">
            <v>1.0296993748754915</v>
          </cell>
          <cell r="E46">
            <v>3316.1099999999988</v>
          </cell>
          <cell r="F46">
            <v>464.10999999999967</v>
          </cell>
          <cell r="G46">
            <v>2851.9999999999991</v>
          </cell>
        </row>
        <row r="47">
          <cell r="A47">
            <v>4834843003089</v>
          </cell>
          <cell r="B47">
            <v>2893.7230512675956</v>
          </cell>
          <cell r="C47">
            <v>2627.26</v>
          </cell>
          <cell r="D47">
            <v>0.90791687851715075</v>
          </cell>
          <cell r="E47">
            <v>2514.23</v>
          </cell>
          <cell r="F47">
            <v>15.769999999999982</v>
          </cell>
          <cell r="G47">
            <v>2498.46</v>
          </cell>
        </row>
        <row r="48">
          <cell r="A48">
            <v>4834843003160</v>
          </cell>
          <cell r="B48">
            <v>4674.4851446365328</v>
          </cell>
          <cell r="C48">
            <v>2591.98</v>
          </cell>
          <cell r="D48">
            <v>0.55449529088225202</v>
          </cell>
          <cell r="E48">
            <v>4177.2800000000007</v>
          </cell>
          <cell r="F48">
            <v>1218.2500000000009</v>
          </cell>
          <cell r="G48">
            <v>2959.0299999999997</v>
          </cell>
        </row>
        <row r="49">
          <cell r="A49">
            <v>4834843003240</v>
          </cell>
          <cell r="B49">
            <v>3079.9245745104172</v>
          </cell>
          <cell r="C49">
            <v>3698.2500000000009</v>
          </cell>
          <cell r="D49">
            <v>1.2007599246445417</v>
          </cell>
          <cell r="E49">
            <v>2472.8900000000008</v>
          </cell>
          <cell r="F49">
            <v>152.05000000000064</v>
          </cell>
          <cell r="G49">
            <v>2320.84</v>
          </cell>
        </row>
        <row r="50">
          <cell r="A50">
            <v>4834843003321</v>
          </cell>
          <cell r="B50">
            <v>1226.2779095757796</v>
          </cell>
          <cell r="C50">
            <v>3294.7499999999995</v>
          </cell>
          <cell r="D50">
            <v>2.6867890013119378</v>
          </cell>
          <cell r="E50">
            <v>2035.3400000000001</v>
          </cell>
          <cell r="F50">
            <v>58</v>
          </cell>
          <cell r="G50">
            <v>1977.3400000000001</v>
          </cell>
        </row>
        <row r="51">
          <cell r="A51">
            <v>62569939000129</v>
          </cell>
          <cell r="B51">
            <v>701.75541114768964</v>
          </cell>
          <cell r="C51">
            <v>182.99</v>
          </cell>
          <cell r="D51">
            <v>0.26076036905896888</v>
          </cell>
          <cell r="E51">
            <v>0</v>
          </cell>
          <cell r="F51">
            <v>0</v>
          </cell>
          <cell r="G51">
            <v>0</v>
          </cell>
        </row>
        <row r="52">
          <cell r="A52">
            <v>38335229000150</v>
          </cell>
          <cell r="B52">
            <v>2607.1299808243411</v>
          </cell>
          <cell r="C52">
            <v>1692.2700000000004</v>
          </cell>
          <cell r="D52">
            <v>0.64909306879472362</v>
          </cell>
          <cell r="E52">
            <v>705.46999999999991</v>
          </cell>
          <cell r="F52">
            <v>0</v>
          </cell>
          <cell r="G52">
            <v>705.46999999999991</v>
          </cell>
        </row>
        <row r="53">
          <cell r="A53">
            <v>30539610000129</v>
          </cell>
          <cell r="B53">
            <v>1994.5967163091721</v>
          </cell>
          <cell r="C53">
            <v>1054.49</v>
          </cell>
          <cell r="D53">
            <v>0.5286732858716634</v>
          </cell>
          <cell r="E53">
            <v>0</v>
          </cell>
          <cell r="F53">
            <v>0</v>
          </cell>
          <cell r="G53">
            <v>0</v>
          </cell>
        </row>
        <row r="54">
          <cell r="A54">
            <v>27855189000150</v>
          </cell>
          <cell r="B54">
            <v>4782.0080793479692</v>
          </cell>
          <cell r="C54">
            <v>469.30999999999995</v>
          </cell>
          <cell r="D54">
            <v>9.8140779399099376E-2</v>
          </cell>
          <cell r="E54">
            <v>0</v>
          </cell>
          <cell r="F54">
            <v>0</v>
          </cell>
          <cell r="G54">
            <v>0</v>
          </cell>
        </row>
        <row r="55">
          <cell r="A55">
            <v>4972853000146</v>
          </cell>
          <cell r="B55">
            <v>11873.430065890458</v>
          </cell>
          <cell r="C55">
            <v>17380.680000000004</v>
          </cell>
          <cell r="D55">
            <v>1.4638297361038548</v>
          </cell>
          <cell r="E55">
            <v>17107.320000000003</v>
          </cell>
          <cell r="F55">
            <v>1213.5900000000056</v>
          </cell>
          <cell r="G55">
            <v>15893.729999999998</v>
          </cell>
        </row>
        <row r="56">
          <cell r="A56">
            <v>4972853000227</v>
          </cell>
          <cell r="B56">
            <v>16505.7836943976</v>
          </cell>
          <cell r="C56">
            <v>15563.989999999998</v>
          </cell>
          <cell r="D56">
            <v>0.94294159478672523</v>
          </cell>
          <cell r="E56">
            <v>18059.410000000007</v>
          </cell>
          <cell r="F56">
            <v>4075.3400000000038</v>
          </cell>
          <cell r="G56">
            <v>13984.070000000003</v>
          </cell>
        </row>
        <row r="57">
          <cell r="A57">
            <v>4972853000308</v>
          </cell>
          <cell r="B57">
            <v>27410.243024066564</v>
          </cell>
          <cell r="C57">
            <v>22663.419999999995</v>
          </cell>
          <cell r="D57">
            <v>0.82682302306116751</v>
          </cell>
          <cell r="E57">
            <v>23236.990000000016</v>
          </cell>
          <cell r="F57">
            <v>2906.6200000000063</v>
          </cell>
          <cell r="G57">
            <v>20330.37000000001</v>
          </cell>
        </row>
        <row r="58">
          <cell r="A58">
            <v>4972853000499</v>
          </cell>
          <cell r="B58">
            <v>4520.1129601150096</v>
          </cell>
          <cell r="C58">
            <v>3922.4800000000005</v>
          </cell>
          <cell r="D58">
            <v>0.86778362280136401</v>
          </cell>
          <cell r="E58">
            <v>3476.6</v>
          </cell>
          <cell r="F58">
            <v>294.92999999999938</v>
          </cell>
          <cell r="G58">
            <v>3181.6700000000005</v>
          </cell>
        </row>
        <row r="59">
          <cell r="A59">
            <v>4972853000570</v>
          </cell>
          <cell r="B59">
            <v>13423.754819641865</v>
          </cell>
          <cell r="C59">
            <v>11403.629999999996</v>
          </cell>
          <cell r="D59">
            <v>0.84951119513252815</v>
          </cell>
          <cell r="E59">
            <v>9628.7400000000034</v>
          </cell>
          <cell r="F59">
            <v>556.8799999999992</v>
          </cell>
          <cell r="G59">
            <v>9071.8600000000042</v>
          </cell>
        </row>
        <row r="60">
          <cell r="A60">
            <v>4972853000650</v>
          </cell>
          <cell r="B60">
            <v>13967.334051092907</v>
          </cell>
          <cell r="C60">
            <v>13345.300000000005</v>
          </cell>
          <cell r="D60">
            <v>0.95546508382934903</v>
          </cell>
          <cell r="E60">
            <v>10240.18</v>
          </cell>
          <cell r="F60">
            <v>738.68999999999869</v>
          </cell>
          <cell r="G60">
            <v>9501.4900000000016</v>
          </cell>
        </row>
        <row r="61">
          <cell r="A61">
            <v>4972853000731</v>
          </cell>
          <cell r="B61">
            <v>7011.4789383484122</v>
          </cell>
          <cell r="C61">
            <v>6391.5399999999991</v>
          </cell>
          <cell r="D61">
            <v>0.91158228616251924</v>
          </cell>
          <cell r="E61">
            <v>5450.0600000000013</v>
          </cell>
          <cell r="F61">
            <v>698.01000000000204</v>
          </cell>
          <cell r="G61">
            <v>4752.0499999999993</v>
          </cell>
        </row>
        <row r="62">
          <cell r="A62">
            <v>4972853000812</v>
          </cell>
          <cell r="B62">
            <v>44175.319068929399</v>
          </cell>
          <cell r="C62">
            <v>34420.089999999997</v>
          </cell>
          <cell r="D62">
            <v>0.77917015033422321</v>
          </cell>
          <cell r="E62">
            <v>35494.049999999967</v>
          </cell>
          <cell r="F62">
            <v>3299.139999999974</v>
          </cell>
          <cell r="G62">
            <v>32194.909999999993</v>
          </cell>
        </row>
        <row r="63">
          <cell r="A63">
            <v>1357742000131</v>
          </cell>
          <cell r="B63">
            <v>43476.116456058342</v>
          </cell>
          <cell r="C63">
            <v>36217.429999999986</v>
          </cell>
          <cell r="D63">
            <v>0.83304197688874149</v>
          </cell>
          <cell r="E63">
            <v>36204.540000000008</v>
          </cell>
          <cell r="F63">
            <v>17223.310000000009</v>
          </cell>
          <cell r="G63">
            <v>18981.23</v>
          </cell>
        </row>
        <row r="64">
          <cell r="A64">
            <v>42569761000109</v>
          </cell>
          <cell r="B64">
            <v>6673.5765250154573</v>
          </cell>
          <cell r="C64">
            <v>3774.9600000000005</v>
          </cell>
          <cell r="D64">
            <v>0.5656577078047752</v>
          </cell>
          <cell r="E64">
            <v>2210.5</v>
          </cell>
          <cell r="F64">
            <v>0</v>
          </cell>
          <cell r="G64">
            <v>2210.5</v>
          </cell>
        </row>
        <row r="65">
          <cell r="A65">
            <v>23019388000178</v>
          </cell>
          <cell r="B65">
            <v>5561.2478892780082</v>
          </cell>
          <cell r="C65">
            <v>3225.5899999999997</v>
          </cell>
          <cell r="D65">
            <v>0.58001190815803816</v>
          </cell>
          <cell r="E65">
            <v>233.3</v>
          </cell>
          <cell r="F65">
            <v>0</v>
          </cell>
          <cell r="G65">
            <v>233.3</v>
          </cell>
        </row>
        <row r="66">
          <cell r="A66">
            <v>15056307000181</v>
          </cell>
          <cell r="B66">
            <v>3422.2466306673541</v>
          </cell>
          <cell r="C66">
            <v>3203.5499999999997</v>
          </cell>
          <cell r="D66">
            <v>0.9360955961772085</v>
          </cell>
          <cell r="E66">
            <v>0</v>
          </cell>
          <cell r="F66">
            <v>0</v>
          </cell>
          <cell r="G66">
            <v>0</v>
          </cell>
        </row>
        <row r="67">
          <cell r="A67">
            <v>6940115000142</v>
          </cell>
          <cell r="B67">
            <v>3799.6427197281369</v>
          </cell>
          <cell r="C67">
            <v>829.04000000000008</v>
          </cell>
          <cell r="D67">
            <v>0.21818893542162238</v>
          </cell>
          <cell r="E67">
            <v>544.33000000000004</v>
          </cell>
          <cell r="F67">
            <v>16.879999999999995</v>
          </cell>
          <cell r="G67">
            <v>527.45000000000005</v>
          </cell>
        </row>
        <row r="68">
          <cell r="A68">
            <v>7113333000176</v>
          </cell>
          <cell r="B68">
            <v>2837.2925198814141</v>
          </cell>
          <cell r="C68">
            <v>744.47</v>
          </cell>
          <cell r="D68">
            <v>0.26238746790588779</v>
          </cell>
          <cell r="E68">
            <v>0</v>
          </cell>
          <cell r="F68">
            <v>0</v>
          </cell>
          <cell r="G68">
            <v>0</v>
          </cell>
        </row>
        <row r="69">
          <cell r="A69">
            <v>9555593000127</v>
          </cell>
          <cell r="B69">
            <v>6110.2289990059153</v>
          </cell>
          <cell r="C69">
            <v>4213.3300000000008</v>
          </cell>
          <cell r="D69">
            <v>0.68955353403047182</v>
          </cell>
          <cell r="E69">
            <v>2594.6799999999998</v>
          </cell>
          <cell r="F69">
            <v>0</v>
          </cell>
          <cell r="G69">
            <v>2594.6799999999998</v>
          </cell>
        </row>
        <row r="70">
          <cell r="A70">
            <v>8143052000129</v>
          </cell>
          <cell r="B70">
            <v>5467.4143225542421</v>
          </cell>
          <cell r="C70">
            <v>5300.9299999999994</v>
          </cell>
          <cell r="D70">
            <v>0.96954971532567791</v>
          </cell>
          <cell r="E70">
            <v>3672.3399999999988</v>
          </cell>
          <cell r="F70">
            <v>8.7799999999997453</v>
          </cell>
          <cell r="G70">
            <v>3663.559999999999</v>
          </cell>
        </row>
        <row r="71">
          <cell r="A71">
            <v>21483918000109</v>
          </cell>
          <cell r="B71">
            <v>1017.4076593016185</v>
          </cell>
          <cell r="C71">
            <v>902.51</v>
          </cell>
          <cell r="D71">
            <v>0.88706821867206309</v>
          </cell>
          <cell r="E71">
            <v>0</v>
          </cell>
          <cell r="F71">
            <v>0</v>
          </cell>
          <cell r="G71">
            <v>0</v>
          </cell>
        </row>
        <row r="72">
          <cell r="A72">
            <v>199752000395</v>
          </cell>
          <cell r="B72">
            <v>96288.274983816489</v>
          </cell>
          <cell r="C72">
            <v>70866.190000000017</v>
          </cell>
          <cell r="D72">
            <v>0.73597943271816579</v>
          </cell>
          <cell r="E72">
            <v>48116.929999999986</v>
          </cell>
          <cell r="F72">
            <v>5892.010000000002</v>
          </cell>
          <cell r="G72">
            <v>42224.919999999984</v>
          </cell>
        </row>
        <row r="73">
          <cell r="A73">
            <v>199752000638</v>
          </cell>
          <cell r="B73">
            <v>47675.809770392734</v>
          </cell>
          <cell r="C73">
            <v>26935.769999999997</v>
          </cell>
          <cell r="D73">
            <v>0.56497771363974691</v>
          </cell>
          <cell r="E73">
            <v>17949.18</v>
          </cell>
          <cell r="F73">
            <v>540.75000000000364</v>
          </cell>
          <cell r="G73">
            <v>17408.429999999997</v>
          </cell>
        </row>
        <row r="74">
          <cell r="A74">
            <v>4248248000127</v>
          </cell>
          <cell r="B74">
            <v>35859.292894229722</v>
          </cell>
          <cell r="C74">
            <v>24698.090000000004</v>
          </cell>
          <cell r="D74">
            <v>0.68875005630616559</v>
          </cell>
          <cell r="E74">
            <v>25792.170000000002</v>
          </cell>
          <cell r="F74">
            <v>1671.9999999999964</v>
          </cell>
          <cell r="G74">
            <v>24120.170000000006</v>
          </cell>
        </row>
        <row r="75">
          <cell r="A75">
            <v>1617371000180</v>
          </cell>
          <cell r="B75">
            <v>15436.658449557635</v>
          </cell>
          <cell r="C75">
            <v>18486.309999999994</v>
          </cell>
          <cell r="D75">
            <v>1.197559048184405</v>
          </cell>
          <cell r="E75">
            <v>16078.070000000003</v>
          </cell>
          <cell r="F75">
            <v>160.93000000000029</v>
          </cell>
          <cell r="G75">
            <v>15917.140000000003</v>
          </cell>
        </row>
        <row r="76">
          <cell r="A76">
            <v>1524705000170</v>
          </cell>
          <cell r="B76">
            <v>4558.8517602728552</v>
          </cell>
          <cell r="C76">
            <v>824.10000000000014</v>
          </cell>
          <cell r="D76">
            <v>0.18076920315361961</v>
          </cell>
          <cell r="E76">
            <v>774.81000000000006</v>
          </cell>
          <cell r="F76">
            <v>21.980000000000018</v>
          </cell>
          <cell r="G76">
            <v>752.83</v>
          </cell>
        </row>
        <row r="77">
          <cell r="A77">
            <v>3328971000153</v>
          </cell>
          <cell r="B77">
            <v>6843.1437652396608</v>
          </cell>
          <cell r="C77">
            <v>4762.4699999999993</v>
          </cell>
          <cell r="D77">
            <v>0.69594767600695118</v>
          </cell>
          <cell r="E77">
            <v>1801</v>
          </cell>
          <cell r="F77">
            <v>609.98</v>
          </cell>
          <cell r="G77">
            <v>1191.02</v>
          </cell>
        </row>
        <row r="78">
          <cell r="A78">
            <v>8705108000191</v>
          </cell>
          <cell r="B78">
            <v>22736.865578736808</v>
          </cell>
          <cell r="C78">
            <v>11276.860000000002</v>
          </cell>
          <cell r="D78">
            <v>0.49597249721817244</v>
          </cell>
          <cell r="E78">
            <v>9006.369999999999</v>
          </cell>
          <cell r="F78">
            <v>3091.26</v>
          </cell>
          <cell r="G78">
            <v>5915.1099999999988</v>
          </cell>
        </row>
        <row r="79">
          <cell r="A79">
            <v>67096438000196</v>
          </cell>
          <cell r="B79">
            <v>3748.0639305731934</v>
          </cell>
          <cell r="C79">
            <v>1840.8800000000003</v>
          </cell>
          <cell r="D79">
            <v>0.49115490933434364</v>
          </cell>
          <cell r="E79">
            <v>633.44000000000005</v>
          </cell>
          <cell r="F79">
            <v>0</v>
          </cell>
          <cell r="G79">
            <v>633.44000000000005</v>
          </cell>
        </row>
        <row r="80">
          <cell r="A80">
            <v>68389238000194</v>
          </cell>
          <cell r="B80">
            <v>5116.6267992599505</v>
          </cell>
          <cell r="C80">
            <v>3234.4500000000003</v>
          </cell>
          <cell r="D80">
            <v>0.63214499061526608</v>
          </cell>
          <cell r="E80">
            <v>214.62</v>
          </cell>
          <cell r="F80">
            <v>107.31</v>
          </cell>
          <cell r="G80">
            <v>107.31</v>
          </cell>
        </row>
        <row r="81">
          <cell r="A81">
            <v>55497176000192</v>
          </cell>
          <cell r="B81">
            <v>3173.1513959558215</v>
          </cell>
          <cell r="C81">
            <v>2188.77</v>
          </cell>
          <cell r="D81">
            <v>0.68977799256272021</v>
          </cell>
          <cell r="E81">
            <v>2199.64</v>
          </cell>
          <cell r="F81">
            <v>70.519999999999982</v>
          </cell>
          <cell r="G81">
            <v>2129.12</v>
          </cell>
        </row>
        <row r="82">
          <cell r="A82">
            <v>13090874000129</v>
          </cell>
          <cell r="B82">
            <v>1861.7092243436334</v>
          </cell>
          <cell r="C82">
            <v>1136.5200000000002</v>
          </cell>
          <cell r="D82">
            <v>0.61047127292431669</v>
          </cell>
          <cell r="E82">
            <v>0</v>
          </cell>
          <cell r="F82">
            <v>0</v>
          </cell>
          <cell r="G82">
            <v>0</v>
          </cell>
        </row>
        <row r="83">
          <cell r="A83">
            <v>1017753000172</v>
          </cell>
          <cell r="B83">
            <v>2801.5612462288127</v>
          </cell>
          <cell r="C83">
            <v>1391.3999999999999</v>
          </cell>
          <cell r="D83">
            <v>0.49665164446180365</v>
          </cell>
          <cell r="E83">
            <v>773.13000000000011</v>
          </cell>
          <cell r="F83">
            <v>0</v>
          </cell>
          <cell r="G83">
            <v>773.13000000000011</v>
          </cell>
        </row>
        <row r="84">
          <cell r="A84">
            <v>19631038000271</v>
          </cell>
          <cell r="B84">
            <v>1643.9902043485924</v>
          </cell>
          <cell r="C84">
            <v>1694.8900000000003</v>
          </cell>
          <cell r="D84">
            <v>1.0309611307395692</v>
          </cell>
          <cell r="E84">
            <v>97.62</v>
          </cell>
          <cell r="F84">
            <v>0</v>
          </cell>
          <cell r="G84">
            <v>97.62</v>
          </cell>
        </row>
        <row r="85">
          <cell r="A85">
            <v>13701031000111</v>
          </cell>
          <cell r="B85">
            <v>5286.2245388239335</v>
          </cell>
          <cell r="C85">
            <v>2151.2799999999997</v>
          </cell>
          <cell r="D85">
            <v>0.40695963332624752</v>
          </cell>
          <cell r="E85">
            <v>2035.07</v>
          </cell>
          <cell r="F85">
            <v>58</v>
          </cell>
          <cell r="G85">
            <v>1977.07</v>
          </cell>
        </row>
        <row r="86">
          <cell r="A86">
            <v>11318768000124</v>
          </cell>
          <cell r="B86">
            <v>8160.5485489288294</v>
          </cell>
          <cell r="C86">
            <v>5171.2699999999986</v>
          </cell>
          <cell r="D86">
            <v>0.63369146926756414</v>
          </cell>
          <cell r="E86">
            <v>651.29999999999995</v>
          </cell>
          <cell r="F86">
            <v>0</v>
          </cell>
          <cell r="G86">
            <v>651.29999999999995</v>
          </cell>
        </row>
        <row r="87">
          <cell r="A87">
            <v>4538037000129</v>
          </cell>
          <cell r="B87">
            <v>6925.0044473623748</v>
          </cell>
          <cell r="C87">
            <v>624.64</v>
          </cell>
          <cell r="D87">
            <v>9.0200664093135069E-2</v>
          </cell>
          <cell r="E87">
            <v>1091.9100000000001</v>
          </cell>
          <cell r="F87">
            <v>208.18000000000018</v>
          </cell>
          <cell r="G87">
            <v>883.7299999999999</v>
          </cell>
        </row>
        <row r="88">
          <cell r="A88">
            <v>5778971000180</v>
          </cell>
          <cell r="B88">
            <v>5359.3023038463252</v>
          </cell>
          <cell r="C88">
            <v>3602.64</v>
          </cell>
          <cell r="D88">
            <v>0.6722218295867386</v>
          </cell>
          <cell r="E88">
            <v>1530.0300000000002</v>
          </cell>
          <cell r="F88">
            <v>0</v>
          </cell>
          <cell r="G88">
            <v>1530.0300000000002</v>
          </cell>
        </row>
        <row r="89">
          <cell r="A89">
            <v>1770218000198</v>
          </cell>
          <cell r="B89">
            <v>5749.905993469868</v>
          </cell>
          <cell r="C89">
            <v>1838.4400000000003</v>
          </cell>
          <cell r="D89">
            <v>0.31973392296985464</v>
          </cell>
          <cell r="E89">
            <v>176.63000000000002</v>
          </cell>
          <cell r="F89">
            <v>0</v>
          </cell>
          <cell r="G89">
            <v>176.63000000000002</v>
          </cell>
        </row>
        <row r="90">
          <cell r="A90">
            <v>9417126000130</v>
          </cell>
          <cell r="B90">
            <v>6461.2602494081748</v>
          </cell>
          <cell r="C90">
            <v>3939.14</v>
          </cell>
          <cell r="D90">
            <v>0.60965505922173757</v>
          </cell>
          <cell r="E90">
            <v>3824.93</v>
          </cell>
          <cell r="F90">
            <v>335.52</v>
          </cell>
          <cell r="G90">
            <v>3489.41</v>
          </cell>
        </row>
        <row r="91">
          <cell r="A91">
            <v>48798235000105</v>
          </cell>
          <cell r="B91">
            <v>9864.7310076469003</v>
          </cell>
          <cell r="C91">
            <v>4158.09</v>
          </cell>
          <cell r="D91">
            <v>0.42151073321479821</v>
          </cell>
          <cell r="E91">
            <v>0</v>
          </cell>
          <cell r="F91">
            <v>0</v>
          </cell>
          <cell r="G91">
            <v>0</v>
          </cell>
        </row>
        <row r="92">
          <cell r="A92">
            <v>61144743000120</v>
          </cell>
          <cell r="B92">
            <v>6734.0141180477258</v>
          </cell>
          <cell r="C92">
            <v>2403.08</v>
          </cell>
          <cell r="D92">
            <v>0.35685698869557503</v>
          </cell>
          <cell r="E92">
            <v>624.02</v>
          </cell>
          <cell r="F92">
            <v>55.17999999999995</v>
          </cell>
          <cell r="G92">
            <v>568.84</v>
          </cell>
        </row>
        <row r="93">
          <cell r="A93">
            <v>35008629000162</v>
          </cell>
          <cell r="B93">
            <v>3518.1780258312774</v>
          </cell>
          <cell r="C93">
            <v>993.48</v>
          </cell>
          <cell r="D93">
            <v>0.28238480051482329</v>
          </cell>
          <cell r="E93">
            <v>440.70000000000005</v>
          </cell>
          <cell r="F93">
            <v>185.55000000000007</v>
          </cell>
          <cell r="G93">
            <v>255.14999999999998</v>
          </cell>
        </row>
        <row r="94">
          <cell r="A94">
            <v>12050037000103</v>
          </cell>
          <cell r="B94">
            <v>2095.1614534055102</v>
          </cell>
          <cell r="C94">
            <v>1369.2200000000003</v>
          </cell>
          <cell r="D94">
            <v>0.65351526860827236</v>
          </cell>
          <cell r="E94">
            <v>611.63</v>
          </cell>
          <cell r="F94">
            <v>24.870000000000005</v>
          </cell>
          <cell r="G94">
            <v>586.76</v>
          </cell>
        </row>
        <row r="95">
          <cell r="A95">
            <v>21769166000309</v>
          </cell>
          <cell r="B95">
            <v>1908.1128348930476</v>
          </cell>
          <cell r="C95">
            <v>909.64</v>
          </cell>
          <cell r="D95">
            <v>0.47672233180643458</v>
          </cell>
          <cell r="E95">
            <v>0</v>
          </cell>
          <cell r="F95">
            <v>0</v>
          </cell>
          <cell r="G95">
            <v>0</v>
          </cell>
        </row>
        <row r="96">
          <cell r="A96">
            <v>8954952000156</v>
          </cell>
          <cell r="B96">
            <v>6563.403457582278</v>
          </cell>
          <cell r="C96">
            <v>2916.7100000000005</v>
          </cell>
          <cell r="D96">
            <v>0.44438986858723623</v>
          </cell>
          <cell r="E96">
            <v>1523.4900000000002</v>
          </cell>
          <cell r="F96">
            <v>0</v>
          </cell>
          <cell r="G96">
            <v>1523.4900000000002</v>
          </cell>
        </row>
        <row r="97">
          <cell r="A97">
            <v>8954952000237</v>
          </cell>
          <cell r="B97">
            <v>14139.680487773532</v>
          </cell>
          <cell r="C97">
            <v>9995.82</v>
          </cell>
          <cell r="D97">
            <v>0.70693393734344312</v>
          </cell>
          <cell r="E97">
            <v>4698.5800000000008</v>
          </cell>
          <cell r="F97">
            <v>949.48999999999978</v>
          </cell>
          <cell r="G97">
            <v>3749.0900000000011</v>
          </cell>
        </row>
        <row r="98">
          <cell r="A98">
            <v>8954952000318</v>
          </cell>
          <cell r="B98">
            <v>17770.341882431076</v>
          </cell>
          <cell r="C98">
            <v>11000.779999999995</v>
          </cell>
          <cell r="D98">
            <v>0.61905280566808263</v>
          </cell>
          <cell r="E98">
            <v>11516.519999999993</v>
          </cell>
          <cell r="F98">
            <v>1840.380000000001</v>
          </cell>
          <cell r="G98">
            <v>9676.1399999999921</v>
          </cell>
        </row>
        <row r="99">
          <cell r="A99">
            <v>8954952000407</v>
          </cell>
          <cell r="B99">
            <v>10882.499910082217</v>
          </cell>
          <cell r="C99">
            <v>4484.05</v>
          </cell>
          <cell r="D99">
            <v>0.41204227310360009</v>
          </cell>
          <cell r="E99">
            <v>3739.7200000000007</v>
          </cell>
          <cell r="F99">
            <v>1454.0100000000007</v>
          </cell>
          <cell r="G99">
            <v>2285.71</v>
          </cell>
        </row>
        <row r="100">
          <cell r="A100">
            <v>60706953000100</v>
          </cell>
          <cell r="B100">
            <v>1087.5907056473905</v>
          </cell>
          <cell r="C100">
            <v>1427.92</v>
          </cell>
          <cell r="D100">
            <v>1.3129203776617675</v>
          </cell>
          <cell r="E100">
            <v>0</v>
          </cell>
          <cell r="F100">
            <v>0</v>
          </cell>
          <cell r="G100">
            <v>0</v>
          </cell>
        </row>
        <row r="101">
          <cell r="A101">
            <v>12113721000197</v>
          </cell>
          <cell r="B101">
            <v>5727.7597048500511</v>
          </cell>
          <cell r="C101">
            <v>2901.8700000000008</v>
          </cell>
          <cell r="D101">
            <v>0.5066326364115461</v>
          </cell>
          <cell r="E101">
            <v>1717.2199999999998</v>
          </cell>
          <cell r="F101">
            <v>267.48</v>
          </cell>
          <cell r="G101">
            <v>1449.7399999999998</v>
          </cell>
        </row>
        <row r="102">
          <cell r="A102">
            <v>2330544000147</v>
          </cell>
          <cell r="B102">
            <v>3629.4108994481644</v>
          </cell>
          <cell r="C102">
            <v>2080.94</v>
          </cell>
          <cell r="D102">
            <v>0.5733547558135117</v>
          </cell>
          <cell r="E102">
            <v>1195.33</v>
          </cell>
          <cell r="F102">
            <v>0</v>
          </cell>
          <cell r="G102">
            <v>1195.33</v>
          </cell>
        </row>
        <row r="103">
          <cell r="A103">
            <v>1569011000150</v>
          </cell>
          <cell r="B103">
            <v>6849.2105873064929</v>
          </cell>
          <cell r="C103">
            <v>2139.7400000000002</v>
          </cell>
          <cell r="D103">
            <v>0.31240680553252931</v>
          </cell>
          <cell r="E103">
            <v>1379.81</v>
          </cell>
          <cell r="F103">
            <v>0</v>
          </cell>
          <cell r="G103">
            <v>1379.81</v>
          </cell>
        </row>
        <row r="104">
          <cell r="A104">
            <v>8685407000101</v>
          </cell>
          <cell r="B104">
            <v>7637.1919838081703</v>
          </cell>
          <cell r="C104">
            <v>4399</v>
          </cell>
          <cell r="D104">
            <v>0.57599704306588684</v>
          </cell>
          <cell r="E104">
            <v>1451.4</v>
          </cell>
          <cell r="F104">
            <v>38.740000000000009</v>
          </cell>
          <cell r="G104">
            <v>1412.66</v>
          </cell>
        </row>
        <row r="105">
          <cell r="A105">
            <v>30878190000105</v>
          </cell>
          <cell r="B105">
            <v>9900.4632620860248</v>
          </cell>
          <cell r="C105">
            <v>8762.5300000000007</v>
          </cell>
          <cell r="D105">
            <v>0.8850626246507316</v>
          </cell>
          <cell r="E105">
            <v>4809.6899999999996</v>
          </cell>
          <cell r="F105">
            <v>492.22999999999956</v>
          </cell>
          <cell r="G105">
            <v>4317.46</v>
          </cell>
        </row>
        <row r="106">
          <cell r="A106">
            <v>16925842000194</v>
          </cell>
          <cell r="B106">
            <v>1930.9378077951558</v>
          </cell>
          <cell r="C106">
            <v>1088.21</v>
          </cell>
          <cell r="D106">
            <v>0.56356553567231371</v>
          </cell>
          <cell r="E106">
            <v>243.66999999999996</v>
          </cell>
          <cell r="F106">
            <v>0</v>
          </cell>
          <cell r="G106">
            <v>243.66999999999996</v>
          </cell>
        </row>
        <row r="107">
          <cell r="A107">
            <v>7234960000165</v>
          </cell>
          <cell r="B107">
            <v>11592.584261847447</v>
          </cell>
          <cell r="C107">
            <v>3894.2</v>
          </cell>
          <cell r="D107">
            <v>0.33592164715302247</v>
          </cell>
          <cell r="E107">
            <v>2239.92</v>
          </cell>
          <cell r="F107">
            <v>0</v>
          </cell>
          <cell r="G107">
            <v>2239.92</v>
          </cell>
        </row>
        <row r="108">
          <cell r="A108">
            <v>55845358000107</v>
          </cell>
          <cell r="B108">
            <v>1733.0829608640965</v>
          </cell>
          <cell r="C108">
            <v>827.09000000000015</v>
          </cell>
          <cell r="D108">
            <v>0.47723624239408707</v>
          </cell>
          <cell r="E108">
            <v>53.58</v>
          </cell>
          <cell r="F108">
            <v>53.58</v>
          </cell>
          <cell r="G108">
            <v>0</v>
          </cell>
        </row>
        <row r="109">
          <cell r="A109">
            <v>8604819000170</v>
          </cell>
          <cell r="B109">
            <v>13724.584958360769</v>
          </cell>
          <cell r="C109">
            <v>7965.96</v>
          </cell>
          <cell r="D109">
            <v>0.58041536586847975</v>
          </cell>
          <cell r="E109">
            <v>3670.0399999999991</v>
          </cell>
          <cell r="F109">
            <v>829.09999999999991</v>
          </cell>
          <cell r="G109">
            <v>2840.9399999999991</v>
          </cell>
        </row>
        <row r="110">
          <cell r="A110">
            <v>40214024000168</v>
          </cell>
          <cell r="B110">
            <v>3692.2095670054127</v>
          </cell>
          <cell r="C110">
            <v>1410.27</v>
          </cell>
          <cell r="D110">
            <v>0.38195827577138514</v>
          </cell>
          <cell r="E110">
            <v>0</v>
          </cell>
          <cell r="F110">
            <v>0</v>
          </cell>
          <cell r="G110">
            <v>0</v>
          </cell>
        </row>
        <row r="111">
          <cell r="A111">
            <v>10601751000117</v>
          </cell>
          <cell r="B111">
            <v>1128.9536104933238</v>
          </cell>
          <cell r="C111">
            <v>780.78</v>
          </cell>
          <cell r="D111">
            <v>0.6915961760898387</v>
          </cell>
          <cell r="E111">
            <v>1234.6599999999999</v>
          </cell>
          <cell r="F111">
            <v>819.23999999999978</v>
          </cell>
          <cell r="G111">
            <v>415.42</v>
          </cell>
        </row>
        <row r="112">
          <cell r="A112">
            <v>5328012000163</v>
          </cell>
          <cell r="B112">
            <v>3941.3471058333976</v>
          </cell>
          <cell r="C112">
            <v>4273.59</v>
          </cell>
          <cell r="D112">
            <v>1.0842967861609718</v>
          </cell>
          <cell r="E112">
            <v>3387.92</v>
          </cell>
          <cell r="F112">
            <v>0</v>
          </cell>
          <cell r="G112">
            <v>3387.92</v>
          </cell>
        </row>
        <row r="113">
          <cell r="A113">
            <v>4837150000105</v>
          </cell>
          <cell r="B113">
            <v>3188.6371086327167</v>
          </cell>
          <cell r="C113">
            <v>2098.16</v>
          </cell>
          <cell r="D113">
            <v>0.65801153549884139</v>
          </cell>
          <cell r="E113">
            <v>1051.23</v>
          </cell>
          <cell r="F113">
            <v>25.319999999999936</v>
          </cell>
          <cell r="G113">
            <v>1025.9100000000001</v>
          </cell>
        </row>
        <row r="114">
          <cell r="A114">
            <v>14775673000128</v>
          </cell>
          <cell r="B114">
            <v>6262.2372969530907</v>
          </cell>
          <cell r="C114">
            <v>5593.3599999999988</v>
          </cell>
          <cell r="D114">
            <v>0.89318876541479253</v>
          </cell>
          <cell r="E114">
            <v>2341.8100000000004</v>
          </cell>
          <cell r="F114">
            <v>106.14000000000033</v>
          </cell>
          <cell r="G114">
            <v>2235.67</v>
          </cell>
        </row>
        <row r="115">
          <cell r="A115">
            <v>42038804000120</v>
          </cell>
          <cell r="B115">
            <v>3616.9622072327206</v>
          </cell>
          <cell r="C115">
            <v>1582.82</v>
          </cell>
          <cell r="D115">
            <v>0.43761032305919223</v>
          </cell>
          <cell r="E115">
            <v>0</v>
          </cell>
          <cell r="F115">
            <v>0</v>
          </cell>
          <cell r="G115">
            <v>0</v>
          </cell>
        </row>
        <row r="116">
          <cell r="A116">
            <v>14913432000106</v>
          </cell>
          <cell r="B116">
            <v>5000.8761288276373</v>
          </cell>
          <cell r="C116">
            <v>2031.9799999999996</v>
          </cell>
          <cell r="D116">
            <v>0.40632480142561733</v>
          </cell>
          <cell r="E116">
            <v>1055.32</v>
          </cell>
          <cell r="F116">
            <v>0</v>
          </cell>
          <cell r="G116">
            <v>1055.32</v>
          </cell>
        </row>
        <row r="117">
          <cell r="A117">
            <v>2489904000158</v>
          </cell>
          <cell r="B117">
            <v>6644.7990658384697</v>
          </cell>
          <cell r="C117">
            <v>5392.89</v>
          </cell>
          <cell r="D117">
            <v>0.81159564744784374</v>
          </cell>
          <cell r="E117">
            <v>778.7399999999999</v>
          </cell>
          <cell r="F117">
            <v>0</v>
          </cell>
          <cell r="G117">
            <v>778.7399999999999</v>
          </cell>
        </row>
        <row r="118">
          <cell r="A118">
            <v>33687112000111</v>
          </cell>
          <cell r="B118">
            <v>4745.9255958807908</v>
          </cell>
          <cell r="C118">
            <v>2599.98</v>
          </cell>
          <cell r="D118">
            <v>0.54783412581449731</v>
          </cell>
          <cell r="E118">
            <v>1832.4600000000003</v>
          </cell>
          <cell r="F118">
            <v>75.079999999999927</v>
          </cell>
          <cell r="G118">
            <v>1757.3800000000003</v>
          </cell>
        </row>
        <row r="119">
          <cell r="A119">
            <v>3492774000175</v>
          </cell>
          <cell r="B119">
            <v>4634.0100702135915</v>
          </cell>
          <cell r="C119">
            <v>800.98</v>
          </cell>
          <cell r="D119">
            <v>0.17284813538678415</v>
          </cell>
          <cell r="E119">
            <v>154.56</v>
          </cell>
          <cell r="F119">
            <v>0</v>
          </cell>
          <cell r="G119">
            <v>154.56</v>
          </cell>
        </row>
        <row r="120">
          <cell r="A120">
            <v>14876562000108</v>
          </cell>
          <cell r="B120">
            <v>10129.943229516388</v>
          </cell>
          <cell r="C120">
            <v>6740.66</v>
          </cell>
          <cell r="D120">
            <v>0.66541932637482359</v>
          </cell>
          <cell r="E120">
            <v>3872</v>
          </cell>
          <cell r="F120">
            <v>251.93000000000029</v>
          </cell>
          <cell r="G120">
            <v>3620.0699999999997</v>
          </cell>
        </row>
        <row r="121">
          <cell r="A121">
            <v>5072221000199</v>
          </cell>
          <cell r="B121">
            <v>3210.843129144841</v>
          </cell>
          <cell r="C121">
            <v>747.43999999999994</v>
          </cell>
          <cell r="D121">
            <v>0.23278620908492317</v>
          </cell>
          <cell r="E121">
            <v>96.67</v>
          </cell>
          <cell r="F121">
            <v>0</v>
          </cell>
          <cell r="G121">
            <v>96.67</v>
          </cell>
        </row>
        <row r="122">
          <cell r="A122">
            <v>15059340000165</v>
          </cell>
          <cell r="B122">
            <v>4077.8921164164449</v>
          </cell>
          <cell r="C122">
            <v>2220.8000000000006</v>
          </cell>
          <cell r="D122">
            <v>0.54459508407779733</v>
          </cell>
          <cell r="E122">
            <v>0</v>
          </cell>
          <cell r="F122">
            <v>0</v>
          </cell>
          <cell r="G122">
            <v>0</v>
          </cell>
        </row>
        <row r="123">
          <cell r="A123">
            <v>4083576000110</v>
          </cell>
          <cell r="B123">
            <v>2585.6272753420221</v>
          </cell>
          <cell r="C123">
            <v>259.76</v>
          </cell>
          <cell r="D123">
            <v>0.10046304913210641</v>
          </cell>
          <cell r="E123">
            <v>0</v>
          </cell>
          <cell r="F123">
            <v>0</v>
          </cell>
          <cell r="G123">
            <v>0</v>
          </cell>
        </row>
        <row r="124">
          <cell r="A124">
            <v>26495088000153</v>
          </cell>
          <cell r="B124">
            <v>2825.1883665619689</v>
          </cell>
          <cell r="C124">
            <v>1424.6700000000003</v>
          </cell>
          <cell r="D124">
            <v>0.50427434038096053</v>
          </cell>
          <cell r="E124">
            <v>764.00000000000011</v>
          </cell>
          <cell r="F124">
            <v>0</v>
          </cell>
          <cell r="G124">
            <v>764.00000000000011</v>
          </cell>
        </row>
        <row r="125">
          <cell r="A125">
            <v>779082000114</v>
          </cell>
          <cell r="B125">
            <v>8021.2298793451855</v>
          </cell>
          <cell r="C125">
            <v>2752.65</v>
          </cell>
          <cell r="D125">
            <v>0.34317056628536785</v>
          </cell>
          <cell r="E125">
            <v>0</v>
          </cell>
          <cell r="F125">
            <v>0</v>
          </cell>
          <cell r="G125">
            <v>0</v>
          </cell>
        </row>
        <row r="126">
          <cell r="A126">
            <v>5592488000107</v>
          </cell>
          <cell r="B126">
            <v>5127.0548245799519</v>
          </cell>
          <cell r="C126">
            <v>599.41999999999985</v>
          </cell>
          <cell r="D126">
            <v>0.11691312469027654</v>
          </cell>
          <cell r="E126">
            <v>357.7</v>
          </cell>
          <cell r="F126">
            <v>36.660000000000025</v>
          </cell>
          <cell r="G126">
            <v>321.03999999999996</v>
          </cell>
        </row>
        <row r="127">
          <cell r="A127">
            <v>41195400000187</v>
          </cell>
          <cell r="B127">
            <v>453.68366385390948</v>
          </cell>
          <cell r="C127">
            <v>1022.5299999999999</v>
          </cell>
          <cell r="D127">
            <v>2.2538391427055315</v>
          </cell>
          <cell r="E127">
            <v>625.78</v>
          </cell>
          <cell r="F127">
            <v>0</v>
          </cell>
          <cell r="G127">
            <v>625.78</v>
          </cell>
        </row>
        <row r="128">
          <cell r="A128">
            <v>43491146000190</v>
          </cell>
          <cell r="B128">
            <v>3771.6636636850012</v>
          </cell>
          <cell r="C128">
            <v>1697.97</v>
          </cell>
          <cell r="D128">
            <v>0.45019125547929817</v>
          </cell>
          <cell r="E128">
            <v>0</v>
          </cell>
          <cell r="F128">
            <v>0</v>
          </cell>
          <cell r="G128">
            <v>0</v>
          </cell>
        </row>
        <row r="129">
          <cell r="A129">
            <v>17476547000241</v>
          </cell>
          <cell r="B129">
            <v>10559.56317586548</v>
          </cell>
          <cell r="C129">
            <v>13894.279999999999</v>
          </cell>
          <cell r="D129">
            <v>1.3158006414276886</v>
          </cell>
          <cell r="E129">
            <v>0</v>
          </cell>
          <cell r="F129">
            <v>0</v>
          </cell>
          <cell r="G129">
            <v>0</v>
          </cell>
        </row>
        <row r="130">
          <cell r="A130">
            <v>51398846000162</v>
          </cell>
          <cell r="B130">
            <v>2556.8986956733825</v>
          </cell>
          <cell r="C130">
            <v>2464.25</v>
          </cell>
          <cell r="D130">
            <v>0.96376520672087773</v>
          </cell>
          <cell r="E130">
            <v>0</v>
          </cell>
          <cell r="F130">
            <v>0</v>
          </cell>
          <cell r="G130">
            <v>0</v>
          </cell>
        </row>
        <row r="131">
          <cell r="A131">
            <v>45290499000157</v>
          </cell>
          <cell r="B131">
            <v>11011.335182389988</v>
          </cell>
          <cell r="C131">
            <v>6388.6600000000017</v>
          </cell>
          <cell r="D131">
            <v>0.580189404298322</v>
          </cell>
          <cell r="E131">
            <v>0</v>
          </cell>
          <cell r="F131">
            <v>0</v>
          </cell>
          <cell r="G131">
            <v>0</v>
          </cell>
        </row>
        <row r="132">
          <cell r="A132">
            <v>17858710000150</v>
          </cell>
          <cell r="B132">
            <v>6937.1967415605977</v>
          </cell>
          <cell r="C132">
            <v>75.180000000000007</v>
          </cell>
          <cell r="D132">
            <v>1.0837230483834807E-2</v>
          </cell>
          <cell r="E132">
            <v>137.85</v>
          </cell>
          <cell r="F132">
            <v>137.85</v>
          </cell>
          <cell r="G132">
            <v>0</v>
          </cell>
        </row>
        <row r="133">
          <cell r="A133">
            <v>29668395000187</v>
          </cell>
          <cell r="B133">
            <v>2779.8967621700172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</row>
        <row r="134">
          <cell r="A134">
            <v>61585281000186</v>
          </cell>
          <cell r="B134">
            <v>398.57773441198282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</row>
        <row r="135">
          <cell r="A135">
            <v>49845019000128</v>
          </cell>
          <cell r="B135">
            <v>6583.1210521893072</v>
          </cell>
          <cell r="C135">
            <v>4988.5600000000004</v>
          </cell>
          <cell r="D135">
            <v>0.75778038417522131</v>
          </cell>
          <cell r="E135">
            <v>8978.6299999999974</v>
          </cell>
          <cell r="F135">
            <v>1196.5999999999967</v>
          </cell>
          <cell r="G135">
            <v>7782.0300000000007</v>
          </cell>
        </row>
        <row r="136">
          <cell r="A136">
            <v>23339848000145</v>
          </cell>
          <cell r="B136">
            <v>6457.723493575746</v>
          </cell>
          <cell r="C136">
            <v>1762.3899999999999</v>
          </cell>
          <cell r="D136">
            <v>0.27291196375212651</v>
          </cell>
          <cell r="E136">
            <v>0</v>
          </cell>
          <cell r="F136">
            <v>0</v>
          </cell>
          <cell r="G136">
            <v>0</v>
          </cell>
        </row>
        <row r="137">
          <cell r="A137">
            <v>9267822000108</v>
          </cell>
          <cell r="B137">
            <v>3512.7989134551322</v>
          </cell>
          <cell r="C137">
            <v>1566.1400000000003</v>
          </cell>
          <cell r="D137">
            <v>0.44583821578889365</v>
          </cell>
          <cell r="E137">
            <v>0</v>
          </cell>
          <cell r="F137">
            <v>0</v>
          </cell>
          <cell r="G137">
            <v>0</v>
          </cell>
        </row>
        <row r="138">
          <cell r="A138">
            <v>27750605000237</v>
          </cell>
          <cell r="B138">
            <v>3157.5605296418371</v>
          </cell>
          <cell r="C138">
            <v>2905.21</v>
          </cell>
          <cell r="D138">
            <v>0.92008054088817059</v>
          </cell>
          <cell r="E138">
            <v>2662.0399999999995</v>
          </cell>
          <cell r="F138">
            <v>253.32999999999993</v>
          </cell>
          <cell r="G138">
            <v>2408.7099999999996</v>
          </cell>
        </row>
        <row r="139">
          <cell r="A139">
            <v>49465956000158</v>
          </cell>
          <cell r="B139">
            <v>2341.7390189694893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</row>
        <row r="140">
          <cell r="A140">
            <v>29776784000126</v>
          </cell>
          <cell r="B140">
            <v>3317.1221200505761</v>
          </cell>
          <cell r="C140">
            <v>1603.4299999999998</v>
          </cell>
          <cell r="D140">
            <v>0.48337985216400547</v>
          </cell>
          <cell r="E140">
            <v>1976.92</v>
          </cell>
          <cell r="F140">
            <v>341.99000000000024</v>
          </cell>
          <cell r="G140">
            <v>1634.9299999999998</v>
          </cell>
        </row>
        <row r="141">
          <cell r="A141">
            <v>7460103000183</v>
          </cell>
          <cell r="B141">
            <v>2248.9830118032014</v>
          </cell>
          <cell r="C141">
            <v>1493.8300000000002</v>
          </cell>
          <cell r="D141">
            <v>0.66422467051108103</v>
          </cell>
          <cell r="E141">
            <v>0</v>
          </cell>
          <cell r="F141">
            <v>0</v>
          </cell>
          <cell r="G141">
            <v>0</v>
          </cell>
        </row>
        <row r="142">
          <cell r="A142">
            <v>39999923000134</v>
          </cell>
          <cell r="B142">
            <v>3849.231116944738</v>
          </cell>
          <cell r="C142">
            <v>2324.2900000000004</v>
          </cell>
          <cell r="D142">
            <v>0.6038322795864921</v>
          </cell>
          <cell r="E142">
            <v>0</v>
          </cell>
          <cell r="F142">
            <v>0</v>
          </cell>
          <cell r="G142">
            <v>0</v>
          </cell>
        </row>
        <row r="143">
          <cell r="A143">
            <v>8963901000190</v>
          </cell>
          <cell r="B143">
            <v>13214.014002437179</v>
          </cell>
          <cell r="C143">
            <v>3025.3999999999996</v>
          </cell>
          <cell r="D143">
            <v>0.22895389693411841</v>
          </cell>
          <cell r="E143">
            <v>1713.71</v>
          </cell>
          <cell r="F143">
            <v>68.560000000000173</v>
          </cell>
          <cell r="G143">
            <v>1645.1499999999999</v>
          </cell>
        </row>
        <row r="144">
          <cell r="A144">
            <v>11964668000175</v>
          </cell>
          <cell r="B144">
            <v>1598.3417616929662</v>
          </cell>
          <cell r="C144">
            <v>1031.1699999999998</v>
          </cell>
          <cell r="D144">
            <v>0.64514988265574869</v>
          </cell>
          <cell r="E144">
            <v>711.49</v>
          </cell>
          <cell r="F144">
            <v>0</v>
          </cell>
          <cell r="G144">
            <v>711.49</v>
          </cell>
        </row>
        <row r="145">
          <cell r="A145">
            <v>7504369000180</v>
          </cell>
          <cell r="B145">
            <v>1466.3422098845192</v>
          </cell>
          <cell r="C145">
            <v>819.47999999999979</v>
          </cell>
          <cell r="D145">
            <v>0.55885999494247485</v>
          </cell>
          <cell r="E145">
            <v>788.38</v>
          </cell>
          <cell r="F145">
            <v>103.34999999999991</v>
          </cell>
          <cell r="G145">
            <v>685.03000000000009</v>
          </cell>
        </row>
        <row r="146">
          <cell r="A146">
            <v>5215960000192</v>
          </cell>
          <cell r="B146">
            <v>10582.039315843218</v>
          </cell>
          <cell r="C146">
            <v>4107.55</v>
          </cell>
          <cell r="D146">
            <v>0.38816242100426318</v>
          </cell>
          <cell r="E146">
            <v>2741.81</v>
          </cell>
          <cell r="F146">
            <v>43.440000000000055</v>
          </cell>
          <cell r="G146">
            <v>2698.37</v>
          </cell>
        </row>
        <row r="147">
          <cell r="A147">
            <v>11277593000154</v>
          </cell>
          <cell r="B147">
            <v>615.53294652526961</v>
          </cell>
          <cell r="C147">
            <v>637.32999999999993</v>
          </cell>
          <cell r="D147">
            <v>1.0354116763331294</v>
          </cell>
          <cell r="E147">
            <v>219.78000000000003</v>
          </cell>
          <cell r="F147">
            <v>0</v>
          </cell>
          <cell r="G147">
            <v>219.78000000000003</v>
          </cell>
        </row>
        <row r="148">
          <cell r="A148">
            <v>62811078000143</v>
          </cell>
          <cell r="B148">
            <v>2213.8146998172888</v>
          </cell>
          <cell r="C148">
            <v>1231.3500000000001</v>
          </cell>
          <cell r="D148">
            <v>0.55621186366755371</v>
          </cell>
          <cell r="E148">
            <v>0</v>
          </cell>
          <cell r="F148">
            <v>0</v>
          </cell>
          <cell r="G148">
            <v>0</v>
          </cell>
        </row>
        <row r="149">
          <cell r="A149">
            <v>12476127000160</v>
          </cell>
          <cell r="B149">
            <v>23154.949232804956</v>
          </cell>
          <cell r="C149">
            <v>10693.58</v>
          </cell>
          <cell r="D149">
            <v>0.4618269680699531</v>
          </cell>
          <cell r="E149">
            <v>4117.8099999999995</v>
          </cell>
          <cell r="F149">
            <v>260.16000000000031</v>
          </cell>
          <cell r="G149">
            <v>3857.6499999999992</v>
          </cell>
        </row>
        <row r="150">
          <cell r="A150">
            <v>30455750000119</v>
          </cell>
          <cell r="B150">
            <v>1478.7775739130832</v>
          </cell>
          <cell r="C150">
            <v>253.52999999999997</v>
          </cell>
          <cell r="D150">
            <v>0.17144566192542321</v>
          </cell>
          <cell r="E150">
            <v>485.07</v>
          </cell>
          <cell r="F150">
            <v>130.26</v>
          </cell>
          <cell r="G150">
            <v>354.81</v>
          </cell>
        </row>
        <row r="151">
          <cell r="A151">
            <v>11288508000153</v>
          </cell>
          <cell r="B151">
            <v>8064.9442660038321</v>
          </cell>
          <cell r="C151">
            <v>3654.1699999999996</v>
          </cell>
          <cell r="D151">
            <v>0.45309302575139004</v>
          </cell>
          <cell r="E151">
            <v>0</v>
          </cell>
          <cell r="F151">
            <v>0</v>
          </cell>
          <cell r="G151">
            <v>0</v>
          </cell>
        </row>
        <row r="152">
          <cell r="A152">
            <v>9516908000127</v>
          </cell>
          <cell r="B152">
            <v>7418.8857044239403</v>
          </cell>
          <cell r="C152">
            <v>4588.32</v>
          </cell>
          <cell r="D152">
            <v>0.61846484536942636</v>
          </cell>
          <cell r="E152">
            <v>394.44</v>
          </cell>
          <cell r="F152">
            <v>0</v>
          </cell>
          <cell r="G152">
            <v>394.44</v>
          </cell>
        </row>
        <row r="153">
          <cell r="A153">
            <v>44864960000175</v>
          </cell>
          <cell r="B153">
            <v>2148.7625362744443</v>
          </cell>
          <cell r="C153">
            <v>1056.6799999999998</v>
          </cell>
          <cell r="D153">
            <v>0.49176211059230723</v>
          </cell>
          <cell r="E153">
            <v>484.22999999999996</v>
          </cell>
          <cell r="F153">
            <v>151.82999999999998</v>
          </cell>
          <cell r="G153">
            <v>332.4</v>
          </cell>
        </row>
        <row r="154">
          <cell r="A154">
            <v>33675901000132</v>
          </cell>
          <cell r="B154">
            <v>4427.4224002714254</v>
          </cell>
          <cell r="C154">
            <v>2707.3300000000004</v>
          </cell>
          <cell r="D154">
            <v>0.61149123694048846</v>
          </cell>
          <cell r="E154">
            <v>982.61999999999989</v>
          </cell>
          <cell r="F154">
            <v>0</v>
          </cell>
          <cell r="G154">
            <v>982.61999999999989</v>
          </cell>
        </row>
        <row r="155">
          <cell r="A155">
            <v>8793169000158</v>
          </cell>
          <cell r="B155">
            <v>1088.5340733600146</v>
          </cell>
          <cell r="C155">
            <v>299</v>
          </cell>
          <cell r="D155">
            <v>0.27468134192351618</v>
          </cell>
          <cell r="E155">
            <v>0</v>
          </cell>
          <cell r="F155">
            <v>0</v>
          </cell>
          <cell r="G155">
            <v>0</v>
          </cell>
        </row>
        <row r="156">
          <cell r="A156">
            <v>22977550000106</v>
          </cell>
          <cell r="B156">
            <v>1954.8323999886154</v>
          </cell>
          <cell r="C156">
            <v>223.80999999999997</v>
          </cell>
          <cell r="D156">
            <v>0.11449063357109458</v>
          </cell>
          <cell r="E156">
            <v>232.17</v>
          </cell>
          <cell r="F156">
            <v>232.17</v>
          </cell>
          <cell r="G156">
            <v>0</v>
          </cell>
        </row>
        <row r="157">
          <cell r="A157">
            <v>24415425000120</v>
          </cell>
          <cell r="B157">
            <v>2887.6871051180997</v>
          </cell>
          <cell r="C157">
            <v>1308.0899999999999</v>
          </cell>
          <cell r="D157">
            <v>0.4529888289079374</v>
          </cell>
          <cell r="E157">
            <v>206.86</v>
          </cell>
          <cell r="F157">
            <v>0</v>
          </cell>
          <cell r="G157">
            <v>206.86</v>
          </cell>
        </row>
        <row r="158">
          <cell r="A158">
            <v>23350836000111</v>
          </cell>
          <cell r="B158">
            <v>2441.9757522904483</v>
          </cell>
          <cell r="C158">
            <v>2631.2799999999993</v>
          </cell>
          <cell r="D158">
            <v>1.0775209366972598</v>
          </cell>
          <cell r="E158">
            <v>2203.6299999999997</v>
          </cell>
          <cell r="F158">
            <v>168.19999999999982</v>
          </cell>
          <cell r="G158">
            <v>2035.4299999999998</v>
          </cell>
        </row>
        <row r="159">
          <cell r="A159">
            <v>17479487000130</v>
          </cell>
          <cell r="B159">
            <v>2401.6494304938128</v>
          </cell>
          <cell r="C159">
            <v>989.43000000000006</v>
          </cell>
          <cell r="D159">
            <v>0.4119793619489916</v>
          </cell>
          <cell r="E159">
            <v>940.04000000000008</v>
          </cell>
          <cell r="F159">
            <v>127.22000000000014</v>
          </cell>
          <cell r="G159">
            <v>812.81999999999994</v>
          </cell>
        </row>
        <row r="160">
          <cell r="A160">
            <v>31832914000142</v>
          </cell>
          <cell r="B160">
            <v>2497.6734789300367</v>
          </cell>
          <cell r="C160">
            <v>1682.9099999999996</v>
          </cell>
          <cell r="D160">
            <v>0.67379103561644549</v>
          </cell>
          <cell r="E160">
            <v>2532.3599999999997</v>
          </cell>
          <cell r="F160">
            <v>932.52999999999975</v>
          </cell>
          <cell r="G160">
            <v>1599.83</v>
          </cell>
        </row>
        <row r="161">
          <cell r="A161">
            <v>34152830000156</v>
          </cell>
          <cell r="B161">
            <v>3358.3124530369082</v>
          </cell>
          <cell r="C161">
            <v>2011.3500000000004</v>
          </cell>
          <cell r="D161">
            <v>0.59891687510527636</v>
          </cell>
          <cell r="E161">
            <v>0</v>
          </cell>
          <cell r="F161">
            <v>0</v>
          </cell>
          <cell r="G161">
            <v>0</v>
          </cell>
        </row>
        <row r="162">
          <cell r="A162">
            <v>49672071000120</v>
          </cell>
          <cell r="B162">
            <v>6654.2047058566623</v>
          </cell>
          <cell r="C162">
            <v>3360.8599999999997</v>
          </cell>
          <cell r="D162">
            <v>0.50507313023327294</v>
          </cell>
          <cell r="E162">
            <v>0</v>
          </cell>
          <cell r="F162">
            <v>0</v>
          </cell>
          <cell r="G162">
            <v>0</v>
          </cell>
        </row>
        <row r="163">
          <cell r="A163">
            <v>55312241000168</v>
          </cell>
          <cell r="B163">
            <v>6232.8560013422621</v>
          </cell>
          <cell r="C163">
            <v>1126.53</v>
          </cell>
          <cell r="D163">
            <v>0.18074057859790099</v>
          </cell>
          <cell r="E163">
            <v>0</v>
          </cell>
          <cell r="F163">
            <v>0</v>
          </cell>
          <cell r="G163">
            <v>0</v>
          </cell>
        </row>
        <row r="164">
          <cell r="A164">
            <v>59472205000112</v>
          </cell>
          <cell r="B164">
            <v>561.94186596884856</v>
          </cell>
          <cell r="C164">
            <v>368.10999999999996</v>
          </cell>
          <cell r="D164">
            <v>0.6550677610847494</v>
          </cell>
          <cell r="E164">
            <v>0</v>
          </cell>
          <cell r="F164">
            <v>0</v>
          </cell>
          <cell r="G164">
            <v>0</v>
          </cell>
        </row>
        <row r="165">
          <cell r="A165">
            <v>22073444000190</v>
          </cell>
          <cell r="B165">
            <v>2196.2146512853442</v>
          </cell>
          <cell r="C165">
            <v>2888.5099999999989</v>
          </cell>
          <cell r="D165">
            <v>1.3152220791849676</v>
          </cell>
          <cell r="E165">
            <v>370.50000000000006</v>
          </cell>
          <cell r="F165">
            <v>58.600000000000023</v>
          </cell>
          <cell r="G165">
            <v>311.90000000000003</v>
          </cell>
        </row>
        <row r="166">
          <cell r="A166">
            <v>40627707000147</v>
          </cell>
          <cell r="B166">
            <v>2253.3845207413415</v>
          </cell>
          <cell r="C166">
            <v>1464.1100000000004</v>
          </cell>
          <cell r="D166">
            <v>0.64973819892857099</v>
          </cell>
          <cell r="E166">
            <v>0</v>
          </cell>
          <cell r="F166">
            <v>0</v>
          </cell>
          <cell r="G166">
            <v>0</v>
          </cell>
        </row>
        <row r="167">
          <cell r="A167">
            <v>86309000146</v>
          </cell>
          <cell r="B167">
            <v>4068.4806747792054</v>
          </cell>
          <cell r="C167">
            <v>2264.66</v>
          </cell>
          <cell r="D167">
            <v>0.55663530959819585</v>
          </cell>
          <cell r="E167">
            <v>1131.56</v>
          </cell>
          <cell r="F167">
            <v>0</v>
          </cell>
          <cell r="G167">
            <v>1131.56</v>
          </cell>
        </row>
        <row r="168">
          <cell r="A168">
            <v>37563038000182</v>
          </cell>
          <cell r="B168">
            <v>1685.9241944161727</v>
          </cell>
          <cell r="C168">
            <v>28.68</v>
          </cell>
          <cell r="D168">
            <v>1.7011441021481836E-2</v>
          </cell>
          <cell r="E168">
            <v>0</v>
          </cell>
          <cell r="F168">
            <v>0</v>
          </cell>
          <cell r="G168">
            <v>0</v>
          </cell>
        </row>
        <row r="169">
          <cell r="A169">
            <v>7284256000117</v>
          </cell>
          <cell r="B169">
            <v>1566.6339110433412</v>
          </cell>
          <cell r="C169">
            <v>1509.99</v>
          </cell>
          <cell r="D169">
            <v>0.96384355614668282</v>
          </cell>
          <cell r="E169">
            <v>1505.04</v>
          </cell>
          <cell r="F169">
            <v>98.399999999999864</v>
          </cell>
          <cell r="G169">
            <v>1406.64</v>
          </cell>
        </row>
        <row r="170">
          <cell r="A170">
            <v>5052802000169</v>
          </cell>
          <cell r="B170">
            <v>5731.7178487538658</v>
          </cell>
          <cell r="C170">
            <v>2324.6200000000003</v>
          </cell>
          <cell r="D170">
            <v>0.40557125478627609</v>
          </cell>
          <cell r="E170">
            <v>0</v>
          </cell>
          <cell r="F170">
            <v>0</v>
          </cell>
          <cell r="G170">
            <v>0</v>
          </cell>
        </row>
        <row r="171">
          <cell r="A171">
            <v>8596888000189</v>
          </cell>
          <cell r="B171">
            <v>7320.3697886984555</v>
          </cell>
          <cell r="C171">
            <v>5141.4400000000005</v>
          </cell>
          <cell r="D171">
            <v>0.70234703278755217</v>
          </cell>
          <cell r="E171">
            <v>1013.51</v>
          </cell>
          <cell r="F171">
            <v>1013.51</v>
          </cell>
          <cell r="G171">
            <v>0</v>
          </cell>
        </row>
        <row r="172">
          <cell r="A172">
            <v>4641689000194</v>
          </cell>
          <cell r="B172">
            <v>3578.3567679215903</v>
          </cell>
          <cell r="C172">
            <v>636.4</v>
          </cell>
          <cell r="D172">
            <v>0.17784699549945629</v>
          </cell>
          <cell r="E172">
            <v>0</v>
          </cell>
          <cell r="F172">
            <v>0</v>
          </cell>
          <cell r="G172">
            <v>0</v>
          </cell>
        </row>
        <row r="173">
          <cell r="A173">
            <v>54172723000105</v>
          </cell>
          <cell r="B173">
            <v>1981.2672940028904</v>
          </cell>
          <cell r="C173">
            <v>1208.31</v>
          </cell>
          <cell r="D173">
            <v>0.60986723177505664</v>
          </cell>
          <cell r="E173">
            <v>2596.16</v>
          </cell>
          <cell r="F173">
            <v>1449.04</v>
          </cell>
          <cell r="G173">
            <v>1147.1199999999999</v>
          </cell>
        </row>
        <row r="174">
          <cell r="A174">
            <v>67778728000110</v>
          </cell>
          <cell r="B174">
            <v>56.958510199256573</v>
          </cell>
          <cell r="C174">
            <v>310.23999999999995</v>
          </cell>
          <cell r="D174">
            <v>5.4467716749383879</v>
          </cell>
          <cell r="E174">
            <v>304.85000000000002</v>
          </cell>
          <cell r="F174">
            <v>0</v>
          </cell>
          <cell r="G174">
            <v>304.85000000000002</v>
          </cell>
        </row>
        <row r="175">
          <cell r="A175">
            <v>9272038000198</v>
          </cell>
          <cell r="B175">
            <v>5665.5810128856137</v>
          </cell>
          <cell r="C175">
            <v>3025.09</v>
          </cell>
          <cell r="D175">
            <v>0.53394170750004877</v>
          </cell>
          <cell r="E175">
            <v>2421.6999999999994</v>
          </cell>
          <cell r="F175">
            <v>73.639999999999873</v>
          </cell>
          <cell r="G175">
            <v>2348.0599999999995</v>
          </cell>
        </row>
        <row r="176">
          <cell r="A176">
            <v>28031224000180</v>
          </cell>
          <cell r="B176">
            <v>6586.4923201018946</v>
          </cell>
          <cell r="C176">
            <v>4037.8199999999997</v>
          </cell>
          <cell r="D176">
            <v>0.61304557931034431</v>
          </cell>
          <cell r="E176">
            <v>1822.5600000000002</v>
          </cell>
          <cell r="F176">
            <v>70.710000000000036</v>
          </cell>
          <cell r="G176">
            <v>1751.8500000000001</v>
          </cell>
        </row>
        <row r="177">
          <cell r="A177">
            <v>4252211000172</v>
          </cell>
          <cell r="B177">
            <v>10129.468617793846</v>
          </cell>
          <cell r="C177">
            <v>3517.25</v>
          </cell>
          <cell r="D177">
            <v>0.34722946807115357</v>
          </cell>
          <cell r="E177">
            <v>2067.6999999999998</v>
          </cell>
          <cell r="F177">
            <v>40.769999999999982</v>
          </cell>
          <cell r="G177">
            <v>2026.9299999999998</v>
          </cell>
        </row>
        <row r="178">
          <cell r="A178">
            <v>24415425000200</v>
          </cell>
          <cell r="B178">
            <v>2297.1540031019208</v>
          </cell>
          <cell r="C178">
            <v>1447.63</v>
          </cell>
          <cell r="D178">
            <v>0.63018413134044071</v>
          </cell>
          <cell r="E178">
            <v>0</v>
          </cell>
          <cell r="F178">
            <v>0</v>
          </cell>
          <cell r="G178">
            <v>0</v>
          </cell>
        </row>
        <row r="179">
          <cell r="A179">
            <v>1478274000153</v>
          </cell>
          <cell r="B179">
            <v>2474.3808554077286</v>
          </cell>
          <cell r="C179">
            <v>1557.7299999999996</v>
          </cell>
          <cell r="D179">
            <v>0.62954334479092011</v>
          </cell>
          <cell r="E179">
            <v>0</v>
          </cell>
          <cell r="F179">
            <v>0</v>
          </cell>
          <cell r="G179">
            <v>0</v>
          </cell>
        </row>
        <row r="180">
          <cell r="A180">
            <v>3577994000100</v>
          </cell>
          <cell r="B180">
            <v>4559.649433259111</v>
          </cell>
          <cell r="C180">
            <v>2959.18</v>
          </cell>
          <cell r="D180">
            <v>0.64899287616610912</v>
          </cell>
          <cell r="E180">
            <v>2240.38</v>
          </cell>
          <cell r="F180">
            <v>95.940000000000055</v>
          </cell>
          <cell r="G180">
            <v>2144.44</v>
          </cell>
        </row>
        <row r="181">
          <cell r="A181">
            <v>23566528000128</v>
          </cell>
          <cell r="B181">
            <v>4552.2196156872324</v>
          </cell>
          <cell r="C181">
            <v>2092.2399999999998</v>
          </cell>
          <cell r="D181">
            <v>0.45960875718517852</v>
          </cell>
          <cell r="E181">
            <v>0</v>
          </cell>
          <cell r="F181">
            <v>0</v>
          </cell>
          <cell r="G181">
            <v>0</v>
          </cell>
        </row>
        <row r="182">
          <cell r="A182">
            <v>46237162000149</v>
          </cell>
          <cell r="B182">
            <v>2720.1152433028265</v>
          </cell>
          <cell r="C182">
            <v>1109.77</v>
          </cell>
          <cell r="D182">
            <v>0.4079863905517811</v>
          </cell>
          <cell r="E182">
            <v>793.83000000000015</v>
          </cell>
          <cell r="F182">
            <v>0</v>
          </cell>
          <cell r="G182">
            <v>793.83000000000015</v>
          </cell>
        </row>
        <row r="183">
          <cell r="A183">
            <v>43857147000105</v>
          </cell>
          <cell r="B183">
            <v>426.65398475353498</v>
          </cell>
          <cell r="C183">
            <v>126.03</v>
          </cell>
          <cell r="D183">
            <v>0.29539159249339647</v>
          </cell>
          <cell r="E183">
            <v>0</v>
          </cell>
          <cell r="F183">
            <v>0</v>
          </cell>
          <cell r="G183">
            <v>0</v>
          </cell>
        </row>
        <row r="184">
          <cell r="A184">
            <v>5255309000146</v>
          </cell>
          <cell r="B184">
            <v>5858.7616927179797</v>
          </cell>
          <cell r="C184">
            <v>2187.3900000000003</v>
          </cell>
          <cell r="D184">
            <v>0.37335363933965243</v>
          </cell>
          <cell r="E184">
            <v>2147.1999999999994</v>
          </cell>
          <cell r="F184">
            <v>1083.1499999999992</v>
          </cell>
          <cell r="G184">
            <v>1064.0500000000002</v>
          </cell>
        </row>
        <row r="185">
          <cell r="A185">
            <v>51041632000134</v>
          </cell>
          <cell r="B185">
            <v>1736.4930224574789</v>
          </cell>
          <cell r="C185">
            <v>1140.9100000000001</v>
          </cell>
          <cell r="D185">
            <v>0.6570196282075399</v>
          </cell>
          <cell r="E185">
            <v>0</v>
          </cell>
          <cell r="F185">
            <v>0</v>
          </cell>
          <cell r="G185">
            <v>0</v>
          </cell>
        </row>
        <row r="186">
          <cell r="A186">
            <v>26034403000145</v>
          </cell>
          <cell r="B186">
            <v>2628.2879985005989</v>
          </cell>
          <cell r="C186">
            <v>1604.7900000000004</v>
          </cell>
          <cell r="D186">
            <v>0.61058377198979352</v>
          </cell>
          <cell r="E186">
            <v>137.85</v>
          </cell>
          <cell r="F186">
            <v>0</v>
          </cell>
          <cell r="G186">
            <v>137.85</v>
          </cell>
        </row>
        <row r="187">
          <cell r="A187">
            <v>2222873000174</v>
          </cell>
          <cell r="B187">
            <v>5056.1381288460116</v>
          </cell>
          <cell r="C187">
            <v>2264.0100000000002</v>
          </cell>
          <cell r="D187">
            <v>0.44777455486896023</v>
          </cell>
          <cell r="E187">
            <v>599.9799999999999</v>
          </cell>
          <cell r="F187">
            <v>0</v>
          </cell>
          <cell r="G187">
            <v>599.9799999999999</v>
          </cell>
        </row>
        <row r="188">
          <cell r="A188">
            <v>32203543000100</v>
          </cell>
          <cell r="B188">
            <v>1375.8832666871485</v>
          </cell>
          <cell r="C188">
            <v>34.659999999999997</v>
          </cell>
          <cell r="D188">
            <v>2.5191090581001351E-2</v>
          </cell>
          <cell r="E188">
            <v>0</v>
          </cell>
          <cell r="F188">
            <v>0</v>
          </cell>
          <cell r="G188">
            <v>0</v>
          </cell>
        </row>
        <row r="189">
          <cell r="A189">
            <v>36752663000100</v>
          </cell>
          <cell r="B189">
            <v>5781.152473963004</v>
          </cell>
          <cell r="C189">
            <v>7072.23</v>
          </cell>
          <cell r="D189">
            <v>1.2233252853737582</v>
          </cell>
          <cell r="E189">
            <v>7055.9699999999984</v>
          </cell>
          <cell r="F189">
            <v>1162.6600000000008</v>
          </cell>
          <cell r="G189">
            <v>5893.3099999999977</v>
          </cell>
        </row>
        <row r="190">
          <cell r="A190">
            <v>22836127000188</v>
          </cell>
          <cell r="B190">
            <v>974.87370865869946</v>
          </cell>
          <cell r="C190">
            <v>557.80999999999995</v>
          </cell>
          <cell r="D190">
            <v>0.57218693564674605</v>
          </cell>
          <cell r="E190">
            <v>317.21000000000004</v>
          </cell>
          <cell r="F190">
            <v>0</v>
          </cell>
          <cell r="G190">
            <v>317.21000000000004</v>
          </cell>
        </row>
        <row r="191">
          <cell r="A191">
            <v>20397408000156</v>
          </cell>
          <cell r="B191">
            <v>2419.2426333230133</v>
          </cell>
          <cell r="C191">
            <v>259.24</v>
          </cell>
          <cell r="D191">
            <v>0.10715750310828237</v>
          </cell>
          <cell r="E191">
            <v>0</v>
          </cell>
          <cell r="F191">
            <v>0</v>
          </cell>
          <cell r="G191">
            <v>0</v>
          </cell>
        </row>
        <row r="192">
          <cell r="A192">
            <v>18919955000102</v>
          </cell>
          <cell r="B192">
            <v>23533.860781039039</v>
          </cell>
          <cell r="C192">
            <v>11902.380000000001</v>
          </cell>
          <cell r="D192">
            <v>0.50575552013079006</v>
          </cell>
          <cell r="E192">
            <v>4565.8500000000004</v>
          </cell>
          <cell r="F192">
            <v>164.34000000000015</v>
          </cell>
          <cell r="G192">
            <v>4401.51</v>
          </cell>
        </row>
        <row r="193">
          <cell r="A193">
            <v>18919955000293</v>
          </cell>
          <cell r="B193">
            <v>6816.0045420352726</v>
          </cell>
          <cell r="C193">
            <v>1947.8600000000001</v>
          </cell>
          <cell r="D193">
            <v>0.28577739172373928</v>
          </cell>
          <cell r="E193">
            <v>0</v>
          </cell>
          <cell r="F193">
            <v>0</v>
          </cell>
          <cell r="G193">
            <v>0</v>
          </cell>
        </row>
        <row r="194">
          <cell r="A194">
            <v>24248641000128</v>
          </cell>
          <cell r="B194">
            <v>6079.9058437088743</v>
          </cell>
          <cell r="C194">
            <v>2513.96</v>
          </cell>
          <cell r="D194">
            <v>0.41348666650837967</v>
          </cell>
          <cell r="E194">
            <v>745.04</v>
          </cell>
          <cell r="F194">
            <v>0</v>
          </cell>
          <cell r="G194">
            <v>745.04</v>
          </cell>
        </row>
        <row r="195">
          <cell r="A195">
            <v>5113547000117</v>
          </cell>
          <cell r="B195">
            <v>9656.8574937672529</v>
          </cell>
          <cell r="C195">
            <v>4181.45</v>
          </cell>
          <cell r="D195">
            <v>0.43300317962637425</v>
          </cell>
          <cell r="E195">
            <v>3920.889999999999</v>
          </cell>
          <cell r="F195">
            <v>185.34999999999945</v>
          </cell>
          <cell r="G195">
            <v>3735.5399999999995</v>
          </cell>
        </row>
        <row r="196">
          <cell r="A196">
            <v>28760598000136</v>
          </cell>
          <cell r="B196">
            <v>3511.6412410848029</v>
          </cell>
          <cell r="C196">
            <v>2026.8699999999997</v>
          </cell>
          <cell r="D196">
            <v>0.57718595404519935</v>
          </cell>
          <cell r="E196">
            <v>395.15000000000003</v>
          </cell>
          <cell r="F196">
            <v>0</v>
          </cell>
          <cell r="G196">
            <v>395.15000000000003</v>
          </cell>
        </row>
        <row r="197">
          <cell r="A197">
            <v>9465779000195</v>
          </cell>
          <cell r="B197">
            <v>3294.2681733390068</v>
          </cell>
          <cell r="C197">
            <v>176.92000000000002</v>
          </cell>
          <cell r="D197">
            <v>5.3705403048798332E-2</v>
          </cell>
          <cell r="E197">
            <v>0</v>
          </cell>
          <cell r="F197">
            <v>0</v>
          </cell>
          <cell r="G197">
            <v>0</v>
          </cell>
        </row>
        <row r="198">
          <cell r="A198">
            <v>41677342000128</v>
          </cell>
          <cell r="B198">
            <v>2990.1799347728629</v>
          </cell>
          <cell r="C198">
            <v>759.51999999999987</v>
          </cell>
          <cell r="D198">
            <v>0.25400478117304126</v>
          </cell>
          <cell r="E198">
            <v>137.85</v>
          </cell>
          <cell r="F198">
            <v>0</v>
          </cell>
          <cell r="G198">
            <v>137.85</v>
          </cell>
        </row>
        <row r="199">
          <cell r="A199">
            <v>8967701000106</v>
          </cell>
          <cell r="B199">
            <v>2385.0235105481283</v>
          </cell>
          <cell r="C199">
            <v>1418.51</v>
          </cell>
          <cell r="D199">
            <v>0.59475723980347539</v>
          </cell>
          <cell r="E199">
            <v>488.13999999999993</v>
          </cell>
          <cell r="F199">
            <v>0</v>
          </cell>
          <cell r="G199">
            <v>488.13999999999993</v>
          </cell>
        </row>
        <row r="200">
          <cell r="A200">
            <v>22646643000140</v>
          </cell>
          <cell r="B200">
            <v>6980.0671972334358</v>
          </cell>
          <cell r="C200">
            <v>4271.3500000000004</v>
          </cell>
          <cell r="D200">
            <v>0.61193536957537586</v>
          </cell>
          <cell r="E200">
            <v>471.01</v>
          </cell>
          <cell r="F200">
            <v>0</v>
          </cell>
          <cell r="G200">
            <v>471.01</v>
          </cell>
        </row>
        <row r="201">
          <cell r="A201">
            <v>42917127000110</v>
          </cell>
          <cell r="B201">
            <v>992.55735333999985</v>
          </cell>
          <cell r="C201">
            <v>438.11999999999995</v>
          </cell>
          <cell r="D201">
            <v>0.44140522310948238</v>
          </cell>
          <cell r="E201">
            <v>177.54000000000002</v>
          </cell>
          <cell r="F201">
            <v>45.460000000000008</v>
          </cell>
          <cell r="G201">
            <v>132.08000000000001</v>
          </cell>
        </row>
        <row r="202">
          <cell r="A202">
            <v>10272710000124</v>
          </cell>
          <cell r="B202">
            <v>2327.5496009490444</v>
          </cell>
          <cell r="C202">
            <v>1221.08</v>
          </cell>
          <cell r="D202">
            <v>0.52462039885298761</v>
          </cell>
          <cell r="E202">
            <v>557.9</v>
          </cell>
          <cell r="F202">
            <v>0</v>
          </cell>
          <cell r="G202">
            <v>557.9</v>
          </cell>
        </row>
        <row r="203">
          <cell r="A203">
            <v>10779654000119</v>
          </cell>
          <cell r="B203">
            <v>3812.296547609486</v>
          </cell>
          <cell r="C203">
            <v>1177.4799999999998</v>
          </cell>
          <cell r="D203">
            <v>0.30886369549041059</v>
          </cell>
          <cell r="E203">
            <v>718.26</v>
          </cell>
          <cell r="F203">
            <v>0</v>
          </cell>
          <cell r="G203">
            <v>718.26</v>
          </cell>
        </row>
        <row r="204">
          <cell r="A204">
            <v>36886133000154</v>
          </cell>
          <cell r="B204">
            <v>6263.439003853583</v>
          </cell>
          <cell r="C204">
            <v>2076.81</v>
          </cell>
          <cell r="D204">
            <v>0.33157663046167479</v>
          </cell>
          <cell r="E204">
            <v>0</v>
          </cell>
          <cell r="F204">
            <v>0</v>
          </cell>
          <cell r="G204">
            <v>0</v>
          </cell>
        </row>
        <row r="205">
          <cell r="A205">
            <v>50038493000127</v>
          </cell>
          <cell r="B205">
            <v>5334.5720511806494</v>
          </cell>
          <cell r="C205">
            <v>2715.7</v>
          </cell>
          <cell r="D205">
            <v>0.50907551232698411</v>
          </cell>
          <cell r="E205">
            <v>2898.08</v>
          </cell>
          <cell r="F205">
            <v>122.7199999999998</v>
          </cell>
          <cell r="G205">
            <v>2775.36</v>
          </cell>
        </row>
        <row r="206">
          <cell r="A206">
            <v>33780608000135</v>
          </cell>
          <cell r="B206">
            <v>7404.956944185963</v>
          </cell>
          <cell r="C206">
            <v>4020.5000000000005</v>
          </cell>
          <cell r="D206">
            <v>0.54294711371100068</v>
          </cell>
          <cell r="E206">
            <v>3203.74</v>
          </cell>
          <cell r="F206">
            <v>0</v>
          </cell>
          <cell r="G206">
            <v>3203.74</v>
          </cell>
        </row>
        <row r="207">
          <cell r="A207">
            <v>34607195000154</v>
          </cell>
          <cell r="B207">
            <v>405.60370259641059</v>
          </cell>
          <cell r="C207">
            <v>224.92999999999998</v>
          </cell>
          <cell r="D207">
            <v>0.55455608161401071</v>
          </cell>
          <cell r="E207">
            <v>0</v>
          </cell>
          <cell r="F207">
            <v>0</v>
          </cell>
          <cell r="G207">
            <v>0</v>
          </cell>
        </row>
        <row r="208">
          <cell r="A208">
            <v>72834344000107</v>
          </cell>
          <cell r="B208">
            <v>3170.8069448376482</v>
          </cell>
          <cell r="C208">
            <v>1127.54</v>
          </cell>
          <cell r="D208">
            <v>0.35560033127710095</v>
          </cell>
          <cell r="E208">
            <v>466.34</v>
          </cell>
          <cell r="F208">
            <v>0</v>
          </cell>
          <cell r="G208">
            <v>466.34</v>
          </cell>
        </row>
        <row r="209">
          <cell r="A209">
            <v>1559060000101</v>
          </cell>
          <cell r="B209">
            <v>2403.0817177274002</v>
          </cell>
          <cell r="C209">
            <v>988.92000000000007</v>
          </cell>
          <cell r="D209">
            <v>0.4115215860970487</v>
          </cell>
          <cell r="E209">
            <v>453.49</v>
          </cell>
          <cell r="F209">
            <v>0</v>
          </cell>
          <cell r="G209">
            <v>453.49</v>
          </cell>
        </row>
        <row r="210">
          <cell r="A210">
            <v>5233140000123</v>
          </cell>
          <cell r="B210">
            <v>4857.7798578892225</v>
          </cell>
          <cell r="C210">
            <v>597.16000000000008</v>
          </cell>
          <cell r="D210">
            <v>0.12292858414120787</v>
          </cell>
          <cell r="E210">
            <v>0</v>
          </cell>
          <cell r="F210">
            <v>0</v>
          </cell>
          <cell r="G210">
            <v>0</v>
          </cell>
        </row>
        <row r="211">
          <cell r="A211">
            <v>4225403000190</v>
          </cell>
          <cell r="B211">
            <v>3876.0461901337449</v>
          </cell>
          <cell r="C211">
            <v>1680.93</v>
          </cell>
          <cell r="D211">
            <v>0.43367130254502945</v>
          </cell>
          <cell r="E211">
            <v>0</v>
          </cell>
          <cell r="F211">
            <v>0</v>
          </cell>
          <cell r="G211">
            <v>0</v>
          </cell>
        </row>
        <row r="212">
          <cell r="A212">
            <v>1996877000147</v>
          </cell>
          <cell r="B212">
            <v>1332.8522979641857</v>
          </cell>
          <cell r="C212">
            <v>330.65999999999997</v>
          </cell>
          <cell r="D212">
            <v>0.24808450306538388</v>
          </cell>
          <cell r="E212">
            <v>0</v>
          </cell>
          <cell r="F212">
            <v>0</v>
          </cell>
          <cell r="G212">
            <v>0</v>
          </cell>
        </row>
        <row r="213">
          <cell r="A213">
            <v>5340715000107</v>
          </cell>
          <cell r="B213">
            <v>10032.456674580577</v>
          </cell>
          <cell r="C213">
            <v>3639.7400000000002</v>
          </cell>
          <cell r="D213">
            <v>0.36279648326038405</v>
          </cell>
          <cell r="E213">
            <v>5125.67</v>
          </cell>
          <cell r="F213">
            <v>2384.87</v>
          </cell>
          <cell r="G213">
            <v>2740.8</v>
          </cell>
        </row>
        <row r="214">
          <cell r="A214">
            <v>58750720000154</v>
          </cell>
          <cell r="B214">
            <v>5673.4816686489112</v>
          </cell>
          <cell r="C214">
            <v>2707.9299999999994</v>
          </cell>
          <cell r="D214">
            <v>0.47729598122502942</v>
          </cell>
          <cell r="E214">
            <v>1896.3200000000002</v>
          </cell>
          <cell r="F214">
            <v>664.07999999999993</v>
          </cell>
          <cell r="G214">
            <v>1232.2400000000002</v>
          </cell>
        </row>
        <row r="215">
          <cell r="A215">
            <v>7556217000121</v>
          </cell>
          <cell r="B215">
            <v>5114.3368165905786</v>
          </cell>
          <cell r="C215">
            <v>3088.2399999999989</v>
          </cell>
          <cell r="D215">
            <v>0.60383977644607756</v>
          </cell>
          <cell r="E215">
            <v>420.36</v>
          </cell>
          <cell r="F215">
            <v>0</v>
          </cell>
          <cell r="G215">
            <v>420.36</v>
          </cell>
        </row>
        <row r="216">
          <cell r="A216">
            <v>2635097000134</v>
          </cell>
          <cell r="B216">
            <v>10914.994289996437</v>
          </cell>
          <cell r="C216">
            <v>4416.4600000000009</v>
          </cell>
          <cell r="D216">
            <v>0.4046232075492403</v>
          </cell>
          <cell r="E216">
            <v>4257.9100000000008</v>
          </cell>
          <cell r="F216">
            <v>644.7800000000002</v>
          </cell>
          <cell r="G216">
            <v>3613.1300000000006</v>
          </cell>
        </row>
        <row r="217">
          <cell r="A217">
            <v>4336468000102</v>
          </cell>
          <cell r="B217">
            <v>3881.6137178240961</v>
          </cell>
          <cell r="C217">
            <v>1649.6700000000003</v>
          </cell>
          <cell r="D217">
            <v>0.42499592177985979</v>
          </cell>
          <cell r="E217">
            <v>1026.69</v>
          </cell>
          <cell r="F217">
            <v>58.549999999999955</v>
          </cell>
          <cell r="G217">
            <v>968.1400000000001</v>
          </cell>
        </row>
        <row r="218">
          <cell r="A218">
            <v>5088829000101</v>
          </cell>
          <cell r="B218">
            <v>12966.05016092217</v>
          </cell>
          <cell r="C218">
            <v>4319.08</v>
          </cell>
          <cell r="D218">
            <v>0.33310684027870663</v>
          </cell>
          <cell r="E218">
            <v>2339.48</v>
          </cell>
          <cell r="F218">
            <v>158.32000000000016</v>
          </cell>
          <cell r="G218">
            <v>2181.16</v>
          </cell>
        </row>
        <row r="219">
          <cell r="A219">
            <v>8298153000179</v>
          </cell>
          <cell r="B219">
            <v>1343.4458856421841</v>
          </cell>
          <cell r="C219">
            <v>767.24999999999989</v>
          </cell>
          <cell r="D219">
            <v>0.57110599555950459</v>
          </cell>
          <cell r="E219">
            <v>524.75000000000011</v>
          </cell>
          <cell r="F219">
            <v>0</v>
          </cell>
          <cell r="G219">
            <v>524.75000000000011</v>
          </cell>
        </row>
        <row r="220">
          <cell r="A220">
            <v>7496421000102</v>
          </cell>
          <cell r="B220">
            <v>2071.45686641372</v>
          </cell>
          <cell r="C220">
            <v>770.57999999999993</v>
          </cell>
          <cell r="D220">
            <v>0.37199905655486454</v>
          </cell>
          <cell r="E220">
            <v>0</v>
          </cell>
          <cell r="F220">
            <v>0</v>
          </cell>
          <cell r="G220">
            <v>0</v>
          </cell>
        </row>
        <row r="221">
          <cell r="A221">
            <v>26609370000114</v>
          </cell>
          <cell r="B221">
            <v>568.66951488794348</v>
          </cell>
          <cell r="C221">
            <v>251.81999999999996</v>
          </cell>
          <cell r="D221">
            <v>0.4428231044697748</v>
          </cell>
          <cell r="E221">
            <v>0</v>
          </cell>
          <cell r="F221">
            <v>0</v>
          </cell>
          <cell r="G221">
            <v>0</v>
          </cell>
        </row>
        <row r="222">
          <cell r="A222">
            <v>7272090000119</v>
          </cell>
          <cell r="B222">
            <v>1783.5504166971753</v>
          </cell>
          <cell r="C222">
            <v>1066.1400000000001</v>
          </cell>
          <cell r="D222">
            <v>0.59776274896355641</v>
          </cell>
          <cell r="E222">
            <v>0</v>
          </cell>
          <cell r="F222">
            <v>0</v>
          </cell>
          <cell r="G222">
            <v>0</v>
          </cell>
        </row>
        <row r="223">
          <cell r="A223">
            <v>4077499000196</v>
          </cell>
          <cell r="B223">
            <v>3720.5273147585904</v>
          </cell>
          <cell r="C223">
            <v>125.2</v>
          </cell>
          <cell r="D223">
            <v>3.3651143885802572E-2</v>
          </cell>
          <cell r="E223">
            <v>0</v>
          </cell>
          <cell r="F223">
            <v>0</v>
          </cell>
          <cell r="G223">
            <v>0</v>
          </cell>
        </row>
        <row r="224">
          <cell r="A224">
            <v>932885000167</v>
          </cell>
          <cell r="B224">
            <v>7962.883797188123</v>
          </cell>
          <cell r="C224">
            <v>5794.2800000000016</v>
          </cell>
          <cell r="D224">
            <v>0.72766100166450942</v>
          </cell>
          <cell r="E224">
            <v>5214.2800000000007</v>
          </cell>
          <cell r="F224">
            <v>184.44000000000051</v>
          </cell>
          <cell r="G224">
            <v>5029.84</v>
          </cell>
        </row>
        <row r="225">
          <cell r="A225">
            <v>9033695000182</v>
          </cell>
          <cell r="B225">
            <v>7135.7448196380137</v>
          </cell>
          <cell r="C225">
            <v>353.53000000000003</v>
          </cell>
          <cell r="D225">
            <v>4.9543531745566839E-2</v>
          </cell>
          <cell r="E225">
            <v>0</v>
          </cell>
          <cell r="F225">
            <v>0</v>
          </cell>
          <cell r="G225">
            <v>0</v>
          </cell>
        </row>
        <row r="226">
          <cell r="A226">
            <v>26851782000166</v>
          </cell>
          <cell r="B226">
            <v>1882.8532025039988</v>
          </cell>
          <cell r="C226">
            <v>1204.8499999999999</v>
          </cell>
          <cell r="D226">
            <v>0.63990649849795767</v>
          </cell>
          <cell r="E226">
            <v>0</v>
          </cell>
          <cell r="F226">
            <v>0</v>
          </cell>
          <cell r="G226">
            <v>0</v>
          </cell>
        </row>
        <row r="227">
          <cell r="A227">
            <v>4597961000186</v>
          </cell>
          <cell r="B227">
            <v>9391.6583531733449</v>
          </cell>
          <cell r="C227">
            <v>5930.2699999999986</v>
          </cell>
          <cell r="D227">
            <v>0.63144013304063829</v>
          </cell>
          <cell r="E227">
            <v>3762.8300000000004</v>
          </cell>
          <cell r="F227">
            <v>0</v>
          </cell>
          <cell r="G227">
            <v>3762.8300000000004</v>
          </cell>
        </row>
        <row r="228">
          <cell r="A228">
            <v>67943415000170</v>
          </cell>
          <cell r="B228">
            <v>1821.0399323943204</v>
          </cell>
          <cell r="C228">
            <v>717.8900000000001</v>
          </cell>
          <cell r="D228">
            <v>0.39421980113094585</v>
          </cell>
          <cell r="E228">
            <v>0</v>
          </cell>
          <cell r="F228">
            <v>0</v>
          </cell>
          <cell r="G228">
            <v>0</v>
          </cell>
        </row>
        <row r="229">
          <cell r="A229">
            <v>4344448000183</v>
          </cell>
          <cell r="B229">
            <v>11528.186705701577</v>
          </cell>
          <cell r="C229">
            <v>4193.0600000000004</v>
          </cell>
          <cell r="D229">
            <v>0.36372242287906464</v>
          </cell>
          <cell r="E229">
            <v>0</v>
          </cell>
          <cell r="F229">
            <v>0</v>
          </cell>
          <cell r="G229">
            <v>0</v>
          </cell>
        </row>
        <row r="230">
          <cell r="A230">
            <v>4986853000103</v>
          </cell>
          <cell r="B230">
            <v>8738.3192874714314</v>
          </cell>
          <cell r="C230">
            <v>5144.8899999999994</v>
          </cell>
          <cell r="D230">
            <v>0.58877340490138508</v>
          </cell>
          <cell r="E230">
            <v>0</v>
          </cell>
          <cell r="F230">
            <v>0</v>
          </cell>
          <cell r="G230">
            <v>0</v>
          </cell>
        </row>
        <row r="231">
          <cell r="A231">
            <v>3141355000199</v>
          </cell>
          <cell r="B231">
            <v>938.51789230651866</v>
          </cell>
          <cell r="C231">
            <v>1077.31</v>
          </cell>
          <cell r="D231">
            <v>1.1478843491756809</v>
          </cell>
          <cell r="E231">
            <v>0</v>
          </cell>
          <cell r="F231">
            <v>0</v>
          </cell>
          <cell r="G231">
            <v>0</v>
          </cell>
        </row>
        <row r="232">
          <cell r="A232">
            <v>55323943000147</v>
          </cell>
          <cell r="B232">
            <v>3266.3943942087544</v>
          </cell>
          <cell r="C232">
            <v>1433.9200000000003</v>
          </cell>
          <cell r="D232">
            <v>0.438991691432703</v>
          </cell>
          <cell r="E232">
            <v>283.24</v>
          </cell>
          <cell r="F232">
            <v>0</v>
          </cell>
          <cell r="G232">
            <v>283.24</v>
          </cell>
        </row>
        <row r="233">
          <cell r="A233">
            <v>388531000101</v>
          </cell>
          <cell r="B233">
            <v>3373.594799286484</v>
          </cell>
          <cell r="C233">
            <v>2545.0500000000002</v>
          </cell>
          <cell r="D233">
            <v>0.75440298892394508</v>
          </cell>
          <cell r="E233">
            <v>0</v>
          </cell>
          <cell r="F233">
            <v>0</v>
          </cell>
          <cell r="G233">
            <v>0</v>
          </cell>
        </row>
        <row r="234">
          <cell r="A234">
            <v>3377845000199</v>
          </cell>
          <cell r="B234">
            <v>15131.227902875989</v>
          </cell>
          <cell r="C234">
            <v>7413.49</v>
          </cell>
          <cell r="D234">
            <v>0.48994635779631074</v>
          </cell>
          <cell r="E234">
            <v>518.91000000000008</v>
          </cell>
          <cell r="F234">
            <v>0</v>
          </cell>
          <cell r="G234">
            <v>518.91000000000008</v>
          </cell>
        </row>
        <row r="235">
          <cell r="A235">
            <v>1897271000154</v>
          </cell>
          <cell r="B235">
            <v>3915.5795682360081</v>
          </cell>
          <cell r="C235">
            <v>1258.5700000000002</v>
          </cell>
          <cell r="D235">
            <v>0.32142623539303877</v>
          </cell>
          <cell r="E235">
            <v>0</v>
          </cell>
          <cell r="F235">
            <v>0</v>
          </cell>
          <cell r="G235">
            <v>0</v>
          </cell>
        </row>
        <row r="236">
          <cell r="A236">
            <v>1719283000199</v>
          </cell>
          <cell r="B236">
            <v>3787.5702169322594</v>
          </cell>
          <cell r="C236">
            <v>1307.22</v>
          </cell>
          <cell r="D236">
            <v>0.34513419557374758</v>
          </cell>
          <cell r="E236">
            <v>0</v>
          </cell>
          <cell r="F236">
            <v>0</v>
          </cell>
          <cell r="G236">
            <v>0</v>
          </cell>
        </row>
        <row r="237">
          <cell r="A237">
            <v>7434377000106</v>
          </cell>
          <cell r="B237">
            <v>8112.6960349424635</v>
          </cell>
          <cell r="C237">
            <v>3536.2599999999998</v>
          </cell>
          <cell r="D237">
            <v>0.43589208627672682</v>
          </cell>
          <cell r="E237">
            <v>2500.7099999999996</v>
          </cell>
          <cell r="F237">
            <v>135.22000000000025</v>
          </cell>
          <cell r="G237">
            <v>2365.4899999999993</v>
          </cell>
        </row>
        <row r="238">
          <cell r="A238">
            <v>5528457000197</v>
          </cell>
          <cell r="B238">
            <v>1675.0776460600928</v>
          </cell>
          <cell r="C238">
            <v>1165.1500000000001</v>
          </cell>
          <cell r="D238">
            <v>0.69557969610574144</v>
          </cell>
          <cell r="E238">
            <v>0</v>
          </cell>
          <cell r="F238">
            <v>0</v>
          </cell>
          <cell r="G238">
            <v>0</v>
          </cell>
        </row>
        <row r="239">
          <cell r="A239">
            <v>15532062000111</v>
          </cell>
          <cell r="B239">
            <v>14881.183312151605</v>
          </cell>
          <cell r="C239">
            <v>7910.8199999999979</v>
          </cell>
          <cell r="D239">
            <v>0.53159885434246479</v>
          </cell>
          <cell r="E239">
            <v>536.42999999999995</v>
          </cell>
          <cell r="F239">
            <v>258.11999999999995</v>
          </cell>
          <cell r="G239">
            <v>278.31</v>
          </cell>
        </row>
        <row r="240">
          <cell r="A240">
            <v>8821476000103</v>
          </cell>
          <cell r="B240">
            <v>4152.3570436110804</v>
          </cell>
          <cell r="C240">
            <v>2308.0299999999997</v>
          </cell>
          <cell r="D240">
            <v>0.55583611326275328</v>
          </cell>
          <cell r="E240">
            <v>969.15999999999985</v>
          </cell>
          <cell r="F240">
            <v>24.949999999999932</v>
          </cell>
          <cell r="G240">
            <v>944.20999999999992</v>
          </cell>
        </row>
        <row r="241">
          <cell r="A241">
            <v>13304645000160</v>
          </cell>
          <cell r="B241">
            <v>729.94388309502722</v>
          </cell>
          <cell r="C241">
            <v>757.57000000000016</v>
          </cell>
          <cell r="D241">
            <v>1.0378469051454144</v>
          </cell>
          <cell r="E241">
            <v>391.96000000000004</v>
          </cell>
          <cell r="F241">
            <v>0</v>
          </cell>
          <cell r="G241">
            <v>391.96000000000004</v>
          </cell>
        </row>
        <row r="242">
          <cell r="A242">
            <v>32338157000118</v>
          </cell>
          <cell r="B242">
            <v>1062.2899959688432</v>
          </cell>
          <cell r="C242">
            <v>435.01000000000005</v>
          </cell>
          <cell r="D242">
            <v>0.4095021149128461</v>
          </cell>
          <cell r="E242">
            <v>0</v>
          </cell>
          <cell r="F242">
            <v>0</v>
          </cell>
          <cell r="G242">
            <v>0</v>
          </cell>
        </row>
        <row r="243">
          <cell r="A243">
            <v>9642282000103</v>
          </cell>
          <cell r="B243">
            <v>2142.6724237211588</v>
          </cell>
          <cell r="C243">
            <v>1300</v>
          </cell>
          <cell r="D243">
            <v>0.60671896721492424</v>
          </cell>
          <cell r="E243">
            <v>715.55</v>
          </cell>
          <cell r="F243">
            <v>0</v>
          </cell>
          <cell r="G243">
            <v>715.55</v>
          </cell>
        </row>
        <row r="244">
          <cell r="A244">
            <v>34508395000150</v>
          </cell>
          <cell r="B244">
            <v>633.22358096077608</v>
          </cell>
          <cell r="C244">
            <v>314.58999999999997</v>
          </cell>
          <cell r="D244">
            <v>0.4968071459415323</v>
          </cell>
          <cell r="E244">
            <v>0</v>
          </cell>
          <cell r="F244">
            <v>0</v>
          </cell>
          <cell r="G244">
            <v>0</v>
          </cell>
        </row>
        <row r="245">
          <cell r="A245">
            <v>19325814000124</v>
          </cell>
          <cell r="B245">
            <v>42.23541285331055</v>
          </cell>
          <cell r="C245">
            <v>32.32</v>
          </cell>
          <cell r="D245">
            <v>0.76523461750573729</v>
          </cell>
          <cell r="E245">
            <v>0</v>
          </cell>
          <cell r="F245">
            <v>0</v>
          </cell>
          <cell r="G245">
            <v>0</v>
          </cell>
        </row>
        <row r="246">
          <cell r="A246">
            <v>25064025000180</v>
          </cell>
          <cell r="B246">
            <v>7790.4604352144661</v>
          </cell>
          <cell r="C246">
            <v>4108.130000000001</v>
          </cell>
          <cell r="D246">
            <v>0.52732826694432822</v>
          </cell>
          <cell r="E246">
            <v>5249.8600000000006</v>
          </cell>
          <cell r="F246">
            <v>64.799999999999272</v>
          </cell>
          <cell r="G246">
            <v>5185.0600000000013</v>
          </cell>
        </row>
        <row r="247">
          <cell r="A247">
            <v>2486244000151</v>
          </cell>
          <cell r="B247">
            <v>1264.3495935857127</v>
          </cell>
          <cell r="C247">
            <v>1070</v>
          </cell>
          <cell r="D247">
            <v>0.84628492422373891</v>
          </cell>
          <cell r="E247">
            <v>0</v>
          </cell>
          <cell r="F247">
            <v>0</v>
          </cell>
          <cell r="G247">
            <v>0</v>
          </cell>
        </row>
        <row r="248">
          <cell r="A248">
            <v>31509807000188</v>
          </cell>
          <cell r="B248">
            <v>1637.7658392065018</v>
          </cell>
          <cell r="C248">
            <v>3275.68</v>
          </cell>
          <cell r="D248">
            <v>2.0000905633659256</v>
          </cell>
          <cell r="E248">
            <v>2144.35</v>
          </cell>
          <cell r="F248">
            <v>0</v>
          </cell>
          <cell r="G248">
            <v>2144.35</v>
          </cell>
        </row>
        <row r="249">
          <cell r="A249">
            <v>40190327000198</v>
          </cell>
          <cell r="B249">
            <v>1300.890489656646</v>
          </cell>
          <cell r="C249">
            <v>210.8</v>
          </cell>
          <cell r="D249">
            <v>0.16204284809218497</v>
          </cell>
          <cell r="E249">
            <v>0</v>
          </cell>
          <cell r="F249">
            <v>0</v>
          </cell>
          <cell r="G249">
            <v>0</v>
          </cell>
        </row>
        <row r="250">
          <cell r="A250">
            <v>62510454000160</v>
          </cell>
          <cell r="B250">
            <v>2459.3534645815007</v>
          </cell>
          <cell r="C250">
            <v>1394.24</v>
          </cell>
          <cell r="D250">
            <v>0.56691322336508987</v>
          </cell>
          <cell r="E250">
            <v>0</v>
          </cell>
          <cell r="F250">
            <v>0</v>
          </cell>
          <cell r="G250">
            <v>0</v>
          </cell>
        </row>
        <row r="251">
          <cell r="A251">
            <v>2553791000102</v>
          </cell>
          <cell r="B251">
            <v>3241.2793998351722</v>
          </cell>
          <cell r="C251">
            <v>1941.95</v>
          </cell>
          <cell r="D251">
            <v>0.59913070132082824</v>
          </cell>
          <cell r="E251">
            <v>0</v>
          </cell>
          <cell r="F251">
            <v>0</v>
          </cell>
          <cell r="G251">
            <v>0</v>
          </cell>
        </row>
        <row r="252">
          <cell r="A252">
            <v>19955526000153</v>
          </cell>
          <cell r="B252">
            <v>2893.7092830816209</v>
          </cell>
          <cell r="C252">
            <v>1111.25</v>
          </cell>
          <cell r="D252">
            <v>0.3840226820631365</v>
          </cell>
          <cell r="E252">
            <v>35.96</v>
          </cell>
          <cell r="F252">
            <v>0</v>
          </cell>
          <cell r="G252">
            <v>35.96</v>
          </cell>
        </row>
        <row r="253">
          <cell r="A253">
            <v>11058284000193</v>
          </cell>
          <cell r="B253">
            <v>5414.564646441997</v>
          </cell>
          <cell r="C253">
            <v>2793.0200000000004</v>
          </cell>
          <cell r="D253">
            <v>0.51583463904809812</v>
          </cell>
          <cell r="E253">
            <v>0</v>
          </cell>
          <cell r="F253">
            <v>0</v>
          </cell>
          <cell r="G253">
            <v>0</v>
          </cell>
        </row>
        <row r="254">
          <cell r="A254">
            <v>1189590000105</v>
          </cell>
          <cell r="B254">
            <v>6105.1419757076228</v>
          </cell>
          <cell r="C254">
            <v>4988.66</v>
          </cell>
          <cell r="D254">
            <v>0.81712432239084565</v>
          </cell>
          <cell r="E254">
            <v>2471.0800000000004</v>
          </cell>
          <cell r="F254">
            <v>0</v>
          </cell>
          <cell r="G254">
            <v>2471.0800000000004</v>
          </cell>
        </row>
        <row r="255">
          <cell r="A255">
            <v>5006001000167</v>
          </cell>
          <cell r="B255">
            <v>9881.7755677287405</v>
          </cell>
          <cell r="C255">
            <v>5676.27</v>
          </cell>
          <cell r="D255">
            <v>0.57441802448308921</v>
          </cell>
          <cell r="E255">
            <v>0</v>
          </cell>
          <cell r="F255">
            <v>0</v>
          </cell>
          <cell r="G255">
            <v>0</v>
          </cell>
        </row>
        <row r="256">
          <cell r="A256">
            <v>14699069000160</v>
          </cell>
          <cell r="B256">
            <v>1268.769535352943</v>
          </cell>
          <cell r="C256">
            <v>1286.9899999999998</v>
          </cell>
          <cell r="D256">
            <v>1.0143607362403988</v>
          </cell>
          <cell r="E256">
            <v>1076.44</v>
          </cell>
          <cell r="F256">
            <v>0</v>
          </cell>
          <cell r="G256">
            <v>1076.44</v>
          </cell>
        </row>
        <row r="257">
          <cell r="A257">
            <v>53257815000117</v>
          </cell>
          <cell r="B257">
            <v>1224.6408624314283</v>
          </cell>
          <cell r="C257">
            <v>508.59999999999997</v>
          </cell>
          <cell r="D257">
            <v>0.41530543002641163</v>
          </cell>
          <cell r="E257">
            <v>92.77</v>
          </cell>
          <cell r="F257">
            <v>92.77</v>
          </cell>
          <cell r="G257">
            <v>0</v>
          </cell>
        </row>
        <row r="258">
          <cell r="A258">
            <v>32062591000118</v>
          </cell>
          <cell r="B258">
            <v>1359.7775355074191</v>
          </cell>
          <cell r="C258">
            <v>852.77</v>
          </cell>
          <cell r="D258">
            <v>0.62713935017449562</v>
          </cell>
          <cell r="E258">
            <v>0</v>
          </cell>
          <cell r="F258">
            <v>0</v>
          </cell>
          <cell r="G258">
            <v>0</v>
          </cell>
        </row>
        <row r="259">
          <cell r="A259">
            <v>37836714000144</v>
          </cell>
          <cell r="B259">
            <v>7131.5040313877262</v>
          </cell>
          <cell r="C259">
            <v>4012.9000000000005</v>
          </cell>
          <cell r="D259">
            <v>0.56270037601298617</v>
          </cell>
          <cell r="E259">
            <v>712.8</v>
          </cell>
          <cell r="F259">
            <v>0</v>
          </cell>
          <cell r="G259">
            <v>712.8</v>
          </cell>
        </row>
        <row r="260">
          <cell r="A260">
            <v>32266459000128</v>
          </cell>
          <cell r="B260">
            <v>8197.0514421515018</v>
          </cell>
          <cell r="C260">
            <v>5619.6500000000005</v>
          </cell>
          <cell r="D260">
            <v>0.68556968803467655</v>
          </cell>
          <cell r="E260">
            <v>4737.8100000000004</v>
          </cell>
          <cell r="F260">
            <v>0</v>
          </cell>
          <cell r="G260">
            <v>4737.8100000000004</v>
          </cell>
        </row>
        <row r="261">
          <cell r="A261">
            <v>37447212000121</v>
          </cell>
          <cell r="B261">
            <v>3003.133128997004</v>
          </cell>
          <cell r="C261">
            <v>1136.45</v>
          </cell>
          <cell r="D261">
            <v>0.37842145225828044</v>
          </cell>
          <cell r="E261">
            <v>0</v>
          </cell>
          <cell r="F261">
            <v>0</v>
          </cell>
          <cell r="G261">
            <v>0</v>
          </cell>
        </row>
        <row r="262">
          <cell r="A262">
            <v>30960236000130</v>
          </cell>
          <cell r="B262">
            <v>3288.3094681418461</v>
          </cell>
          <cell r="C262">
            <v>1928.4000000000003</v>
          </cell>
          <cell r="D262">
            <v>0.58644115424139143</v>
          </cell>
          <cell r="E262">
            <v>451.95000000000005</v>
          </cell>
          <cell r="F262">
            <v>0</v>
          </cell>
          <cell r="G262">
            <v>451.95000000000005</v>
          </cell>
        </row>
        <row r="263">
          <cell r="A263">
            <v>40584253000174</v>
          </cell>
          <cell r="B263">
            <v>3412.3832869686507</v>
          </cell>
          <cell r="C263">
            <v>1504.67</v>
          </cell>
          <cell r="D263">
            <v>0.44094401872910804</v>
          </cell>
          <cell r="E263">
            <v>2020.5399999999995</v>
          </cell>
          <cell r="F263">
            <v>833.63999999999965</v>
          </cell>
          <cell r="G263">
            <v>1186.8999999999999</v>
          </cell>
        </row>
        <row r="264">
          <cell r="A264">
            <v>11119143000133</v>
          </cell>
          <cell r="B264">
            <v>2218.5139648585409</v>
          </cell>
          <cell r="C264">
            <v>1340.33</v>
          </cell>
          <cell r="D264">
            <v>0.60415666578211658</v>
          </cell>
          <cell r="E264">
            <v>0</v>
          </cell>
          <cell r="F264">
            <v>0</v>
          </cell>
          <cell r="G264">
            <v>0</v>
          </cell>
        </row>
        <row r="265">
          <cell r="A265">
            <v>2462665000142</v>
          </cell>
          <cell r="B265">
            <v>9490.1425523551898</v>
          </cell>
          <cell r="C265">
            <v>3448.51</v>
          </cell>
          <cell r="D265">
            <v>0.36337810322397907</v>
          </cell>
          <cell r="E265">
            <v>1689.86</v>
          </cell>
          <cell r="F265">
            <v>0</v>
          </cell>
          <cell r="G265">
            <v>1689.86</v>
          </cell>
        </row>
        <row r="266">
          <cell r="A266">
            <v>35976688000124</v>
          </cell>
          <cell r="B266">
            <v>1846.9604656784461</v>
          </cell>
          <cell r="C266">
            <v>1255.69</v>
          </cell>
          <cell r="D266">
            <v>0.67986836932037198</v>
          </cell>
          <cell r="E266">
            <v>137.85</v>
          </cell>
          <cell r="F266">
            <v>0</v>
          </cell>
          <cell r="G266">
            <v>137.85</v>
          </cell>
        </row>
        <row r="267">
          <cell r="A267">
            <v>11453021000189</v>
          </cell>
          <cell r="B267">
            <v>1911.6050004139458</v>
          </cell>
          <cell r="C267">
            <v>1342.77</v>
          </cell>
          <cell r="D267">
            <v>0.70243067982623597</v>
          </cell>
          <cell r="E267">
            <v>0</v>
          </cell>
          <cell r="F267">
            <v>0</v>
          </cell>
          <cell r="G267">
            <v>0</v>
          </cell>
        </row>
        <row r="268">
          <cell r="A268">
            <v>9137352000168</v>
          </cell>
          <cell r="B268">
            <v>151.31757555855862</v>
          </cell>
          <cell r="C268">
            <v>0</v>
          </cell>
          <cell r="D268">
            <v>0</v>
          </cell>
          <cell r="E268">
            <v>0</v>
          </cell>
          <cell r="F268">
            <v>0</v>
          </cell>
          <cell r="G268">
            <v>0</v>
          </cell>
        </row>
        <row r="269">
          <cell r="A269">
            <v>36883544000196</v>
          </cell>
          <cell r="B269">
            <v>8427.9918123484185</v>
          </cell>
          <cell r="C269">
            <v>1843.3799999999999</v>
          </cell>
          <cell r="D269">
            <v>0.21872114271624465</v>
          </cell>
          <cell r="E269">
            <v>0</v>
          </cell>
          <cell r="F269">
            <v>0</v>
          </cell>
          <cell r="G269">
            <v>0</v>
          </cell>
        </row>
        <row r="270">
          <cell r="A270">
            <v>27899501000108</v>
          </cell>
          <cell r="B270">
            <v>1885.4224946877728</v>
          </cell>
          <cell r="C270">
            <v>1097.47</v>
          </cell>
          <cell r="D270">
            <v>0.58208173663576757</v>
          </cell>
          <cell r="E270">
            <v>0</v>
          </cell>
          <cell r="F270">
            <v>0</v>
          </cell>
          <cell r="G270">
            <v>0</v>
          </cell>
        </row>
        <row r="271">
          <cell r="A271">
            <v>55284053000173</v>
          </cell>
          <cell r="B271">
            <v>13628.538399186076</v>
          </cell>
          <cell r="C271">
            <v>9237.5700000000015</v>
          </cell>
          <cell r="D271">
            <v>0.67781076219821834</v>
          </cell>
          <cell r="E271">
            <v>6283.0300000000016</v>
          </cell>
          <cell r="F271">
            <v>194.22000000000116</v>
          </cell>
          <cell r="G271">
            <v>6088.81</v>
          </cell>
        </row>
        <row r="272">
          <cell r="A272">
            <v>16022063000189</v>
          </cell>
          <cell r="B272">
            <v>1543.9521425716241</v>
          </cell>
          <cell r="C272">
            <v>1166.6400000000001</v>
          </cell>
          <cell r="D272">
            <v>0.75561927590374101</v>
          </cell>
          <cell r="E272">
            <v>357.24</v>
          </cell>
          <cell r="F272">
            <v>0</v>
          </cell>
          <cell r="G272">
            <v>357.24</v>
          </cell>
        </row>
        <row r="273">
          <cell r="A273">
            <v>33156596000172</v>
          </cell>
          <cell r="B273">
            <v>3412.4468953404275</v>
          </cell>
          <cell r="C273">
            <v>539.54</v>
          </cell>
          <cell r="D273">
            <v>0.15810942017492557</v>
          </cell>
          <cell r="E273">
            <v>0</v>
          </cell>
          <cell r="F273">
            <v>0</v>
          </cell>
          <cell r="G273">
            <v>0</v>
          </cell>
        </row>
        <row r="274">
          <cell r="A274">
            <v>35652065000104</v>
          </cell>
          <cell r="B274">
            <v>294.21825439516203</v>
          </cell>
          <cell r="C274">
            <v>0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</row>
        <row r="275">
          <cell r="A275">
            <v>43963049000152</v>
          </cell>
          <cell r="B275">
            <v>3123.8607713471265</v>
          </cell>
          <cell r="C275">
            <v>999</v>
          </cell>
          <cell r="D275">
            <v>0.31979658285769041</v>
          </cell>
          <cell r="E275">
            <v>1253.6899999999998</v>
          </cell>
          <cell r="F275">
            <v>0</v>
          </cell>
          <cell r="G275">
            <v>1253.6899999999998</v>
          </cell>
        </row>
        <row r="276">
          <cell r="A276">
            <v>1335144000161</v>
          </cell>
          <cell r="B276">
            <v>1091.6200079728317</v>
          </cell>
          <cell r="C276">
            <v>1106.99</v>
          </cell>
          <cell r="D276">
            <v>1.0140799837992258</v>
          </cell>
          <cell r="E276">
            <v>0</v>
          </cell>
          <cell r="F276">
            <v>0</v>
          </cell>
          <cell r="G276">
            <v>0</v>
          </cell>
        </row>
        <row r="277">
          <cell r="A277">
            <v>7217112000229</v>
          </cell>
          <cell r="B277">
            <v>3872.4683115254188</v>
          </cell>
          <cell r="C277">
            <v>405.03000000000003</v>
          </cell>
          <cell r="D277">
            <v>0.1045922051303896</v>
          </cell>
          <cell r="E277">
            <v>158.22</v>
          </cell>
          <cell r="F277">
            <v>0</v>
          </cell>
          <cell r="G277">
            <v>158.22</v>
          </cell>
        </row>
        <row r="278">
          <cell r="A278">
            <v>65937282000101</v>
          </cell>
          <cell r="B278">
            <v>483.41102469567358</v>
          </cell>
          <cell r="C278">
            <v>491.94</v>
          </cell>
          <cell r="D278">
            <v>1.0176433198016031</v>
          </cell>
          <cell r="E278">
            <v>441.17</v>
          </cell>
          <cell r="F278">
            <v>0</v>
          </cell>
          <cell r="G278">
            <v>441.17</v>
          </cell>
        </row>
        <row r="279">
          <cell r="A279">
            <v>10698745000120</v>
          </cell>
          <cell r="B279">
            <v>3847.6724072764073</v>
          </cell>
          <cell r="C279">
            <v>1533.19</v>
          </cell>
          <cell r="D279">
            <v>0.39847207290843029</v>
          </cell>
          <cell r="E279">
            <v>0</v>
          </cell>
          <cell r="F279">
            <v>0</v>
          </cell>
          <cell r="G279">
            <v>0</v>
          </cell>
        </row>
        <row r="280">
          <cell r="A280">
            <v>1069181000175</v>
          </cell>
          <cell r="B280">
            <v>393.16066964743146</v>
          </cell>
          <cell r="C280">
            <v>0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</row>
        <row r="281">
          <cell r="A281">
            <v>1323294000155</v>
          </cell>
          <cell r="B281">
            <v>394.77598910324224</v>
          </cell>
          <cell r="C281">
            <v>0</v>
          </cell>
          <cell r="D281">
            <v>0</v>
          </cell>
          <cell r="E281">
            <v>0</v>
          </cell>
          <cell r="F281">
            <v>0</v>
          </cell>
          <cell r="G281">
            <v>0</v>
          </cell>
        </row>
        <row r="282">
          <cell r="A282">
            <v>54288141000180</v>
          </cell>
          <cell r="B282">
            <v>6187.3721267756782</v>
          </cell>
          <cell r="C282">
            <v>2424.8300000000008</v>
          </cell>
          <cell r="D282">
            <v>0.39189981632212123</v>
          </cell>
          <cell r="E282">
            <v>982.8</v>
          </cell>
          <cell r="F282">
            <v>71.309999999999945</v>
          </cell>
          <cell r="G282">
            <v>911.49</v>
          </cell>
        </row>
        <row r="283">
          <cell r="A283">
            <v>1053206000142</v>
          </cell>
          <cell r="B283">
            <v>7103.971283841046</v>
          </cell>
          <cell r="C283">
            <v>1916.8400000000001</v>
          </cell>
          <cell r="D283">
            <v>0.26982654115735444</v>
          </cell>
          <cell r="E283">
            <v>1395.47</v>
          </cell>
          <cell r="F283">
            <v>109.08000000000015</v>
          </cell>
          <cell r="G283">
            <v>1286.3899999999999</v>
          </cell>
        </row>
        <row r="284">
          <cell r="A284">
            <v>1856884000143</v>
          </cell>
          <cell r="B284">
            <v>3960.629903817819</v>
          </cell>
          <cell r="C284">
            <v>2416.6799999999998</v>
          </cell>
          <cell r="D284">
            <v>0.61017566869109874</v>
          </cell>
          <cell r="E284">
            <v>920.79000000000008</v>
          </cell>
          <cell r="F284">
            <v>0</v>
          </cell>
          <cell r="G284">
            <v>920.79000000000008</v>
          </cell>
        </row>
        <row r="285">
          <cell r="A285">
            <v>15433090000181</v>
          </cell>
          <cell r="B285">
            <v>967.85688234480256</v>
          </cell>
          <cell r="C285">
            <v>95.47</v>
          </cell>
          <cell r="D285">
            <v>9.8640616956411187E-2</v>
          </cell>
          <cell r="E285">
            <v>0</v>
          </cell>
          <cell r="F285">
            <v>0</v>
          </cell>
          <cell r="G285">
            <v>0</v>
          </cell>
        </row>
        <row r="286">
          <cell r="A286">
            <v>63102694000198</v>
          </cell>
          <cell r="B286">
            <v>13.784976826151809</v>
          </cell>
          <cell r="C286">
            <v>0</v>
          </cell>
          <cell r="D286">
            <v>0</v>
          </cell>
          <cell r="E286">
            <v>0</v>
          </cell>
          <cell r="F286">
            <v>0</v>
          </cell>
          <cell r="G286">
            <v>0</v>
          </cell>
        </row>
        <row r="287">
          <cell r="A287">
            <v>9364347000198</v>
          </cell>
          <cell r="B287">
            <v>1790.5959823099993</v>
          </cell>
          <cell r="C287">
            <v>1005.8900000000001</v>
          </cell>
          <cell r="D287">
            <v>0.56176268121764061</v>
          </cell>
          <cell r="E287">
            <v>0</v>
          </cell>
          <cell r="F287">
            <v>0</v>
          </cell>
          <cell r="G287">
            <v>0</v>
          </cell>
        </row>
        <row r="288">
          <cell r="A288">
            <v>10392940000127</v>
          </cell>
          <cell r="B288">
            <v>286.46973437519614</v>
          </cell>
          <cell r="C288">
            <v>0</v>
          </cell>
          <cell r="D288">
            <v>0</v>
          </cell>
          <cell r="E288">
            <v>0</v>
          </cell>
          <cell r="F288">
            <v>0</v>
          </cell>
          <cell r="G288">
            <v>0</v>
          </cell>
        </row>
        <row r="289">
          <cell r="A289">
            <v>15116990000103</v>
          </cell>
          <cell r="B289">
            <v>5272.8707282418418</v>
          </cell>
          <cell r="C289">
            <v>4486.32</v>
          </cell>
          <cell r="D289">
            <v>0.85083064448574008</v>
          </cell>
          <cell r="E289">
            <v>3622.97</v>
          </cell>
          <cell r="F289">
            <v>57.049999999999272</v>
          </cell>
          <cell r="G289">
            <v>3565.9200000000005</v>
          </cell>
        </row>
        <row r="290">
          <cell r="A290">
            <v>20412740000142</v>
          </cell>
          <cell r="B290">
            <v>1356.8254755727651</v>
          </cell>
          <cell r="C290">
            <v>488.28</v>
          </cell>
          <cell r="D290">
            <v>0.35986942225851071</v>
          </cell>
          <cell r="E290">
            <v>0</v>
          </cell>
          <cell r="F290">
            <v>0</v>
          </cell>
          <cell r="G290">
            <v>0</v>
          </cell>
        </row>
        <row r="291">
          <cell r="A291">
            <v>59412809000173</v>
          </cell>
          <cell r="B291">
            <v>2465.1166670508483</v>
          </cell>
          <cell r="C291">
            <v>1390.24</v>
          </cell>
          <cell r="D291">
            <v>0.56396519425720282</v>
          </cell>
          <cell r="E291">
            <v>0</v>
          </cell>
          <cell r="F291">
            <v>0</v>
          </cell>
          <cell r="G291">
            <v>0</v>
          </cell>
        </row>
        <row r="292">
          <cell r="A292">
            <v>2366173000153</v>
          </cell>
          <cell r="B292">
            <v>7880.0484539707641</v>
          </cell>
          <cell r="C292">
            <v>4318.8999999999996</v>
          </cell>
          <cell r="D292">
            <v>0.54808038620926269</v>
          </cell>
          <cell r="E292">
            <v>0</v>
          </cell>
          <cell r="F292">
            <v>0</v>
          </cell>
          <cell r="G292">
            <v>0</v>
          </cell>
        </row>
        <row r="293">
          <cell r="A293">
            <v>37830039000146</v>
          </cell>
          <cell r="B293">
            <v>1104.1972939744294</v>
          </cell>
          <cell r="C293">
            <v>544.79999999999995</v>
          </cell>
          <cell r="D293">
            <v>0.49339008796069034</v>
          </cell>
          <cell r="E293">
            <v>0</v>
          </cell>
          <cell r="F293">
            <v>0</v>
          </cell>
          <cell r="G293">
            <v>0</v>
          </cell>
        </row>
        <row r="294">
          <cell r="A294">
            <v>7917231000103</v>
          </cell>
          <cell r="B294">
            <v>2622.5774305614586</v>
          </cell>
          <cell r="C294">
            <v>780.09</v>
          </cell>
          <cell r="D294">
            <v>0.29745165611106217</v>
          </cell>
          <cell r="E294">
            <v>0</v>
          </cell>
          <cell r="F294">
            <v>0</v>
          </cell>
          <cell r="G294">
            <v>0</v>
          </cell>
        </row>
        <row r="295">
          <cell r="A295">
            <v>31525761000190</v>
          </cell>
          <cell r="B295">
            <v>8814.1302693135731</v>
          </cell>
          <cell r="C295">
            <v>9043.8399999999983</v>
          </cell>
          <cell r="D295">
            <v>1.0260615311627694</v>
          </cell>
          <cell r="E295">
            <v>3791.28</v>
          </cell>
          <cell r="F295">
            <v>164.55999999999995</v>
          </cell>
          <cell r="G295">
            <v>3626.7200000000003</v>
          </cell>
        </row>
        <row r="296">
          <cell r="A296">
            <v>53548149000176</v>
          </cell>
          <cell r="B296">
            <v>1977.4674903859127</v>
          </cell>
          <cell r="C296">
            <v>559.54</v>
          </cell>
          <cell r="D296">
            <v>0.28295787552532808</v>
          </cell>
          <cell r="E296">
            <v>0</v>
          </cell>
          <cell r="F296">
            <v>0</v>
          </cell>
          <cell r="G296">
            <v>0</v>
          </cell>
        </row>
        <row r="297">
          <cell r="A297">
            <v>18380223000197</v>
          </cell>
          <cell r="B297">
            <v>2371.7274108148795</v>
          </cell>
          <cell r="C297">
            <v>959.40000000000009</v>
          </cell>
          <cell r="D297">
            <v>0.40451528941530801</v>
          </cell>
          <cell r="E297">
            <v>137.85</v>
          </cell>
          <cell r="F297">
            <v>0</v>
          </cell>
          <cell r="G297">
            <v>137.85</v>
          </cell>
        </row>
        <row r="298">
          <cell r="A298">
            <v>25204663000159</v>
          </cell>
          <cell r="B298">
            <v>673.67842391553756</v>
          </cell>
          <cell r="C298">
            <v>38.32</v>
          </cell>
          <cell r="D298">
            <v>5.6881738585714853E-2</v>
          </cell>
          <cell r="E298">
            <v>0</v>
          </cell>
          <cell r="F298">
            <v>0</v>
          </cell>
          <cell r="G298">
            <v>0</v>
          </cell>
        </row>
        <row r="299">
          <cell r="A299">
            <v>58219068000146</v>
          </cell>
          <cell r="B299">
            <v>2737.8356541816606</v>
          </cell>
          <cell r="C299">
            <v>996.9899999999999</v>
          </cell>
          <cell r="D299">
            <v>0.36415261028441837</v>
          </cell>
          <cell r="E299">
            <v>383.86</v>
          </cell>
          <cell r="F299">
            <v>0</v>
          </cell>
          <cell r="G299">
            <v>383.86</v>
          </cell>
        </row>
        <row r="300">
          <cell r="A300">
            <v>3381216000132</v>
          </cell>
          <cell r="B300">
            <v>22238.169681854495</v>
          </cell>
          <cell r="C300">
            <v>7658.2699999999995</v>
          </cell>
          <cell r="D300">
            <v>0.34437501420131972</v>
          </cell>
          <cell r="E300">
            <v>1281.46</v>
          </cell>
          <cell r="F300">
            <v>326.03000000000009</v>
          </cell>
          <cell r="G300">
            <v>955.43</v>
          </cell>
        </row>
        <row r="301">
          <cell r="A301">
            <v>30516011000190</v>
          </cell>
          <cell r="B301">
            <v>4262.2052708436677</v>
          </cell>
          <cell r="C301">
            <v>2119.54</v>
          </cell>
          <cell r="D301">
            <v>0.497287170681119</v>
          </cell>
          <cell r="E301">
            <v>0</v>
          </cell>
          <cell r="F301">
            <v>0</v>
          </cell>
          <cell r="G301">
            <v>0</v>
          </cell>
        </row>
        <row r="302">
          <cell r="A302">
            <v>7754019000172</v>
          </cell>
          <cell r="B302">
            <v>1879.0845119968251</v>
          </cell>
          <cell r="C302">
            <v>498.68999999999994</v>
          </cell>
          <cell r="D302">
            <v>0.2653898730026053</v>
          </cell>
          <cell r="E302">
            <v>0</v>
          </cell>
          <cell r="F302">
            <v>0</v>
          </cell>
          <cell r="G302">
            <v>0</v>
          </cell>
        </row>
        <row r="303">
          <cell r="A303">
            <v>18110799000134</v>
          </cell>
          <cell r="B303">
            <v>6162.9651646907023</v>
          </cell>
          <cell r="C303">
            <v>2894.0499999999997</v>
          </cell>
          <cell r="D303">
            <v>0.46958727214309054</v>
          </cell>
          <cell r="E303">
            <v>2781.8</v>
          </cell>
          <cell r="F303">
            <v>156.28999999999951</v>
          </cell>
          <cell r="G303">
            <v>2625.5100000000007</v>
          </cell>
        </row>
        <row r="304">
          <cell r="A304">
            <v>13470278000174</v>
          </cell>
          <cell r="B304">
            <v>2595.5836172091535</v>
          </cell>
          <cell r="C304">
            <v>482.30999999999995</v>
          </cell>
          <cell r="D304">
            <v>0.18581948075269236</v>
          </cell>
          <cell r="E304">
            <v>0</v>
          </cell>
          <cell r="F304">
            <v>0</v>
          </cell>
          <cell r="G304">
            <v>0</v>
          </cell>
        </row>
        <row r="305">
          <cell r="A305">
            <v>13537905000147</v>
          </cell>
          <cell r="B305">
            <v>4755.0318983396919</v>
          </cell>
          <cell r="C305">
            <v>1872.0100000000002</v>
          </cell>
          <cell r="D305">
            <v>0.39369031376080726</v>
          </cell>
          <cell r="E305">
            <v>269.27</v>
          </cell>
          <cell r="F305">
            <v>0</v>
          </cell>
          <cell r="G305">
            <v>269.27</v>
          </cell>
        </row>
        <row r="306">
          <cell r="A306">
            <v>27114394000165</v>
          </cell>
          <cell r="B306">
            <v>799.14075678287747</v>
          </cell>
          <cell r="C306">
            <v>45.08</v>
          </cell>
          <cell r="D306">
            <v>5.6410588018911426E-2</v>
          </cell>
          <cell r="E306">
            <v>0</v>
          </cell>
          <cell r="F306">
            <v>0</v>
          </cell>
          <cell r="G306">
            <v>0</v>
          </cell>
        </row>
        <row r="307">
          <cell r="A307">
            <v>49687096000105</v>
          </cell>
          <cell r="B307">
            <v>1993.0371006902144</v>
          </cell>
          <cell r="C307">
            <v>1357.89</v>
          </cell>
          <cell r="D307">
            <v>0.68131697073262976</v>
          </cell>
          <cell r="E307">
            <v>0</v>
          </cell>
          <cell r="F307">
            <v>0</v>
          </cell>
          <cell r="G307">
            <v>0</v>
          </cell>
        </row>
        <row r="308">
          <cell r="A308">
            <v>10280518000180</v>
          </cell>
          <cell r="B308">
            <v>324.92938901659545</v>
          </cell>
          <cell r="C308">
            <v>0</v>
          </cell>
          <cell r="D308">
            <v>0</v>
          </cell>
          <cell r="E308">
            <v>0</v>
          </cell>
          <cell r="F308">
            <v>0</v>
          </cell>
          <cell r="G308">
            <v>0</v>
          </cell>
        </row>
        <row r="309">
          <cell r="A309">
            <v>32975740000130</v>
          </cell>
          <cell r="B309">
            <v>4861.6628781984473</v>
          </cell>
          <cell r="C309">
            <v>1978.0800000000002</v>
          </cell>
          <cell r="D309">
            <v>0.40687313159258043</v>
          </cell>
          <cell r="E309">
            <v>0</v>
          </cell>
          <cell r="F309">
            <v>0</v>
          </cell>
          <cell r="G309">
            <v>0</v>
          </cell>
        </row>
        <row r="310">
          <cell r="A310">
            <v>14314400000186</v>
          </cell>
          <cell r="B310">
            <v>4242.8465682843434</v>
          </cell>
          <cell r="C310">
            <v>1890.7</v>
          </cell>
          <cell r="D310">
            <v>0.44562063925034462</v>
          </cell>
          <cell r="E310">
            <v>314.10000000000002</v>
          </cell>
          <cell r="F310">
            <v>104.58000000000001</v>
          </cell>
          <cell r="G310">
            <v>209.52</v>
          </cell>
        </row>
        <row r="311">
          <cell r="A311">
            <v>36431185000136</v>
          </cell>
          <cell r="B311">
            <v>6033.2344752432073</v>
          </cell>
          <cell r="C311">
            <v>2667.4</v>
          </cell>
          <cell r="D311">
            <v>0.44211774147771271</v>
          </cell>
          <cell r="E311">
            <v>137.85</v>
          </cell>
          <cell r="F311">
            <v>0</v>
          </cell>
          <cell r="G311">
            <v>137.85</v>
          </cell>
        </row>
        <row r="312">
          <cell r="A312">
            <v>938969000108</v>
          </cell>
          <cell r="B312">
            <v>6160.3352540828964</v>
          </cell>
          <cell r="C312">
            <v>3729.8899999999994</v>
          </cell>
          <cell r="D312">
            <v>0.60546867112921066</v>
          </cell>
          <cell r="E312">
            <v>1898.7699999999998</v>
          </cell>
          <cell r="F312">
            <v>0</v>
          </cell>
          <cell r="G312">
            <v>1898.7699999999998</v>
          </cell>
        </row>
        <row r="313">
          <cell r="A313">
            <v>10829445000132</v>
          </cell>
          <cell r="B313">
            <v>2130.2045641041245</v>
          </cell>
          <cell r="C313">
            <v>1092.51</v>
          </cell>
          <cell r="D313">
            <v>0.51286623754815974</v>
          </cell>
          <cell r="E313">
            <v>0</v>
          </cell>
          <cell r="F313">
            <v>0</v>
          </cell>
          <cell r="G313">
            <v>0</v>
          </cell>
        </row>
        <row r="314">
          <cell r="A314">
            <v>15247037000196</v>
          </cell>
          <cell r="B314">
            <v>4346.4745345577521</v>
          </cell>
          <cell r="C314">
            <v>2478.0099999999998</v>
          </cell>
          <cell r="D314">
            <v>0.57011952567487756</v>
          </cell>
          <cell r="E314">
            <v>1009.88</v>
          </cell>
          <cell r="F314">
            <v>0</v>
          </cell>
          <cell r="G314">
            <v>1009.88</v>
          </cell>
        </row>
        <row r="315">
          <cell r="A315">
            <v>24217601000119</v>
          </cell>
          <cell r="B315">
            <v>2287.1676453714549</v>
          </cell>
          <cell r="C315">
            <v>420.67</v>
          </cell>
          <cell r="D315">
            <v>0.18392617648789786</v>
          </cell>
          <cell r="E315">
            <v>0</v>
          </cell>
          <cell r="F315">
            <v>0</v>
          </cell>
          <cell r="G315">
            <v>0</v>
          </cell>
        </row>
        <row r="316">
          <cell r="A316">
            <v>37963302000175</v>
          </cell>
          <cell r="B316">
            <v>1675.4408104986769</v>
          </cell>
          <cell r="C316">
            <v>798.87999999999988</v>
          </cell>
          <cell r="D316">
            <v>0.47681779922874257</v>
          </cell>
          <cell r="E316">
            <v>0</v>
          </cell>
          <cell r="F316">
            <v>0</v>
          </cell>
          <cell r="G316">
            <v>0</v>
          </cell>
        </row>
        <row r="317">
          <cell r="A317">
            <v>33184266000271</v>
          </cell>
          <cell r="B317">
            <v>5147.1140701712256</v>
          </cell>
          <cell r="C317">
            <v>4941.6000000000022</v>
          </cell>
          <cell r="D317">
            <v>0.96007198065373622</v>
          </cell>
          <cell r="E317">
            <v>4886.49</v>
          </cell>
          <cell r="F317">
            <v>151.55000000000018</v>
          </cell>
          <cell r="G317">
            <v>4734.9399999999996</v>
          </cell>
        </row>
        <row r="318">
          <cell r="A318">
            <v>33184266000352</v>
          </cell>
          <cell r="B318">
            <v>6939.3925555481273</v>
          </cell>
          <cell r="C318">
            <v>3438.349999999999</v>
          </cell>
          <cell r="D318">
            <v>0.49548284990031255</v>
          </cell>
          <cell r="E318">
            <v>2739.3999999999996</v>
          </cell>
          <cell r="F318">
            <v>319.78999999999996</v>
          </cell>
          <cell r="G318">
            <v>2419.6099999999997</v>
          </cell>
        </row>
        <row r="319">
          <cell r="A319">
            <v>1340477000189</v>
          </cell>
          <cell r="B319">
            <v>3566.074080099409</v>
          </cell>
          <cell r="C319">
            <v>2054.0800000000004</v>
          </cell>
          <cell r="D319">
            <v>0.5760059813291204</v>
          </cell>
          <cell r="E319">
            <v>712.55</v>
          </cell>
          <cell r="F319">
            <v>0</v>
          </cell>
          <cell r="G319">
            <v>712.55</v>
          </cell>
        </row>
        <row r="320">
          <cell r="A320">
            <v>66807884000107</v>
          </cell>
          <cell r="B320">
            <v>2475.0204759213184</v>
          </cell>
          <cell r="C320">
            <v>1637.21</v>
          </cell>
          <cell r="D320">
            <v>0.66149351729728778</v>
          </cell>
          <cell r="E320">
            <v>0</v>
          </cell>
          <cell r="F320">
            <v>0</v>
          </cell>
          <cell r="G320">
            <v>0</v>
          </cell>
        </row>
        <row r="321">
          <cell r="A321">
            <v>13412480000140</v>
          </cell>
          <cell r="B321">
            <v>1492.017577893899</v>
          </cell>
          <cell r="C321">
            <v>1346.1699999999998</v>
          </cell>
          <cell r="D321">
            <v>0.90224808336388729</v>
          </cell>
          <cell r="E321">
            <v>0</v>
          </cell>
          <cell r="F321">
            <v>0</v>
          </cell>
          <cell r="G321">
            <v>0</v>
          </cell>
        </row>
        <row r="322">
          <cell r="A322">
            <v>7217112000148</v>
          </cell>
          <cell r="B322">
            <v>8811.4823298924966</v>
          </cell>
          <cell r="C322">
            <v>4321.3599999999997</v>
          </cell>
          <cell r="D322">
            <v>0.49042372647562488</v>
          </cell>
          <cell r="E322">
            <v>4152.1099999999988</v>
          </cell>
          <cell r="F322">
            <v>330.41999999999962</v>
          </cell>
          <cell r="G322">
            <v>3821.6899999999991</v>
          </cell>
        </row>
        <row r="323">
          <cell r="A323">
            <v>7217112000300</v>
          </cell>
          <cell r="B323">
            <v>4604.4758975242648</v>
          </cell>
          <cell r="C323">
            <v>2415.77</v>
          </cell>
          <cell r="D323">
            <v>0.52465688902811103</v>
          </cell>
          <cell r="E323">
            <v>2408.08</v>
          </cell>
          <cell r="F323">
            <v>56.309999999999491</v>
          </cell>
          <cell r="G323">
            <v>2351.7700000000004</v>
          </cell>
        </row>
        <row r="324">
          <cell r="A324">
            <v>7217112000490</v>
          </cell>
          <cell r="B324">
            <v>8897.6124929663692</v>
          </cell>
          <cell r="C324">
            <v>5017.8300000000017</v>
          </cell>
          <cell r="D324">
            <v>0.56395240902732446</v>
          </cell>
          <cell r="E324">
            <v>4049.1800000000012</v>
          </cell>
          <cell r="F324">
            <v>177.71000000000049</v>
          </cell>
          <cell r="G324">
            <v>3871.4700000000007</v>
          </cell>
        </row>
        <row r="325">
          <cell r="A325">
            <v>14782944000172</v>
          </cell>
          <cell r="B325">
            <v>2255.4714599977387</v>
          </cell>
          <cell r="C325">
            <v>811.97</v>
          </cell>
          <cell r="D325">
            <v>0.36000012166006928</v>
          </cell>
          <cell r="E325">
            <v>796.58</v>
          </cell>
          <cell r="F325">
            <v>0</v>
          </cell>
          <cell r="G325">
            <v>796.58</v>
          </cell>
        </row>
        <row r="326">
          <cell r="A326">
            <v>14782944000253</v>
          </cell>
          <cell r="B326">
            <v>1802.2785272390997</v>
          </cell>
          <cell r="C326">
            <v>1230.8000000000002</v>
          </cell>
          <cell r="D326">
            <v>0.68291331300798208</v>
          </cell>
          <cell r="E326">
            <v>1115.71</v>
          </cell>
          <cell r="F326">
            <v>0</v>
          </cell>
          <cell r="G326">
            <v>1115.71</v>
          </cell>
        </row>
        <row r="327">
          <cell r="A327">
            <v>7863592000114</v>
          </cell>
          <cell r="B327">
            <v>3440.700983933461</v>
          </cell>
          <cell r="C327">
            <v>1466.3600000000001</v>
          </cell>
          <cell r="D327">
            <v>0.42618059716530071</v>
          </cell>
          <cell r="E327">
            <v>0</v>
          </cell>
          <cell r="F327">
            <v>0</v>
          </cell>
          <cell r="G327">
            <v>0</v>
          </cell>
        </row>
        <row r="328">
          <cell r="A328">
            <v>9607825000143</v>
          </cell>
          <cell r="B328">
            <v>512.20382468211562</v>
          </cell>
          <cell r="C328">
            <v>287.03000000000003</v>
          </cell>
          <cell r="D328">
            <v>0.56038238327903322</v>
          </cell>
          <cell r="E328">
            <v>0</v>
          </cell>
          <cell r="F328">
            <v>0</v>
          </cell>
          <cell r="G328">
            <v>0</v>
          </cell>
        </row>
        <row r="329">
          <cell r="A329">
            <v>96619283000123</v>
          </cell>
          <cell r="B329">
            <v>2088.0580216779567</v>
          </cell>
          <cell r="C329">
            <v>1210.1199999999999</v>
          </cell>
          <cell r="D329">
            <v>0.57954328253175236</v>
          </cell>
          <cell r="E329">
            <v>0</v>
          </cell>
          <cell r="F329">
            <v>0</v>
          </cell>
          <cell r="G329">
            <v>0</v>
          </cell>
        </row>
        <row r="330">
          <cell r="A330">
            <v>46365701000125</v>
          </cell>
          <cell r="B330">
            <v>2916.419152359801</v>
          </cell>
          <cell r="C330">
            <v>109.45</v>
          </cell>
          <cell r="D330">
            <v>3.7528899064950681E-2</v>
          </cell>
          <cell r="E330">
            <v>0</v>
          </cell>
          <cell r="F330">
            <v>0</v>
          </cell>
          <cell r="G330">
            <v>0</v>
          </cell>
        </row>
        <row r="331">
          <cell r="A331">
            <v>41140364000154</v>
          </cell>
          <cell r="B331">
            <v>1910.037112839673</v>
          </cell>
          <cell r="C331">
            <v>144.47999999999999</v>
          </cell>
          <cell r="D331">
            <v>7.5642509262660348E-2</v>
          </cell>
          <cell r="E331">
            <v>0</v>
          </cell>
          <cell r="F331">
            <v>0</v>
          </cell>
          <cell r="G331">
            <v>0</v>
          </cell>
        </row>
        <row r="332">
          <cell r="A332">
            <v>50970969000163</v>
          </cell>
          <cell r="B332">
            <v>1888.8266988044186</v>
          </cell>
          <cell r="C332">
            <v>1357.6499999999999</v>
          </cell>
          <cell r="D332">
            <v>0.71877954756747098</v>
          </cell>
          <cell r="E332">
            <v>977.21</v>
          </cell>
          <cell r="F332">
            <v>0</v>
          </cell>
          <cell r="G332">
            <v>977.21</v>
          </cell>
        </row>
        <row r="333">
          <cell r="A333">
            <v>31836867000105</v>
          </cell>
          <cell r="B333">
            <v>5273.8415761985289</v>
          </cell>
          <cell r="C333">
            <v>2411.0500000000002</v>
          </cell>
          <cell r="D333">
            <v>0.45717148783561384</v>
          </cell>
          <cell r="E333">
            <v>0</v>
          </cell>
          <cell r="F333">
            <v>0</v>
          </cell>
          <cell r="G333">
            <v>0</v>
          </cell>
        </row>
        <row r="334">
          <cell r="A334">
            <v>22457961000162</v>
          </cell>
          <cell r="B334">
            <v>1501.123163745852</v>
          </cell>
          <cell r="C334">
            <v>444.55999999999995</v>
          </cell>
          <cell r="D334">
            <v>0.29615158218640764</v>
          </cell>
          <cell r="E334">
            <v>0</v>
          </cell>
          <cell r="F334">
            <v>0</v>
          </cell>
          <cell r="G334">
            <v>0</v>
          </cell>
        </row>
        <row r="335">
          <cell r="A335">
            <v>18387529000175</v>
          </cell>
          <cell r="B335">
            <v>5736.4625464362507</v>
          </cell>
          <cell r="C335">
            <v>769.0100000000001</v>
          </cell>
          <cell r="D335">
            <v>0.13405648407444826</v>
          </cell>
          <cell r="E335">
            <v>922.13</v>
          </cell>
          <cell r="F335">
            <v>78.980000000000132</v>
          </cell>
          <cell r="G335">
            <v>843.14999999999986</v>
          </cell>
        </row>
        <row r="336">
          <cell r="A336">
            <v>17581013000102</v>
          </cell>
          <cell r="B336">
            <v>4567.9737146424486</v>
          </cell>
          <cell r="C336">
            <v>1403.96</v>
          </cell>
          <cell r="D336">
            <v>0.30734852862652534</v>
          </cell>
          <cell r="E336">
            <v>0</v>
          </cell>
          <cell r="F336">
            <v>0</v>
          </cell>
          <cell r="G336">
            <v>0</v>
          </cell>
        </row>
        <row r="337">
          <cell r="A337">
            <v>55994018000148</v>
          </cell>
          <cell r="B337">
            <v>2007.8721199121453</v>
          </cell>
          <cell r="C337">
            <v>664.04</v>
          </cell>
          <cell r="D337">
            <v>0.33071827304871143</v>
          </cell>
          <cell r="E337">
            <v>0</v>
          </cell>
          <cell r="F337">
            <v>0</v>
          </cell>
          <cell r="G337">
            <v>0</v>
          </cell>
        </row>
        <row r="338">
          <cell r="A338">
            <v>18070710000153</v>
          </cell>
          <cell r="B338">
            <v>3264.7917731947155</v>
          </cell>
          <cell r="C338">
            <v>2091.0300000000002</v>
          </cell>
          <cell r="D338">
            <v>0.64047882537815037</v>
          </cell>
          <cell r="E338">
            <v>525.67999999999995</v>
          </cell>
          <cell r="F338">
            <v>0</v>
          </cell>
          <cell r="G338">
            <v>525.67999999999995</v>
          </cell>
        </row>
        <row r="339">
          <cell r="A339">
            <v>430268000163</v>
          </cell>
          <cell r="B339">
            <v>2151.3606046240184</v>
          </cell>
          <cell r="C339">
            <v>1578.69</v>
          </cell>
          <cell r="D339">
            <v>0.73381003473190365</v>
          </cell>
          <cell r="E339">
            <v>1204.7199999999998</v>
          </cell>
          <cell r="F339">
            <v>0</v>
          </cell>
          <cell r="G339">
            <v>1204.7199999999998</v>
          </cell>
        </row>
        <row r="340">
          <cell r="A340">
            <v>47964776000195</v>
          </cell>
          <cell r="B340">
            <v>6144.9412804426001</v>
          </cell>
          <cell r="C340">
            <v>2301.0299999999997</v>
          </cell>
          <cell r="D340">
            <v>0.37445923321081176</v>
          </cell>
          <cell r="E340">
            <v>137.85</v>
          </cell>
          <cell r="F340">
            <v>0</v>
          </cell>
          <cell r="G340">
            <v>137.85</v>
          </cell>
        </row>
        <row r="341">
          <cell r="A341">
            <v>11628018000159</v>
          </cell>
          <cell r="B341">
            <v>6928.3468504087668</v>
          </cell>
          <cell r="C341">
            <v>2845.53</v>
          </cell>
          <cell r="D341">
            <v>0.41070836397749289</v>
          </cell>
          <cell r="E341">
            <v>0</v>
          </cell>
          <cell r="F341">
            <v>0</v>
          </cell>
          <cell r="G341">
            <v>0</v>
          </cell>
        </row>
        <row r="342">
          <cell r="A342">
            <v>49580979000103</v>
          </cell>
          <cell r="B342">
            <v>2519.8139368738293</v>
          </cell>
          <cell r="C342">
            <v>1069.01</v>
          </cell>
          <cell r="D342">
            <v>0.42424164116111357</v>
          </cell>
          <cell r="E342">
            <v>1027.25</v>
          </cell>
          <cell r="F342">
            <v>0</v>
          </cell>
          <cell r="G342">
            <v>1027.25</v>
          </cell>
        </row>
        <row r="343">
          <cell r="A343">
            <v>42411000000124</v>
          </cell>
          <cell r="B343">
            <v>3241.4268099944543</v>
          </cell>
          <cell r="C343">
            <v>2231.1700000000005</v>
          </cell>
          <cell r="D343">
            <v>0.68832959396785454</v>
          </cell>
          <cell r="E343">
            <v>2215.85</v>
          </cell>
          <cell r="F343">
            <v>184.97000000000003</v>
          </cell>
          <cell r="G343">
            <v>2030.8799999999999</v>
          </cell>
        </row>
        <row r="344">
          <cell r="A344">
            <v>546706000153</v>
          </cell>
          <cell r="B344">
            <v>5028.172482163257</v>
          </cell>
          <cell r="C344">
            <v>2628.5399999999995</v>
          </cell>
          <cell r="D344">
            <v>0.52276249657790774</v>
          </cell>
          <cell r="E344">
            <v>3077.2800000000007</v>
          </cell>
          <cell r="F344">
            <v>81.520000000000437</v>
          </cell>
          <cell r="G344">
            <v>2995.76</v>
          </cell>
        </row>
        <row r="345">
          <cell r="A345">
            <v>10588126000182</v>
          </cell>
          <cell r="B345">
            <v>23026.989228323757</v>
          </cell>
          <cell r="C345">
            <v>10725.470000000003</v>
          </cell>
          <cell r="D345">
            <v>0.46577821762331889</v>
          </cell>
          <cell r="E345">
            <v>11111.959999999997</v>
          </cell>
          <cell r="F345">
            <v>275.90999999999985</v>
          </cell>
          <cell r="G345">
            <v>10836.049999999997</v>
          </cell>
        </row>
        <row r="346">
          <cell r="A346">
            <v>10588126000263</v>
          </cell>
          <cell r="B346">
            <v>21670.978108473293</v>
          </cell>
          <cell r="C346">
            <v>14137.739999999998</v>
          </cell>
          <cell r="D346">
            <v>0.65238125982288642</v>
          </cell>
          <cell r="E346">
            <v>14269.089999999998</v>
          </cell>
          <cell r="F346">
            <v>637.69999999999891</v>
          </cell>
          <cell r="G346">
            <v>13631.39</v>
          </cell>
        </row>
        <row r="347">
          <cell r="A347">
            <v>4993223000158</v>
          </cell>
          <cell r="B347">
            <v>11342.616727649192</v>
          </cell>
          <cell r="C347">
            <v>5945.0499999999984</v>
          </cell>
          <cell r="D347">
            <v>0.52413390514272773</v>
          </cell>
          <cell r="E347">
            <v>5852.2900000000009</v>
          </cell>
          <cell r="F347">
            <v>769.71</v>
          </cell>
          <cell r="G347">
            <v>5082.5800000000008</v>
          </cell>
        </row>
        <row r="348">
          <cell r="A348">
            <v>33694076000113</v>
          </cell>
          <cell r="B348">
            <v>1816.096334680102</v>
          </cell>
          <cell r="C348">
            <v>673.66</v>
          </cell>
          <cell r="D348">
            <v>0.37093847233531391</v>
          </cell>
          <cell r="E348">
            <v>0</v>
          </cell>
          <cell r="F348">
            <v>0</v>
          </cell>
          <cell r="G348">
            <v>0</v>
          </cell>
        </row>
        <row r="349">
          <cell r="A349">
            <v>15349508000177</v>
          </cell>
          <cell r="B349">
            <v>4600.9061543608559</v>
          </cell>
          <cell r="C349">
            <v>1351.1300000000003</v>
          </cell>
          <cell r="D349">
            <v>0.2936660637425445</v>
          </cell>
          <cell r="E349">
            <v>955.95999999999992</v>
          </cell>
          <cell r="F349">
            <v>169.33999999999992</v>
          </cell>
          <cell r="G349">
            <v>786.62</v>
          </cell>
        </row>
        <row r="350">
          <cell r="A350">
            <v>13110601000107</v>
          </cell>
          <cell r="B350">
            <v>1829.2636077861857</v>
          </cell>
          <cell r="C350">
            <v>770.40000000000009</v>
          </cell>
          <cell r="D350">
            <v>0.42115307860541479</v>
          </cell>
          <cell r="E350">
            <v>0</v>
          </cell>
          <cell r="F350">
            <v>0</v>
          </cell>
          <cell r="G350">
            <v>0</v>
          </cell>
        </row>
        <row r="351">
          <cell r="A351">
            <v>23716744000102</v>
          </cell>
          <cell r="B351">
            <v>4097.1738713064851</v>
          </cell>
          <cell r="C351">
            <v>806.25000000000011</v>
          </cell>
          <cell r="D351">
            <v>0.19678198322174387</v>
          </cell>
          <cell r="E351">
            <v>0</v>
          </cell>
          <cell r="F351">
            <v>0</v>
          </cell>
          <cell r="G351">
            <v>0</v>
          </cell>
        </row>
        <row r="352">
          <cell r="A352">
            <v>65675078000151</v>
          </cell>
          <cell r="B352">
            <v>791.31348744278432</v>
          </cell>
          <cell r="C352">
            <v>3340.3399999999992</v>
          </cell>
          <cell r="D352">
            <v>4.2212600353807588</v>
          </cell>
          <cell r="E352">
            <v>3312.08</v>
          </cell>
          <cell r="F352">
            <v>63.610000000000582</v>
          </cell>
          <cell r="G352">
            <v>3248.4699999999993</v>
          </cell>
        </row>
        <row r="353">
          <cell r="A353">
            <v>65675078000232</v>
          </cell>
          <cell r="B353">
            <v>489.35469433829871</v>
          </cell>
          <cell r="C353">
            <v>1115.8200000000002</v>
          </cell>
          <cell r="D353">
            <v>2.2801865659198439</v>
          </cell>
          <cell r="E353">
            <v>884.57</v>
          </cell>
          <cell r="F353">
            <v>0</v>
          </cell>
          <cell r="G353">
            <v>884.57</v>
          </cell>
        </row>
        <row r="354">
          <cell r="A354">
            <v>65675078000313</v>
          </cell>
          <cell r="B354">
            <v>516.46810507702764</v>
          </cell>
          <cell r="C354">
            <v>1341.8999999999999</v>
          </cell>
          <cell r="D354">
            <v>2.5982243372025167</v>
          </cell>
          <cell r="E354">
            <v>1362.3700000000001</v>
          </cell>
          <cell r="F354">
            <v>226.32000000000016</v>
          </cell>
          <cell r="G354">
            <v>1136.05</v>
          </cell>
        </row>
        <row r="355">
          <cell r="A355">
            <v>65675078000402</v>
          </cell>
          <cell r="B355">
            <v>471.89040531614927</v>
          </cell>
          <cell r="C355">
            <v>779.37</v>
          </cell>
          <cell r="D355">
            <v>1.6515911135719124</v>
          </cell>
          <cell r="E355">
            <v>825.13000000000011</v>
          </cell>
          <cell r="F355">
            <v>76.590000000000146</v>
          </cell>
          <cell r="G355">
            <v>748.54</v>
          </cell>
        </row>
        <row r="356">
          <cell r="A356">
            <v>65675078000585</v>
          </cell>
          <cell r="B356">
            <v>631.70405021515842</v>
          </cell>
          <cell r="C356">
            <v>1694.6300000000003</v>
          </cell>
          <cell r="D356">
            <v>2.6826327920848527</v>
          </cell>
          <cell r="E356">
            <v>1461.7899999999995</v>
          </cell>
          <cell r="F356">
            <v>0</v>
          </cell>
          <cell r="G356">
            <v>1461.7899999999995</v>
          </cell>
        </row>
        <row r="357">
          <cell r="A357">
            <v>13117848000147</v>
          </cell>
          <cell r="B357">
            <v>1398.5805511619699</v>
          </cell>
          <cell r="C357">
            <v>875.39</v>
          </cell>
          <cell r="D357">
            <v>0.62591317981127914</v>
          </cell>
          <cell r="E357">
            <v>137.85</v>
          </cell>
          <cell r="F357">
            <v>0</v>
          </cell>
          <cell r="G357">
            <v>137.85</v>
          </cell>
        </row>
        <row r="358">
          <cell r="A358">
            <v>16735647000100</v>
          </cell>
          <cell r="B358">
            <v>1223.8693784934212</v>
          </cell>
          <cell r="C358">
            <v>306.88</v>
          </cell>
          <cell r="D358">
            <v>0.25074571305784948</v>
          </cell>
          <cell r="E358">
            <v>0</v>
          </cell>
          <cell r="F358">
            <v>0</v>
          </cell>
          <cell r="G358">
            <v>0</v>
          </cell>
        </row>
        <row r="359">
          <cell r="A359">
            <v>16735647000282</v>
          </cell>
          <cell r="B359">
            <v>1672.6892611244018</v>
          </cell>
          <cell r="C359">
            <v>29.8</v>
          </cell>
          <cell r="D359">
            <v>1.7815622239344134E-2</v>
          </cell>
          <cell r="E359">
            <v>0</v>
          </cell>
          <cell r="F359">
            <v>0</v>
          </cell>
          <cell r="G359">
            <v>0</v>
          </cell>
        </row>
        <row r="360">
          <cell r="A360">
            <v>63882511000102</v>
          </cell>
          <cell r="B360">
            <v>593.9738062236944</v>
          </cell>
          <cell r="C360">
            <v>0</v>
          </cell>
          <cell r="D360">
            <v>0</v>
          </cell>
          <cell r="E360">
            <v>0</v>
          </cell>
          <cell r="F360">
            <v>0</v>
          </cell>
          <cell r="G360">
            <v>0</v>
          </cell>
        </row>
        <row r="361">
          <cell r="A361">
            <v>22155730000102</v>
          </cell>
          <cell r="B361">
            <v>2306.626504482922</v>
          </cell>
          <cell r="C361">
            <v>2839.2599999999993</v>
          </cell>
          <cell r="D361">
            <v>1.230914495468558</v>
          </cell>
          <cell r="E361">
            <v>2317.75</v>
          </cell>
          <cell r="F361">
            <v>52.050000000000182</v>
          </cell>
          <cell r="G361">
            <v>2265.6999999999998</v>
          </cell>
        </row>
        <row r="362">
          <cell r="A362">
            <v>19023460000163</v>
          </cell>
          <cell r="B362">
            <v>3408.5836317369344</v>
          </cell>
          <cell r="C362">
            <v>2277.2899999999995</v>
          </cell>
          <cell r="D362">
            <v>0.66810448152024537</v>
          </cell>
          <cell r="E362">
            <v>1562.4299999999998</v>
          </cell>
          <cell r="F362">
            <v>18.769999999999982</v>
          </cell>
          <cell r="G362">
            <v>1543.6599999999999</v>
          </cell>
        </row>
        <row r="363">
          <cell r="A363">
            <v>73706830000102</v>
          </cell>
          <cell r="B363">
            <v>24891.470686369972</v>
          </cell>
          <cell r="C363">
            <v>13015.46</v>
          </cell>
          <cell r="D363">
            <v>0.52288834854290001</v>
          </cell>
          <cell r="E363">
            <v>10536.460000000001</v>
          </cell>
          <cell r="F363">
            <v>321.28000000000065</v>
          </cell>
          <cell r="G363">
            <v>10215.18</v>
          </cell>
        </row>
        <row r="364">
          <cell r="A364">
            <v>96365630000139</v>
          </cell>
          <cell r="B364">
            <v>49452.510375501261</v>
          </cell>
          <cell r="C364">
            <v>39702.54</v>
          </cell>
          <cell r="D364">
            <v>0.80284175057104101</v>
          </cell>
          <cell r="E364">
            <v>21491.659999999993</v>
          </cell>
          <cell r="F364">
            <v>362.44999999999709</v>
          </cell>
          <cell r="G364">
            <v>21129.209999999995</v>
          </cell>
        </row>
        <row r="365">
          <cell r="A365">
            <v>9583797000171</v>
          </cell>
          <cell r="B365">
            <v>1812.9252878222344</v>
          </cell>
          <cell r="C365">
            <v>678.68999999999994</v>
          </cell>
          <cell r="D365">
            <v>0.37436181433338173</v>
          </cell>
          <cell r="E365">
            <v>0</v>
          </cell>
          <cell r="F365">
            <v>0</v>
          </cell>
          <cell r="G365">
            <v>0</v>
          </cell>
        </row>
        <row r="366">
          <cell r="A366">
            <v>33689225000156</v>
          </cell>
          <cell r="B366">
            <v>6653.1504888866593</v>
          </cell>
          <cell r="C366">
            <v>2008.46</v>
          </cell>
          <cell r="D366">
            <v>0.30188104167415225</v>
          </cell>
          <cell r="E366">
            <v>137.85</v>
          </cell>
          <cell r="F366">
            <v>0</v>
          </cell>
          <cell r="G366">
            <v>137.85</v>
          </cell>
        </row>
        <row r="367">
          <cell r="A367">
            <v>27377243000108</v>
          </cell>
          <cell r="B367">
            <v>310.74975142988046</v>
          </cell>
          <cell r="C367">
            <v>161.55000000000001</v>
          </cell>
          <cell r="D367">
            <v>0.51987169501068187</v>
          </cell>
          <cell r="E367">
            <v>137.85</v>
          </cell>
          <cell r="F367">
            <v>0</v>
          </cell>
          <cell r="G367">
            <v>137.85</v>
          </cell>
        </row>
        <row r="368">
          <cell r="A368">
            <v>27377243000280</v>
          </cell>
          <cell r="B368">
            <v>1930.5423440592913</v>
          </cell>
          <cell r="C368">
            <v>583.54</v>
          </cell>
          <cell r="D368">
            <v>0.30226739226709143</v>
          </cell>
          <cell r="E368">
            <v>249.20999999999998</v>
          </cell>
          <cell r="F368">
            <v>0</v>
          </cell>
          <cell r="G368">
            <v>249.20999999999998</v>
          </cell>
        </row>
        <row r="369">
          <cell r="A369">
            <v>27377243000361</v>
          </cell>
          <cell r="B369">
            <v>430.10867727657848</v>
          </cell>
          <cell r="C369">
            <v>415.63</v>
          </cell>
          <cell r="D369">
            <v>0.96633716536886316</v>
          </cell>
          <cell r="E369">
            <v>450.91999999999996</v>
          </cell>
          <cell r="F369">
            <v>131</v>
          </cell>
          <cell r="G369">
            <v>319.91999999999996</v>
          </cell>
        </row>
        <row r="370">
          <cell r="A370">
            <v>50031125000157</v>
          </cell>
          <cell r="B370">
            <v>770.04282987026397</v>
          </cell>
          <cell r="C370">
            <v>699.70999999999992</v>
          </cell>
          <cell r="D370">
            <v>0.90866374292178831</v>
          </cell>
          <cell r="E370">
            <v>653.06999999999994</v>
          </cell>
          <cell r="F370">
            <v>0</v>
          </cell>
          <cell r="G370">
            <v>653.06999999999994</v>
          </cell>
        </row>
        <row r="371">
          <cell r="A371">
            <v>27230522000136</v>
          </cell>
          <cell r="B371">
            <v>9463.1829572472234</v>
          </cell>
          <cell r="C371">
            <v>3543.1200000000008</v>
          </cell>
          <cell r="D371">
            <v>0.37441102174681729</v>
          </cell>
          <cell r="E371">
            <v>1044.08</v>
          </cell>
          <cell r="F371">
            <v>151.51999999999998</v>
          </cell>
          <cell r="G371">
            <v>892.56</v>
          </cell>
        </row>
        <row r="372">
          <cell r="A372">
            <v>49581378000115</v>
          </cell>
          <cell r="B372">
            <v>782.59317317021282</v>
          </cell>
          <cell r="C372">
            <v>1002.12</v>
          </cell>
          <cell r="D372">
            <v>1.2805120647047101</v>
          </cell>
          <cell r="E372">
            <v>0</v>
          </cell>
          <cell r="F372">
            <v>0</v>
          </cell>
          <cell r="G372">
            <v>0</v>
          </cell>
        </row>
        <row r="373">
          <cell r="A373">
            <v>42327542000113</v>
          </cell>
          <cell r="B373">
            <v>1953.9215384038471</v>
          </cell>
          <cell r="C373">
            <v>1231.1699999999998</v>
          </cell>
          <cell r="D373">
            <v>0.63010206694673065</v>
          </cell>
          <cell r="E373">
            <v>0</v>
          </cell>
          <cell r="F373">
            <v>0</v>
          </cell>
          <cell r="G373">
            <v>0</v>
          </cell>
        </row>
        <row r="374">
          <cell r="A374">
            <v>30658717000196</v>
          </cell>
          <cell r="B374">
            <v>2453.898475895613</v>
          </cell>
          <cell r="C374">
            <v>1325.8100000000002</v>
          </cell>
          <cell r="D374">
            <v>0.54028722582588173</v>
          </cell>
          <cell r="E374">
            <v>0</v>
          </cell>
          <cell r="F374">
            <v>0</v>
          </cell>
          <cell r="G374">
            <v>0</v>
          </cell>
        </row>
        <row r="375">
          <cell r="A375">
            <v>7771697000143</v>
          </cell>
          <cell r="B375">
            <v>3190.1768161882815</v>
          </cell>
          <cell r="C375">
            <v>2349.6799999999998</v>
          </cell>
          <cell r="D375">
            <v>0.73653597759119438</v>
          </cell>
          <cell r="E375">
            <v>1061.96</v>
          </cell>
          <cell r="F375">
            <v>0</v>
          </cell>
          <cell r="G375">
            <v>1061.96</v>
          </cell>
        </row>
        <row r="376">
          <cell r="A376">
            <v>47614350000101</v>
          </cell>
          <cell r="B376">
            <v>612.81022770656102</v>
          </cell>
          <cell r="C376">
            <v>0</v>
          </cell>
          <cell r="D376">
            <v>0</v>
          </cell>
          <cell r="E376">
            <v>0</v>
          </cell>
          <cell r="F376">
            <v>0</v>
          </cell>
          <cell r="G376">
            <v>0</v>
          </cell>
        </row>
        <row r="377">
          <cell r="A377">
            <v>46726427000172</v>
          </cell>
          <cell r="B377">
            <v>461.86377396897592</v>
          </cell>
          <cell r="C377">
            <v>739.33</v>
          </cell>
          <cell r="D377">
            <v>1.6007533858883289</v>
          </cell>
          <cell r="E377">
            <v>0</v>
          </cell>
          <cell r="F377">
            <v>0</v>
          </cell>
          <cell r="G377">
            <v>0</v>
          </cell>
        </row>
        <row r="378">
          <cell r="A378">
            <v>17334086000191</v>
          </cell>
          <cell r="B378">
            <v>2783.0571639598447</v>
          </cell>
          <cell r="C378">
            <v>585.99</v>
          </cell>
          <cell r="D378">
            <v>0.2105562212621713</v>
          </cell>
          <cell r="E378">
            <v>312.08</v>
          </cell>
          <cell r="F378">
            <v>0</v>
          </cell>
          <cell r="G378">
            <v>312.08</v>
          </cell>
        </row>
        <row r="379">
          <cell r="A379">
            <v>34700354000160</v>
          </cell>
          <cell r="B379">
            <v>1753.7679817751271</v>
          </cell>
          <cell r="C379">
            <v>0</v>
          </cell>
          <cell r="D379">
            <v>0</v>
          </cell>
          <cell r="E379">
            <v>0</v>
          </cell>
          <cell r="F379">
            <v>0</v>
          </cell>
          <cell r="G379">
            <v>0</v>
          </cell>
        </row>
        <row r="380">
          <cell r="A380">
            <v>42390075000176</v>
          </cell>
          <cell r="B380">
            <v>4245.0260144285321</v>
          </cell>
          <cell r="C380">
            <v>2494.56</v>
          </cell>
          <cell r="D380">
            <v>0.58764304188506111</v>
          </cell>
          <cell r="E380">
            <v>4348.130000000001</v>
          </cell>
          <cell r="F380">
            <v>739.00000000000091</v>
          </cell>
          <cell r="G380">
            <v>3609.13</v>
          </cell>
        </row>
        <row r="381">
          <cell r="A381">
            <v>61723222000208</v>
          </cell>
          <cell r="B381">
            <v>5249.1754299870809</v>
          </cell>
          <cell r="C381">
            <v>435.47999999999996</v>
          </cell>
          <cell r="D381">
            <v>8.2961601456911449E-2</v>
          </cell>
          <cell r="E381">
            <v>0</v>
          </cell>
          <cell r="F381">
            <v>0</v>
          </cell>
          <cell r="G381">
            <v>0</v>
          </cell>
        </row>
        <row r="382">
          <cell r="A382">
            <v>61723222000127</v>
          </cell>
          <cell r="B382">
            <v>2764.2710194372507</v>
          </cell>
          <cell r="C382">
            <v>7752.86</v>
          </cell>
          <cell r="D382">
            <v>2.8046671058969914</v>
          </cell>
          <cell r="E382">
            <v>6942.7299999999987</v>
          </cell>
          <cell r="F382">
            <v>0</v>
          </cell>
          <cell r="G382">
            <v>6942.7299999999987</v>
          </cell>
        </row>
        <row r="383">
          <cell r="A383">
            <v>7033833000106</v>
          </cell>
          <cell r="B383">
            <v>3666.5582426664973</v>
          </cell>
          <cell r="C383">
            <v>800.53</v>
          </cell>
          <cell r="D383">
            <v>0.21833281977755142</v>
          </cell>
          <cell r="E383">
            <v>0</v>
          </cell>
          <cell r="F383">
            <v>0</v>
          </cell>
          <cell r="G383">
            <v>0</v>
          </cell>
        </row>
        <row r="384">
          <cell r="A384">
            <v>36259468000142</v>
          </cell>
          <cell r="B384">
            <v>2606.6251740330617</v>
          </cell>
          <cell r="C384">
            <v>1172.3400000000001</v>
          </cell>
          <cell r="D384">
            <v>0.44975396220320957</v>
          </cell>
          <cell r="E384">
            <v>0</v>
          </cell>
          <cell r="F384">
            <v>0</v>
          </cell>
          <cell r="G384">
            <v>0</v>
          </cell>
        </row>
        <row r="385">
          <cell r="A385">
            <v>27377243000442</v>
          </cell>
          <cell r="B385">
            <v>544.15783682372</v>
          </cell>
          <cell r="C385">
            <v>173.53</v>
          </cell>
          <cell r="D385">
            <v>0.31889644558443631</v>
          </cell>
          <cell r="E385">
            <v>0</v>
          </cell>
          <cell r="F385">
            <v>0</v>
          </cell>
          <cell r="G385">
            <v>0</v>
          </cell>
        </row>
        <row r="386">
          <cell r="A386">
            <v>62670020000127</v>
          </cell>
          <cell r="B386">
            <v>1653.9917392327689</v>
          </cell>
          <cell r="C386">
            <v>1426.18</v>
          </cell>
          <cell r="D386">
            <v>0.86226549152026422</v>
          </cell>
          <cell r="E386">
            <v>0</v>
          </cell>
          <cell r="F386">
            <v>0</v>
          </cell>
          <cell r="G386">
            <v>0</v>
          </cell>
        </row>
        <row r="387">
          <cell r="A387">
            <v>19651628000851</v>
          </cell>
          <cell r="B387">
            <v>13.43852877</v>
          </cell>
          <cell r="C387">
            <v>3677.8100000000013</v>
          </cell>
          <cell r="D387">
            <v>273.67653579834553</v>
          </cell>
          <cell r="E387">
            <v>67.540000000000006</v>
          </cell>
          <cell r="F387">
            <v>0</v>
          </cell>
          <cell r="G387">
            <v>67.540000000000006</v>
          </cell>
        </row>
        <row r="388">
          <cell r="A388">
            <v>13079901000162</v>
          </cell>
          <cell r="B388">
            <v>1553.5859219060189</v>
          </cell>
          <cell r="C388">
            <v>1048.4000000000001</v>
          </cell>
          <cell r="D388">
            <v>0.6748258884283459</v>
          </cell>
          <cell r="E388">
            <v>1302.4699999999998</v>
          </cell>
          <cell r="F388">
            <v>63.960000000000036</v>
          </cell>
          <cell r="G388">
            <v>1238.5099999999998</v>
          </cell>
        </row>
        <row r="389">
          <cell r="A389">
            <v>422093000142</v>
          </cell>
          <cell r="B389">
            <v>1696.6693157533832</v>
          </cell>
          <cell r="C389">
            <v>3027.14</v>
          </cell>
          <cell r="D389">
            <v>1.7841661730387568</v>
          </cell>
          <cell r="E389">
            <v>2324.4099999999994</v>
          </cell>
          <cell r="F389">
            <v>0</v>
          </cell>
          <cell r="G389">
            <v>2324.4099999999994</v>
          </cell>
        </row>
        <row r="390">
          <cell r="A390">
            <v>24385511000137</v>
          </cell>
          <cell r="B390">
            <v>2153.7782084643354</v>
          </cell>
          <cell r="C390">
            <v>1378.45</v>
          </cell>
          <cell r="D390">
            <v>0.64001483280994298</v>
          </cell>
          <cell r="E390">
            <v>0</v>
          </cell>
          <cell r="F390">
            <v>0</v>
          </cell>
          <cell r="G390">
            <v>0</v>
          </cell>
        </row>
        <row r="391">
          <cell r="A391">
            <v>15272871000131</v>
          </cell>
          <cell r="B391">
            <v>1582.8168275046232</v>
          </cell>
          <cell r="C391">
            <v>0</v>
          </cell>
          <cell r="D391">
            <v>0</v>
          </cell>
          <cell r="E391">
            <v>0</v>
          </cell>
          <cell r="F391">
            <v>0</v>
          </cell>
          <cell r="G391">
            <v>0</v>
          </cell>
        </row>
        <row r="392">
          <cell r="A392">
            <v>47541257000114</v>
          </cell>
          <cell r="B392">
            <v>4087.5832484211746</v>
          </cell>
          <cell r="C392">
            <v>2221.46</v>
          </cell>
          <cell r="D392">
            <v>0.54346538406478617</v>
          </cell>
          <cell r="E392">
            <v>0</v>
          </cell>
          <cell r="F392">
            <v>0</v>
          </cell>
          <cell r="G392">
            <v>0</v>
          </cell>
        </row>
        <row r="393">
          <cell r="A393">
            <v>8476603000176</v>
          </cell>
          <cell r="B393">
            <v>11272.422595241453</v>
          </cell>
          <cell r="C393">
            <v>6781.1900000000005</v>
          </cell>
          <cell r="D393">
            <v>0.60157343665084173</v>
          </cell>
          <cell r="E393">
            <v>4089.5099999999984</v>
          </cell>
          <cell r="F393">
            <v>0</v>
          </cell>
          <cell r="G393">
            <v>4089.5099999999984</v>
          </cell>
        </row>
        <row r="394">
          <cell r="A394">
            <v>3662213000177</v>
          </cell>
          <cell r="B394">
            <v>3661.5066933843336</v>
          </cell>
          <cell r="C394">
            <v>1215.8899999999999</v>
          </cell>
          <cell r="D394">
            <v>0.33207367944919741</v>
          </cell>
          <cell r="E394">
            <v>463.82</v>
          </cell>
          <cell r="F394">
            <v>0</v>
          </cell>
          <cell r="G394">
            <v>463.82</v>
          </cell>
        </row>
        <row r="395">
          <cell r="A395">
            <v>52189626000191</v>
          </cell>
          <cell r="B395">
            <v>2878.2248885629883</v>
          </cell>
          <cell r="C395">
            <v>1390.59</v>
          </cell>
          <cell r="D395">
            <v>0.48314153821881511</v>
          </cell>
          <cell r="E395">
            <v>0</v>
          </cell>
          <cell r="F395">
            <v>0</v>
          </cell>
          <cell r="G395">
            <v>0</v>
          </cell>
        </row>
        <row r="396">
          <cell r="A396">
            <v>28800059000264</v>
          </cell>
          <cell r="B396">
            <v>43987.164135477266</v>
          </cell>
          <cell r="C396">
            <v>45185.389999999978</v>
          </cell>
          <cell r="D396">
            <v>1.0272403526818019</v>
          </cell>
          <cell r="E396">
            <v>43041.270000000004</v>
          </cell>
          <cell r="F396">
            <v>3334.859999999986</v>
          </cell>
          <cell r="G396">
            <v>39706.410000000018</v>
          </cell>
        </row>
        <row r="397">
          <cell r="A397">
            <v>28800059000345</v>
          </cell>
          <cell r="B397">
            <v>5765.5938191375826</v>
          </cell>
          <cell r="C397">
            <v>1879.91</v>
          </cell>
          <cell r="D397">
            <v>0.32605661428317489</v>
          </cell>
          <cell r="E397">
            <v>1498.4099999999999</v>
          </cell>
          <cell r="F397">
            <v>0</v>
          </cell>
          <cell r="G397">
            <v>1498.4099999999999</v>
          </cell>
        </row>
        <row r="398">
          <cell r="A398">
            <v>49674943000199</v>
          </cell>
          <cell r="B398">
            <v>2373.3354204323905</v>
          </cell>
          <cell r="C398">
            <v>782.36</v>
          </cell>
          <cell r="D398">
            <v>0.32964577752666091</v>
          </cell>
          <cell r="E398">
            <v>357.24</v>
          </cell>
          <cell r="F398">
            <v>238.16000000000003</v>
          </cell>
          <cell r="G398">
            <v>119.08</v>
          </cell>
        </row>
        <row r="399">
          <cell r="A399">
            <v>50372246000162</v>
          </cell>
          <cell r="B399">
            <v>9645.7729785457304</v>
          </cell>
          <cell r="C399">
            <v>4772.1099999999997</v>
          </cell>
          <cell r="D399">
            <v>0.49473588178098288</v>
          </cell>
          <cell r="E399">
            <v>0</v>
          </cell>
          <cell r="F399">
            <v>0</v>
          </cell>
          <cell r="G399">
            <v>0</v>
          </cell>
        </row>
        <row r="400">
          <cell r="A400">
            <v>22954090000192</v>
          </cell>
          <cell r="B400">
            <v>3306.4772634320298</v>
          </cell>
          <cell r="C400">
            <v>312.56</v>
          </cell>
          <cell r="D400">
            <v>9.4529608129097359E-2</v>
          </cell>
          <cell r="E400">
            <v>0</v>
          </cell>
          <cell r="F400">
            <v>0</v>
          </cell>
          <cell r="G400">
            <v>0</v>
          </cell>
        </row>
        <row r="401">
          <cell r="A401">
            <v>52837594000193</v>
          </cell>
          <cell r="B401">
            <v>5123.3965920924529</v>
          </cell>
          <cell r="C401">
            <v>3770.6200000000003</v>
          </cell>
          <cell r="D401">
            <v>0.73596098451945857</v>
          </cell>
          <cell r="E401">
            <v>0</v>
          </cell>
          <cell r="F401">
            <v>0</v>
          </cell>
          <cell r="G401">
            <v>0</v>
          </cell>
        </row>
        <row r="402">
          <cell r="A402">
            <v>30890084000147</v>
          </cell>
          <cell r="B402">
            <v>1950.1240156776253</v>
          </cell>
          <cell r="C402">
            <v>859.81999999999994</v>
          </cell>
          <cell r="D402">
            <v>0.44090529273402718</v>
          </cell>
          <cell r="E402">
            <v>769.28000000000009</v>
          </cell>
          <cell r="F402">
            <v>557.37000000000012</v>
          </cell>
          <cell r="G402">
            <v>211.91</v>
          </cell>
        </row>
        <row r="403">
          <cell r="A403">
            <v>33586036000158</v>
          </cell>
          <cell r="B403">
            <v>303.26497769199199</v>
          </cell>
          <cell r="C403">
            <v>0</v>
          </cell>
          <cell r="D403">
            <v>0</v>
          </cell>
          <cell r="E403">
            <v>0</v>
          </cell>
          <cell r="F403">
            <v>0</v>
          </cell>
          <cell r="G403">
            <v>0</v>
          </cell>
        </row>
        <row r="404">
          <cell r="A404">
            <v>9165147000106</v>
          </cell>
          <cell r="B404">
            <v>5314.3480111306872</v>
          </cell>
          <cell r="C404">
            <v>2469.1200000000008</v>
          </cell>
          <cell r="D404">
            <v>0.46461390839074307</v>
          </cell>
          <cell r="E404">
            <v>0</v>
          </cell>
          <cell r="F404">
            <v>0</v>
          </cell>
          <cell r="G404">
            <v>0</v>
          </cell>
        </row>
        <row r="405">
          <cell r="A405">
            <v>13280617000150</v>
          </cell>
          <cell r="B405">
            <v>8266.3324511316387</v>
          </cell>
          <cell r="C405">
            <v>4134.5199999999995</v>
          </cell>
          <cell r="D405">
            <v>0.5001637696574851</v>
          </cell>
          <cell r="E405">
            <v>3770.1600000000003</v>
          </cell>
          <cell r="F405">
            <v>0</v>
          </cell>
          <cell r="G405">
            <v>3770.1600000000003</v>
          </cell>
        </row>
        <row r="406">
          <cell r="A406">
            <v>21287037000112</v>
          </cell>
          <cell r="B406">
            <v>3111.2412585858483</v>
          </cell>
          <cell r="C406">
            <v>889.6099999999999</v>
          </cell>
          <cell r="D406">
            <v>0.28593410991353146</v>
          </cell>
          <cell r="E406">
            <v>0</v>
          </cell>
          <cell r="F406">
            <v>0</v>
          </cell>
          <cell r="G406">
            <v>0</v>
          </cell>
        </row>
        <row r="407">
          <cell r="A407">
            <v>41955400000138</v>
          </cell>
          <cell r="B407">
            <v>4001.8294435399021</v>
          </cell>
          <cell r="C407">
            <v>2088.66</v>
          </cell>
          <cell r="D407">
            <v>0.52192629132950552</v>
          </cell>
          <cell r="E407">
            <v>0</v>
          </cell>
          <cell r="F407">
            <v>0</v>
          </cell>
          <cell r="G407">
            <v>0</v>
          </cell>
        </row>
        <row r="408">
          <cell r="A408">
            <v>2021988000109</v>
          </cell>
          <cell r="B408">
            <v>613.53326523484054</v>
          </cell>
          <cell r="C408">
            <v>405.59000000000003</v>
          </cell>
          <cell r="D408">
            <v>0.6610725497414609</v>
          </cell>
          <cell r="E408">
            <v>0</v>
          </cell>
          <cell r="F408">
            <v>0</v>
          </cell>
          <cell r="G408">
            <v>0</v>
          </cell>
        </row>
        <row r="409">
          <cell r="A409">
            <v>15558177000347</v>
          </cell>
          <cell r="B409">
            <v>3416.2383220327847</v>
          </cell>
          <cell r="C409">
            <v>1402.65</v>
          </cell>
          <cell r="D409">
            <v>0.41058318178615033</v>
          </cell>
          <cell r="E409">
            <v>2173.2399999999998</v>
          </cell>
          <cell r="F409">
            <v>135.74999999999955</v>
          </cell>
          <cell r="G409">
            <v>2037.4900000000002</v>
          </cell>
        </row>
        <row r="410">
          <cell r="A410">
            <v>43000736000172</v>
          </cell>
          <cell r="B410">
            <v>5029.3193575847281</v>
          </cell>
          <cell r="C410">
            <v>5329.01</v>
          </cell>
          <cell r="D410">
            <v>1.0595887079557411</v>
          </cell>
          <cell r="E410">
            <v>1054.18</v>
          </cell>
          <cell r="F410">
            <v>0</v>
          </cell>
          <cell r="G410">
            <v>1054.18</v>
          </cell>
        </row>
        <row r="411">
          <cell r="A411">
            <v>29809750000190</v>
          </cell>
          <cell r="B411">
            <v>626.37354799574632</v>
          </cell>
          <cell r="C411">
            <v>279.51</v>
          </cell>
          <cell r="D411">
            <v>0.4462353189951408</v>
          </cell>
          <cell r="E411">
            <v>0</v>
          </cell>
          <cell r="F411">
            <v>0</v>
          </cell>
          <cell r="G411">
            <v>0</v>
          </cell>
        </row>
        <row r="412">
          <cell r="A412">
            <v>43533082000142</v>
          </cell>
          <cell r="B412">
            <v>1559.9559594339769</v>
          </cell>
          <cell r="C412">
            <v>3524.8999999999996</v>
          </cell>
          <cell r="D412">
            <v>2.2596150735428417</v>
          </cell>
          <cell r="E412">
            <v>0</v>
          </cell>
          <cell r="F412">
            <v>0</v>
          </cell>
          <cell r="G412">
            <v>0</v>
          </cell>
        </row>
        <row r="413">
          <cell r="A413">
            <v>18876606000231</v>
          </cell>
          <cell r="B413">
            <v>3183.4078122459123</v>
          </cell>
          <cell r="C413">
            <v>0</v>
          </cell>
          <cell r="D413">
            <v>0</v>
          </cell>
          <cell r="E413">
            <v>137.85</v>
          </cell>
          <cell r="F413">
            <v>137.85</v>
          </cell>
          <cell r="G413">
            <v>0</v>
          </cell>
        </row>
        <row r="414">
          <cell r="A414">
            <v>57629502000101</v>
          </cell>
          <cell r="B414">
            <v>1187.2943977847278</v>
          </cell>
          <cell r="C414">
            <v>559.16</v>
          </cell>
          <cell r="D414">
            <v>0.47095311916175914</v>
          </cell>
          <cell r="E414">
            <v>0</v>
          </cell>
          <cell r="F414">
            <v>0</v>
          </cell>
          <cell r="G414">
            <v>0</v>
          </cell>
        </row>
        <row r="415">
          <cell r="A415">
            <v>54593917000176</v>
          </cell>
          <cell r="B415">
            <v>2817.7071009326314</v>
          </cell>
          <cell r="C415">
            <v>1548.2700000000004</v>
          </cell>
          <cell r="D415">
            <v>0.54947868764909569</v>
          </cell>
          <cell r="E415">
            <v>0</v>
          </cell>
          <cell r="F415">
            <v>0</v>
          </cell>
          <cell r="G415">
            <v>0</v>
          </cell>
        </row>
        <row r="416">
          <cell r="A416">
            <v>19934714000103</v>
          </cell>
          <cell r="B416">
            <v>6909.2279262094917</v>
          </cell>
          <cell r="C416">
            <v>1736.9</v>
          </cell>
          <cell r="D416">
            <v>0.25138843566170932</v>
          </cell>
          <cell r="E416">
            <v>2175.4100000000003</v>
          </cell>
          <cell r="F416">
            <v>127.22000000000025</v>
          </cell>
          <cell r="G416">
            <v>2048.19</v>
          </cell>
        </row>
        <row r="417">
          <cell r="A417">
            <v>5051579000135</v>
          </cell>
          <cell r="B417">
            <v>2930.2242486128953</v>
          </cell>
          <cell r="C417">
            <v>377.9</v>
          </cell>
          <cell r="D417">
            <v>0.12896623873715116</v>
          </cell>
          <cell r="E417">
            <v>0</v>
          </cell>
          <cell r="F417">
            <v>0</v>
          </cell>
          <cell r="G417">
            <v>0</v>
          </cell>
        </row>
        <row r="418">
          <cell r="A418">
            <v>2703345000137</v>
          </cell>
          <cell r="B418">
            <v>5038.3400169693577</v>
          </cell>
          <cell r="C418">
            <v>291.60000000000002</v>
          </cell>
          <cell r="D418">
            <v>5.7876205063151352E-2</v>
          </cell>
          <cell r="E418">
            <v>0</v>
          </cell>
          <cell r="F418">
            <v>0</v>
          </cell>
          <cell r="G418">
            <v>0</v>
          </cell>
        </row>
        <row r="419">
          <cell r="A419">
            <v>9539583000106</v>
          </cell>
          <cell r="B419">
            <v>10190.486830563277</v>
          </cell>
          <cell r="C419">
            <v>760.54</v>
          </cell>
          <cell r="D419">
            <v>7.4632351981358799E-2</v>
          </cell>
          <cell r="E419">
            <v>0</v>
          </cell>
          <cell r="F419">
            <v>0</v>
          </cell>
          <cell r="G419">
            <v>0</v>
          </cell>
        </row>
        <row r="420">
          <cell r="A420">
            <v>35595811000167</v>
          </cell>
          <cell r="B420">
            <v>8236.3261613615305</v>
          </cell>
          <cell r="C420">
            <v>384.38</v>
          </cell>
          <cell r="D420">
            <v>4.666886576240916E-2</v>
          </cell>
          <cell r="E420">
            <v>3812.6900000000005</v>
          </cell>
          <cell r="F420">
            <v>3812.6900000000005</v>
          </cell>
          <cell r="G420">
            <v>0</v>
          </cell>
        </row>
        <row r="421">
          <cell r="A421">
            <v>4276276000158</v>
          </cell>
          <cell r="B421">
            <v>923.02973075871114</v>
          </cell>
          <cell r="C421">
            <v>1218.0600000000002</v>
          </cell>
          <cell r="D421">
            <v>1.3196324662248748</v>
          </cell>
          <cell r="E421">
            <v>0</v>
          </cell>
          <cell r="F421">
            <v>0</v>
          </cell>
          <cell r="G421">
            <v>0</v>
          </cell>
        </row>
        <row r="422">
          <cell r="A422">
            <v>49852577000110</v>
          </cell>
          <cell r="B422">
            <v>45417.754879381791</v>
          </cell>
          <cell r="C422">
            <v>34665.929999999993</v>
          </cell>
          <cell r="D422">
            <v>0.76326824370918467</v>
          </cell>
          <cell r="E422">
            <v>22389.86</v>
          </cell>
          <cell r="F422">
            <v>515.84000000000015</v>
          </cell>
          <cell r="G422">
            <v>21874.02</v>
          </cell>
        </row>
        <row r="423">
          <cell r="A423">
            <v>66160225000113</v>
          </cell>
          <cell r="B423">
            <v>257.80909289554575</v>
          </cell>
          <cell r="C423">
            <v>357.32000000000005</v>
          </cell>
          <cell r="D423">
            <v>1.3859868012676042</v>
          </cell>
          <cell r="E423">
            <v>0</v>
          </cell>
          <cell r="F423">
            <v>0</v>
          </cell>
          <cell r="G423">
            <v>0</v>
          </cell>
        </row>
        <row r="424">
          <cell r="A424">
            <v>37629799000190</v>
          </cell>
          <cell r="B424">
            <v>7123.2360387340677</v>
          </cell>
          <cell r="C424">
            <v>2894.2700000000004</v>
          </cell>
          <cell r="D424">
            <v>0.40631392589853954</v>
          </cell>
          <cell r="E424">
            <v>2186.92</v>
          </cell>
          <cell r="F424">
            <v>919.5</v>
          </cell>
          <cell r="G424">
            <v>1267.42</v>
          </cell>
        </row>
        <row r="425">
          <cell r="A425">
            <v>14492828000119</v>
          </cell>
          <cell r="B425">
            <v>2875.5145535776364</v>
          </cell>
          <cell r="C425">
            <v>822.96999999999991</v>
          </cell>
          <cell r="D425">
            <v>0.28619921223354033</v>
          </cell>
          <cell r="E425">
            <v>784.63999999999987</v>
          </cell>
          <cell r="F425">
            <v>36.319999999999936</v>
          </cell>
          <cell r="G425">
            <v>748.31999999999994</v>
          </cell>
        </row>
        <row r="426">
          <cell r="A426">
            <v>16825373000131</v>
          </cell>
          <cell r="B426">
            <v>32504.206367615086</v>
          </cell>
          <cell r="C426">
            <v>14441.430000000002</v>
          </cell>
          <cell r="D426">
            <v>0.4442941887788539</v>
          </cell>
          <cell r="E426">
            <v>328.75</v>
          </cell>
          <cell r="F426">
            <v>0</v>
          </cell>
          <cell r="G426">
            <v>328.75</v>
          </cell>
        </row>
        <row r="427">
          <cell r="A427">
            <v>28800059000183</v>
          </cell>
          <cell r="B427">
            <v>6244.6449098466119</v>
          </cell>
          <cell r="C427">
            <v>1800.6599999999999</v>
          </cell>
          <cell r="D427">
            <v>0.28835266472248938</v>
          </cell>
          <cell r="E427">
            <v>1494.46</v>
          </cell>
          <cell r="F427">
            <v>0</v>
          </cell>
          <cell r="G427">
            <v>1494.46</v>
          </cell>
        </row>
        <row r="428">
          <cell r="A428">
            <v>49685257000113</v>
          </cell>
          <cell r="B428">
            <v>309.03346224229517</v>
          </cell>
          <cell r="C428">
            <v>198.17000000000002</v>
          </cell>
          <cell r="D428">
            <v>0.64125741776347323</v>
          </cell>
          <cell r="E428">
            <v>0</v>
          </cell>
          <cell r="F428">
            <v>0</v>
          </cell>
          <cell r="G428">
            <v>0</v>
          </cell>
        </row>
        <row r="429">
          <cell r="A429">
            <v>20750641000170</v>
          </cell>
          <cell r="B429">
            <v>5003.0707053113047</v>
          </cell>
          <cell r="C429">
            <v>1605.9800000000002</v>
          </cell>
          <cell r="D429">
            <v>0.32099886141826406</v>
          </cell>
          <cell r="E429">
            <v>0</v>
          </cell>
          <cell r="F429">
            <v>0</v>
          </cell>
          <cell r="G429">
            <v>0</v>
          </cell>
        </row>
        <row r="430">
          <cell r="A430">
            <v>24724080000196</v>
          </cell>
          <cell r="B430">
            <v>1577.0543787302042</v>
          </cell>
          <cell r="C430">
            <v>1238.7700000000002</v>
          </cell>
          <cell r="D430">
            <v>0.78549605943037915</v>
          </cell>
          <cell r="E430">
            <v>0</v>
          </cell>
          <cell r="F430">
            <v>0</v>
          </cell>
          <cell r="G430">
            <v>0</v>
          </cell>
        </row>
        <row r="431">
          <cell r="A431">
            <v>64621083000119</v>
          </cell>
          <cell r="B431">
            <v>1126.5760623733865</v>
          </cell>
          <cell r="C431">
            <v>1187.6899999999996</v>
          </cell>
          <cell r="D431">
            <v>1.0542475023815638</v>
          </cell>
          <cell r="E431">
            <v>0</v>
          </cell>
          <cell r="F431">
            <v>0</v>
          </cell>
          <cell r="G431">
            <v>0</v>
          </cell>
        </row>
        <row r="432">
          <cell r="A432">
            <v>33202736000100</v>
          </cell>
          <cell r="B432">
            <v>4346.0036595198662</v>
          </cell>
          <cell r="C432">
            <v>1024.26</v>
          </cell>
          <cell r="D432">
            <v>0.23567858663817998</v>
          </cell>
          <cell r="E432">
            <v>927.6099999999999</v>
          </cell>
          <cell r="F432">
            <v>65.159999999999854</v>
          </cell>
          <cell r="G432">
            <v>862.45</v>
          </cell>
        </row>
        <row r="433">
          <cell r="A433">
            <v>193631000174</v>
          </cell>
          <cell r="B433">
            <v>6308.8527134109536</v>
          </cell>
          <cell r="C433">
            <v>1699.99</v>
          </cell>
          <cell r="D433">
            <v>0.26946103788193859</v>
          </cell>
          <cell r="E433">
            <v>0</v>
          </cell>
          <cell r="F433">
            <v>0</v>
          </cell>
          <cell r="G433">
            <v>0</v>
          </cell>
        </row>
        <row r="434">
          <cell r="A434">
            <v>10742383000127</v>
          </cell>
          <cell r="B434">
            <v>97.493367849103336</v>
          </cell>
          <cell r="C434">
            <v>0</v>
          </cell>
          <cell r="D434">
            <v>0</v>
          </cell>
          <cell r="E434">
            <v>0</v>
          </cell>
          <cell r="F434">
            <v>0</v>
          </cell>
          <cell r="G434">
            <v>0</v>
          </cell>
        </row>
        <row r="435">
          <cell r="A435">
            <v>23952661000112</v>
          </cell>
          <cell r="B435">
            <v>5483.9753735528429</v>
          </cell>
          <cell r="C435">
            <v>1141.2399999999998</v>
          </cell>
          <cell r="D435">
            <v>0.20810450854753512</v>
          </cell>
          <cell r="E435">
            <v>1217.6100000000001</v>
          </cell>
          <cell r="F435">
            <v>118.35000000000014</v>
          </cell>
          <cell r="G435">
            <v>1099.26</v>
          </cell>
        </row>
        <row r="436">
          <cell r="A436">
            <v>7549438000172</v>
          </cell>
          <cell r="B436">
            <v>3592.8306608693852</v>
          </cell>
          <cell r="C436">
            <v>1575.22</v>
          </cell>
          <cell r="D436">
            <v>0.43843424549790272</v>
          </cell>
          <cell r="E436">
            <v>1547.4400000000003</v>
          </cell>
          <cell r="F436">
            <v>296.6400000000001</v>
          </cell>
          <cell r="G436">
            <v>1250.8000000000002</v>
          </cell>
        </row>
        <row r="437">
          <cell r="A437">
            <v>51905753000187</v>
          </cell>
          <cell r="B437">
            <v>12611.390676123952</v>
          </cell>
          <cell r="C437">
            <v>6846.1999999999989</v>
          </cell>
          <cell r="D437">
            <v>0.542858450413507</v>
          </cell>
          <cell r="E437">
            <v>0</v>
          </cell>
          <cell r="F437">
            <v>0</v>
          </cell>
          <cell r="G437">
            <v>0</v>
          </cell>
        </row>
        <row r="438">
          <cell r="A438">
            <v>36199591000115</v>
          </cell>
          <cell r="B438">
            <v>2480.0667032985407</v>
          </cell>
          <cell r="C438">
            <v>1481.0800000000002</v>
          </cell>
          <cell r="D438">
            <v>0.5971936150064564</v>
          </cell>
          <cell r="E438">
            <v>1109.4100000000001</v>
          </cell>
          <cell r="F438">
            <v>0</v>
          </cell>
          <cell r="G438">
            <v>1109.4100000000001</v>
          </cell>
        </row>
        <row r="439">
          <cell r="A439">
            <v>17479487000210</v>
          </cell>
          <cell r="B439">
            <v>2356.3560690180557</v>
          </cell>
          <cell r="C439">
            <v>660.6</v>
          </cell>
          <cell r="D439">
            <v>0.28034812254638847</v>
          </cell>
          <cell r="E439">
            <v>436.8</v>
          </cell>
          <cell r="F439">
            <v>63.610000000000014</v>
          </cell>
          <cell r="G439">
            <v>373.19</v>
          </cell>
        </row>
        <row r="440">
          <cell r="A440">
            <v>28846852000113</v>
          </cell>
          <cell r="B440">
            <v>13096.239280570808</v>
          </cell>
          <cell r="C440">
            <v>8214.869999999999</v>
          </cell>
          <cell r="D440">
            <v>0.62726938810497579</v>
          </cell>
          <cell r="E440">
            <v>7669.13</v>
          </cell>
          <cell r="F440">
            <v>521.83999999999924</v>
          </cell>
          <cell r="G440">
            <v>7147.2900000000009</v>
          </cell>
        </row>
        <row r="441">
          <cell r="A441">
            <v>27704045000101</v>
          </cell>
          <cell r="B441">
            <v>731.8846996102385</v>
          </cell>
          <cell r="C441">
            <v>189.4</v>
          </cell>
          <cell r="D441">
            <v>0.25878393154121682</v>
          </cell>
          <cell r="E441">
            <v>0</v>
          </cell>
          <cell r="F441">
            <v>0</v>
          </cell>
          <cell r="G441">
            <v>0</v>
          </cell>
        </row>
        <row r="442">
          <cell r="A442">
            <v>3477379000113</v>
          </cell>
          <cell r="B442">
            <v>7145.7810969192305</v>
          </cell>
          <cell r="C442">
            <v>3558.7900000000004</v>
          </cell>
          <cell r="D442">
            <v>0.49802673098036909</v>
          </cell>
          <cell r="E442">
            <v>4994.2299999999996</v>
          </cell>
          <cell r="F442">
            <v>3166.6199999999994</v>
          </cell>
          <cell r="G442">
            <v>1827.6100000000001</v>
          </cell>
        </row>
        <row r="443">
          <cell r="A443">
            <v>18429327000149</v>
          </cell>
          <cell r="B443">
            <v>2703.3489830113981</v>
          </cell>
          <cell r="C443">
            <v>851.83999999999992</v>
          </cell>
          <cell r="D443">
            <v>0.31510545081423114</v>
          </cell>
          <cell r="E443">
            <v>454.46000000000004</v>
          </cell>
          <cell r="F443">
            <v>0</v>
          </cell>
          <cell r="G443">
            <v>454.46000000000004</v>
          </cell>
        </row>
        <row r="444">
          <cell r="A444">
            <v>62623466000109</v>
          </cell>
          <cell r="B444">
            <v>454.70671250160689</v>
          </cell>
          <cell r="C444">
            <v>390.28</v>
          </cell>
          <cell r="D444">
            <v>0.85831149897225401</v>
          </cell>
          <cell r="E444">
            <v>57.93</v>
          </cell>
          <cell r="F444">
            <v>0</v>
          </cell>
          <cell r="G444">
            <v>57.93</v>
          </cell>
        </row>
        <row r="445">
          <cell r="A445">
            <v>52619699000176</v>
          </cell>
          <cell r="B445">
            <v>3007.8277459002397</v>
          </cell>
          <cell r="C445">
            <v>2760.7500000000005</v>
          </cell>
          <cell r="D445">
            <v>0.91785508786631353</v>
          </cell>
          <cell r="E445">
            <v>2148.1999999999998</v>
          </cell>
          <cell r="F445">
            <v>0</v>
          </cell>
          <cell r="G445">
            <v>2148.1999999999998</v>
          </cell>
        </row>
        <row r="446">
          <cell r="A446">
            <v>19797575000105</v>
          </cell>
          <cell r="B446">
            <v>3761.626307386407</v>
          </cell>
          <cell r="C446">
            <v>1682.4699999999998</v>
          </cell>
          <cell r="D446">
            <v>0.44727196763173072</v>
          </cell>
          <cell r="E446">
            <v>818.99000000000012</v>
          </cell>
          <cell r="F446">
            <v>38.279999999999973</v>
          </cell>
          <cell r="G446">
            <v>780.71000000000015</v>
          </cell>
        </row>
        <row r="447">
          <cell r="A447">
            <v>17373000175</v>
          </cell>
          <cell r="B447">
            <v>30464.387678318995</v>
          </cell>
          <cell r="C447">
            <v>15598.259999999998</v>
          </cell>
          <cell r="D447">
            <v>0.51201619952798272</v>
          </cell>
          <cell r="E447">
            <v>13667.44999999999</v>
          </cell>
          <cell r="F447">
            <v>547.27999999999702</v>
          </cell>
          <cell r="G447">
            <v>13120.169999999993</v>
          </cell>
        </row>
        <row r="448">
          <cell r="A448">
            <v>43002849000107</v>
          </cell>
          <cell r="B448">
            <v>5315.7437625572293</v>
          </cell>
          <cell r="C448">
            <v>2721.7999999999997</v>
          </cell>
          <cell r="D448">
            <v>0.51202618515431064</v>
          </cell>
          <cell r="E448">
            <v>2491.8300000000008</v>
          </cell>
          <cell r="F448">
            <v>1147.170000000001</v>
          </cell>
          <cell r="G448">
            <v>1344.6599999999999</v>
          </cell>
        </row>
        <row r="449">
          <cell r="A449">
            <v>24676884000248</v>
          </cell>
          <cell r="B449">
            <v>10738.475817990435</v>
          </cell>
          <cell r="C449">
            <v>8160.369999999999</v>
          </cell>
          <cell r="D449">
            <v>0.75991883190058773</v>
          </cell>
          <cell r="E449">
            <v>5805.21</v>
          </cell>
          <cell r="F449">
            <v>1465.3200000000006</v>
          </cell>
          <cell r="G449">
            <v>4339.8899999999994</v>
          </cell>
        </row>
        <row r="450">
          <cell r="A450">
            <v>10299122000184</v>
          </cell>
          <cell r="B450">
            <v>8040.6225288025962</v>
          </cell>
          <cell r="C450">
            <v>4965.68</v>
          </cell>
          <cell r="D450">
            <v>0.61757407243186258</v>
          </cell>
          <cell r="E450">
            <v>548.76</v>
          </cell>
          <cell r="F450">
            <v>0</v>
          </cell>
          <cell r="G450">
            <v>548.76</v>
          </cell>
        </row>
        <row r="451">
          <cell r="A451">
            <v>65892972000183</v>
          </cell>
          <cell r="B451">
            <v>0</v>
          </cell>
          <cell r="C451">
            <v>1887.3600000000001</v>
          </cell>
          <cell r="D451">
            <v>0</v>
          </cell>
          <cell r="E451">
            <v>1724.0500000000002</v>
          </cell>
          <cell r="F451">
            <v>0</v>
          </cell>
          <cell r="G451">
            <v>1724.0500000000002</v>
          </cell>
        </row>
        <row r="452">
          <cell r="A452">
            <v>6368293000140</v>
          </cell>
          <cell r="B452">
            <v>11331.053713827969</v>
          </cell>
          <cell r="C452">
            <v>4740.87</v>
          </cell>
          <cell r="D452">
            <v>0.4183962162507826</v>
          </cell>
          <cell r="E452">
            <v>0</v>
          </cell>
          <cell r="F452">
            <v>0</v>
          </cell>
          <cell r="G452">
            <v>0</v>
          </cell>
        </row>
        <row r="453">
          <cell r="A453">
            <v>10673419000168</v>
          </cell>
          <cell r="B453">
            <v>841.43957390655248</v>
          </cell>
          <cell r="C453">
            <v>797.32</v>
          </cell>
          <cell r="D453">
            <v>0.94756655703544057</v>
          </cell>
          <cell r="E453">
            <v>0</v>
          </cell>
          <cell r="F453">
            <v>0</v>
          </cell>
          <cell r="G453">
            <v>0</v>
          </cell>
        </row>
        <row r="454">
          <cell r="A454">
            <v>56129324000260</v>
          </cell>
          <cell r="B454">
            <v>1819.3548563943521</v>
          </cell>
          <cell r="C454">
            <v>1996.0900000000006</v>
          </cell>
          <cell r="D454">
            <v>1.097141656002121</v>
          </cell>
          <cell r="E454">
            <v>71.31</v>
          </cell>
          <cell r="F454">
            <v>71.31</v>
          </cell>
          <cell r="G454">
            <v>0</v>
          </cell>
        </row>
        <row r="455">
          <cell r="A455">
            <v>4564557000106</v>
          </cell>
          <cell r="B455">
            <v>2660.8150448173178</v>
          </cell>
          <cell r="C455">
            <v>1514.1</v>
          </cell>
          <cell r="D455">
            <v>0.5690361691802418</v>
          </cell>
          <cell r="E455">
            <v>353.69</v>
          </cell>
          <cell r="F455">
            <v>86.019999999999982</v>
          </cell>
          <cell r="G455">
            <v>267.67</v>
          </cell>
        </row>
        <row r="456">
          <cell r="A456">
            <v>96252382000110</v>
          </cell>
          <cell r="B456">
            <v>3524.7399300630627</v>
          </cell>
          <cell r="C456">
            <v>1245.6099999999999</v>
          </cell>
          <cell r="D456">
            <v>0.35339061170896491</v>
          </cell>
          <cell r="E456">
            <v>1182.75</v>
          </cell>
          <cell r="F456">
            <v>0</v>
          </cell>
          <cell r="G456">
            <v>1182.75</v>
          </cell>
        </row>
        <row r="457">
          <cell r="A457">
            <v>7865786000159</v>
          </cell>
          <cell r="B457">
            <v>8022.5215159045001</v>
          </cell>
          <cell r="C457">
            <v>4439.59</v>
          </cell>
          <cell r="D457">
            <v>0.55339084989658116</v>
          </cell>
          <cell r="E457">
            <v>2760.01</v>
          </cell>
          <cell r="F457">
            <v>0</v>
          </cell>
          <cell r="G457">
            <v>2760.01</v>
          </cell>
        </row>
        <row r="458">
          <cell r="A458">
            <v>50963555000107</v>
          </cell>
          <cell r="B458">
            <v>9994.728787519427</v>
          </cell>
          <cell r="C458">
            <v>6935.94</v>
          </cell>
          <cell r="D458">
            <v>0.69395980095638166</v>
          </cell>
          <cell r="E458">
            <v>4453.4599999999991</v>
          </cell>
          <cell r="F458">
            <v>784.31999999999925</v>
          </cell>
          <cell r="G458">
            <v>3669.14</v>
          </cell>
        </row>
        <row r="459">
          <cell r="A459">
            <v>29301968000130</v>
          </cell>
          <cell r="B459">
            <v>16740.418674275486</v>
          </cell>
          <cell r="C459">
            <v>7454.2399999999989</v>
          </cell>
          <cell r="D459">
            <v>0.44528396481831795</v>
          </cell>
          <cell r="E459">
            <v>2940.67</v>
          </cell>
          <cell r="F459">
            <v>0</v>
          </cell>
          <cell r="G459">
            <v>2940.67</v>
          </cell>
        </row>
        <row r="460">
          <cell r="A460">
            <v>3511815000123</v>
          </cell>
          <cell r="B460">
            <v>834.15678654637259</v>
          </cell>
          <cell r="C460">
            <v>3086.33</v>
          </cell>
          <cell r="D460">
            <v>3.6999399270947779</v>
          </cell>
          <cell r="E460">
            <v>3075.8300000000004</v>
          </cell>
          <cell r="F460">
            <v>175.73000000000047</v>
          </cell>
          <cell r="G460">
            <v>2900.1</v>
          </cell>
        </row>
        <row r="461">
          <cell r="A461">
            <v>64096542000192</v>
          </cell>
          <cell r="B461">
            <v>954.37223788209849</v>
          </cell>
          <cell r="C461">
            <v>1008.1</v>
          </cell>
          <cell r="D461">
            <v>1.0562964428189277</v>
          </cell>
          <cell r="E461">
            <v>432.17</v>
          </cell>
          <cell r="F461">
            <v>0</v>
          </cell>
          <cell r="G461">
            <v>432.17</v>
          </cell>
        </row>
        <row r="462">
          <cell r="A462">
            <v>55354724000125</v>
          </cell>
          <cell r="B462">
            <v>6020.1422943845446</v>
          </cell>
          <cell r="C462">
            <v>1316.8399999999997</v>
          </cell>
          <cell r="D462">
            <v>0.21873901572531249</v>
          </cell>
          <cell r="E462">
            <v>0</v>
          </cell>
          <cell r="F462">
            <v>0</v>
          </cell>
          <cell r="G462">
            <v>0</v>
          </cell>
        </row>
        <row r="463">
          <cell r="A463">
            <v>15448038000107</v>
          </cell>
          <cell r="B463">
            <v>3006.1930933430244</v>
          </cell>
          <cell r="C463">
            <v>2252.77</v>
          </cell>
          <cell r="D463">
            <v>0.74937634744374204</v>
          </cell>
          <cell r="E463">
            <v>1048.96</v>
          </cell>
          <cell r="F463">
            <v>0</v>
          </cell>
          <cell r="G463">
            <v>1048.96</v>
          </cell>
        </row>
        <row r="464">
          <cell r="A464">
            <v>5438909000140</v>
          </cell>
          <cell r="B464">
            <v>2849.7617744913159</v>
          </cell>
          <cell r="C464">
            <v>2436.4599999999996</v>
          </cell>
          <cell r="D464">
            <v>0.8549697107348242</v>
          </cell>
          <cell r="E464">
            <v>2176.0700000000002</v>
          </cell>
          <cell r="F464">
            <v>285.47000000000003</v>
          </cell>
          <cell r="G464">
            <v>1890.6000000000001</v>
          </cell>
        </row>
        <row r="465">
          <cell r="A465">
            <v>3100938000171</v>
          </cell>
          <cell r="B465">
            <v>7143.179940383473</v>
          </cell>
          <cell r="C465">
            <v>4739.6799999999994</v>
          </cell>
          <cell r="D465">
            <v>0.66352521419830779</v>
          </cell>
          <cell r="E465">
            <v>2558.33</v>
          </cell>
          <cell r="F465">
            <v>130.02000000000044</v>
          </cell>
          <cell r="G465">
            <v>2428.3099999999995</v>
          </cell>
        </row>
        <row r="466">
          <cell r="A466">
            <v>26543256000139</v>
          </cell>
          <cell r="B466">
            <v>4287.1738088201291</v>
          </cell>
          <cell r="C466">
            <v>1954.2600000000002</v>
          </cell>
          <cell r="D466">
            <v>0.455838761652127</v>
          </cell>
          <cell r="E466">
            <v>0</v>
          </cell>
          <cell r="F466">
            <v>0</v>
          </cell>
          <cell r="G466">
            <v>0</v>
          </cell>
        </row>
        <row r="467">
          <cell r="A467">
            <v>982959000170</v>
          </cell>
          <cell r="B467">
            <v>11070.462898397942</v>
          </cell>
          <cell r="C467">
            <v>3821.08</v>
          </cell>
          <cell r="D467">
            <v>0.34515991201713581</v>
          </cell>
          <cell r="E467">
            <v>0</v>
          </cell>
          <cell r="F467">
            <v>0</v>
          </cell>
          <cell r="G467">
            <v>0</v>
          </cell>
        </row>
        <row r="468">
          <cell r="A468">
            <v>3318604000179</v>
          </cell>
          <cell r="B468">
            <v>4767.32055524104</v>
          </cell>
          <cell r="C468">
            <v>2209.0800000000004</v>
          </cell>
          <cell r="D468">
            <v>0.46337979047190531</v>
          </cell>
          <cell r="E468">
            <v>1125.04</v>
          </cell>
          <cell r="F468">
            <v>0</v>
          </cell>
          <cell r="G468">
            <v>1125.04</v>
          </cell>
        </row>
        <row r="469">
          <cell r="A469">
            <v>4877066000115</v>
          </cell>
          <cell r="B469">
            <v>9792.9945086188491</v>
          </cell>
          <cell r="C469">
            <v>3661.11</v>
          </cell>
          <cell r="D469">
            <v>0.37384989818771414</v>
          </cell>
          <cell r="E469">
            <v>0</v>
          </cell>
          <cell r="F469">
            <v>0</v>
          </cell>
          <cell r="G469">
            <v>0</v>
          </cell>
        </row>
        <row r="470">
          <cell r="A470">
            <v>37203809000120</v>
          </cell>
          <cell r="B470">
            <v>755.02905519001763</v>
          </cell>
          <cell r="C470">
            <v>422.72</v>
          </cell>
          <cell r="D470">
            <v>0.55987249377259318</v>
          </cell>
          <cell r="E470">
            <v>0</v>
          </cell>
          <cell r="F470">
            <v>0</v>
          </cell>
          <cell r="G470">
            <v>0</v>
          </cell>
        </row>
        <row r="471">
          <cell r="A471">
            <v>16042681000190</v>
          </cell>
          <cell r="B471">
            <v>4681.8195339454387</v>
          </cell>
          <cell r="C471">
            <v>2258.6100000000006</v>
          </cell>
          <cell r="D471">
            <v>0.48242141407288214</v>
          </cell>
          <cell r="E471">
            <v>951.63000000000011</v>
          </cell>
          <cell r="F471">
            <v>0</v>
          </cell>
          <cell r="G471">
            <v>951.63000000000011</v>
          </cell>
        </row>
        <row r="472">
          <cell r="A472">
            <v>2291187000155</v>
          </cell>
          <cell r="B472">
            <v>2869.5116401016776</v>
          </cell>
          <cell r="C472">
            <v>445.28</v>
          </cell>
          <cell r="D472">
            <v>0.15517623060912972</v>
          </cell>
          <cell r="E472">
            <v>212.07</v>
          </cell>
          <cell r="F472">
            <v>0</v>
          </cell>
          <cell r="G472">
            <v>212.07</v>
          </cell>
        </row>
        <row r="473">
          <cell r="A473">
            <v>3484949000100</v>
          </cell>
          <cell r="B473">
            <v>6071.8245729347054</v>
          </cell>
          <cell r="C473">
            <v>5171.37</v>
          </cell>
          <cell r="D473">
            <v>0.85169950776435444</v>
          </cell>
          <cell r="E473">
            <v>1491.27</v>
          </cell>
          <cell r="F473">
            <v>0</v>
          </cell>
          <cell r="G473">
            <v>1491.27</v>
          </cell>
        </row>
        <row r="474">
          <cell r="A474">
            <v>1203805000103</v>
          </cell>
          <cell r="B474">
            <v>2933.4970010060806</v>
          </cell>
          <cell r="C474">
            <v>1828.02</v>
          </cell>
          <cell r="D474">
            <v>0.62315386699664499</v>
          </cell>
          <cell r="E474">
            <v>979.68000000000018</v>
          </cell>
          <cell r="F474">
            <v>0</v>
          </cell>
          <cell r="G474">
            <v>979.68000000000018</v>
          </cell>
        </row>
        <row r="475">
          <cell r="A475">
            <v>43162536000116</v>
          </cell>
          <cell r="B475">
            <v>2918.532855852221</v>
          </cell>
          <cell r="C475">
            <v>1961.3500000000004</v>
          </cell>
          <cell r="D475">
            <v>0.67203286612556568</v>
          </cell>
          <cell r="E475">
            <v>0</v>
          </cell>
          <cell r="F475">
            <v>0</v>
          </cell>
          <cell r="G475">
            <v>0</v>
          </cell>
        </row>
        <row r="476">
          <cell r="A476">
            <v>818504000113</v>
          </cell>
          <cell r="B476">
            <v>2269.1453592374364</v>
          </cell>
          <cell r="C476">
            <v>1199.6499999999999</v>
          </cell>
          <cell r="D476">
            <v>0.52867922062214268</v>
          </cell>
          <cell r="E476">
            <v>0</v>
          </cell>
          <cell r="F476">
            <v>0</v>
          </cell>
          <cell r="G476">
            <v>0</v>
          </cell>
        </row>
        <row r="477">
          <cell r="A477">
            <v>1738769000174</v>
          </cell>
          <cell r="B477">
            <v>3350.5870385202734</v>
          </cell>
          <cell r="C477">
            <v>2023.5499999999997</v>
          </cell>
          <cell r="D477">
            <v>0.60393894464943199</v>
          </cell>
          <cell r="E477">
            <v>2090.61</v>
          </cell>
          <cell r="F477">
            <v>0</v>
          </cell>
          <cell r="G477">
            <v>2090.61</v>
          </cell>
        </row>
        <row r="478">
          <cell r="A478">
            <v>5558461000106</v>
          </cell>
          <cell r="B478">
            <v>596.41617281977778</v>
          </cell>
          <cell r="C478">
            <v>318</v>
          </cell>
          <cell r="D478">
            <v>0.5331847365850888</v>
          </cell>
          <cell r="E478">
            <v>0</v>
          </cell>
          <cell r="F478">
            <v>0</v>
          </cell>
          <cell r="G478">
            <v>0</v>
          </cell>
        </row>
        <row r="479">
          <cell r="A479">
            <v>5867754000167</v>
          </cell>
          <cell r="B479">
            <v>5355.8905779711013</v>
          </cell>
          <cell r="C479">
            <v>8095.7799999999988</v>
          </cell>
          <cell r="D479">
            <v>1.5115656083972522</v>
          </cell>
          <cell r="E479">
            <v>5697.5999999999995</v>
          </cell>
          <cell r="F479">
            <v>172.17000000000007</v>
          </cell>
          <cell r="G479">
            <v>5525.4299999999994</v>
          </cell>
        </row>
        <row r="480">
          <cell r="A480">
            <v>15900640000125</v>
          </cell>
          <cell r="B480">
            <v>3947.0207597375684</v>
          </cell>
          <cell r="C480">
            <v>1644.8899999999999</v>
          </cell>
          <cell r="D480">
            <v>0.41674217089989823</v>
          </cell>
          <cell r="E480">
            <v>0</v>
          </cell>
          <cell r="F480">
            <v>0</v>
          </cell>
          <cell r="G480">
            <v>0</v>
          </cell>
        </row>
        <row r="481">
          <cell r="A481">
            <v>4621137000114</v>
          </cell>
          <cell r="B481">
            <v>5700.9677718862386</v>
          </cell>
          <cell r="C481">
            <v>3828.4700000000012</v>
          </cell>
          <cell r="D481">
            <v>0.67154738514392665</v>
          </cell>
          <cell r="E481">
            <v>3691.03</v>
          </cell>
          <cell r="F481">
            <v>424.38999999999987</v>
          </cell>
          <cell r="G481">
            <v>3266.6400000000003</v>
          </cell>
        </row>
        <row r="482">
          <cell r="A482">
            <v>5335462000183</v>
          </cell>
          <cell r="B482">
            <v>2019.6289893893813</v>
          </cell>
          <cell r="C482">
            <v>1249.79</v>
          </cell>
          <cell r="D482">
            <v>0.61882157889695566</v>
          </cell>
          <cell r="E482">
            <v>0</v>
          </cell>
          <cell r="F482">
            <v>0</v>
          </cell>
          <cell r="G482">
            <v>0</v>
          </cell>
        </row>
        <row r="483">
          <cell r="A483">
            <v>8966998000195</v>
          </cell>
          <cell r="B483">
            <v>5783.2657441709798</v>
          </cell>
          <cell r="C483">
            <v>5075.8200000000006</v>
          </cell>
          <cell r="D483">
            <v>0.87767365784911022</v>
          </cell>
          <cell r="E483">
            <v>3225.9600000000005</v>
          </cell>
          <cell r="F483">
            <v>0</v>
          </cell>
          <cell r="G483">
            <v>3225.9600000000005</v>
          </cell>
        </row>
        <row r="484">
          <cell r="A484">
            <v>4745484000159</v>
          </cell>
          <cell r="B484">
            <v>12098.784600366294</v>
          </cell>
          <cell r="C484">
            <v>7775.86</v>
          </cell>
          <cell r="D484">
            <v>0.64269761441695417</v>
          </cell>
          <cell r="E484">
            <v>0</v>
          </cell>
          <cell r="F484">
            <v>0</v>
          </cell>
          <cell r="G484">
            <v>0</v>
          </cell>
        </row>
        <row r="485">
          <cell r="A485">
            <v>7110508000191</v>
          </cell>
          <cell r="B485">
            <v>8901.0504926284611</v>
          </cell>
          <cell r="C485">
            <v>2452.48</v>
          </cell>
          <cell r="D485">
            <v>0.27552702931311962</v>
          </cell>
          <cell r="E485">
            <v>323.12</v>
          </cell>
          <cell r="F485">
            <v>125.85000000000002</v>
          </cell>
          <cell r="G485">
            <v>197.26999999999998</v>
          </cell>
        </row>
        <row r="486">
          <cell r="A486">
            <v>6316789000170</v>
          </cell>
          <cell r="B486">
            <v>8403.1212350498627</v>
          </cell>
          <cell r="C486">
            <v>4716.6499999999996</v>
          </cell>
          <cell r="D486">
            <v>0.56129738796658124</v>
          </cell>
          <cell r="E486">
            <v>2816.82</v>
          </cell>
          <cell r="F486">
            <v>230.44999999999982</v>
          </cell>
          <cell r="G486">
            <v>2586.3700000000003</v>
          </cell>
        </row>
        <row r="487">
          <cell r="A487">
            <v>55288708000181</v>
          </cell>
          <cell r="B487">
            <v>9374.3682295533181</v>
          </cell>
          <cell r="C487">
            <v>5672.4999999999991</v>
          </cell>
          <cell r="D487">
            <v>0.60510744416003059</v>
          </cell>
          <cell r="E487">
            <v>5191.3299999999981</v>
          </cell>
          <cell r="F487">
            <v>0</v>
          </cell>
          <cell r="G487">
            <v>5191.3299999999981</v>
          </cell>
        </row>
        <row r="488">
          <cell r="A488">
            <v>4994525000140</v>
          </cell>
          <cell r="B488">
            <v>4569.02498835809</v>
          </cell>
          <cell r="C488">
            <v>2068.6799999999998</v>
          </cell>
          <cell r="D488">
            <v>0.45276180482072476</v>
          </cell>
          <cell r="E488">
            <v>0</v>
          </cell>
          <cell r="F488">
            <v>0</v>
          </cell>
          <cell r="G488">
            <v>0</v>
          </cell>
        </row>
        <row r="489">
          <cell r="A489">
            <v>53039511000183</v>
          </cell>
          <cell r="B489">
            <v>3000.09026962398</v>
          </cell>
          <cell r="C489">
            <v>2010.2299999999998</v>
          </cell>
          <cell r="D489">
            <v>0.67005650475042355</v>
          </cell>
          <cell r="E489">
            <v>1664.0199999999998</v>
          </cell>
          <cell r="F489">
            <v>160.98000000000002</v>
          </cell>
          <cell r="G489">
            <v>1503.0399999999997</v>
          </cell>
        </row>
        <row r="490">
          <cell r="A490">
            <v>29041586000114</v>
          </cell>
          <cell r="B490">
            <v>730.62091223784944</v>
          </cell>
          <cell r="C490">
            <v>181.69</v>
          </cell>
          <cell r="D490">
            <v>0.24867889346815172</v>
          </cell>
          <cell r="E490">
            <v>0</v>
          </cell>
          <cell r="F490">
            <v>0</v>
          </cell>
          <cell r="G490">
            <v>0</v>
          </cell>
        </row>
        <row r="491">
          <cell r="A491">
            <v>27127481000157</v>
          </cell>
          <cell r="B491">
            <v>1547.4911264007335</v>
          </cell>
          <cell r="C491">
            <v>1131</v>
          </cell>
          <cell r="D491">
            <v>0.73086041057344309</v>
          </cell>
          <cell r="E491">
            <v>679.21</v>
          </cell>
          <cell r="F491">
            <v>0</v>
          </cell>
          <cell r="G491">
            <v>679.21</v>
          </cell>
        </row>
        <row r="492">
          <cell r="A492">
            <v>56193995000109</v>
          </cell>
          <cell r="B492">
            <v>2202.0601050805026</v>
          </cell>
          <cell r="C492">
            <v>980.11</v>
          </cell>
          <cell r="D492">
            <v>0.44508776020179036</v>
          </cell>
          <cell r="E492">
            <v>0</v>
          </cell>
          <cell r="F492">
            <v>0</v>
          </cell>
          <cell r="G492">
            <v>0</v>
          </cell>
        </row>
        <row r="493">
          <cell r="A493">
            <v>30425108000197</v>
          </cell>
          <cell r="B493">
            <v>1290.962100058696</v>
          </cell>
          <cell r="C493">
            <v>239.05</v>
          </cell>
          <cell r="D493">
            <v>0.18517197366919691</v>
          </cell>
          <cell r="E493">
            <v>0</v>
          </cell>
          <cell r="F493">
            <v>0</v>
          </cell>
          <cell r="G493">
            <v>0</v>
          </cell>
        </row>
        <row r="494">
          <cell r="A494">
            <v>30425108000278</v>
          </cell>
          <cell r="B494">
            <v>1859.0493759993726</v>
          </cell>
          <cell r="C494">
            <v>366.51</v>
          </cell>
          <cell r="D494">
            <v>0.19714914769435563</v>
          </cell>
          <cell r="E494">
            <v>0</v>
          </cell>
          <cell r="F494">
            <v>0</v>
          </cell>
          <cell r="G494">
            <v>0</v>
          </cell>
        </row>
        <row r="495">
          <cell r="A495">
            <v>62668131000107</v>
          </cell>
          <cell r="B495">
            <v>948.63671221874677</v>
          </cell>
          <cell r="C495">
            <v>369.14000000000004</v>
          </cell>
          <cell r="D495">
            <v>0.38912683353422634</v>
          </cell>
          <cell r="E495">
            <v>0</v>
          </cell>
          <cell r="F495">
            <v>0</v>
          </cell>
          <cell r="G495">
            <v>0</v>
          </cell>
        </row>
        <row r="496">
          <cell r="A496">
            <v>52464336000109</v>
          </cell>
          <cell r="B496">
            <v>7331.6638023028245</v>
          </cell>
          <cell r="C496">
            <v>2936.82</v>
          </cell>
          <cell r="D496">
            <v>0.40056664887955795</v>
          </cell>
          <cell r="E496">
            <v>0</v>
          </cell>
          <cell r="F496">
            <v>0</v>
          </cell>
          <cell r="G496">
            <v>0</v>
          </cell>
        </row>
        <row r="497">
          <cell r="A497">
            <v>64799330000171</v>
          </cell>
          <cell r="B497">
            <v>2978.9462490748751</v>
          </cell>
          <cell r="C497">
            <v>3764.7000000000003</v>
          </cell>
          <cell r="D497">
            <v>1.2637690261008048</v>
          </cell>
          <cell r="E497">
            <v>589.80000000000007</v>
          </cell>
          <cell r="F497">
            <v>0</v>
          </cell>
          <cell r="G497">
            <v>589.80000000000007</v>
          </cell>
        </row>
        <row r="498">
          <cell r="A498">
            <v>11411195000189</v>
          </cell>
          <cell r="B498">
            <v>3167.79131739267</v>
          </cell>
          <cell r="C498">
            <v>1843.8799999999999</v>
          </cell>
          <cell r="D498">
            <v>0.58207117049542634</v>
          </cell>
          <cell r="E498">
            <v>1782.6899999999998</v>
          </cell>
          <cell r="F498">
            <v>0</v>
          </cell>
          <cell r="G498">
            <v>1782.6899999999998</v>
          </cell>
        </row>
        <row r="499">
          <cell r="A499">
            <v>19942147000129</v>
          </cell>
          <cell r="B499">
            <v>4435.2294836603705</v>
          </cell>
          <cell r="C499">
            <v>1128.3500000000001</v>
          </cell>
          <cell r="D499">
            <v>0.25440622726668455</v>
          </cell>
          <cell r="E499">
            <v>314.10000000000002</v>
          </cell>
          <cell r="F499">
            <v>0</v>
          </cell>
          <cell r="G499">
            <v>314.10000000000002</v>
          </cell>
        </row>
        <row r="500">
          <cell r="A500">
            <v>53933707000117</v>
          </cell>
          <cell r="B500">
            <v>2689.1745474065256</v>
          </cell>
          <cell r="C500">
            <v>1339.1100000000001</v>
          </cell>
          <cell r="D500">
            <v>0.49796321376440772</v>
          </cell>
          <cell r="E500">
            <v>0</v>
          </cell>
          <cell r="F500">
            <v>0</v>
          </cell>
          <cell r="G500">
            <v>0</v>
          </cell>
        </row>
        <row r="501">
          <cell r="A501">
            <v>10440010000100</v>
          </cell>
          <cell r="B501">
            <v>8510.7104295354948</v>
          </cell>
          <cell r="C501">
            <v>2894.93</v>
          </cell>
          <cell r="D501">
            <v>0.34015139205693806</v>
          </cell>
          <cell r="E501">
            <v>0</v>
          </cell>
          <cell r="F501">
            <v>0</v>
          </cell>
          <cell r="G501">
            <v>0</v>
          </cell>
        </row>
        <row r="502">
          <cell r="A502">
            <v>40883240000104</v>
          </cell>
          <cell r="B502">
            <v>4113.0457582437821</v>
          </cell>
          <cell r="C502">
            <v>2216.64</v>
          </cell>
          <cell r="D502">
            <v>0.53892908814767881</v>
          </cell>
          <cell r="E502">
            <v>0</v>
          </cell>
          <cell r="F502">
            <v>0</v>
          </cell>
          <cell r="G502">
            <v>0</v>
          </cell>
        </row>
        <row r="503">
          <cell r="A503">
            <v>12090789000106</v>
          </cell>
          <cell r="B503">
            <v>1161.5071475045229</v>
          </cell>
          <cell r="C503">
            <v>364.16</v>
          </cell>
          <cell r="D503">
            <v>0.31352368410507953</v>
          </cell>
          <cell r="E503">
            <v>0</v>
          </cell>
          <cell r="F503">
            <v>0</v>
          </cell>
          <cell r="G503">
            <v>0</v>
          </cell>
        </row>
        <row r="504">
          <cell r="A504">
            <v>31230095000163</v>
          </cell>
          <cell r="B504">
            <v>11090.1095941814</v>
          </cell>
          <cell r="C504">
            <v>2303.1799999999998</v>
          </cell>
          <cell r="D504">
            <v>0.20767874117388338</v>
          </cell>
          <cell r="E504">
            <v>2753.6299999999997</v>
          </cell>
          <cell r="F504">
            <v>0</v>
          </cell>
          <cell r="G504">
            <v>2753.6299999999997</v>
          </cell>
        </row>
        <row r="505">
          <cell r="A505">
            <v>51996536000140</v>
          </cell>
          <cell r="B505">
            <v>3956.6223883954644</v>
          </cell>
          <cell r="C505">
            <v>2705.7599999999998</v>
          </cell>
          <cell r="D505">
            <v>0.68385601009988495</v>
          </cell>
          <cell r="E505">
            <v>309.18</v>
          </cell>
          <cell r="F505">
            <v>0</v>
          </cell>
          <cell r="G505">
            <v>309.18</v>
          </cell>
        </row>
        <row r="506">
          <cell r="A506">
            <v>35447691000150</v>
          </cell>
          <cell r="B506">
            <v>1134.8618099263647</v>
          </cell>
          <cell r="C506">
            <v>1216.3900000000003</v>
          </cell>
          <cell r="D506">
            <v>1.0718397512018891</v>
          </cell>
          <cell r="E506">
            <v>916.80999999999983</v>
          </cell>
          <cell r="F506">
            <v>33.160000000000082</v>
          </cell>
          <cell r="G506">
            <v>883.64999999999975</v>
          </cell>
        </row>
        <row r="507">
          <cell r="A507">
            <v>62210039000190</v>
          </cell>
          <cell r="B507">
            <v>4584.5559938167853</v>
          </cell>
          <cell r="C507">
            <v>1459.3500000000001</v>
          </cell>
          <cell r="D507">
            <v>0.31831872093355018</v>
          </cell>
          <cell r="E507">
            <v>0</v>
          </cell>
          <cell r="F507">
            <v>0</v>
          </cell>
          <cell r="G507">
            <v>0</v>
          </cell>
        </row>
        <row r="508">
          <cell r="A508">
            <v>56129324000189</v>
          </cell>
          <cell r="B508">
            <v>2928.0320810963517</v>
          </cell>
          <cell r="C508">
            <v>253.66000000000003</v>
          </cell>
          <cell r="D508">
            <v>8.663156446872719E-2</v>
          </cell>
          <cell r="E508">
            <v>71.31</v>
          </cell>
          <cell r="F508">
            <v>71.31</v>
          </cell>
          <cell r="G508">
            <v>0</v>
          </cell>
        </row>
        <row r="509">
          <cell r="A509">
            <v>60042541000104</v>
          </cell>
          <cell r="B509">
            <v>1043.3438006282786</v>
          </cell>
          <cell r="C509">
            <v>1353.8300000000002</v>
          </cell>
          <cell r="D509">
            <v>1.2975876208635673</v>
          </cell>
          <cell r="E509">
            <v>1218.8</v>
          </cell>
          <cell r="F509">
            <v>313.7299999999999</v>
          </cell>
          <cell r="G509">
            <v>905.07</v>
          </cell>
        </row>
        <row r="510">
          <cell r="A510">
            <v>29606556000108</v>
          </cell>
          <cell r="B510">
            <v>1340.7564938722905</v>
          </cell>
          <cell r="C510">
            <v>739.6</v>
          </cell>
          <cell r="D510">
            <v>0.55162887771211366</v>
          </cell>
          <cell r="E510">
            <v>862.31</v>
          </cell>
          <cell r="F510">
            <v>315.52999999999997</v>
          </cell>
          <cell r="G510">
            <v>546.78</v>
          </cell>
        </row>
        <row r="511">
          <cell r="A511">
            <v>62145174000108</v>
          </cell>
          <cell r="B511">
            <v>2067.7488709561685</v>
          </cell>
          <cell r="C511">
            <v>1912.0900000000001</v>
          </cell>
          <cell r="D511">
            <v>0.92472061131669792</v>
          </cell>
          <cell r="E511">
            <v>0</v>
          </cell>
          <cell r="F511">
            <v>0</v>
          </cell>
          <cell r="G511">
            <v>0</v>
          </cell>
        </row>
        <row r="512">
          <cell r="A512">
            <v>1878521000109</v>
          </cell>
          <cell r="B512">
            <v>4939.6646706100128</v>
          </cell>
          <cell r="C512">
            <v>1452.49</v>
          </cell>
          <cell r="D512">
            <v>0.29404627578102949</v>
          </cell>
          <cell r="E512">
            <v>671.55</v>
          </cell>
          <cell r="F512">
            <v>0</v>
          </cell>
          <cell r="G512">
            <v>671.55</v>
          </cell>
        </row>
        <row r="513">
          <cell r="A513">
            <v>14178866000100</v>
          </cell>
          <cell r="B513">
            <v>2273.2026013625427</v>
          </cell>
          <cell r="C513">
            <v>1776.7700000000002</v>
          </cell>
          <cell r="D513">
            <v>0.78161532937496025</v>
          </cell>
          <cell r="E513">
            <v>0</v>
          </cell>
          <cell r="F513">
            <v>0</v>
          </cell>
          <cell r="G513">
            <v>0</v>
          </cell>
        </row>
        <row r="514">
          <cell r="A514">
            <v>8087667001157</v>
          </cell>
          <cell r="B514">
            <v>0</v>
          </cell>
          <cell r="C514">
            <v>9582.1799999999985</v>
          </cell>
          <cell r="D514">
            <v>0</v>
          </cell>
          <cell r="E514">
            <v>9042.5999999999985</v>
          </cell>
          <cell r="F514">
            <v>3523.3599999999979</v>
          </cell>
          <cell r="G514">
            <v>5519.2400000000007</v>
          </cell>
        </row>
        <row r="515">
          <cell r="A515">
            <v>4201690000106</v>
          </cell>
          <cell r="B515">
            <v>6320.8106042976315</v>
          </cell>
          <cell r="C515">
            <v>2703.6199999999994</v>
          </cell>
          <cell r="D515">
            <v>0.42773311356011207</v>
          </cell>
          <cell r="E515">
            <v>0</v>
          </cell>
          <cell r="F515">
            <v>0</v>
          </cell>
          <cell r="G515">
            <v>0</v>
          </cell>
        </row>
        <row r="516">
          <cell r="A516">
            <v>3480787000124</v>
          </cell>
          <cell r="B516">
            <v>19260.196953381143</v>
          </cell>
          <cell r="C516">
            <v>7050.2300000000005</v>
          </cell>
          <cell r="D516">
            <v>0.36605181229791772</v>
          </cell>
          <cell r="E516">
            <v>3746.2399999999993</v>
          </cell>
          <cell r="F516">
            <v>207.59999999999945</v>
          </cell>
          <cell r="G516">
            <v>3538.64</v>
          </cell>
        </row>
        <row r="517">
          <cell r="A517">
            <v>54297138000123</v>
          </cell>
          <cell r="B517">
            <v>3670.8603949917547</v>
          </cell>
          <cell r="C517">
            <v>681.00999999999988</v>
          </cell>
          <cell r="D517">
            <v>0.18551781509564313</v>
          </cell>
          <cell r="E517">
            <v>377.37</v>
          </cell>
          <cell r="F517">
            <v>41.660000000000025</v>
          </cell>
          <cell r="G517">
            <v>335.71</v>
          </cell>
        </row>
        <row r="518">
          <cell r="A518">
            <v>29576260000191</v>
          </cell>
          <cell r="B518">
            <v>6842.1078066538657</v>
          </cell>
          <cell r="C518">
            <v>1698.51</v>
          </cell>
          <cell r="D518">
            <v>0.24824367694823807</v>
          </cell>
          <cell r="E518">
            <v>0</v>
          </cell>
          <cell r="F518">
            <v>0</v>
          </cell>
          <cell r="G518">
            <v>0</v>
          </cell>
        </row>
        <row r="519">
          <cell r="A519">
            <v>28800059000426</v>
          </cell>
          <cell r="B519">
            <v>6149.503866121624</v>
          </cell>
          <cell r="C519">
            <v>1978.8600000000006</v>
          </cell>
          <cell r="D519">
            <v>0.32179181330412437</v>
          </cell>
          <cell r="E519">
            <v>1583.5100000000002</v>
          </cell>
          <cell r="F519">
            <v>65.159999999999854</v>
          </cell>
          <cell r="G519">
            <v>1518.3500000000004</v>
          </cell>
        </row>
        <row r="520">
          <cell r="A520">
            <v>55292481000148</v>
          </cell>
          <cell r="B520">
            <v>3856.8761169064405</v>
          </cell>
          <cell r="C520">
            <v>1949.3600000000004</v>
          </cell>
          <cell r="D520">
            <v>0.505424582203994</v>
          </cell>
          <cell r="E520">
            <v>1088.9000000000001</v>
          </cell>
          <cell r="F520">
            <v>185.90000000000009</v>
          </cell>
          <cell r="G520">
            <v>903</v>
          </cell>
        </row>
        <row r="521">
          <cell r="A521">
            <v>57259868000128</v>
          </cell>
          <cell r="B521">
            <v>1557.1122690860825</v>
          </cell>
          <cell r="C521">
            <v>1042.9499999999998</v>
          </cell>
          <cell r="D521">
            <v>0.66979756097621623</v>
          </cell>
          <cell r="E521">
            <v>457.34000000000003</v>
          </cell>
          <cell r="F521">
            <v>210.52000000000004</v>
          </cell>
          <cell r="G521">
            <v>246.82</v>
          </cell>
        </row>
        <row r="522">
          <cell r="A522">
            <v>10378095000135</v>
          </cell>
          <cell r="B522">
            <v>15712.059192598836</v>
          </cell>
          <cell r="C522">
            <v>9930.659999999998</v>
          </cell>
          <cell r="D522">
            <v>0.63204064332177634</v>
          </cell>
          <cell r="E522">
            <v>8983.9800000000014</v>
          </cell>
          <cell r="F522">
            <v>430.85000000000036</v>
          </cell>
          <cell r="G522">
            <v>8553.130000000001</v>
          </cell>
        </row>
        <row r="523">
          <cell r="A523">
            <v>55557060000100</v>
          </cell>
          <cell r="B523">
            <v>9160.8874009266783</v>
          </cell>
          <cell r="C523">
            <v>4448.2199999999993</v>
          </cell>
          <cell r="D523">
            <v>0.4855664964891977</v>
          </cell>
          <cell r="E523">
            <v>2367.7400000000002</v>
          </cell>
          <cell r="F523">
            <v>84.170000000000073</v>
          </cell>
          <cell r="G523">
            <v>2283.5700000000002</v>
          </cell>
        </row>
        <row r="524">
          <cell r="A524">
            <v>34738410000156</v>
          </cell>
          <cell r="B524">
            <v>2969.9861114232208</v>
          </cell>
          <cell r="C524">
            <v>1850.2000000000003</v>
          </cell>
          <cell r="D524">
            <v>0.62296587613111165</v>
          </cell>
          <cell r="E524">
            <v>137.85</v>
          </cell>
          <cell r="F524">
            <v>0</v>
          </cell>
          <cell r="G524">
            <v>137.85</v>
          </cell>
        </row>
        <row r="525">
          <cell r="A525">
            <v>12741296000180</v>
          </cell>
          <cell r="B525">
            <v>3681.9848483465744</v>
          </cell>
          <cell r="C525">
            <v>1309.0100000000002</v>
          </cell>
          <cell r="D525">
            <v>0.35551748687608586</v>
          </cell>
          <cell r="E525">
            <v>393.26</v>
          </cell>
          <cell r="F525">
            <v>31.919999999999959</v>
          </cell>
          <cell r="G525">
            <v>361.34000000000003</v>
          </cell>
        </row>
        <row r="526">
          <cell r="A526">
            <v>34959930000199</v>
          </cell>
          <cell r="B526">
            <v>4639.0762711353173</v>
          </cell>
          <cell r="C526">
            <v>2689.9700000000003</v>
          </cell>
          <cell r="D526">
            <v>0.57985035010896391</v>
          </cell>
          <cell r="E526">
            <v>1600.14</v>
          </cell>
          <cell r="F526">
            <v>0</v>
          </cell>
          <cell r="G526">
            <v>1600.14</v>
          </cell>
        </row>
        <row r="527">
          <cell r="A527">
            <v>5639734000139</v>
          </cell>
          <cell r="B527">
            <v>1442.1908323071148</v>
          </cell>
          <cell r="C527">
            <v>453.46</v>
          </cell>
          <cell r="D527">
            <v>0.31442440892138163</v>
          </cell>
          <cell r="E527">
            <v>0</v>
          </cell>
          <cell r="F527">
            <v>0</v>
          </cell>
          <cell r="G527">
            <v>0</v>
          </cell>
        </row>
        <row r="528">
          <cell r="A528">
            <v>3110652000177</v>
          </cell>
          <cell r="B528">
            <v>1995.572478084199</v>
          </cell>
          <cell r="C528">
            <v>1590.9900000000002</v>
          </cell>
          <cell r="D528">
            <v>0.79725994293496749</v>
          </cell>
          <cell r="E528">
            <v>0</v>
          </cell>
          <cell r="F528">
            <v>0</v>
          </cell>
          <cell r="G528">
            <v>0</v>
          </cell>
        </row>
        <row r="529">
          <cell r="A529">
            <v>4592381000104</v>
          </cell>
          <cell r="B529">
            <v>2731.0965594312765</v>
          </cell>
          <cell r="C529">
            <v>1466.72</v>
          </cell>
          <cell r="D529">
            <v>0.53704435858739086</v>
          </cell>
          <cell r="E529">
            <v>268.96999999999997</v>
          </cell>
          <cell r="F529">
            <v>0</v>
          </cell>
          <cell r="G529">
            <v>268.96999999999997</v>
          </cell>
        </row>
        <row r="530">
          <cell r="A530">
            <v>36630262000187</v>
          </cell>
          <cell r="B530">
            <v>6532.0276467028343</v>
          </cell>
          <cell r="C530">
            <v>3497.1</v>
          </cell>
          <cell r="D530">
            <v>0.5353774033343579</v>
          </cell>
          <cell r="E530">
            <v>137.85</v>
          </cell>
          <cell r="F530">
            <v>0</v>
          </cell>
          <cell r="G530">
            <v>137.85</v>
          </cell>
        </row>
        <row r="531">
          <cell r="A531">
            <v>18723666000133</v>
          </cell>
          <cell r="B531">
            <v>7567.4330713901163</v>
          </cell>
          <cell r="C531">
            <v>5182.7099999999991</v>
          </cell>
          <cell r="D531">
            <v>0.6848702791431428</v>
          </cell>
          <cell r="E531">
            <v>2658.2600000000007</v>
          </cell>
          <cell r="F531">
            <v>0</v>
          </cell>
          <cell r="G531">
            <v>2658.2600000000007</v>
          </cell>
        </row>
        <row r="532">
          <cell r="A532">
            <v>36004691000149</v>
          </cell>
          <cell r="B532">
            <v>6047.4291948764439</v>
          </cell>
          <cell r="C532">
            <v>4251.21</v>
          </cell>
          <cell r="D532">
            <v>0.70297805282313142</v>
          </cell>
          <cell r="E532">
            <v>0</v>
          </cell>
          <cell r="F532">
            <v>0</v>
          </cell>
          <cell r="G532">
            <v>0</v>
          </cell>
        </row>
        <row r="533">
          <cell r="A533">
            <v>11210256000140</v>
          </cell>
          <cell r="B533">
            <v>2766.1220977640387</v>
          </cell>
          <cell r="C533">
            <v>2008.8900000000003</v>
          </cell>
          <cell r="D533">
            <v>0.72624776817475345</v>
          </cell>
          <cell r="E533">
            <v>1177.6300000000001</v>
          </cell>
          <cell r="F533">
            <v>34.279999999999745</v>
          </cell>
          <cell r="G533">
            <v>1143.3500000000004</v>
          </cell>
        </row>
        <row r="534">
          <cell r="A534">
            <v>19825473000156</v>
          </cell>
          <cell r="B534">
            <v>2623.7710966149293</v>
          </cell>
          <cell r="C534">
            <v>1217.95</v>
          </cell>
          <cell r="D534">
            <v>0.46419826850419382</v>
          </cell>
          <cell r="E534">
            <v>444.1699999999999</v>
          </cell>
          <cell r="F534">
            <v>0</v>
          </cell>
          <cell r="G534">
            <v>444.1699999999999</v>
          </cell>
        </row>
        <row r="535">
          <cell r="A535">
            <v>19825473000237</v>
          </cell>
          <cell r="B535">
            <v>6199.5663513429708</v>
          </cell>
          <cell r="C535">
            <v>505.35999999999996</v>
          </cell>
          <cell r="D535">
            <v>8.151537887654467E-2</v>
          </cell>
          <cell r="E535">
            <v>405.80000000000007</v>
          </cell>
          <cell r="F535">
            <v>231.26000000000005</v>
          </cell>
          <cell r="G535">
            <v>174.54000000000002</v>
          </cell>
        </row>
        <row r="536">
          <cell r="A536">
            <v>1756694000154</v>
          </cell>
          <cell r="B536">
            <v>3008.8332133980812</v>
          </cell>
          <cell r="C536">
            <v>2039.8400000000001</v>
          </cell>
          <cell r="D536">
            <v>0.67795050616855868</v>
          </cell>
          <cell r="E536">
            <v>0</v>
          </cell>
          <cell r="F536">
            <v>0</v>
          </cell>
          <cell r="G536">
            <v>0</v>
          </cell>
        </row>
        <row r="537">
          <cell r="A537">
            <v>7382151000109</v>
          </cell>
          <cell r="B537">
            <v>3235.4629286244663</v>
          </cell>
          <cell r="C537">
            <v>4383.93</v>
          </cell>
          <cell r="D537">
            <v>1.354962209956087</v>
          </cell>
          <cell r="E537">
            <v>3168.54</v>
          </cell>
          <cell r="F537">
            <v>0</v>
          </cell>
          <cell r="G537">
            <v>3168.54</v>
          </cell>
        </row>
        <row r="538">
          <cell r="A538">
            <v>21303831000102</v>
          </cell>
          <cell r="B538">
            <v>8916.3915277332671</v>
          </cell>
          <cell r="C538">
            <v>3763.940000000001</v>
          </cell>
          <cell r="D538">
            <v>0.42213713790974283</v>
          </cell>
          <cell r="E538">
            <v>2041.0100000000002</v>
          </cell>
          <cell r="F538">
            <v>1264.0700000000002</v>
          </cell>
          <cell r="G538">
            <v>776.94</v>
          </cell>
        </row>
        <row r="539">
          <cell r="A539">
            <v>41008901000107</v>
          </cell>
          <cell r="B539">
            <v>4027.5752921329886</v>
          </cell>
          <cell r="C539">
            <v>2785.1400000000003</v>
          </cell>
          <cell r="D539">
            <v>0.69151779867161733</v>
          </cell>
          <cell r="E539">
            <v>0</v>
          </cell>
          <cell r="F539">
            <v>0</v>
          </cell>
          <cell r="G539">
            <v>0</v>
          </cell>
        </row>
        <row r="540">
          <cell r="A540">
            <v>48130762000139</v>
          </cell>
          <cell r="B540">
            <v>1020.1518610696065</v>
          </cell>
          <cell r="C540">
            <v>0</v>
          </cell>
          <cell r="D540">
            <v>0</v>
          </cell>
          <cell r="E540">
            <v>0</v>
          </cell>
          <cell r="F540">
            <v>0</v>
          </cell>
          <cell r="G540">
            <v>0</v>
          </cell>
        </row>
        <row r="541">
          <cell r="A541">
            <v>17710409000102</v>
          </cell>
          <cell r="B541">
            <v>5020.8615570718703</v>
          </cell>
          <cell r="C541">
            <v>13248.619999999997</v>
          </cell>
          <cell r="D541">
            <v>2.6387144615328721</v>
          </cell>
          <cell r="E541">
            <v>12085.38</v>
          </cell>
          <cell r="F541">
            <v>11.709999999999127</v>
          </cell>
          <cell r="G541">
            <v>12073.67</v>
          </cell>
        </row>
        <row r="542">
          <cell r="A542">
            <v>9039622000106</v>
          </cell>
          <cell r="B542">
            <v>25029.998455836201</v>
          </cell>
          <cell r="C542">
            <v>8103.6799999999976</v>
          </cell>
          <cell r="D542">
            <v>0.32375870954600383</v>
          </cell>
          <cell r="E542">
            <v>16503.320000000003</v>
          </cell>
          <cell r="F542">
            <v>1573.3899999999994</v>
          </cell>
          <cell r="G542">
            <v>14929.930000000004</v>
          </cell>
        </row>
        <row r="543">
          <cell r="A543">
            <v>13234023000102</v>
          </cell>
          <cell r="B543">
            <v>5214.8995321757593</v>
          </cell>
          <cell r="C543">
            <v>4122.24</v>
          </cell>
          <cell r="D543">
            <v>0.79047352198559417</v>
          </cell>
          <cell r="E543">
            <v>3656.4500000000003</v>
          </cell>
          <cell r="F543">
            <v>70.319999999999709</v>
          </cell>
          <cell r="G543">
            <v>3586.1300000000006</v>
          </cell>
        </row>
        <row r="544">
          <cell r="A544">
            <v>13367286000190</v>
          </cell>
          <cell r="B544">
            <v>1092.6690567190531</v>
          </cell>
          <cell r="C544">
            <v>99.179999999999993</v>
          </cell>
          <cell r="D544">
            <v>9.076856289662566E-2</v>
          </cell>
          <cell r="E544">
            <v>0</v>
          </cell>
          <cell r="F544">
            <v>0</v>
          </cell>
          <cell r="G544">
            <v>0</v>
          </cell>
        </row>
        <row r="545">
          <cell r="A545">
            <v>26437890000197</v>
          </cell>
          <cell r="B545">
            <v>4955.906999191001</v>
          </cell>
          <cell r="C545">
            <v>2777.7099999999996</v>
          </cell>
          <cell r="D545">
            <v>0.56048469038128257</v>
          </cell>
          <cell r="E545">
            <v>0</v>
          </cell>
          <cell r="F545">
            <v>0</v>
          </cell>
          <cell r="G545">
            <v>0</v>
          </cell>
        </row>
        <row r="546">
          <cell r="A546">
            <v>18569567000149</v>
          </cell>
          <cell r="B546">
            <v>1957.8532297452696</v>
          </cell>
          <cell r="C546">
            <v>401.96</v>
          </cell>
          <cell r="D546">
            <v>0.20530650300701947</v>
          </cell>
          <cell r="E546">
            <v>553.43999999999994</v>
          </cell>
          <cell r="F546">
            <v>78.669999999999902</v>
          </cell>
          <cell r="G546">
            <v>474.77000000000004</v>
          </cell>
        </row>
        <row r="547">
          <cell r="A547">
            <v>12390379000172</v>
          </cell>
          <cell r="B547">
            <v>2238.8653523032026</v>
          </cell>
          <cell r="C547">
            <v>922.43999999999994</v>
          </cell>
          <cell r="D547">
            <v>0.41201227177465238</v>
          </cell>
          <cell r="E547">
            <v>0</v>
          </cell>
          <cell r="F547">
            <v>0</v>
          </cell>
          <cell r="G547">
            <v>0</v>
          </cell>
        </row>
        <row r="548">
          <cell r="A548">
            <v>49760647000100</v>
          </cell>
          <cell r="B548">
            <v>5856.8797575753842</v>
          </cell>
          <cell r="C548">
            <v>1124.8500000000001</v>
          </cell>
          <cell r="D548">
            <v>0.19205618803170763</v>
          </cell>
          <cell r="E548">
            <v>1141.5999999999999</v>
          </cell>
          <cell r="F548">
            <v>1141.5999999999999</v>
          </cell>
          <cell r="G548">
            <v>0</v>
          </cell>
        </row>
        <row r="549">
          <cell r="A549">
            <v>8776885000127</v>
          </cell>
          <cell r="B549">
            <v>4442.0777107483073</v>
          </cell>
          <cell r="C549">
            <v>2177.52</v>
          </cell>
          <cell r="D549">
            <v>0.49020304051213404</v>
          </cell>
          <cell r="E549">
            <v>711.65</v>
          </cell>
          <cell r="F549">
            <v>104.57999999999993</v>
          </cell>
          <cell r="G549">
            <v>607.07000000000005</v>
          </cell>
        </row>
        <row r="550">
          <cell r="A550">
            <v>7629833000165</v>
          </cell>
          <cell r="B550">
            <v>19851.46687880898</v>
          </cell>
          <cell r="C550">
            <v>13927.799999999997</v>
          </cell>
          <cell r="D550">
            <v>0.70160054594593357</v>
          </cell>
          <cell r="E550">
            <v>11449.199999999995</v>
          </cell>
          <cell r="F550">
            <v>1543.2599999999984</v>
          </cell>
          <cell r="G550">
            <v>9905.9399999999969</v>
          </cell>
        </row>
        <row r="551">
          <cell r="A551">
            <v>64822703000188</v>
          </cell>
          <cell r="B551">
            <v>5136.9330161802745</v>
          </cell>
          <cell r="C551">
            <v>2146.4599999999996</v>
          </cell>
          <cell r="D551">
            <v>0.41784854761374063</v>
          </cell>
          <cell r="E551">
            <v>934.1</v>
          </cell>
          <cell r="F551">
            <v>104.10000000000014</v>
          </cell>
          <cell r="G551">
            <v>829.99999999999989</v>
          </cell>
        </row>
        <row r="552">
          <cell r="A552">
            <v>9039622000289</v>
          </cell>
          <cell r="B552">
            <v>112437.07453859654</v>
          </cell>
          <cell r="C552">
            <v>40684.41000000004</v>
          </cell>
          <cell r="D552">
            <v>0.36184159154758339</v>
          </cell>
          <cell r="E552">
            <v>69597.460000000021</v>
          </cell>
          <cell r="F552">
            <v>3886.9300000000076</v>
          </cell>
          <cell r="G552">
            <v>65710.530000000013</v>
          </cell>
        </row>
        <row r="553">
          <cell r="A553">
            <v>12881115000111</v>
          </cell>
          <cell r="B553">
            <v>1769.943479186968</v>
          </cell>
          <cell r="C553">
            <v>371.18</v>
          </cell>
          <cell r="D553">
            <v>0.20971291138093479</v>
          </cell>
          <cell r="E553">
            <v>0</v>
          </cell>
          <cell r="F553">
            <v>0</v>
          </cell>
          <cell r="G553">
            <v>0</v>
          </cell>
        </row>
        <row r="554">
          <cell r="A554">
            <v>51190802000142</v>
          </cell>
          <cell r="B554">
            <v>3519.7957878372426</v>
          </cell>
          <cell r="C554">
            <v>3996.9799999999996</v>
          </cell>
          <cell r="D554">
            <v>1.1355715617967612</v>
          </cell>
          <cell r="E554">
            <v>2698.63</v>
          </cell>
          <cell r="F554">
            <v>80.039999999999964</v>
          </cell>
          <cell r="G554">
            <v>2618.59</v>
          </cell>
        </row>
        <row r="555">
          <cell r="A555">
            <v>21206725000100</v>
          </cell>
          <cell r="B555">
            <v>15423.846601623234</v>
          </cell>
          <cell r="C555">
            <v>9196.6</v>
          </cell>
          <cell r="D555">
            <v>0.59625852341089369</v>
          </cell>
          <cell r="E555">
            <v>137.85</v>
          </cell>
          <cell r="F555">
            <v>0</v>
          </cell>
          <cell r="G555">
            <v>137.85</v>
          </cell>
        </row>
        <row r="556">
          <cell r="A556">
            <v>597452000100</v>
          </cell>
          <cell r="B556">
            <v>4861.2450704404919</v>
          </cell>
          <cell r="C556">
            <v>1726.93</v>
          </cell>
          <cell r="D556">
            <v>0.35524438183560203</v>
          </cell>
          <cell r="E556">
            <v>0</v>
          </cell>
          <cell r="F556">
            <v>0</v>
          </cell>
          <cell r="G556">
            <v>0</v>
          </cell>
        </row>
        <row r="557">
          <cell r="A557">
            <v>18208965000130</v>
          </cell>
          <cell r="B557">
            <v>9579.9180391455411</v>
          </cell>
          <cell r="C557">
            <v>5881.86</v>
          </cell>
          <cell r="D557">
            <v>0.61397811296145688</v>
          </cell>
          <cell r="E557">
            <v>479.38</v>
          </cell>
          <cell r="F557">
            <v>323.64</v>
          </cell>
          <cell r="G557">
            <v>155.74</v>
          </cell>
        </row>
        <row r="558">
          <cell r="A558">
            <v>35633493000181</v>
          </cell>
          <cell r="B558">
            <v>1143.6638754053124</v>
          </cell>
          <cell r="C558">
            <v>704.81000000000006</v>
          </cell>
          <cell r="D558">
            <v>0.61627372793445689</v>
          </cell>
          <cell r="E558">
            <v>484.19</v>
          </cell>
          <cell r="F558">
            <v>0</v>
          </cell>
          <cell r="G558">
            <v>484.19</v>
          </cell>
        </row>
        <row r="559">
          <cell r="A559">
            <v>10695648000183</v>
          </cell>
          <cell r="B559">
            <v>1653.8606286883494</v>
          </cell>
          <cell r="C559">
            <v>4075.8599999999997</v>
          </cell>
          <cell r="D559">
            <v>2.4644519189216685</v>
          </cell>
          <cell r="E559">
            <v>3841.2999999999997</v>
          </cell>
          <cell r="F559">
            <v>519.13999999999987</v>
          </cell>
          <cell r="G559">
            <v>3322.16</v>
          </cell>
        </row>
        <row r="560">
          <cell r="A560">
            <v>15946916000106</v>
          </cell>
          <cell r="B560">
            <v>10154.15799487712</v>
          </cell>
          <cell r="C560">
            <v>5847.6600000000008</v>
          </cell>
          <cell r="D560">
            <v>0.57588822263256167</v>
          </cell>
          <cell r="E560">
            <v>3777</v>
          </cell>
          <cell r="F560">
            <v>0</v>
          </cell>
          <cell r="G560">
            <v>3777</v>
          </cell>
        </row>
        <row r="561">
          <cell r="A561">
            <v>9495338000136</v>
          </cell>
          <cell r="B561">
            <v>9667.8345503204455</v>
          </cell>
          <cell r="C561">
            <v>4820.1000000000013</v>
          </cell>
          <cell r="D561">
            <v>0.49857079937722315</v>
          </cell>
          <cell r="E561">
            <v>3988.03</v>
          </cell>
          <cell r="F561">
            <v>279.70999999999958</v>
          </cell>
          <cell r="G561">
            <v>3708.3200000000006</v>
          </cell>
        </row>
        <row r="562">
          <cell r="A562">
            <v>9652569000106</v>
          </cell>
          <cell r="B562">
            <v>3203.6849446255328</v>
          </cell>
          <cell r="C562">
            <v>4934.6899999999996</v>
          </cell>
          <cell r="D562">
            <v>1.5403168804967486</v>
          </cell>
          <cell r="E562">
            <v>2893.6899999999996</v>
          </cell>
          <cell r="F562">
            <v>0</v>
          </cell>
          <cell r="G562">
            <v>2893.6899999999996</v>
          </cell>
        </row>
        <row r="563">
          <cell r="A563">
            <v>52286494000116</v>
          </cell>
          <cell r="B563">
            <v>4828.3343698852959</v>
          </cell>
          <cell r="C563">
            <v>2339.0699999999997</v>
          </cell>
          <cell r="D563">
            <v>0.48444656496637117</v>
          </cell>
          <cell r="E563">
            <v>1405.16</v>
          </cell>
          <cell r="F563">
            <v>293.42000000000007</v>
          </cell>
          <cell r="G563">
            <v>1111.74</v>
          </cell>
        </row>
        <row r="564">
          <cell r="A564">
            <v>44192893000190</v>
          </cell>
          <cell r="B564">
            <v>2879.2510701126857</v>
          </cell>
          <cell r="C564">
            <v>965.58999999999992</v>
          </cell>
          <cell r="D564">
            <v>0.33536151467409525</v>
          </cell>
          <cell r="E564">
            <v>0</v>
          </cell>
          <cell r="F564">
            <v>0</v>
          </cell>
          <cell r="G564">
            <v>0</v>
          </cell>
        </row>
        <row r="565">
          <cell r="A565">
            <v>47468096000180</v>
          </cell>
          <cell r="B565">
            <v>4446.8679660960033</v>
          </cell>
          <cell r="C565">
            <v>2052.11</v>
          </cell>
          <cell r="D565">
            <v>0.46147311223220094</v>
          </cell>
          <cell r="E565">
            <v>283.5</v>
          </cell>
          <cell r="F565">
            <v>56.699999999999989</v>
          </cell>
          <cell r="G565">
            <v>226.8</v>
          </cell>
        </row>
        <row r="566">
          <cell r="A566">
            <v>3070289000103</v>
          </cell>
          <cell r="B566">
            <v>6754.0239694625525</v>
          </cell>
          <cell r="C566">
            <v>2951.86</v>
          </cell>
          <cell r="D566">
            <v>0.43705204680149995</v>
          </cell>
          <cell r="E566">
            <v>314.10000000000002</v>
          </cell>
          <cell r="F566">
            <v>0</v>
          </cell>
          <cell r="G566">
            <v>314.10000000000002</v>
          </cell>
        </row>
        <row r="567">
          <cell r="A567">
            <v>8984188000161</v>
          </cell>
          <cell r="B567">
            <v>7095.2950331920083</v>
          </cell>
          <cell r="C567">
            <v>4369.1599999999989</v>
          </cell>
          <cell r="D567">
            <v>0.6157827094660524</v>
          </cell>
          <cell r="E567">
            <v>1171.8899999999999</v>
          </cell>
          <cell r="F567">
            <v>53.769999999999982</v>
          </cell>
          <cell r="G567">
            <v>1118.1199999999999</v>
          </cell>
        </row>
        <row r="568">
          <cell r="A568">
            <v>1956853000164</v>
          </cell>
          <cell r="B568">
            <v>2959.8009021289618</v>
          </cell>
          <cell r="C568">
            <v>717.98000000000013</v>
          </cell>
          <cell r="D568">
            <v>0.242577127226214</v>
          </cell>
          <cell r="E568">
            <v>0</v>
          </cell>
          <cell r="F568">
            <v>0</v>
          </cell>
          <cell r="G568">
            <v>0</v>
          </cell>
        </row>
        <row r="569">
          <cell r="A569">
            <v>15910375000166</v>
          </cell>
          <cell r="B569">
            <v>9431.5649345696165</v>
          </cell>
          <cell r="C569">
            <v>5314.2399999999989</v>
          </cell>
          <cell r="D569">
            <v>0.56345262285388698</v>
          </cell>
          <cell r="E569">
            <v>2280.9</v>
          </cell>
          <cell r="F569">
            <v>0</v>
          </cell>
          <cell r="G569">
            <v>2280.9</v>
          </cell>
        </row>
        <row r="570">
          <cell r="A570">
            <v>29630512000113</v>
          </cell>
          <cell r="B570">
            <v>4081.9543917798301</v>
          </cell>
          <cell r="C570">
            <v>2695.87</v>
          </cell>
          <cell r="D570">
            <v>0.66043609047393981</v>
          </cell>
          <cell r="E570">
            <v>137.85</v>
          </cell>
          <cell r="F570">
            <v>0</v>
          </cell>
          <cell r="G570">
            <v>137.85</v>
          </cell>
        </row>
        <row r="571">
          <cell r="A571">
            <v>35720208000160</v>
          </cell>
          <cell r="B571">
            <v>1364.4968462293891</v>
          </cell>
          <cell r="C571">
            <v>101.81</v>
          </cell>
          <cell r="D571">
            <v>7.4613583960519064E-2</v>
          </cell>
          <cell r="E571">
            <v>0</v>
          </cell>
          <cell r="F571">
            <v>0</v>
          </cell>
          <cell r="G571">
            <v>0</v>
          </cell>
        </row>
        <row r="572">
          <cell r="A572">
            <v>35835186000183</v>
          </cell>
          <cell r="B572">
            <v>2000.3047455715325</v>
          </cell>
          <cell r="C572">
            <v>1505</v>
          </cell>
          <cell r="D572">
            <v>0.75238535694719222</v>
          </cell>
          <cell r="E572">
            <v>0</v>
          </cell>
          <cell r="F572">
            <v>0</v>
          </cell>
          <cell r="G572">
            <v>0</v>
          </cell>
        </row>
        <row r="573">
          <cell r="A573">
            <v>36014287000156</v>
          </cell>
          <cell r="B573">
            <v>15629.505037231791</v>
          </cell>
          <cell r="C573">
            <v>20173.009999999995</v>
          </cell>
          <cell r="D573">
            <v>1.2907005021556923</v>
          </cell>
          <cell r="E573">
            <v>18807.629999999997</v>
          </cell>
          <cell r="F573">
            <v>653.5</v>
          </cell>
          <cell r="G573">
            <v>18154.129999999997</v>
          </cell>
        </row>
        <row r="574">
          <cell r="A574">
            <v>43054517000176</v>
          </cell>
          <cell r="B574">
            <v>13453.053394235025</v>
          </cell>
          <cell r="C574">
            <v>9370.6700000000019</v>
          </cell>
          <cell r="D574">
            <v>0.69654596063787066</v>
          </cell>
          <cell r="E574">
            <v>8441.4699999999975</v>
          </cell>
          <cell r="F574">
            <v>616.40999999999713</v>
          </cell>
          <cell r="G574">
            <v>7825.06</v>
          </cell>
        </row>
        <row r="575">
          <cell r="A575">
            <v>43054517000257</v>
          </cell>
          <cell r="B575">
            <v>16757.638669030941</v>
          </cell>
          <cell r="C575">
            <v>10642.189999999997</v>
          </cell>
          <cell r="D575">
            <v>0.63506501185440656</v>
          </cell>
          <cell r="E575">
            <v>10336.649999999996</v>
          </cell>
          <cell r="F575">
            <v>328.92000000000007</v>
          </cell>
          <cell r="G575">
            <v>10007.729999999996</v>
          </cell>
        </row>
        <row r="576">
          <cell r="A576">
            <v>52330020000124</v>
          </cell>
          <cell r="B576">
            <v>4948.2955009265588</v>
          </cell>
          <cell r="C576">
            <v>5002.0299999999988</v>
          </cell>
          <cell r="D576">
            <v>1.0108591936482731</v>
          </cell>
          <cell r="E576">
            <v>4539.7999999999993</v>
          </cell>
          <cell r="F576">
            <v>22.819999999999709</v>
          </cell>
          <cell r="G576">
            <v>4516.9799999999996</v>
          </cell>
        </row>
        <row r="577">
          <cell r="A577">
            <v>57862460000146</v>
          </cell>
          <cell r="B577">
            <v>6465.260433336648</v>
          </cell>
          <cell r="C577">
            <v>2501.5500000000002</v>
          </cell>
          <cell r="D577">
            <v>0.38692176839487014</v>
          </cell>
          <cell r="E577">
            <v>0</v>
          </cell>
          <cell r="F577">
            <v>0</v>
          </cell>
          <cell r="G577">
            <v>0</v>
          </cell>
        </row>
        <row r="578">
          <cell r="A578">
            <v>49340554000127</v>
          </cell>
          <cell r="B578">
            <v>7047.6976686977341</v>
          </cell>
          <cell r="C578">
            <v>4090.7700000000009</v>
          </cell>
          <cell r="D578">
            <v>0.58044061937689351</v>
          </cell>
          <cell r="E578">
            <v>3527.83</v>
          </cell>
          <cell r="F578">
            <v>81.539999999999964</v>
          </cell>
          <cell r="G578">
            <v>3446.29</v>
          </cell>
        </row>
        <row r="579">
          <cell r="A579">
            <v>19825473000318</v>
          </cell>
          <cell r="B579">
            <v>13789.394358119849</v>
          </cell>
          <cell r="C579">
            <v>12556.619999999999</v>
          </cell>
          <cell r="D579">
            <v>0.91059981851966298</v>
          </cell>
          <cell r="E579">
            <v>15405.500000000002</v>
          </cell>
          <cell r="F579">
            <v>3249.2900000000009</v>
          </cell>
          <cell r="G579">
            <v>12156.210000000001</v>
          </cell>
        </row>
        <row r="580">
          <cell r="A580">
            <v>59535889000154</v>
          </cell>
          <cell r="B580">
            <v>1826.7675638873327</v>
          </cell>
          <cell r="C580">
            <v>2624.5199999999995</v>
          </cell>
          <cell r="D580">
            <v>1.4367016646688548</v>
          </cell>
          <cell r="E580">
            <v>0</v>
          </cell>
          <cell r="F580">
            <v>0</v>
          </cell>
          <cell r="G580">
            <v>0</v>
          </cell>
        </row>
        <row r="581">
          <cell r="A581">
            <v>64494102000193</v>
          </cell>
          <cell r="B581">
            <v>6112.2278088370613</v>
          </cell>
          <cell r="C581">
            <v>6537.4100000000017</v>
          </cell>
          <cell r="D581">
            <v>1.0695625563150988</v>
          </cell>
          <cell r="E581">
            <v>6144.5800000000008</v>
          </cell>
          <cell r="F581">
            <v>186.52000000000044</v>
          </cell>
          <cell r="G581">
            <v>5958.06</v>
          </cell>
        </row>
        <row r="582">
          <cell r="A582">
            <v>57680804000104</v>
          </cell>
          <cell r="B582">
            <v>3603.9490685588712</v>
          </cell>
          <cell r="C582">
            <v>1152.07</v>
          </cell>
          <cell r="D582">
            <v>0.31966877946493394</v>
          </cell>
          <cell r="E582">
            <v>0</v>
          </cell>
          <cell r="F582">
            <v>0</v>
          </cell>
          <cell r="G582">
            <v>0</v>
          </cell>
        </row>
        <row r="583">
          <cell r="A583">
            <v>46197707000130</v>
          </cell>
          <cell r="B583">
            <v>5683.4407202683742</v>
          </cell>
          <cell r="C583">
            <v>1749.15</v>
          </cell>
          <cell r="D583">
            <v>0.30776251325401432</v>
          </cell>
          <cell r="E583">
            <v>137.85</v>
          </cell>
          <cell r="F583">
            <v>0</v>
          </cell>
          <cell r="G583">
            <v>137.85</v>
          </cell>
        </row>
        <row r="584">
          <cell r="A584">
            <v>22315443000104</v>
          </cell>
          <cell r="B584">
            <v>6571.6177440860629</v>
          </cell>
          <cell r="C584">
            <v>3158.5400000000004</v>
          </cell>
          <cell r="D584">
            <v>0.4806335552372073</v>
          </cell>
          <cell r="E584">
            <v>1669.95</v>
          </cell>
          <cell r="F584">
            <v>0</v>
          </cell>
          <cell r="G584">
            <v>1669.95</v>
          </cell>
        </row>
        <row r="585">
          <cell r="A585">
            <v>51601157000103</v>
          </cell>
          <cell r="B585">
            <v>6715.2608042558431</v>
          </cell>
          <cell r="C585">
            <v>1158.27</v>
          </cell>
          <cell r="D585">
            <v>0.17248324879145993</v>
          </cell>
          <cell r="E585">
            <v>0</v>
          </cell>
          <cell r="F585">
            <v>0</v>
          </cell>
          <cell r="G585">
            <v>0</v>
          </cell>
        </row>
        <row r="586">
          <cell r="A586">
            <v>48143588000169</v>
          </cell>
          <cell r="B586">
            <v>8391.275913640764</v>
          </cell>
          <cell r="C586">
            <v>5225.7500000000009</v>
          </cell>
          <cell r="D586">
            <v>0.6227598822611804</v>
          </cell>
          <cell r="E586">
            <v>3919.02</v>
          </cell>
          <cell r="F586">
            <v>37.539999999999964</v>
          </cell>
          <cell r="G586">
            <v>3881.48</v>
          </cell>
        </row>
        <row r="587">
          <cell r="A587">
            <v>11190148000152</v>
          </cell>
          <cell r="B587">
            <v>5868.4269243201788</v>
          </cell>
          <cell r="C587">
            <v>5919.25</v>
          </cell>
          <cell r="D587">
            <v>1.0086604257555287</v>
          </cell>
          <cell r="E587">
            <v>7444.4599999999991</v>
          </cell>
          <cell r="F587">
            <v>1492.8999999999996</v>
          </cell>
          <cell r="G587">
            <v>5951.5599999999995</v>
          </cell>
        </row>
        <row r="588">
          <cell r="A588">
            <v>11190148000233</v>
          </cell>
          <cell r="B588">
            <v>6218.8076179278933</v>
          </cell>
          <cell r="C588">
            <v>5025.880000000001</v>
          </cell>
          <cell r="D588">
            <v>0.80817422065142197</v>
          </cell>
          <cell r="E588">
            <v>4270.6000000000004</v>
          </cell>
          <cell r="F588">
            <v>556.58000000000038</v>
          </cell>
          <cell r="G588">
            <v>3714.02</v>
          </cell>
        </row>
        <row r="589">
          <cell r="A589">
            <v>45924995000115</v>
          </cell>
          <cell r="B589">
            <v>4752.5958535760856</v>
          </cell>
          <cell r="C589">
            <v>2185.46</v>
          </cell>
          <cell r="D589">
            <v>0.45984553859246269</v>
          </cell>
          <cell r="E589">
            <v>1719.4499999999996</v>
          </cell>
          <cell r="F589">
            <v>90.509999999999764</v>
          </cell>
          <cell r="G589">
            <v>1628.9399999999998</v>
          </cell>
        </row>
        <row r="590">
          <cell r="A590">
            <v>50413414000110</v>
          </cell>
          <cell r="B590">
            <v>7311.4038121281746</v>
          </cell>
          <cell r="C590">
            <v>1522.39</v>
          </cell>
          <cell r="D590">
            <v>0.20822129909917653</v>
          </cell>
          <cell r="E590">
            <v>118.66</v>
          </cell>
          <cell r="F590">
            <v>0</v>
          </cell>
          <cell r="G590">
            <v>118.66</v>
          </cell>
        </row>
        <row r="591">
          <cell r="A591">
            <v>2560437000105</v>
          </cell>
          <cell r="B591">
            <v>7212.0801502890054</v>
          </cell>
          <cell r="C591">
            <v>1947.9100000000003</v>
          </cell>
          <cell r="D591">
            <v>0.27008989908715075</v>
          </cell>
          <cell r="E591">
            <v>998.02</v>
          </cell>
          <cell r="F591">
            <v>75.259999999999991</v>
          </cell>
          <cell r="G591">
            <v>922.76</v>
          </cell>
        </row>
        <row r="592">
          <cell r="A592">
            <v>39834323000116</v>
          </cell>
          <cell r="B592">
            <v>6265.6825807518126</v>
          </cell>
          <cell r="C592">
            <v>4854.6200000000008</v>
          </cell>
          <cell r="D592">
            <v>0.77479507418926741</v>
          </cell>
          <cell r="E592">
            <v>0</v>
          </cell>
          <cell r="F592">
            <v>0</v>
          </cell>
          <cell r="G592">
            <v>0</v>
          </cell>
        </row>
        <row r="593">
          <cell r="A593">
            <v>50346593000110</v>
          </cell>
          <cell r="B593">
            <v>2314.7342242878653</v>
          </cell>
          <cell r="C593">
            <v>915.25</v>
          </cell>
          <cell r="D593">
            <v>0.39540176595504362</v>
          </cell>
          <cell r="E593">
            <v>0</v>
          </cell>
          <cell r="F593">
            <v>0</v>
          </cell>
          <cell r="G593">
            <v>0</v>
          </cell>
        </row>
        <row r="594">
          <cell r="A594">
            <v>3997842000158</v>
          </cell>
          <cell r="B594">
            <v>2526.7028194891222</v>
          </cell>
          <cell r="C594">
            <v>2807.2899999999995</v>
          </cell>
          <cell r="D594">
            <v>1.1110487463530079</v>
          </cell>
          <cell r="E594">
            <v>2367.4300000000003</v>
          </cell>
          <cell r="F594">
            <v>0</v>
          </cell>
          <cell r="G594">
            <v>2367.4300000000003</v>
          </cell>
        </row>
        <row r="595">
          <cell r="A595">
            <v>44556106000141</v>
          </cell>
          <cell r="B595">
            <v>4579.2165797816488</v>
          </cell>
          <cell r="C595">
            <v>1936.21</v>
          </cell>
          <cell r="D595">
            <v>0.42282560046380785</v>
          </cell>
          <cell r="E595">
            <v>1776.6300000000003</v>
          </cell>
          <cell r="F595">
            <v>0</v>
          </cell>
          <cell r="G595">
            <v>1776.6300000000003</v>
          </cell>
        </row>
        <row r="596">
          <cell r="A596">
            <v>57741120000167</v>
          </cell>
          <cell r="B596">
            <v>2792.7041803717702</v>
          </cell>
          <cell r="C596">
            <v>1761.5700000000002</v>
          </cell>
          <cell r="D596">
            <v>0.63077572353742695</v>
          </cell>
          <cell r="E596">
            <v>108.55000000000001</v>
          </cell>
          <cell r="F596">
            <v>0</v>
          </cell>
          <cell r="G596">
            <v>108.55000000000001</v>
          </cell>
        </row>
        <row r="597">
          <cell r="A597">
            <v>38662089000124</v>
          </cell>
          <cell r="B597">
            <v>2297.6050862287948</v>
          </cell>
          <cell r="C597">
            <v>2357.8000000000002</v>
          </cell>
          <cell r="D597">
            <v>1.0261989817710611</v>
          </cell>
          <cell r="E597">
            <v>2140.86</v>
          </cell>
          <cell r="F597">
            <v>122.25</v>
          </cell>
          <cell r="G597">
            <v>2018.6100000000001</v>
          </cell>
        </row>
        <row r="598">
          <cell r="A598">
            <v>36728431000469</v>
          </cell>
          <cell r="B598">
            <v>3712.2664245732899</v>
          </cell>
          <cell r="C598">
            <v>1334.8400000000004</v>
          </cell>
          <cell r="D598">
            <v>0.3595754849824484</v>
          </cell>
          <cell r="E598">
            <v>2698.98</v>
          </cell>
          <cell r="F598">
            <v>415.36999999999989</v>
          </cell>
          <cell r="G598">
            <v>2283.61</v>
          </cell>
        </row>
        <row r="599">
          <cell r="A599">
            <v>36728431000388</v>
          </cell>
          <cell r="B599">
            <v>8794.2994094504429</v>
          </cell>
          <cell r="C599">
            <v>5021.0099999999993</v>
          </cell>
          <cell r="D599">
            <v>0.57093916936741673</v>
          </cell>
          <cell r="E599">
            <v>6036.8100000000013</v>
          </cell>
          <cell r="F599">
            <v>1350.9500000000007</v>
          </cell>
          <cell r="G599">
            <v>4685.8600000000006</v>
          </cell>
        </row>
        <row r="600">
          <cell r="A600">
            <v>27545412000406</v>
          </cell>
          <cell r="B600">
            <v>13334.273715960313</v>
          </cell>
          <cell r="C600">
            <v>9356.7799999999988</v>
          </cell>
          <cell r="D600">
            <v>0.70170900937787883</v>
          </cell>
          <cell r="E600">
            <v>10316.980000000003</v>
          </cell>
          <cell r="F600">
            <v>3202.0400000000054</v>
          </cell>
          <cell r="G600">
            <v>7114.9399999999978</v>
          </cell>
        </row>
        <row r="601">
          <cell r="A601">
            <v>28059864000106</v>
          </cell>
          <cell r="B601">
            <v>2197.3178995416538</v>
          </cell>
          <cell r="C601">
            <v>537.27</v>
          </cell>
          <cell r="D601">
            <v>0.24451172955541436</v>
          </cell>
          <cell r="E601">
            <v>384.78999999999996</v>
          </cell>
          <cell r="F601">
            <v>23.099999999999966</v>
          </cell>
          <cell r="G601">
            <v>361.69</v>
          </cell>
        </row>
        <row r="602">
          <cell r="A602">
            <v>6350948000153</v>
          </cell>
          <cell r="B602">
            <v>7141.2822794525673</v>
          </cell>
          <cell r="C602">
            <v>3035.7999999999993</v>
          </cell>
          <cell r="D602">
            <v>0.42510572768350446</v>
          </cell>
          <cell r="E602">
            <v>0</v>
          </cell>
          <cell r="F602">
            <v>0</v>
          </cell>
          <cell r="G602">
            <v>0</v>
          </cell>
        </row>
        <row r="603">
          <cell r="A603">
            <v>10816100000144</v>
          </cell>
          <cell r="B603">
            <v>7024.5790748423606</v>
          </cell>
          <cell r="C603">
            <v>4564.9299999999994</v>
          </cell>
          <cell r="D603">
            <v>0.64985103753030804</v>
          </cell>
          <cell r="E603">
            <v>2621.6099999999997</v>
          </cell>
          <cell r="F603">
            <v>0</v>
          </cell>
          <cell r="G603">
            <v>2621.6099999999997</v>
          </cell>
        </row>
        <row r="604">
          <cell r="A604">
            <v>10341045002470</v>
          </cell>
          <cell r="B604">
            <v>18736.063477131851</v>
          </cell>
          <cell r="C604">
            <v>12918.280000000008</v>
          </cell>
          <cell r="D604">
            <v>0.68948741638110422</v>
          </cell>
          <cell r="E604">
            <v>7078.25</v>
          </cell>
          <cell r="F604">
            <v>0</v>
          </cell>
          <cell r="G604">
            <v>7078.25</v>
          </cell>
        </row>
        <row r="605">
          <cell r="A605">
            <v>10341045002550</v>
          </cell>
          <cell r="B605">
            <v>26938.162310394811</v>
          </cell>
          <cell r="C605">
            <v>17296.490000000002</v>
          </cell>
          <cell r="D605">
            <v>0.64208128975916401</v>
          </cell>
          <cell r="E605">
            <v>12591.499999999998</v>
          </cell>
          <cell r="F605">
            <v>136.01000000000022</v>
          </cell>
          <cell r="G605">
            <v>12455.489999999998</v>
          </cell>
        </row>
        <row r="606">
          <cell r="A606">
            <v>10341045002631</v>
          </cell>
          <cell r="B606">
            <v>16432.303520948666</v>
          </cell>
          <cell r="C606">
            <v>11664.21</v>
          </cell>
          <cell r="D606">
            <v>0.70983413768677783</v>
          </cell>
          <cell r="E606">
            <v>8568.31</v>
          </cell>
          <cell r="F606">
            <v>254.39999999999964</v>
          </cell>
          <cell r="G606">
            <v>8313.91</v>
          </cell>
        </row>
        <row r="607">
          <cell r="A607">
            <v>11780832000194</v>
          </cell>
          <cell r="B607">
            <v>17836.010867532237</v>
          </cell>
          <cell r="C607">
            <v>12125.659999999996</v>
          </cell>
          <cell r="D607">
            <v>0.67984147857147403</v>
          </cell>
          <cell r="E607">
            <v>14375.56</v>
          </cell>
          <cell r="F607">
            <v>2349.2200000000012</v>
          </cell>
          <cell r="G607">
            <v>12026.339999999998</v>
          </cell>
        </row>
        <row r="608">
          <cell r="A608">
            <v>18666741000414</v>
          </cell>
          <cell r="B608">
            <v>12687.205069337238</v>
          </cell>
          <cell r="C608">
            <v>11501.339999999993</v>
          </cell>
          <cell r="D608">
            <v>0.90653062964960862</v>
          </cell>
          <cell r="E608">
            <v>2325.7999999999997</v>
          </cell>
          <cell r="F608">
            <v>126.17999999999984</v>
          </cell>
          <cell r="G608">
            <v>2199.62</v>
          </cell>
        </row>
        <row r="609">
          <cell r="A609">
            <v>5344624000140</v>
          </cell>
          <cell r="B609">
            <v>15636.440550698087</v>
          </cell>
          <cell r="C609">
            <v>7955.3999999999987</v>
          </cell>
          <cell r="D609">
            <v>0.50877307877110378</v>
          </cell>
          <cell r="E609">
            <v>6743.7100000000019</v>
          </cell>
          <cell r="F609">
            <v>510.51999999999953</v>
          </cell>
          <cell r="G609">
            <v>6233.1900000000023</v>
          </cell>
        </row>
        <row r="610">
          <cell r="A610">
            <v>3142759000105</v>
          </cell>
          <cell r="B610">
            <v>25965.561052598852</v>
          </cell>
          <cell r="C610">
            <v>17542.249999999993</v>
          </cell>
          <cell r="D610">
            <v>0.67559680164292912</v>
          </cell>
          <cell r="E610">
            <v>20034.019999999997</v>
          </cell>
          <cell r="F610">
            <v>2526.59</v>
          </cell>
          <cell r="G610">
            <v>17507.429999999997</v>
          </cell>
        </row>
        <row r="611">
          <cell r="A611">
            <v>8107186000194</v>
          </cell>
          <cell r="B611">
            <v>30501.846608770356</v>
          </cell>
          <cell r="C611">
            <v>20349.150000000005</v>
          </cell>
          <cell r="D611">
            <v>0.66714485391677592</v>
          </cell>
          <cell r="E611">
            <v>17634.03999999999</v>
          </cell>
          <cell r="F611">
            <v>687.37999999999374</v>
          </cell>
          <cell r="G611">
            <v>16946.659999999996</v>
          </cell>
        </row>
        <row r="612">
          <cell r="A612">
            <v>18332251000562</v>
          </cell>
          <cell r="B612">
            <v>17205.127692196249</v>
          </cell>
          <cell r="C612">
            <v>11088.579999999998</v>
          </cell>
          <cell r="D612">
            <v>0.64449274648681965</v>
          </cell>
          <cell r="E612">
            <v>15528.900000000003</v>
          </cell>
          <cell r="F612">
            <v>900.97999999999956</v>
          </cell>
          <cell r="G612">
            <v>14627.920000000004</v>
          </cell>
        </row>
        <row r="613">
          <cell r="A613">
            <v>19436791000125</v>
          </cell>
          <cell r="B613">
            <v>11632.447979371749</v>
          </cell>
          <cell r="C613">
            <v>6928.920000000001</v>
          </cell>
          <cell r="D613">
            <v>0.5956545012956268</v>
          </cell>
          <cell r="E613">
            <v>3340.71</v>
          </cell>
          <cell r="F613">
            <v>350.18000000000029</v>
          </cell>
          <cell r="G613">
            <v>2990.5299999999997</v>
          </cell>
        </row>
        <row r="614">
          <cell r="A614">
            <v>19436791000206</v>
          </cell>
          <cell r="B614">
            <v>19428.138101137305</v>
          </cell>
          <cell r="C614">
            <v>14499.77</v>
          </cell>
          <cell r="D614">
            <v>0.7463283369985515</v>
          </cell>
          <cell r="E614">
            <v>12748.519999999997</v>
          </cell>
          <cell r="F614">
            <v>464.55999999999949</v>
          </cell>
          <cell r="G614">
            <v>12283.959999999997</v>
          </cell>
        </row>
        <row r="615">
          <cell r="A615">
            <v>19436791000397</v>
          </cell>
          <cell r="B615">
            <v>11046.12868899183</v>
          </cell>
          <cell r="C615">
            <v>4599.7400000000007</v>
          </cell>
          <cell r="D615">
            <v>0.41641195114664326</v>
          </cell>
          <cell r="E615">
            <v>5356.670000000001</v>
          </cell>
          <cell r="F615">
            <v>219.85999999999967</v>
          </cell>
          <cell r="G615">
            <v>5136.8100000000013</v>
          </cell>
        </row>
        <row r="616">
          <cell r="A616">
            <v>19436791000478</v>
          </cell>
          <cell r="B616">
            <v>6663.3153051545596</v>
          </cell>
          <cell r="C616">
            <v>3412.76</v>
          </cell>
          <cell r="D616">
            <v>0.51217147076320735</v>
          </cell>
          <cell r="E616">
            <v>2855.3299999999995</v>
          </cell>
          <cell r="F616">
            <v>263.29999999999973</v>
          </cell>
          <cell r="G616">
            <v>2592.0299999999997</v>
          </cell>
        </row>
        <row r="617">
          <cell r="A617">
            <v>19651628000185</v>
          </cell>
          <cell r="B617">
            <v>10159.440018075791</v>
          </cell>
          <cell r="C617">
            <v>5887.5300000000007</v>
          </cell>
          <cell r="D617">
            <v>0.5795132398562165</v>
          </cell>
          <cell r="E617">
            <v>9436.6799999999967</v>
          </cell>
          <cell r="F617">
            <v>2047.739999999998</v>
          </cell>
          <cell r="G617">
            <v>7388.9399999999987</v>
          </cell>
        </row>
        <row r="618">
          <cell r="A618">
            <v>19651628000347</v>
          </cell>
          <cell r="B618">
            <v>6265.4712192037787</v>
          </cell>
          <cell r="C618">
            <v>2524.0199999999995</v>
          </cell>
          <cell r="D618">
            <v>0.40284599700399776</v>
          </cell>
          <cell r="E618">
            <v>7116.6600000000017</v>
          </cell>
          <cell r="F618">
            <v>3418.6500000000019</v>
          </cell>
          <cell r="G618">
            <v>3698.0099999999998</v>
          </cell>
        </row>
        <row r="619">
          <cell r="A619">
            <v>19713710000197</v>
          </cell>
          <cell r="B619">
            <v>63199.571668194993</v>
          </cell>
          <cell r="C619">
            <v>27700.709999999995</v>
          </cell>
          <cell r="D619">
            <v>0.43830534398922677</v>
          </cell>
          <cell r="E619">
            <v>15320.750000000005</v>
          </cell>
          <cell r="F619">
            <v>403.72000000000116</v>
          </cell>
          <cell r="G619">
            <v>14917.030000000004</v>
          </cell>
        </row>
        <row r="620">
          <cell r="A620">
            <v>19713710000278</v>
          </cell>
          <cell r="B620">
            <v>12822.9704775666</v>
          </cell>
          <cell r="C620">
            <v>6492.9200000000019</v>
          </cell>
          <cell r="D620">
            <v>0.50635069396433297</v>
          </cell>
          <cell r="E620">
            <v>3310.4899999999993</v>
          </cell>
          <cell r="F620">
            <v>492.88000000000011</v>
          </cell>
          <cell r="G620">
            <v>2817.6099999999992</v>
          </cell>
        </row>
        <row r="621">
          <cell r="A621">
            <v>19713710000359</v>
          </cell>
          <cell r="B621">
            <v>11943.124296136311</v>
          </cell>
          <cell r="C621">
            <v>15045.68</v>
          </cell>
          <cell r="D621">
            <v>1.2597775612925162</v>
          </cell>
          <cell r="E621">
            <v>6007.27</v>
          </cell>
          <cell r="F621">
            <v>470.36000000000058</v>
          </cell>
          <cell r="G621">
            <v>5536.91</v>
          </cell>
        </row>
        <row r="622">
          <cell r="A622">
            <v>19713710000430</v>
          </cell>
          <cell r="B622">
            <v>8874.6897094542073</v>
          </cell>
          <cell r="C622">
            <v>7126.3700000000008</v>
          </cell>
          <cell r="D622">
            <v>0.80299934232160008</v>
          </cell>
          <cell r="E622">
            <v>2789.5</v>
          </cell>
          <cell r="F622">
            <v>71.960000000000036</v>
          </cell>
          <cell r="G622">
            <v>2717.54</v>
          </cell>
        </row>
        <row r="623">
          <cell r="A623">
            <v>19713710000510</v>
          </cell>
          <cell r="B623">
            <v>654.2096800951507</v>
          </cell>
          <cell r="C623">
            <v>1143.0100000000002</v>
          </cell>
          <cell r="D623">
            <v>1.747161551987058</v>
          </cell>
          <cell r="E623">
            <v>0</v>
          </cell>
          <cell r="F623">
            <v>0</v>
          </cell>
          <cell r="G623">
            <v>0</v>
          </cell>
        </row>
        <row r="624">
          <cell r="A624">
            <v>20330018000169</v>
          </cell>
          <cell r="B624">
            <v>10033.688578691674</v>
          </cell>
          <cell r="C624">
            <v>7418.069999999997</v>
          </cell>
          <cell r="D624">
            <v>0.73931634830221771</v>
          </cell>
          <cell r="E624">
            <v>7776.1</v>
          </cell>
          <cell r="F624">
            <v>592.69000000000051</v>
          </cell>
          <cell r="G624">
            <v>7183.41</v>
          </cell>
        </row>
        <row r="625">
          <cell r="A625">
            <v>22166562000142</v>
          </cell>
          <cell r="B625">
            <v>27886.609508138969</v>
          </cell>
          <cell r="C625">
            <v>18163.129999999994</v>
          </cell>
          <cell r="D625">
            <v>0.65132084252475775</v>
          </cell>
          <cell r="E625">
            <v>15259.849999999999</v>
          </cell>
          <cell r="F625">
            <v>3077.3800000000047</v>
          </cell>
          <cell r="G625">
            <v>12182.469999999994</v>
          </cell>
        </row>
        <row r="626">
          <cell r="A626">
            <v>22166562000223</v>
          </cell>
          <cell r="B626">
            <v>9926.3852037543365</v>
          </cell>
          <cell r="C626">
            <v>4663.170000000001</v>
          </cell>
          <cell r="D626">
            <v>0.46977524086374428</v>
          </cell>
          <cell r="E626">
            <v>5588.2499999999991</v>
          </cell>
          <cell r="F626">
            <v>2813.6699999999987</v>
          </cell>
          <cell r="G626">
            <v>2774.5800000000004</v>
          </cell>
        </row>
        <row r="627">
          <cell r="A627">
            <v>22166562000304</v>
          </cell>
          <cell r="B627">
            <v>15212.068976052677</v>
          </cell>
          <cell r="C627">
            <v>9444.480000000005</v>
          </cell>
          <cell r="D627">
            <v>0.62085440283421056</v>
          </cell>
          <cell r="E627">
            <v>8817.0099999999984</v>
          </cell>
          <cell r="F627">
            <v>2156.859999999996</v>
          </cell>
          <cell r="G627">
            <v>6660.1500000000024</v>
          </cell>
        </row>
        <row r="628">
          <cell r="A628">
            <v>22166562000576</v>
          </cell>
          <cell r="B628">
            <v>5828.5849477263728</v>
          </cell>
          <cell r="C628">
            <v>3189.1699999999996</v>
          </cell>
          <cell r="D628">
            <v>0.54716025048996464</v>
          </cell>
          <cell r="E628">
            <v>4260.1099999999997</v>
          </cell>
          <cell r="F628">
            <v>2746.5999999999995</v>
          </cell>
          <cell r="G628">
            <v>1513.5100000000002</v>
          </cell>
        </row>
        <row r="629">
          <cell r="A629">
            <v>22379586000180</v>
          </cell>
          <cell r="B629">
            <v>9185.2636053877577</v>
          </cell>
          <cell r="C629">
            <v>6441.329999999999</v>
          </cell>
          <cell r="D629">
            <v>0.70126784344237414</v>
          </cell>
          <cell r="E629">
            <v>6125.85</v>
          </cell>
          <cell r="F629">
            <v>2729.2100000000005</v>
          </cell>
          <cell r="G629">
            <v>3396.64</v>
          </cell>
        </row>
        <row r="630">
          <cell r="A630">
            <v>23585408000178</v>
          </cell>
          <cell r="B630">
            <v>22195.27333130085</v>
          </cell>
          <cell r="C630">
            <v>8733.4899999999961</v>
          </cell>
          <cell r="D630">
            <v>0.39348422835972041</v>
          </cell>
          <cell r="E630">
            <v>13762.71</v>
          </cell>
          <cell r="F630">
            <v>10499.809999999998</v>
          </cell>
          <cell r="G630">
            <v>3262.9000000000005</v>
          </cell>
        </row>
        <row r="631">
          <cell r="A631">
            <v>26291944000159</v>
          </cell>
          <cell r="B631">
            <v>7088.5555835718314</v>
          </cell>
          <cell r="C631">
            <v>3985.35</v>
          </cell>
          <cell r="D631">
            <v>0.56222314306687482</v>
          </cell>
          <cell r="E631">
            <v>450.46999999999997</v>
          </cell>
          <cell r="F631">
            <v>0</v>
          </cell>
          <cell r="G631">
            <v>450.46999999999997</v>
          </cell>
        </row>
        <row r="632">
          <cell r="A632">
            <v>63261786000110</v>
          </cell>
          <cell r="B632">
            <v>2667.0916276656844</v>
          </cell>
          <cell r="C632">
            <v>3776.5000000000009</v>
          </cell>
          <cell r="D632">
            <v>1.415961851788835</v>
          </cell>
          <cell r="E632">
            <v>6317.3200000000015</v>
          </cell>
          <cell r="F632">
            <v>197.43000000000211</v>
          </cell>
          <cell r="G632">
            <v>6119.8899999999994</v>
          </cell>
        </row>
        <row r="633">
          <cell r="A633">
            <v>18645755000290</v>
          </cell>
          <cell r="B633">
            <v>8121.0710117034705</v>
          </cell>
          <cell r="C633">
            <v>5033.2999999999984</v>
          </cell>
          <cell r="D633">
            <v>0.61978278391438624</v>
          </cell>
          <cell r="E633">
            <v>3730.5</v>
          </cell>
          <cell r="F633">
            <v>8.2899999999999636</v>
          </cell>
          <cell r="G633">
            <v>3722.21</v>
          </cell>
        </row>
        <row r="634">
          <cell r="A634">
            <v>18645755000451</v>
          </cell>
          <cell r="B634">
            <v>7952.184537424223</v>
          </cell>
          <cell r="C634">
            <v>5183.0200000000004</v>
          </cell>
          <cell r="D634">
            <v>0.65177310405812372</v>
          </cell>
          <cell r="E634">
            <v>1422.0700000000002</v>
          </cell>
          <cell r="F634">
            <v>0</v>
          </cell>
          <cell r="G634">
            <v>1422.0700000000002</v>
          </cell>
        </row>
        <row r="635">
          <cell r="A635">
            <v>18645755000532</v>
          </cell>
          <cell r="B635">
            <v>1948.9473959941192</v>
          </cell>
          <cell r="C635">
            <v>1847.1200000000006</v>
          </cell>
          <cell r="D635">
            <v>0.94775261959177792</v>
          </cell>
          <cell r="E635">
            <v>1243.1600000000001</v>
          </cell>
          <cell r="F635">
            <v>0</v>
          </cell>
          <cell r="G635">
            <v>1243.1600000000001</v>
          </cell>
        </row>
        <row r="636">
          <cell r="A636">
            <v>18645755000109</v>
          </cell>
          <cell r="B636">
            <v>11325.46052120567</v>
          </cell>
          <cell r="C636">
            <v>7527.239999999998</v>
          </cell>
          <cell r="D636">
            <v>0.66462992704853585</v>
          </cell>
          <cell r="E636">
            <v>9752.1400000000031</v>
          </cell>
          <cell r="F636">
            <v>1987.0000000000009</v>
          </cell>
          <cell r="G636">
            <v>7765.1400000000021</v>
          </cell>
        </row>
        <row r="637">
          <cell r="A637">
            <v>18666741000171</v>
          </cell>
          <cell r="B637">
            <v>45417.124825951039</v>
          </cell>
          <cell r="C637">
            <v>28272.699999999993</v>
          </cell>
          <cell r="D637">
            <v>0.62251188529321355</v>
          </cell>
          <cell r="E637">
            <v>6547.3</v>
          </cell>
          <cell r="F637">
            <v>1800.63</v>
          </cell>
          <cell r="G637">
            <v>4746.67</v>
          </cell>
        </row>
        <row r="638">
          <cell r="A638">
            <v>1678322000157</v>
          </cell>
          <cell r="B638">
            <v>7836.4485258110753</v>
          </cell>
          <cell r="C638">
            <v>3156.66</v>
          </cell>
          <cell r="D638">
            <v>0.40281767813606412</v>
          </cell>
          <cell r="E638">
            <v>4157.6100000000006</v>
          </cell>
          <cell r="F638">
            <v>42.940000000000509</v>
          </cell>
          <cell r="G638">
            <v>4114.67</v>
          </cell>
        </row>
        <row r="639">
          <cell r="A639">
            <v>5344624000301</v>
          </cell>
          <cell r="B639">
            <v>10222.147861337413</v>
          </cell>
          <cell r="C639">
            <v>7257.7599999999993</v>
          </cell>
          <cell r="D639">
            <v>0.71000342574289776</v>
          </cell>
          <cell r="E639">
            <v>4469.6899999999996</v>
          </cell>
          <cell r="F639">
            <v>175.84999999999854</v>
          </cell>
          <cell r="G639">
            <v>4293.8400000000011</v>
          </cell>
        </row>
        <row r="640">
          <cell r="A640">
            <v>10341045000183</v>
          </cell>
          <cell r="B640">
            <v>60669.360601323679</v>
          </cell>
          <cell r="C640">
            <v>32773.449999999997</v>
          </cell>
          <cell r="D640">
            <v>0.54019771553822749</v>
          </cell>
          <cell r="E640">
            <v>19743.670000000002</v>
          </cell>
          <cell r="F640">
            <v>571.7300000000032</v>
          </cell>
          <cell r="G640">
            <v>19171.939999999999</v>
          </cell>
        </row>
        <row r="641">
          <cell r="A641">
            <v>10341045000264</v>
          </cell>
          <cell r="B641">
            <v>8215.0849210865708</v>
          </cell>
          <cell r="C641">
            <v>4145.2999999999993</v>
          </cell>
          <cell r="D641">
            <v>0.50459612284223587</v>
          </cell>
          <cell r="E641">
            <v>1800.2700000000002</v>
          </cell>
          <cell r="F641">
            <v>0</v>
          </cell>
          <cell r="G641">
            <v>1800.2700000000002</v>
          </cell>
        </row>
        <row r="642">
          <cell r="A642">
            <v>10341045000426</v>
          </cell>
          <cell r="B642">
            <v>12101.626402963089</v>
          </cell>
          <cell r="C642">
            <v>6327.9299999999985</v>
          </cell>
          <cell r="D642">
            <v>0.52289913680119904</v>
          </cell>
          <cell r="E642">
            <v>3718.7400000000002</v>
          </cell>
          <cell r="F642">
            <v>135.32999999999993</v>
          </cell>
          <cell r="G642">
            <v>3583.4100000000003</v>
          </cell>
        </row>
        <row r="643">
          <cell r="A643">
            <v>10341045000507</v>
          </cell>
          <cell r="B643">
            <v>14454.47574507448</v>
          </cell>
          <cell r="C643">
            <v>7440.3299999999981</v>
          </cell>
          <cell r="D643">
            <v>0.51474229375184166</v>
          </cell>
          <cell r="E643">
            <v>5172.8999999999996</v>
          </cell>
          <cell r="F643">
            <v>0</v>
          </cell>
          <cell r="G643">
            <v>5172.8999999999996</v>
          </cell>
        </row>
        <row r="644">
          <cell r="A644">
            <v>10341045000698</v>
          </cell>
          <cell r="B644">
            <v>4421.2678533289536</v>
          </cell>
          <cell r="C644">
            <v>2890.5800000000004</v>
          </cell>
          <cell r="D644">
            <v>0.65378983945149682</v>
          </cell>
          <cell r="E644">
            <v>1419.44</v>
          </cell>
          <cell r="F644">
            <v>0</v>
          </cell>
          <cell r="G644">
            <v>1419.44</v>
          </cell>
        </row>
        <row r="645">
          <cell r="A645">
            <v>10341045000779</v>
          </cell>
          <cell r="B645">
            <v>54207.929590797306</v>
          </cell>
          <cell r="C645">
            <v>38203.81</v>
          </cell>
          <cell r="D645">
            <v>0.70476423446516812</v>
          </cell>
          <cell r="E645">
            <v>29132.610000000008</v>
          </cell>
          <cell r="F645">
            <v>1998.6400000000067</v>
          </cell>
          <cell r="G645">
            <v>27133.97</v>
          </cell>
        </row>
        <row r="646">
          <cell r="A646">
            <v>10341045000850</v>
          </cell>
          <cell r="B646">
            <v>29258.711510638375</v>
          </cell>
          <cell r="C646">
            <v>19494.889999999996</v>
          </cell>
          <cell r="D646">
            <v>0.66629352399580943</v>
          </cell>
          <cell r="E646">
            <v>15524.760000000002</v>
          </cell>
          <cell r="F646">
            <v>941.81999999999971</v>
          </cell>
          <cell r="G646">
            <v>14582.940000000002</v>
          </cell>
        </row>
        <row r="647">
          <cell r="A647">
            <v>10341045000930</v>
          </cell>
          <cell r="B647">
            <v>4386.8997287881803</v>
          </cell>
          <cell r="C647">
            <v>2203.0099999999998</v>
          </cell>
          <cell r="D647">
            <v>0.5021792464375634</v>
          </cell>
          <cell r="E647">
            <v>2084.59</v>
          </cell>
          <cell r="F647">
            <v>231.88000000000011</v>
          </cell>
          <cell r="G647">
            <v>1852.71</v>
          </cell>
        </row>
        <row r="648">
          <cell r="A648">
            <v>10341045001074</v>
          </cell>
          <cell r="B648">
            <v>16374.664267664062</v>
          </cell>
          <cell r="C648">
            <v>10809.170000000004</v>
          </cell>
          <cell r="D648">
            <v>0.66011551890840647</v>
          </cell>
          <cell r="E648">
            <v>7880.9700000000012</v>
          </cell>
          <cell r="F648">
            <v>214.26000000000022</v>
          </cell>
          <cell r="G648">
            <v>7666.7100000000009</v>
          </cell>
        </row>
        <row r="649">
          <cell r="A649">
            <v>10341045001155</v>
          </cell>
          <cell r="B649">
            <v>38445.230886293866</v>
          </cell>
          <cell r="C649">
            <v>23259.020000000004</v>
          </cell>
          <cell r="D649">
            <v>0.60499103435719237</v>
          </cell>
          <cell r="E649">
            <v>17803.770000000004</v>
          </cell>
          <cell r="F649">
            <v>180.05999999999403</v>
          </cell>
          <cell r="G649">
            <v>17623.71000000001</v>
          </cell>
        </row>
        <row r="650">
          <cell r="A650">
            <v>10341045001236</v>
          </cell>
          <cell r="B650">
            <v>11715.237979006672</v>
          </cell>
          <cell r="C650">
            <v>7442.050000000002</v>
          </cell>
          <cell r="D650">
            <v>0.63524531156225039</v>
          </cell>
          <cell r="E650">
            <v>6019.2500000000009</v>
          </cell>
          <cell r="F650">
            <v>170.8100000000004</v>
          </cell>
          <cell r="G650">
            <v>5848.4400000000005</v>
          </cell>
        </row>
        <row r="651">
          <cell r="A651">
            <v>10341045001317</v>
          </cell>
          <cell r="B651">
            <v>32536.033406322054</v>
          </cell>
          <cell r="C651">
            <v>21528.219999999994</v>
          </cell>
          <cell r="D651">
            <v>0.66167315883739108</v>
          </cell>
          <cell r="E651">
            <v>20763.820000000003</v>
          </cell>
          <cell r="F651">
            <v>4379.6100000000079</v>
          </cell>
          <cell r="G651">
            <v>16384.209999999995</v>
          </cell>
        </row>
        <row r="652">
          <cell r="A652">
            <v>10341045001406</v>
          </cell>
          <cell r="B652">
            <v>26695.24895206343</v>
          </cell>
          <cell r="C652">
            <v>17843.070000000003</v>
          </cell>
          <cell r="D652">
            <v>0.66839871139770024</v>
          </cell>
          <cell r="E652">
            <v>13208.279999999997</v>
          </cell>
          <cell r="F652">
            <v>648.8799999999992</v>
          </cell>
          <cell r="G652">
            <v>12559.399999999998</v>
          </cell>
        </row>
        <row r="653">
          <cell r="A653">
            <v>10341045001589</v>
          </cell>
          <cell r="B653">
            <v>2960.1982748918272</v>
          </cell>
          <cell r="C653">
            <v>1680.3700000000003</v>
          </cell>
          <cell r="D653">
            <v>0.5676545433637904</v>
          </cell>
          <cell r="E653">
            <v>3061.95</v>
          </cell>
          <cell r="F653">
            <v>1065.6099999999997</v>
          </cell>
          <cell r="G653">
            <v>1996.3400000000001</v>
          </cell>
        </row>
        <row r="654">
          <cell r="A654">
            <v>10341045001660</v>
          </cell>
          <cell r="B654">
            <v>9939.4349731348448</v>
          </cell>
          <cell r="C654">
            <v>5195.54</v>
          </cell>
          <cell r="D654">
            <v>0.52271985420126499</v>
          </cell>
          <cell r="E654">
            <v>3697.4499999999989</v>
          </cell>
          <cell r="F654">
            <v>208.55999999999995</v>
          </cell>
          <cell r="G654">
            <v>3488.889999999999</v>
          </cell>
        </row>
        <row r="655">
          <cell r="A655">
            <v>10341045001740</v>
          </cell>
          <cell r="B655">
            <v>6053.7827090981837</v>
          </cell>
          <cell r="C655">
            <v>2496.46</v>
          </cell>
          <cell r="D655">
            <v>0.41238017946169253</v>
          </cell>
          <cell r="E655">
            <v>2015.0500000000002</v>
          </cell>
          <cell r="F655">
            <v>99.480000000000018</v>
          </cell>
          <cell r="G655">
            <v>1915.5700000000002</v>
          </cell>
        </row>
        <row r="656">
          <cell r="A656">
            <v>10341045001821</v>
          </cell>
          <cell r="B656">
            <v>21364.517009646792</v>
          </cell>
          <cell r="C656">
            <v>9850.5999999999967</v>
          </cell>
          <cell r="D656">
            <v>0.46107290867151934</v>
          </cell>
          <cell r="E656">
            <v>10913.99</v>
          </cell>
          <cell r="F656">
            <v>3451.510000000002</v>
          </cell>
          <cell r="G656">
            <v>7462.4799999999977</v>
          </cell>
        </row>
        <row r="657">
          <cell r="A657">
            <v>10341045001902</v>
          </cell>
          <cell r="B657">
            <v>23881.360988403314</v>
          </cell>
          <cell r="C657">
            <v>14246.299999999997</v>
          </cell>
          <cell r="D657">
            <v>0.59654472820531201</v>
          </cell>
          <cell r="E657">
            <v>14733.889999999998</v>
          </cell>
          <cell r="F657">
            <v>3745.4100000000017</v>
          </cell>
          <cell r="G657">
            <v>10988.479999999996</v>
          </cell>
        </row>
        <row r="658">
          <cell r="A658">
            <v>10341045002046</v>
          </cell>
          <cell r="B658">
            <v>19217.693121101485</v>
          </cell>
          <cell r="C658">
            <v>11981.67</v>
          </cell>
          <cell r="D658">
            <v>0.62347077375503723</v>
          </cell>
          <cell r="E658">
            <v>13130.42</v>
          </cell>
          <cell r="F658">
            <v>3098.1399999999976</v>
          </cell>
          <cell r="G658">
            <v>10032.280000000002</v>
          </cell>
        </row>
        <row r="659">
          <cell r="A659">
            <v>10341045002127</v>
          </cell>
          <cell r="B659">
            <v>14049.710908441331</v>
          </cell>
          <cell r="C659">
            <v>7783.94</v>
          </cell>
          <cell r="D659">
            <v>0.55402848149161998</v>
          </cell>
          <cell r="E659">
            <v>7970.7800000000025</v>
          </cell>
          <cell r="F659">
            <v>2267.7200000000012</v>
          </cell>
          <cell r="G659">
            <v>5703.0600000000013</v>
          </cell>
        </row>
        <row r="660">
          <cell r="A660">
            <v>10341045002399</v>
          </cell>
          <cell r="B660">
            <v>25826.733267431606</v>
          </cell>
          <cell r="C660">
            <v>16119.629999999996</v>
          </cell>
          <cell r="D660">
            <v>0.62414513802747951</v>
          </cell>
          <cell r="E660">
            <v>14766.189999999995</v>
          </cell>
          <cell r="F660">
            <v>3470.2199999999957</v>
          </cell>
          <cell r="G660">
            <v>11295.97</v>
          </cell>
        </row>
        <row r="661">
          <cell r="A661">
            <v>18332251000139</v>
          </cell>
          <cell r="B661">
            <v>18316.582778702996</v>
          </cell>
          <cell r="C661">
            <v>10213.789999999997</v>
          </cell>
          <cell r="D661">
            <v>0.55762530180442527</v>
          </cell>
          <cell r="E661">
            <v>13673.009999999998</v>
          </cell>
          <cell r="F661">
            <v>5737.2899999999991</v>
          </cell>
          <cell r="G661">
            <v>7935.7199999999993</v>
          </cell>
        </row>
        <row r="662">
          <cell r="A662">
            <v>18332251000210</v>
          </cell>
          <cell r="B662">
            <v>16229.818798225615</v>
          </cell>
          <cell r="C662">
            <v>9023.8099999999959</v>
          </cell>
          <cell r="D662">
            <v>0.55600189454897408</v>
          </cell>
          <cell r="E662">
            <v>12661.390000000001</v>
          </cell>
          <cell r="F662">
            <v>6918.8700000000017</v>
          </cell>
          <cell r="G662">
            <v>5742.5199999999995</v>
          </cell>
        </row>
        <row r="663">
          <cell r="A663">
            <v>18332251000309</v>
          </cell>
          <cell r="B663">
            <v>5844.8708303680369</v>
          </cell>
          <cell r="C663">
            <v>2578.81</v>
          </cell>
          <cell r="D663">
            <v>0.44120906600730109</v>
          </cell>
          <cell r="E663">
            <v>3770.5000000000005</v>
          </cell>
          <cell r="F663">
            <v>1464.2200000000003</v>
          </cell>
          <cell r="G663">
            <v>2306.2800000000002</v>
          </cell>
        </row>
        <row r="664">
          <cell r="A664">
            <v>18332251000481</v>
          </cell>
          <cell r="B664">
            <v>4570.9509190854742</v>
          </cell>
          <cell r="C664">
            <v>2111.87</v>
          </cell>
          <cell r="D664">
            <v>0.46201983731265461</v>
          </cell>
          <cell r="E664">
            <v>3777.28</v>
          </cell>
          <cell r="F664">
            <v>205.67000000000053</v>
          </cell>
          <cell r="G664">
            <v>3571.6099999999997</v>
          </cell>
        </row>
        <row r="665">
          <cell r="A665">
            <v>19909093000108</v>
          </cell>
          <cell r="B665">
            <v>14853.094435978979</v>
          </cell>
          <cell r="C665">
            <v>9594.5899999999965</v>
          </cell>
          <cell r="D665">
            <v>0.64596573066679019</v>
          </cell>
          <cell r="E665">
            <v>0</v>
          </cell>
          <cell r="F665">
            <v>0</v>
          </cell>
          <cell r="G665">
            <v>0</v>
          </cell>
        </row>
        <row r="666">
          <cell r="A666">
            <v>19909093000280</v>
          </cell>
          <cell r="B666">
            <v>1204.3150601310394</v>
          </cell>
          <cell r="C666">
            <v>2037.4500000000003</v>
          </cell>
          <cell r="D666">
            <v>1.6917915149033418</v>
          </cell>
          <cell r="E666">
            <v>0</v>
          </cell>
          <cell r="F666">
            <v>0</v>
          </cell>
          <cell r="G666">
            <v>0</v>
          </cell>
        </row>
        <row r="667">
          <cell r="A667">
            <v>20718662000109</v>
          </cell>
          <cell r="B667">
            <v>2189.3410962808375</v>
          </cell>
          <cell r="C667">
            <v>1614.9200000000003</v>
          </cell>
          <cell r="D667">
            <v>0.73762832239497078</v>
          </cell>
          <cell r="E667">
            <v>2139.71</v>
          </cell>
          <cell r="F667">
            <v>456.69000000000005</v>
          </cell>
          <cell r="G667">
            <v>1683.02</v>
          </cell>
        </row>
        <row r="668">
          <cell r="A668">
            <v>24437271000177</v>
          </cell>
          <cell r="B668">
            <v>13342.556361536537</v>
          </cell>
          <cell r="C668">
            <v>6720.090000000002</v>
          </cell>
          <cell r="D668">
            <v>0.50365835585843555</v>
          </cell>
          <cell r="E668">
            <v>5328.75</v>
          </cell>
          <cell r="F668">
            <v>1769.2999999999997</v>
          </cell>
          <cell r="G668">
            <v>3559.4500000000003</v>
          </cell>
        </row>
        <row r="669">
          <cell r="A669">
            <v>27769234000154</v>
          </cell>
          <cell r="B669">
            <v>10993.015607729561</v>
          </cell>
          <cell r="C669">
            <v>6530.1099999999988</v>
          </cell>
          <cell r="D669">
            <v>0.59402353576287636</v>
          </cell>
          <cell r="E669">
            <v>5336.6600000000008</v>
          </cell>
          <cell r="F669">
            <v>71.319999999999709</v>
          </cell>
          <cell r="G669">
            <v>5265.3400000000011</v>
          </cell>
        </row>
        <row r="670">
          <cell r="A670">
            <v>5344624000492</v>
          </cell>
          <cell r="B670">
            <v>7073.62541264025</v>
          </cell>
          <cell r="C670">
            <v>3268.0200000000004</v>
          </cell>
          <cell r="D670">
            <v>0.462000715242879</v>
          </cell>
          <cell r="E670">
            <v>2497.1099999999997</v>
          </cell>
          <cell r="F670">
            <v>800.49999999999955</v>
          </cell>
          <cell r="G670">
            <v>1696.6100000000001</v>
          </cell>
        </row>
        <row r="671">
          <cell r="A671">
            <v>35282298000154</v>
          </cell>
          <cell r="B671">
            <v>17628.221795035613</v>
          </cell>
          <cell r="C671">
            <v>10069.08</v>
          </cell>
          <cell r="D671">
            <v>0.57119090723237964</v>
          </cell>
          <cell r="E671">
            <v>8077.5699999999979</v>
          </cell>
          <cell r="F671">
            <v>1940.4799999999996</v>
          </cell>
          <cell r="G671">
            <v>6137.0899999999983</v>
          </cell>
        </row>
        <row r="672">
          <cell r="A672">
            <v>62343168000157</v>
          </cell>
          <cell r="B672">
            <v>5523.2603082210771</v>
          </cell>
          <cell r="C672">
            <v>4854.0899999999992</v>
          </cell>
          <cell r="D672">
            <v>0.87884505330573437</v>
          </cell>
          <cell r="E672">
            <v>0</v>
          </cell>
          <cell r="F672">
            <v>0</v>
          </cell>
          <cell r="G672">
            <v>0</v>
          </cell>
        </row>
        <row r="673">
          <cell r="A673">
            <v>4114403000112</v>
          </cell>
          <cell r="B673">
            <v>67104.952149285673</v>
          </cell>
          <cell r="C673">
            <v>39454.759999999987</v>
          </cell>
          <cell r="D673">
            <v>0.58795601123783803</v>
          </cell>
          <cell r="E673">
            <v>35199.589999999997</v>
          </cell>
          <cell r="F673">
            <v>1124.7599999999948</v>
          </cell>
          <cell r="G673">
            <v>34074.83</v>
          </cell>
        </row>
        <row r="674">
          <cell r="A674">
            <v>4114403000201</v>
          </cell>
          <cell r="B674">
            <v>16089.111922314993</v>
          </cell>
          <cell r="C674">
            <v>9872.3099999999959</v>
          </cell>
          <cell r="D674">
            <v>0.61360192207423669</v>
          </cell>
          <cell r="E674">
            <v>8131.5999999999995</v>
          </cell>
          <cell r="F674">
            <v>399.0099999999984</v>
          </cell>
          <cell r="G674">
            <v>7732.5900000000011</v>
          </cell>
        </row>
        <row r="675">
          <cell r="A675">
            <v>4114403000384</v>
          </cell>
          <cell r="B675">
            <v>14525.135025598309</v>
          </cell>
          <cell r="C675">
            <v>10346.609999999999</v>
          </cell>
          <cell r="D675">
            <v>0.71232453135655505</v>
          </cell>
          <cell r="E675">
            <v>7161.59</v>
          </cell>
          <cell r="F675">
            <v>226.59000000000015</v>
          </cell>
          <cell r="G675">
            <v>6935</v>
          </cell>
        </row>
        <row r="676">
          <cell r="A676">
            <v>9492647000152</v>
          </cell>
          <cell r="B676">
            <v>23813.550620309437</v>
          </cell>
          <cell r="C676">
            <v>16229.430000000004</v>
          </cell>
          <cell r="D676">
            <v>0.68152079707755553</v>
          </cell>
          <cell r="E676">
            <v>25016.090000000015</v>
          </cell>
          <cell r="F676">
            <v>1822.1600000000071</v>
          </cell>
          <cell r="G676">
            <v>23193.930000000008</v>
          </cell>
        </row>
        <row r="677">
          <cell r="A677">
            <v>9492647000314</v>
          </cell>
          <cell r="B677">
            <v>15024.364806250207</v>
          </cell>
          <cell r="C677">
            <v>8657.8299999999963</v>
          </cell>
          <cell r="D677">
            <v>0.57625264772579921</v>
          </cell>
          <cell r="E677">
            <v>16011.629999999997</v>
          </cell>
          <cell r="F677">
            <v>878.51000000000022</v>
          </cell>
          <cell r="G677">
            <v>15133.119999999997</v>
          </cell>
        </row>
        <row r="678">
          <cell r="A678">
            <v>9492647000403</v>
          </cell>
          <cell r="B678">
            <v>10171.660730105721</v>
          </cell>
          <cell r="C678">
            <v>6139.1500000000005</v>
          </cell>
          <cell r="D678">
            <v>0.60355434209770309</v>
          </cell>
          <cell r="E678">
            <v>10604.479999999996</v>
          </cell>
          <cell r="F678">
            <v>253.61000000000058</v>
          </cell>
          <cell r="G678">
            <v>10350.869999999995</v>
          </cell>
        </row>
        <row r="679">
          <cell r="A679">
            <v>9492647000667</v>
          </cell>
          <cell r="B679">
            <v>9725.4140496120617</v>
          </cell>
          <cell r="C679">
            <v>6616.7</v>
          </cell>
          <cell r="D679">
            <v>0.68035149621870694</v>
          </cell>
          <cell r="E679">
            <v>10135.719999999994</v>
          </cell>
          <cell r="F679">
            <v>322.2599999999984</v>
          </cell>
          <cell r="G679">
            <v>9813.4599999999955</v>
          </cell>
        </row>
        <row r="680">
          <cell r="A680">
            <v>9492647000829</v>
          </cell>
          <cell r="B680">
            <v>15368.611101298697</v>
          </cell>
          <cell r="C680">
            <v>9032.6400000000012</v>
          </cell>
          <cell r="D680">
            <v>0.58773300596022726</v>
          </cell>
          <cell r="E680">
            <v>13250.389999999996</v>
          </cell>
          <cell r="F680">
            <v>312.18999999999869</v>
          </cell>
          <cell r="G680">
            <v>12938.199999999997</v>
          </cell>
        </row>
        <row r="681">
          <cell r="A681">
            <v>9492647000900</v>
          </cell>
          <cell r="B681">
            <v>10775.493731341578</v>
          </cell>
          <cell r="C681">
            <v>6080.1799999999994</v>
          </cell>
          <cell r="D681">
            <v>0.56425999138352256</v>
          </cell>
          <cell r="E681">
            <v>9166.98</v>
          </cell>
          <cell r="F681">
            <v>839.84000000000015</v>
          </cell>
          <cell r="G681">
            <v>8327.14</v>
          </cell>
        </row>
        <row r="682">
          <cell r="A682">
            <v>9492647001205</v>
          </cell>
          <cell r="B682">
            <v>9108.1684646652229</v>
          </cell>
          <cell r="C682">
            <v>4961.7299999999996</v>
          </cell>
          <cell r="D682">
            <v>0.54475606366404328</v>
          </cell>
          <cell r="E682">
            <v>7160.880000000001</v>
          </cell>
          <cell r="F682">
            <v>552.05000000000109</v>
          </cell>
          <cell r="G682">
            <v>6608.83</v>
          </cell>
        </row>
        <row r="683">
          <cell r="A683">
            <v>9571632000180</v>
          </cell>
          <cell r="B683">
            <v>9110.9575967773198</v>
          </cell>
          <cell r="C683">
            <v>5705.3100000000013</v>
          </cell>
          <cell r="D683">
            <v>0.62620311195587752</v>
          </cell>
          <cell r="E683">
            <v>4755.32</v>
          </cell>
          <cell r="F683">
            <v>14.079999999999927</v>
          </cell>
          <cell r="G683">
            <v>4741.24</v>
          </cell>
        </row>
        <row r="684">
          <cell r="A684">
            <v>19651628000770</v>
          </cell>
          <cell r="B684">
            <v>9186.7028109200419</v>
          </cell>
          <cell r="C684">
            <v>5666.82</v>
          </cell>
          <cell r="D684">
            <v>0.61685025809956207</v>
          </cell>
          <cell r="E684">
            <v>4981.9799999999996</v>
          </cell>
          <cell r="F684">
            <v>581.61000000000058</v>
          </cell>
          <cell r="G684">
            <v>4400.369999999999</v>
          </cell>
        </row>
        <row r="685">
          <cell r="A685">
            <v>20884408000180</v>
          </cell>
          <cell r="B685">
            <v>37947.634731630613</v>
          </cell>
          <cell r="C685">
            <v>22295.15</v>
          </cell>
          <cell r="D685">
            <v>0.58752410150654932</v>
          </cell>
          <cell r="E685">
            <v>7488.9099999999989</v>
          </cell>
          <cell r="F685">
            <v>171.09000000000015</v>
          </cell>
          <cell r="G685">
            <v>7317.8199999999988</v>
          </cell>
        </row>
        <row r="686">
          <cell r="A686">
            <v>20884408000261</v>
          </cell>
          <cell r="B686">
            <v>18510.005167711533</v>
          </cell>
          <cell r="C686">
            <v>12090.030000000002</v>
          </cell>
          <cell r="D686">
            <v>0.65316189220139165</v>
          </cell>
          <cell r="E686">
            <v>4973.7300000000005</v>
          </cell>
          <cell r="F686">
            <v>631.02000000000044</v>
          </cell>
          <cell r="G686">
            <v>4342.71</v>
          </cell>
        </row>
        <row r="687">
          <cell r="A687">
            <v>21746348000100</v>
          </cell>
          <cell r="B687">
            <v>16199.930514437534</v>
          </cell>
          <cell r="C687">
            <v>8077.1</v>
          </cell>
          <cell r="D687">
            <v>0.49858855831521076</v>
          </cell>
          <cell r="E687">
            <v>0</v>
          </cell>
          <cell r="F687">
            <v>0</v>
          </cell>
          <cell r="G687">
            <v>0</v>
          </cell>
        </row>
        <row r="688">
          <cell r="A688">
            <v>27201095000168</v>
          </cell>
          <cell r="B688">
            <v>3947.9986485042973</v>
          </cell>
          <cell r="C688">
            <v>2511.5000000000005</v>
          </cell>
          <cell r="D688">
            <v>0.6361451012531335</v>
          </cell>
          <cell r="E688">
            <v>2747.2</v>
          </cell>
          <cell r="F688">
            <v>328.57999999999993</v>
          </cell>
          <cell r="G688">
            <v>2418.62</v>
          </cell>
        </row>
        <row r="689">
          <cell r="A689">
            <v>41651815000118</v>
          </cell>
          <cell r="B689">
            <v>7919.1712958777507</v>
          </cell>
          <cell r="C689">
            <v>4265.04</v>
          </cell>
          <cell r="D689">
            <v>0.53857150459924086</v>
          </cell>
          <cell r="E689">
            <v>261.95</v>
          </cell>
          <cell r="F689">
            <v>0</v>
          </cell>
          <cell r="G689">
            <v>261.95</v>
          </cell>
        </row>
        <row r="690">
          <cell r="A690">
            <v>2100833000150</v>
          </cell>
          <cell r="B690">
            <v>41134.389910313344</v>
          </cell>
          <cell r="C690">
            <v>27416.680000000022</v>
          </cell>
          <cell r="D690">
            <v>0.66651480816361941</v>
          </cell>
          <cell r="E690">
            <v>17329.219999999998</v>
          </cell>
          <cell r="F690">
            <v>1777.5200000000023</v>
          </cell>
          <cell r="G690">
            <v>15551.699999999995</v>
          </cell>
        </row>
        <row r="691">
          <cell r="A691">
            <v>2100833000230</v>
          </cell>
          <cell r="B691">
            <v>46280.055044974317</v>
          </cell>
          <cell r="C691">
            <v>34979.749999999985</v>
          </cell>
          <cell r="D691">
            <v>0.75582775271133862</v>
          </cell>
          <cell r="E691">
            <v>19219.420000000006</v>
          </cell>
          <cell r="F691">
            <v>6481.2800000000007</v>
          </cell>
          <cell r="G691">
            <v>12738.140000000005</v>
          </cell>
        </row>
        <row r="692">
          <cell r="A692">
            <v>26476385000151</v>
          </cell>
          <cell r="B692">
            <v>9814.8148371923489</v>
          </cell>
          <cell r="C692">
            <v>5023.7099999999991</v>
          </cell>
          <cell r="D692">
            <v>0.51184969694620286</v>
          </cell>
          <cell r="E692">
            <v>3357.5800000000004</v>
          </cell>
          <cell r="F692">
            <v>362.03999999999996</v>
          </cell>
          <cell r="G692">
            <v>2995.5400000000004</v>
          </cell>
        </row>
        <row r="693">
          <cell r="A693">
            <v>1938125000120</v>
          </cell>
          <cell r="B693">
            <v>10556.090862258139</v>
          </cell>
          <cell r="C693">
            <v>5814.14</v>
          </cell>
          <cell r="D693">
            <v>0.55078533103458438</v>
          </cell>
          <cell r="E693">
            <v>8275.8499999999985</v>
          </cell>
          <cell r="F693">
            <v>790.34000000000015</v>
          </cell>
          <cell r="G693">
            <v>7485.5099999999984</v>
          </cell>
        </row>
        <row r="694">
          <cell r="A694">
            <v>11368538000170</v>
          </cell>
          <cell r="B694">
            <v>25182.741858439273</v>
          </cell>
          <cell r="C694">
            <v>19959.179999999993</v>
          </cell>
          <cell r="D694">
            <v>0.79257374404253944</v>
          </cell>
          <cell r="E694">
            <v>4187.46</v>
          </cell>
          <cell r="F694">
            <v>4187.46</v>
          </cell>
          <cell r="G694">
            <v>0</v>
          </cell>
        </row>
        <row r="695">
          <cell r="A695">
            <v>2956282000120</v>
          </cell>
          <cell r="B695">
            <v>7943.2012681970491</v>
          </cell>
          <cell r="C695">
            <v>5206.0499999999984</v>
          </cell>
          <cell r="D695">
            <v>0.65540955393437605</v>
          </cell>
          <cell r="E695">
            <v>1400.48</v>
          </cell>
          <cell r="F695">
            <v>0</v>
          </cell>
          <cell r="G695">
            <v>1400.48</v>
          </cell>
        </row>
        <row r="696">
          <cell r="A696">
            <v>19651628000428</v>
          </cell>
          <cell r="B696">
            <v>6806.9426973570844</v>
          </cell>
          <cell r="C696">
            <v>2910.01</v>
          </cell>
          <cell r="D696">
            <v>0.42750616971255878</v>
          </cell>
          <cell r="E696">
            <v>2948.2699999999995</v>
          </cell>
          <cell r="F696">
            <v>1806.4799999999996</v>
          </cell>
          <cell r="G696">
            <v>1141.79</v>
          </cell>
        </row>
        <row r="697">
          <cell r="A697">
            <v>19651628000690</v>
          </cell>
          <cell r="B697">
            <v>16077.580325756697</v>
          </cell>
          <cell r="C697">
            <v>8082.71</v>
          </cell>
          <cell r="D697">
            <v>0.50273174421970024</v>
          </cell>
          <cell r="E697">
            <v>10635.08</v>
          </cell>
          <cell r="F697">
            <v>5387.5200000000013</v>
          </cell>
          <cell r="G697">
            <v>5247.5599999999986</v>
          </cell>
        </row>
        <row r="698">
          <cell r="A698">
            <v>18806193000138</v>
          </cell>
          <cell r="B698">
            <v>14360.382873471581</v>
          </cell>
          <cell r="C698">
            <v>8694.0899999999983</v>
          </cell>
          <cell r="D698">
            <v>0.6054218802244391</v>
          </cell>
          <cell r="E698">
            <v>11939.929999999998</v>
          </cell>
          <cell r="F698">
            <v>7668.7999999999984</v>
          </cell>
          <cell r="G698">
            <v>4271.13</v>
          </cell>
        </row>
        <row r="699">
          <cell r="A699">
            <v>18806193000219</v>
          </cell>
          <cell r="B699">
            <v>7056.7358933211126</v>
          </cell>
          <cell r="C699">
            <v>2859.32</v>
          </cell>
          <cell r="D699">
            <v>0.4051901676958351</v>
          </cell>
          <cell r="E699">
            <v>3301.9600000000005</v>
          </cell>
          <cell r="F699">
            <v>93.739999999999782</v>
          </cell>
          <cell r="G699">
            <v>3208.2200000000007</v>
          </cell>
        </row>
        <row r="700">
          <cell r="A700">
            <v>18806193000308</v>
          </cell>
          <cell r="B700">
            <v>9580.2576781711359</v>
          </cell>
          <cell r="C700">
            <v>5392.8499999999976</v>
          </cell>
          <cell r="D700">
            <v>0.5629128339927375</v>
          </cell>
          <cell r="E700">
            <v>6967.4499999999989</v>
          </cell>
          <cell r="F700">
            <v>0</v>
          </cell>
          <cell r="G700">
            <v>6967.4499999999989</v>
          </cell>
        </row>
        <row r="701">
          <cell r="A701">
            <v>18806193000561</v>
          </cell>
          <cell r="B701">
            <v>13050.194415897502</v>
          </cell>
          <cell r="C701">
            <v>7001.76</v>
          </cell>
          <cell r="D701">
            <v>0.5365253403022554</v>
          </cell>
          <cell r="E701">
            <v>7846.7300000000023</v>
          </cell>
          <cell r="F701">
            <v>209.48000000000047</v>
          </cell>
          <cell r="G701">
            <v>7637.2500000000018</v>
          </cell>
        </row>
        <row r="702">
          <cell r="A702">
            <v>18806193000642</v>
          </cell>
          <cell r="B702">
            <v>4284.223224518294</v>
          </cell>
          <cell r="C702">
            <v>2150.7799999999997</v>
          </cell>
          <cell r="D702">
            <v>0.50202332775081471</v>
          </cell>
          <cell r="E702">
            <v>2800.2799999999997</v>
          </cell>
          <cell r="F702">
            <v>37.539999999999964</v>
          </cell>
          <cell r="G702">
            <v>2762.74</v>
          </cell>
        </row>
        <row r="703">
          <cell r="A703">
            <v>18806193000723</v>
          </cell>
          <cell r="B703">
            <v>5900.8226506732117</v>
          </cell>
          <cell r="C703">
            <v>4394.1100000000006</v>
          </cell>
          <cell r="D703">
            <v>0.74466057702965982</v>
          </cell>
          <cell r="E703">
            <v>5215.4499999999989</v>
          </cell>
          <cell r="F703">
            <v>8.2899999999999636</v>
          </cell>
          <cell r="G703">
            <v>5207.1599999999989</v>
          </cell>
        </row>
        <row r="704">
          <cell r="A704">
            <v>18806193000804</v>
          </cell>
          <cell r="B704">
            <v>3431.4690837549947</v>
          </cell>
          <cell r="C704">
            <v>2299.3299999999995</v>
          </cell>
          <cell r="D704">
            <v>0.67007160603174787</v>
          </cell>
          <cell r="E704">
            <v>2693.3399999999992</v>
          </cell>
          <cell r="F704">
            <v>88.539999999999964</v>
          </cell>
          <cell r="G704">
            <v>2604.7999999999993</v>
          </cell>
        </row>
        <row r="705">
          <cell r="A705">
            <v>18806193000995</v>
          </cell>
          <cell r="B705">
            <v>3560.6147015222559</v>
          </cell>
          <cell r="C705">
            <v>2717.3399999999997</v>
          </cell>
          <cell r="D705">
            <v>0.76316597772802142</v>
          </cell>
          <cell r="E705">
            <v>3313.2899999999991</v>
          </cell>
          <cell r="F705">
            <v>0</v>
          </cell>
          <cell r="G705">
            <v>3313.2899999999991</v>
          </cell>
        </row>
        <row r="706">
          <cell r="A706">
            <v>32162131000161</v>
          </cell>
          <cell r="B706">
            <v>12946.150585468898</v>
          </cell>
          <cell r="C706">
            <v>6981.1999999999989</v>
          </cell>
          <cell r="D706">
            <v>0.53924909600818971</v>
          </cell>
          <cell r="E706">
            <v>4852.3900000000003</v>
          </cell>
          <cell r="F706">
            <v>0</v>
          </cell>
          <cell r="G706">
            <v>4852.3900000000003</v>
          </cell>
        </row>
        <row r="707">
          <cell r="A707">
            <v>4050862000180</v>
          </cell>
          <cell r="B707">
            <v>4548.1790713563269</v>
          </cell>
          <cell r="C707">
            <v>2660.95</v>
          </cell>
          <cell r="D707">
            <v>0.58505831856054635</v>
          </cell>
          <cell r="E707">
            <v>885.19000000000017</v>
          </cell>
          <cell r="F707">
            <v>18.940000000000282</v>
          </cell>
          <cell r="G707">
            <v>866.24999999999989</v>
          </cell>
        </row>
        <row r="708">
          <cell r="A708">
            <v>4050862000260</v>
          </cell>
          <cell r="B708">
            <v>9696.8797485826071</v>
          </cell>
          <cell r="C708">
            <v>5443.22</v>
          </cell>
          <cell r="D708">
            <v>0.5613372694237686</v>
          </cell>
          <cell r="E708">
            <v>1389.6699999999998</v>
          </cell>
          <cell r="F708">
            <v>64.889999999999645</v>
          </cell>
          <cell r="G708">
            <v>1324.7800000000002</v>
          </cell>
        </row>
        <row r="709">
          <cell r="A709">
            <v>4050862000341</v>
          </cell>
          <cell r="B709">
            <v>8197.8690569270912</v>
          </cell>
          <cell r="C709">
            <v>4509.7</v>
          </cell>
          <cell r="D709">
            <v>0.55010637138554475</v>
          </cell>
          <cell r="E709">
            <v>2756.5499999999997</v>
          </cell>
          <cell r="F709">
            <v>0</v>
          </cell>
          <cell r="G709">
            <v>2756.5499999999997</v>
          </cell>
        </row>
        <row r="710">
          <cell r="A710">
            <v>13938314000262</v>
          </cell>
          <cell r="B710">
            <v>4501.1340202046877</v>
          </cell>
          <cell r="C710">
            <v>2277.809999999999</v>
          </cell>
          <cell r="D710">
            <v>0.50605247250478813</v>
          </cell>
          <cell r="E710">
            <v>1106.5</v>
          </cell>
          <cell r="F710">
            <v>18.940000000000055</v>
          </cell>
          <cell r="G710">
            <v>1087.56</v>
          </cell>
        </row>
        <row r="711">
          <cell r="A711">
            <v>531367000131</v>
          </cell>
          <cell r="B711">
            <v>2510.5119527779052</v>
          </cell>
          <cell r="C711">
            <v>1154.3700000000001</v>
          </cell>
          <cell r="D711">
            <v>0.45981458033795808</v>
          </cell>
          <cell r="E711">
            <v>1099.77</v>
          </cell>
          <cell r="F711">
            <v>103.09999999999991</v>
          </cell>
          <cell r="G711">
            <v>996.67000000000007</v>
          </cell>
        </row>
        <row r="712">
          <cell r="A712">
            <v>531367000212</v>
          </cell>
          <cell r="B712">
            <v>5180.7091991741681</v>
          </cell>
          <cell r="C712">
            <v>3704.6699999999987</v>
          </cell>
          <cell r="D712">
            <v>0.71508935506176308</v>
          </cell>
          <cell r="E712">
            <v>3795.7500000000014</v>
          </cell>
          <cell r="F712">
            <v>69.350000000000364</v>
          </cell>
          <cell r="G712">
            <v>3726.400000000001</v>
          </cell>
        </row>
        <row r="713">
          <cell r="A713">
            <v>531367000301</v>
          </cell>
          <cell r="B713">
            <v>11526.354095459412</v>
          </cell>
          <cell r="C713">
            <v>5908.3100000000013</v>
          </cell>
          <cell r="D713">
            <v>0.51259140150201243</v>
          </cell>
          <cell r="E713">
            <v>6833.82</v>
          </cell>
          <cell r="F713">
            <v>0</v>
          </cell>
          <cell r="G713">
            <v>6833.82</v>
          </cell>
        </row>
        <row r="714">
          <cell r="A714">
            <v>5939112000126</v>
          </cell>
          <cell r="B714">
            <v>13036.984009541349</v>
          </cell>
          <cell r="C714">
            <v>8242.44</v>
          </cell>
          <cell r="D714">
            <v>0.63223518522133826</v>
          </cell>
          <cell r="E714">
            <v>0</v>
          </cell>
          <cell r="F714">
            <v>0</v>
          </cell>
          <cell r="G714">
            <v>0</v>
          </cell>
        </row>
        <row r="715">
          <cell r="A715">
            <v>27545412000597</v>
          </cell>
          <cell r="B715">
            <v>3160.2269284939739</v>
          </cell>
          <cell r="C715">
            <v>3033.3499999999995</v>
          </cell>
          <cell r="D715">
            <v>0.95985195640540966</v>
          </cell>
          <cell r="E715">
            <v>3558.7000000000012</v>
          </cell>
          <cell r="F715">
            <v>1356.5800000000008</v>
          </cell>
          <cell r="G715">
            <v>2202.1200000000003</v>
          </cell>
        </row>
        <row r="716">
          <cell r="A716">
            <v>36728431000116</v>
          </cell>
          <cell r="B716">
            <v>5339.5951158266034</v>
          </cell>
          <cell r="C716">
            <v>3007.099999999999</v>
          </cell>
          <cell r="D716">
            <v>0.56317004094316625</v>
          </cell>
          <cell r="E716">
            <v>5017.9900000000016</v>
          </cell>
          <cell r="F716">
            <v>287.83000000000084</v>
          </cell>
          <cell r="G716">
            <v>4730.1600000000008</v>
          </cell>
        </row>
        <row r="717">
          <cell r="A717">
            <v>36728431000205</v>
          </cell>
          <cell r="B717">
            <v>8814.396516952922</v>
          </cell>
          <cell r="C717">
            <v>6039.86</v>
          </cell>
          <cell r="D717">
            <v>0.68522671840135674</v>
          </cell>
          <cell r="E717">
            <v>8317.619999999999</v>
          </cell>
          <cell r="F717">
            <v>68.479999999999563</v>
          </cell>
          <cell r="G717">
            <v>8249.14</v>
          </cell>
        </row>
        <row r="718">
          <cell r="A718">
            <v>34565893000134</v>
          </cell>
          <cell r="B718">
            <v>4303.8246254261139</v>
          </cell>
          <cell r="C718">
            <v>2158.5200000000004</v>
          </cell>
          <cell r="D718">
            <v>0.50153530588767647</v>
          </cell>
          <cell r="E718">
            <v>695.08000000000015</v>
          </cell>
          <cell r="F718">
            <v>9.4700000000000273</v>
          </cell>
          <cell r="G718">
            <v>685.61000000000013</v>
          </cell>
        </row>
        <row r="719">
          <cell r="A719">
            <v>4050862000694</v>
          </cell>
          <cell r="B719">
            <v>4887.3768799351101</v>
          </cell>
          <cell r="C719">
            <v>1820.7099999999996</v>
          </cell>
          <cell r="D719">
            <v>0.37253316957708676</v>
          </cell>
          <cell r="E719">
            <v>836.50000000000023</v>
          </cell>
          <cell r="F719">
            <v>18.940000000000055</v>
          </cell>
          <cell r="G719">
            <v>817.56000000000017</v>
          </cell>
        </row>
        <row r="720">
          <cell r="A720">
            <v>4050862000775</v>
          </cell>
          <cell r="B720">
            <v>8209.556809482212</v>
          </cell>
          <cell r="C720">
            <v>6557.0600000000013</v>
          </cell>
          <cell r="D720">
            <v>0.79871059451424442</v>
          </cell>
          <cell r="E720">
            <v>2408.17</v>
          </cell>
          <cell r="F720">
            <v>28.409999999999854</v>
          </cell>
          <cell r="G720">
            <v>2379.7600000000002</v>
          </cell>
        </row>
        <row r="721">
          <cell r="A721">
            <v>11051538000141</v>
          </cell>
          <cell r="B721">
            <v>11881.141380625259</v>
          </cell>
          <cell r="C721">
            <v>6944.4599999999973</v>
          </cell>
          <cell r="D721">
            <v>0.58449434928233612</v>
          </cell>
          <cell r="E721">
            <v>6890.0800000000008</v>
          </cell>
          <cell r="F721">
            <v>168.15000000000055</v>
          </cell>
          <cell r="G721">
            <v>6721.93</v>
          </cell>
        </row>
        <row r="722">
          <cell r="A722">
            <v>13938314000181</v>
          </cell>
          <cell r="B722">
            <v>5734.4490425187641</v>
          </cell>
          <cell r="C722">
            <v>2903.1400000000003</v>
          </cell>
          <cell r="D722">
            <v>0.50626310888357684</v>
          </cell>
          <cell r="E722">
            <v>1056.74</v>
          </cell>
          <cell r="F722">
            <v>0</v>
          </cell>
          <cell r="G722">
            <v>1056.74</v>
          </cell>
        </row>
        <row r="723">
          <cell r="A723">
            <v>19651628000266</v>
          </cell>
          <cell r="B723">
            <v>11779.891386150268</v>
          </cell>
          <cell r="C723">
            <v>9291.1299999999974</v>
          </cell>
          <cell r="D723">
            <v>0.78872798529565979</v>
          </cell>
          <cell r="E723">
            <v>6711.3200000000015</v>
          </cell>
          <cell r="F723">
            <v>3727.1100000000015</v>
          </cell>
          <cell r="G723">
            <v>2984.21</v>
          </cell>
        </row>
        <row r="724">
          <cell r="A724">
            <v>27545412000163</v>
          </cell>
          <cell r="B724">
            <v>9578.2109870873373</v>
          </cell>
          <cell r="C724">
            <v>3905.79</v>
          </cell>
          <cell r="D724">
            <v>0.40777865566602239</v>
          </cell>
          <cell r="E724">
            <v>2559.119999999999</v>
          </cell>
          <cell r="F724">
            <v>111.81999999999971</v>
          </cell>
          <cell r="G724">
            <v>2447.2999999999993</v>
          </cell>
        </row>
        <row r="725">
          <cell r="A725">
            <v>27545412000325</v>
          </cell>
          <cell r="B725">
            <v>20886.823246334938</v>
          </cell>
          <cell r="C725">
            <v>13729.8</v>
          </cell>
          <cell r="D725">
            <v>0.65734266231267124</v>
          </cell>
          <cell r="E725">
            <v>14196.679999999998</v>
          </cell>
          <cell r="F725">
            <v>1895.0699999999961</v>
          </cell>
          <cell r="G725">
            <v>12301.610000000002</v>
          </cell>
        </row>
        <row r="726">
          <cell r="A726">
            <v>27545412000678</v>
          </cell>
          <cell r="B726">
            <v>3328.7114366937776</v>
          </cell>
          <cell r="C726">
            <v>18502.72</v>
          </cell>
          <cell r="D726">
            <v>5.5585232760150927</v>
          </cell>
          <cell r="E726">
            <v>3547.1200000000013</v>
          </cell>
          <cell r="F726">
            <v>1745.350000000001</v>
          </cell>
          <cell r="G726">
            <v>1801.7700000000002</v>
          </cell>
        </row>
        <row r="727">
          <cell r="A727">
            <v>27545412000244</v>
          </cell>
          <cell r="B727">
            <v>11208.494448730382</v>
          </cell>
          <cell r="C727">
            <v>6468.0699999999988</v>
          </cell>
          <cell r="D727">
            <v>0.57706858218881085</v>
          </cell>
          <cell r="E727">
            <v>5377.24</v>
          </cell>
          <cell r="F727">
            <v>1414.2199999999984</v>
          </cell>
          <cell r="G727">
            <v>3963.0200000000013</v>
          </cell>
        </row>
        <row r="728">
          <cell r="A728">
            <v>1938125000200</v>
          </cell>
          <cell r="B728">
            <v>4929.6425594295961</v>
          </cell>
          <cell r="C728">
            <v>1973.33</v>
          </cell>
          <cell r="D728">
            <v>0.40029879980351596</v>
          </cell>
          <cell r="E728">
            <v>1902.8200000000002</v>
          </cell>
          <cell r="F728">
            <v>205.67000000000007</v>
          </cell>
          <cell r="G728">
            <v>1697.15</v>
          </cell>
        </row>
        <row r="729">
          <cell r="A729">
            <v>19651628000509</v>
          </cell>
          <cell r="B729">
            <v>13820.441939742703</v>
          </cell>
          <cell r="C729">
            <v>7993.3199999999979</v>
          </cell>
          <cell r="D729">
            <v>0.57836934845144405</v>
          </cell>
          <cell r="E729">
            <v>3848.8000000000011</v>
          </cell>
          <cell r="F729">
            <v>228.82000000000016</v>
          </cell>
          <cell r="G729">
            <v>3619.9800000000009</v>
          </cell>
        </row>
        <row r="730">
          <cell r="A730">
            <v>24769226000110</v>
          </cell>
          <cell r="B730">
            <v>41658.41111463643</v>
          </cell>
          <cell r="C730">
            <v>25107.79</v>
          </cell>
          <cell r="D730">
            <v>0.60270637617233869</v>
          </cell>
          <cell r="E730">
            <v>14944.340000000009</v>
          </cell>
          <cell r="F730">
            <v>447.57999999999993</v>
          </cell>
          <cell r="G730">
            <v>14496.760000000009</v>
          </cell>
        </row>
        <row r="731">
          <cell r="A731">
            <v>34565893000215</v>
          </cell>
          <cell r="B731">
            <v>2644.9200107252223</v>
          </cell>
          <cell r="C731">
            <v>1989.7999999999997</v>
          </cell>
          <cell r="D731">
            <v>0.7523100857233137</v>
          </cell>
          <cell r="E731">
            <v>873.82</v>
          </cell>
          <cell r="F731">
            <v>0</v>
          </cell>
          <cell r="G731">
            <v>873.82</v>
          </cell>
        </row>
        <row r="732">
          <cell r="A732">
            <v>9433797000195</v>
          </cell>
          <cell r="B732">
            <v>11081.781940135812</v>
          </cell>
          <cell r="C732">
            <v>6246.5599999999977</v>
          </cell>
          <cell r="D732">
            <v>0.56367829955003101</v>
          </cell>
          <cell r="E732">
            <v>5994.5000000000018</v>
          </cell>
          <cell r="F732">
            <v>264.27000000000135</v>
          </cell>
          <cell r="G732">
            <v>5730.2300000000005</v>
          </cell>
        </row>
        <row r="733">
          <cell r="A733">
            <v>67759241000190</v>
          </cell>
          <cell r="B733">
            <v>3022.4781270512467</v>
          </cell>
          <cell r="C733">
            <v>526.48</v>
          </cell>
          <cell r="D733">
            <v>0.17418819189723567</v>
          </cell>
          <cell r="E733">
            <v>862.37</v>
          </cell>
          <cell r="F733">
            <v>0</v>
          </cell>
          <cell r="G733">
            <v>862.37</v>
          </cell>
        </row>
        <row r="734">
          <cell r="A734">
            <v>33964781000193</v>
          </cell>
          <cell r="B734">
            <v>7421.1532234245533</v>
          </cell>
          <cell r="C734">
            <v>5143.5099999999993</v>
          </cell>
          <cell r="D734">
            <v>0.69308769744367082</v>
          </cell>
          <cell r="E734">
            <v>0</v>
          </cell>
          <cell r="F734">
            <v>0</v>
          </cell>
          <cell r="G734">
            <v>0</v>
          </cell>
        </row>
        <row r="735">
          <cell r="A735">
            <v>55283212000115</v>
          </cell>
          <cell r="B735">
            <v>4184.4284808221219</v>
          </cell>
          <cell r="C735">
            <v>1315.51</v>
          </cell>
          <cell r="D735">
            <v>0.31438224025794304</v>
          </cell>
          <cell r="E735">
            <v>0</v>
          </cell>
          <cell r="F735">
            <v>0</v>
          </cell>
          <cell r="G735">
            <v>0</v>
          </cell>
        </row>
        <row r="736">
          <cell r="A736">
            <v>48808406000121</v>
          </cell>
          <cell r="B736">
            <v>4127.0457447492608</v>
          </cell>
          <cell r="C736">
            <v>2706.92</v>
          </cell>
          <cell r="D736">
            <v>0.65589774560748404</v>
          </cell>
          <cell r="E736">
            <v>139.56</v>
          </cell>
          <cell r="F736">
            <v>0</v>
          </cell>
          <cell r="G736">
            <v>139.56</v>
          </cell>
        </row>
        <row r="737">
          <cell r="A737">
            <v>72855430000104</v>
          </cell>
          <cell r="B737">
            <v>7218.827481000505</v>
          </cell>
          <cell r="C737">
            <v>3619.1899999999996</v>
          </cell>
          <cell r="D737">
            <v>0.50135427249445674</v>
          </cell>
          <cell r="E737">
            <v>2063.17</v>
          </cell>
          <cell r="F737">
            <v>104.96999999999957</v>
          </cell>
          <cell r="G737">
            <v>1958.2000000000005</v>
          </cell>
        </row>
        <row r="738">
          <cell r="A738">
            <v>10309605000112</v>
          </cell>
          <cell r="B738">
            <v>13543.786136610917</v>
          </cell>
          <cell r="C738">
            <v>6332.6200000000008</v>
          </cell>
          <cell r="D738">
            <v>0.46756644974494715</v>
          </cell>
          <cell r="E738">
            <v>6555.7400000000016</v>
          </cell>
          <cell r="F738">
            <v>131.44000000000051</v>
          </cell>
          <cell r="G738">
            <v>6424.3000000000011</v>
          </cell>
        </row>
        <row r="739">
          <cell r="A739">
            <v>3921201000110</v>
          </cell>
          <cell r="B739">
            <v>25717.510491813617</v>
          </cell>
          <cell r="C739">
            <v>12207.59</v>
          </cell>
          <cell r="D739">
            <v>0.4746800824242266</v>
          </cell>
          <cell r="E739">
            <v>4559.9800000000005</v>
          </cell>
          <cell r="F739">
            <v>1976.7600000000002</v>
          </cell>
          <cell r="G739">
            <v>2583.2200000000003</v>
          </cell>
        </row>
        <row r="740">
          <cell r="A740">
            <v>17241854000162</v>
          </cell>
          <cell r="B740">
            <v>28247.564316245564</v>
          </cell>
          <cell r="C740">
            <v>15086.58</v>
          </cell>
          <cell r="D740">
            <v>0.53408427824424842</v>
          </cell>
          <cell r="E740">
            <v>13176.930000000002</v>
          </cell>
          <cell r="F740">
            <v>893.26000000000022</v>
          </cell>
          <cell r="G740">
            <v>12283.670000000002</v>
          </cell>
        </row>
        <row r="741">
          <cell r="A741">
            <v>2736133000156</v>
          </cell>
          <cell r="B741">
            <v>2216.0874988899027</v>
          </cell>
          <cell r="C741">
            <v>533.0200000000001</v>
          </cell>
          <cell r="D741">
            <v>0.2405229939102152</v>
          </cell>
          <cell r="E741">
            <v>395.31</v>
          </cell>
          <cell r="F741">
            <v>0</v>
          </cell>
          <cell r="G741">
            <v>395.31</v>
          </cell>
        </row>
        <row r="742">
          <cell r="A742">
            <v>7139095000178</v>
          </cell>
          <cell r="B742">
            <v>6521.4619802438092</v>
          </cell>
          <cell r="C742">
            <v>1812.35</v>
          </cell>
          <cell r="D742">
            <v>0.27790547663857484</v>
          </cell>
          <cell r="E742">
            <v>0</v>
          </cell>
          <cell r="F742">
            <v>0</v>
          </cell>
          <cell r="G742">
            <v>0</v>
          </cell>
        </row>
        <row r="743">
          <cell r="A743">
            <v>7236140000102</v>
          </cell>
          <cell r="B743">
            <v>18449.683547141067</v>
          </cell>
          <cell r="C743">
            <v>5451.4299999999994</v>
          </cell>
          <cell r="D743">
            <v>0.29547552867619481</v>
          </cell>
          <cell r="E743">
            <v>4387.9800000000005</v>
          </cell>
          <cell r="F743">
            <v>779.96000000000049</v>
          </cell>
          <cell r="G743">
            <v>3608.02</v>
          </cell>
        </row>
        <row r="744">
          <cell r="A744">
            <v>42070773000194</v>
          </cell>
          <cell r="B744">
            <v>20810.913353827415</v>
          </cell>
          <cell r="C744">
            <v>13127.669999999995</v>
          </cell>
          <cell r="D744">
            <v>0.63080700864989347</v>
          </cell>
          <cell r="E744">
            <v>9959.2500000000018</v>
          </cell>
          <cell r="F744">
            <v>3146.4500000000035</v>
          </cell>
          <cell r="G744">
            <v>6812.7999999999984</v>
          </cell>
        </row>
        <row r="745">
          <cell r="A745">
            <v>42070773000275</v>
          </cell>
          <cell r="B745">
            <v>12793.213878944354</v>
          </cell>
          <cell r="C745">
            <v>8340.8799999999974</v>
          </cell>
          <cell r="D745">
            <v>0.65197690579751755</v>
          </cell>
          <cell r="E745">
            <v>4035.52</v>
          </cell>
          <cell r="F745">
            <v>18.940000000000055</v>
          </cell>
          <cell r="G745">
            <v>4016.58</v>
          </cell>
        </row>
        <row r="746">
          <cell r="A746">
            <v>13445025000140</v>
          </cell>
          <cell r="B746">
            <v>10442.752231427368</v>
          </cell>
          <cell r="C746">
            <v>2637.0200000000009</v>
          </cell>
          <cell r="D746">
            <v>0.2525215519395273</v>
          </cell>
          <cell r="E746">
            <v>0</v>
          </cell>
          <cell r="F746">
            <v>0</v>
          </cell>
          <cell r="G746">
            <v>0</v>
          </cell>
        </row>
        <row r="747">
          <cell r="A747">
            <v>20947414000130</v>
          </cell>
          <cell r="B747">
            <v>8351.0089165443624</v>
          </cell>
          <cell r="C747">
            <v>2196.0700000000006</v>
          </cell>
          <cell r="D747">
            <v>0.26297062090896817</v>
          </cell>
          <cell r="E747">
            <v>1951.0399999999997</v>
          </cell>
          <cell r="F747">
            <v>461.23999999999978</v>
          </cell>
          <cell r="G747">
            <v>1489.8</v>
          </cell>
        </row>
        <row r="748">
          <cell r="A748">
            <v>26661675000175</v>
          </cell>
          <cell r="B748">
            <v>16542.312373378587</v>
          </cell>
          <cell r="C748">
            <v>7327.9100000000008</v>
          </cell>
          <cell r="D748">
            <v>0.44297978629594426</v>
          </cell>
          <cell r="E748">
            <v>8071.34</v>
          </cell>
          <cell r="F748">
            <v>448.65999999999894</v>
          </cell>
          <cell r="G748">
            <v>7622.6800000000012</v>
          </cell>
        </row>
        <row r="749">
          <cell r="A749">
            <v>24092237000108</v>
          </cell>
          <cell r="B749">
            <v>1319.87597329558</v>
          </cell>
          <cell r="C749">
            <v>182.92000000000002</v>
          </cell>
          <cell r="D749">
            <v>0.13858877932543132</v>
          </cell>
          <cell r="E749">
            <v>0</v>
          </cell>
          <cell r="F749">
            <v>0</v>
          </cell>
          <cell r="G749">
            <v>0</v>
          </cell>
        </row>
        <row r="750">
          <cell r="A750">
            <v>7236140000374</v>
          </cell>
          <cell r="B750">
            <v>5572.5400692475077</v>
          </cell>
          <cell r="C750">
            <v>6313.7900000000009</v>
          </cell>
          <cell r="D750">
            <v>1.1330183222626138</v>
          </cell>
          <cell r="E750">
            <v>5883.7500000000009</v>
          </cell>
          <cell r="F750">
            <v>354.03000000000156</v>
          </cell>
          <cell r="G750">
            <v>5529.7199999999993</v>
          </cell>
        </row>
        <row r="751">
          <cell r="A751">
            <v>9146590000130</v>
          </cell>
          <cell r="B751">
            <v>4506.1936338502919</v>
          </cell>
          <cell r="C751">
            <v>2048.5</v>
          </cell>
          <cell r="D751">
            <v>0.45459653233979441</v>
          </cell>
          <cell r="E751">
            <v>137.85</v>
          </cell>
          <cell r="F751">
            <v>0</v>
          </cell>
          <cell r="G751">
            <v>137.85</v>
          </cell>
        </row>
        <row r="752">
          <cell r="A752">
            <v>12625289000113</v>
          </cell>
          <cell r="B752">
            <v>3975.2923578916889</v>
          </cell>
          <cell r="C752">
            <v>1557.5800000000002</v>
          </cell>
          <cell r="D752">
            <v>0.39181520747975085</v>
          </cell>
          <cell r="E752">
            <v>0</v>
          </cell>
          <cell r="F752">
            <v>0</v>
          </cell>
          <cell r="G752">
            <v>0</v>
          </cell>
        </row>
        <row r="753">
          <cell r="A753">
            <v>2440068000117</v>
          </cell>
          <cell r="B753">
            <v>7696.4296002099491</v>
          </cell>
          <cell r="C753">
            <v>4565.5399999999991</v>
          </cell>
          <cell r="D753">
            <v>0.5932023336997011</v>
          </cell>
          <cell r="E753">
            <v>4180.42</v>
          </cell>
          <cell r="F753">
            <v>32.399999999999636</v>
          </cell>
          <cell r="G753">
            <v>4148.0200000000004</v>
          </cell>
        </row>
        <row r="754">
          <cell r="A754">
            <v>48771964000160</v>
          </cell>
          <cell r="B754">
            <v>2701.3333607141117</v>
          </cell>
          <cell r="C754">
            <v>770.26</v>
          </cell>
          <cell r="D754">
            <v>0.28514066838325269</v>
          </cell>
          <cell r="E754">
            <v>137.85</v>
          </cell>
          <cell r="F754">
            <v>0</v>
          </cell>
          <cell r="G754">
            <v>137.85</v>
          </cell>
        </row>
        <row r="755">
          <cell r="A755">
            <v>51954038000134</v>
          </cell>
          <cell r="B755">
            <v>6570.2047317071001</v>
          </cell>
          <cell r="C755">
            <v>4114.72</v>
          </cell>
          <cell r="D755">
            <v>0.62626967773816922</v>
          </cell>
          <cell r="E755">
            <v>863.06999999999994</v>
          </cell>
          <cell r="F755">
            <v>0</v>
          </cell>
          <cell r="G755">
            <v>863.06999999999994</v>
          </cell>
        </row>
        <row r="756">
          <cell r="A756">
            <v>23255059000126</v>
          </cell>
          <cell r="B756">
            <v>3197.1648324058092</v>
          </cell>
          <cell r="C756">
            <v>1232.1600000000001</v>
          </cell>
          <cell r="D756">
            <v>0.38539145292450305</v>
          </cell>
          <cell r="E756">
            <v>0</v>
          </cell>
          <cell r="F756">
            <v>0</v>
          </cell>
          <cell r="G756">
            <v>0</v>
          </cell>
        </row>
        <row r="757">
          <cell r="A757">
            <v>8954076000400</v>
          </cell>
          <cell r="B757">
            <v>2321.2291816762686</v>
          </cell>
          <cell r="C757">
            <v>1283.5300000000002</v>
          </cell>
          <cell r="D757">
            <v>0.55295272441521814</v>
          </cell>
          <cell r="E757">
            <v>0</v>
          </cell>
          <cell r="F757">
            <v>0</v>
          </cell>
          <cell r="G757">
            <v>0</v>
          </cell>
        </row>
        <row r="758">
          <cell r="A758">
            <v>18346337000110</v>
          </cell>
          <cell r="B758">
            <v>2198.2507449607606</v>
          </cell>
          <cell r="C758">
            <v>1168.47</v>
          </cell>
          <cell r="D758">
            <v>0.53154536746027925</v>
          </cell>
          <cell r="E758">
            <v>936.12999999999988</v>
          </cell>
          <cell r="F758">
            <v>0</v>
          </cell>
          <cell r="G758">
            <v>936.12999999999988</v>
          </cell>
        </row>
        <row r="759">
          <cell r="A759">
            <v>9269723000165</v>
          </cell>
          <cell r="B759">
            <v>4388.7910111358005</v>
          </cell>
          <cell r="C759">
            <v>2310.4300000000003</v>
          </cell>
          <cell r="D759">
            <v>0.5264388288568953</v>
          </cell>
          <cell r="E759">
            <v>2562.9300000000003</v>
          </cell>
          <cell r="F759">
            <v>219.82000000000016</v>
          </cell>
          <cell r="G759">
            <v>2343.11</v>
          </cell>
        </row>
        <row r="760">
          <cell r="A760">
            <v>2369415000162</v>
          </cell>
          <cell r="B760">
            <v>5761.9640715957312</v>
          </cell>
          <cell r="C760">
            <v>1552.8200000000002</v>
          </cell>
          <cell r="D760">
            <v>0.2694949119267866</v>
          </cell>
          <cell r="E760">
            <v>1277.82</v>
          </cell>
          <cell r="F760">
            <v>199.54999999999995</v>
          </cell>
          <cell r="G760">
            <v>1078.27</v>
          </cell>
        </row>
        <row r="761">
          <cell r="A761">
            <v>33019679000209</v>
          </cell>
          <cell r="B761">
            <v>4998.5724604267298</v>
          </cell>
          <cell r="C761">
            <v>2406.84</v>
          </cell>
          <cell r="D761">
            <v>0.48150547362366886</v>
          </cell>
          <cell r="E761">
            <v>2193.2899999999995</v>
          </cell>
          <cell r="F761">
            <v>38.279999999999745</v>
          </cell>
          <cell r="G761">
            <v>2155.0099999999998</v>
          </cell>
        </row>
        <row r="762">
          <cell r="A762">
            <v>33019679000381</v>
          </cell>
          <cell r="B762">
            <v>2376.9944632946158</v>
          </cell>
          <cell r="C762">
            <v>2535.5499999999993</v>
          </cell>
          <cell r="D762">
            <v>1.0667042095191164</v>
          </cell>
          <cell r="E762">
            <v>2626.3100000000004</v>
          </cell>
          <cell r="F762">
            <v>32.949999999999818</v>
          </cell>
          <cell r="G762">
            <v>2593.3600000000006</v>
          </cell>
        </row>
        <row r="763">
          <cell r="A763">
            <v>50357285000190</v>
          </cell>
          <cell r="B763">
            <v>15557.601534356534</v>
          </cell>
          <cell r="C763">
            <v>6942.2799999999988</v>
          </cell>
          <cell r="D763">
            <v>0.44623073708817246</v>
          </cell>
          <cell r="E763">
            <v>0</v>
          </cell>
          <cell r="F763">
            <v>0</v>
          </cell>
          <cell r="G763">
            <v>0</v>
          </cell>
        </row>
        <row r="764">
          <cell r="A764">
            <v>2440068000206</v>
          </cell>
          <cell r="B764">
            <v>14495.808018265252</v>
          </cell>
          <cell r="C764">
            <v>5635.35</v>
          </cell>
          <cell r="D764">
            <v>0.38875721814880909</v>
          </cell>
          <cell r="E764">
            <v>4919.4499999999989</v>
          </cell>
          <cell r="F764">
            <v>135.36999999999898</v>
          </cell>
          <cell r="G764">
            <v>4784.08</v>
          </cell>
        </row>
        <row r="765">
          <cell r="A765">
            <v>7217112000571</v>
          </cell>
          <cell r="B765">
            <v>6583.001802347093</v>
          </cell>
          <cell r="C765">
            <v>4662.41</v>
          </cell>
          <cell r="D765">
            <v>0.70824984406622393</v>
          </cell>
          <cell r="E765">
            <v>3523.1100000000006</v>
          </cell>
          <cell r="F765">
            <v>0</v>
          </cell>
          <cell r="G765">
            <v>3523.1100000000006</v>
          </cell>
        </row>
        <row r="766">
          <cell r="A766">
            <v>8252612000183</v>
          </cell>
          <cell r="B766">
            <v>9850.7159583565408</v>
          </cell>
          <cell r="C766">
            <v>4346.6900000000005</v>
          </cell>
          <cell r="D766">
            <v>0.44125625166489796</v>
          </cell>
          <cell r="E766">
            <v>0</v>
          </cell>
          <cell r="F766">
            <v>0</v>
          </cell>
          <cell r="G766">
            <v>0</v>
          </cell>
        </row>
        <row r="767">
          <cell r="A767">
            <v>8954076000168</v>
          </cell>
          <cell r="B767">
            <v>3707.2633277291816</v>
          </cell>
          <cell r="C767">
            <v>2163.8400000000006</v>
          </cell>
          <cell r="D767">
            <v>0.58367583004291801</v>
          </cell>
          <cell r="E767">
            <v>0</v>
          </cell>
          <cell r="F767">
            <v>0</v>
          </cell>
          <cell r="G767">
            <v>0</v>
          </cell>
        </row>
        <row r="768">
          <cell r="A768">
            <v>8954076000320</v>
          </cell>
          <cell r="B768">
            <v>6268.6884742938946</v>
          </cell>
          <cell r="C768">
            <v>4081.67</v>
          </cell>
          <cell r="D768">
            <v>0.65112024895442899</v>
          </cell>
          <cell r="E768">
            <v>0</v>
          </cell>
          <cell r="F768">
            <v>0</v>
          </cell>
          <cell r="G768">
            <v>0</v>
          </cell>
        </row>
        <row r="769">
          <cell r="A769">
            <v>10693312000181</v>
          </cell>
          <cell r="B769">
            <v>10142.561986512097</v>
          </cell>
          <cell r="C769">
            <v>7284.4600000000009</v>
          </cell>
          <cell r="D769">
            <v>0.71820709695312768</v>
          </cell>
          <cell r="E769">
            <v>7619.550000000002</v>
          </cell>
          <cell r="F769">
            <v>621.21999999999935</v>
          </cell>
          <cell r="G769">
            <v>6998.3300000000027</v>
          </cell>
        </row>
        <row r="770">
          <cell r="A770">
            <v>10693312000505</v>
          </cell>
          <cell r="B770">
            <v>24948.062461456342</v>
          </cell>
          <cell r="C770">
            <v>15931.13</v>
          </cell>
          <cell r="D770">
            <v>0.63857183396958761</v>
          </cell>
          <cell r="E770">
            <v>15596.780000000002</v>
          </cell>
          <cell r="F770">
            <v>569.60000000000036</v>
          </cell>
          <cell r="G770">
            <v>15027.180000000002</v>
          </cell>
        </row>
        <row r="771">
          <cell r="A771">
            <v>10737685000107</v>
          </cell>
          <cell r="B771">
            <v>23691.001719984117</v>
          </cell>
          <cell r="C771">
            <v>15818.549999999996</v>
          </cell>
          <cell r="D771">
            <v>0.66770287668573103</v>
          </cell>
          <cell r="E771">
            <v>17293.46</v>
          </cell>
          <cell r="F771">
            <v>2852.76</v>
          </cell>
          <cell r="G771">
            <v>14440.699999999999</v>
          </cell>
        </row>
        <row r="772">
          <cell r="A772">
            <v>10737685000379</v>
          </cell>
          <cell r="B772">
            <v>27938.853784778628</v>
          </cell>
          <cell r="C772">
            <v>14096.199999999997</v>
          </cell>
          <cell r="D772">
            <v>0.50453751999231089</v>
          </cell>
          <cell r="E772">
            <v>13131.08</v>
          </cell>
          <cell r="F772">
            <v>1223.6800000000003</v>
          </cell>
          <cell r="G772">
            <v>11907.4</v>
          </cell>
        </row>
        <row r="773">
          <cell r="A773">
            <v>21013882000108</v>
          </cell>
          <cell r="B773">
            <v>26562.718355517256</v>
          </cell>
          <cell r="C773">
            <v>24146.189999999995</v>
          </cell>
          <cell r="D773">
            <v>0.90902556270129142</v>
          </cell>
          <cell r="E773">
            <v>53394.029999999984</v>
          </cell>
          <cell r="F773">
            <v>30734.489999999976</v>
          </cell>
          <cell r="G773">
            <v>22659.540000000008</v>
          </cell>
        </row>
        <row r="774">
          <cell r="A774">
            <v>21013882000280</v>
          </cell>
          <cell r="B774">
            <v>3849.8733371831945</v>
          </cell>
          <cell r="C774">
            <v>5054.5800000000008</v>
          </cell>
          <cell r="D774">
            <v>1.3129211164381434</v>
          </cell>
          <cell r="E774">
            <v>4760.2799999999979</v>
          </cell>
          <cell r="F774">
            <v>245.90000000000055</v>
          </cell>
          <cell r="G774">
            <v>4514.3799999999974</v>
          </cell>
        </row>
        <row r="775">
          <cell r="A775">
            <v>21013882000361</v>
          </cell>
          <cell r="B775">
            <v>2370.7882437372609</v>
          </cell>
          <cell r="C775">
            <v>4521.71</v>
          </cell>
          <cell r="D775">
            <v>1.9072601747307769</v>
          </cell>
          <cell r="E775">
            <v>4594.8499999999985</v>
          </cell>
          <cell r="F775">
            <v>245.89999999999964</v>
          </cell>
          <cell r="G775">
            <v>4348.9499999999989</v>
          </cell>
        </row>
        <row r="776">
          <cell r="A776">
            <v>21013882000442</v>
          </cell>
          <cell r="B776">
            <v>9478.815752142511</v>
          </cell>
          <cell r="C776">
            <v>7889.59</v>
          </cell>
          <cell r="D776">
            <v>0.83233920843083209</v>
          </cell>
          <cell r="E776">
            <v>5208.4399999999987</v>
          </cell>
          <cell r="F776">
            <v>362.61999999999989</v>
          </cell>
          <cell r="G776">
            <v>4845.8199999999988</v>
          </cell>
        </row>
        <row r="777">
          <cell r="A777">
            <v>25043201000105</v>
          </cell>
          <cell r="B777">
            <v>4587.6605217975966</v>
          </cell>
          <cell r="C777">
            <v>2376.2400000000002</v>
          </cell>
          <cell r="D777">
            <v>0.51796334726809978</v>
          </cell>
          <cell r="E777">
            <v>0</v>
          </cell>
          <cell r="F777">
            <v>0</v>
          </cell>
          <cell r="G777">
            <v>0</v>
          </cell>
        </row>
        <row r="778">
          <cell r="A778">
            <v>49413331000142</v>
          </cell>
          <cell r="B778">
            <v>2050.2748365508019</v>
          </cell>
          <cell r="C778">
            <v>609.95000000000005</v>
          </cell>
          <cell r="D778">
            <v>0.29749670099162173</v>
          </cell>
          <cell r="E778">
            <v>0</v>
          </cell>
          <cell r="F778">
            <v>0</v>
          </cell>
          <cell r="G778">
            <v>0</v>
          </cell>
        </row>
        <row r="779">
          <cell r="A779">
            <v>53062463000144</v>
          </cell>
          <cell r="B779">
            <v>6268.254825592473</v>
          </cell>
          <cell r="C779">
            <v>3050.7499999999995</v>
          </cell>
          <cell r="D779">
            <v>0.4866984647057076</v>
          </cell>
          <cell r="E779">
            <v>0</v>
          </cell>
          <cell r="F779">
            <v>0</v>
          </cell>
          <cell r="G779">
            <v>0</v>
          </cell>
        </row>
        <row r="780">
          <cell r="A780">
            <v>55133314000154</v>
          </cell>
          <cell r="B780">
            <v>418.25669277876096</v>
          </cell>
          <cell r="C780">
            <v>0</v>
          </cell>
          <cell r="D780">
            <v>0</v>
          </cell>
          <cell r="E780">
            <v>0</v>
          </cell>
          <cell r="F780">
            <v>0</v>
          </cell>
          <cell r="G780">
            <v>0</v>
          </cell>
        </row>
        <row r="781">
          <cell r="A781">
            <v>8856967000181</v>
          </cell>
          <cell r="B781">
            <v>14840.927581630733</v>
          </cell>
          <cell r="C781">
            <v>6974.7299999999968</v>
          </cell>
          <cell r="D781">
            <v>0.46996590756449252</v>
          </cell>
          <cell r="E781">
            <v>3894.55</v>
          </cell>
          <cell r="F781">
            <v>176.28999999999996</v>
          </cell>
          <cell r="G781">
            <v>3718.26</v>
          </cell>
        </row>
        <row r="782">
          <cell r="A782">
            <v>8856967000262</v>
          </cell>
          <cell r="B782">
            <v>12190.035751001749</v>
          </cell>
          <cell r="C782">
            <v>5291.68</v>
          </cell>
          <cell r="D782">
            <v>0.43409880890342278</v>
          </cell>
          <cell r="E782">
            <v>0</v>
          </cell>
          <cell r="F782">
            <v>0</v>
          </cell>
          <cell r="G782">
            <v>0</v>
          </cell>
        </row>
        <row r="783">
          <cell r="A783">
            <v>8856967000343</v>
          </cell>
          <cell r="B783">
            <v>7354.8853372779768</v>
          </cell>
          <cell r="C783">
            <v>4044.6899999999996</v>
          </cell>
          <cell r="D783">
            <v>0.54993243463628605</v>
          </cell>
          <cell r="E783">
            <v>0</v>
          </cell>
          <cell r="F783">
            <v>0</v>
          </cell>
          <cell r="G783">
            <v>0</v>
          </cell>
        </row>
        <row r="784">
          <cell r="A784">
            <v>13475688000108</v>
          </cell>
          <cell r="B784">
            <v>2548.4112439938481</v>
          </cell>
          <cell r="C784">
            <v>148.63</v>
          </cell>
          <cell r="D784">
            <v>5.8322611921562684E-2</v>
          </cell>
          <cell r="E784">
            <v>0</v>
          </cell>
          <cell r="F784">
            <v>0</v>
          </cell>
          <cell r="G784">
            <v>0</v>
          </cell>
        </row>
        <row r="785">
          <cell r="A785">
            <v>10737685000450</v>
          </cell>
          <cell r="B785">
            <v>45368.032309507158</v>
          </cell>
          <cell r="C785">
            <v>12157.66</v>
          </cell>
          <cell r="D785">
            <v>0.26797856069795395</v>
          </cell>
          <cell r="E785">
            <v>9826.3699999999972</v>
          </cell>
          <cell r="F785">
            <v>222.68000000000029</v>
          </cell>
          <cell r="G785">
            <v>9603.6899999999969</v>
          </cell>
        </row>
        <row r="786">
          <cell r="A786">
            <v>10737685000530</v>
          </cell>
          <cell r="B786">
            <v>1047.2637277997458</v>
          </cell>
          <cell r="C786">
            <v>1786.8899999999999</v>
          </cell>
          <cell r="D786">
            <v>1.7062464330299836</v>
          </cell>
          <cell r="E786">
            <v>1545.5800000000002</v>
          </cell>
          <cell r="F786">
            <v>99.480000000000018</v>
          </cell>
          <cell r="G786">
            <v>1446.1000000000001</v>
          </cell>
        </row>
        <row r="787">
          <cell r="A787">
            <v>30879844000115</v>
          </cell>
          <cell r="B787">
            <v>6184.4495874559698</v>
          </cell>
          <cell r="C787">
            <v>5912.5199999999995</v>
          </cell>
          <cell r="D787">
            <v>0.9560301068655277</v>
          </cell>
          <cell r="E787">
            <v>0</v>
          </cell>
          <cell r="F787">
            <v>0</v>
          </cell>
          <cell r="G787">
            <v>0</v>
          </cell>
        </row>
        <row r="788">
          <cell r="A788">
            <v>33019679000110</v>
          </cell>
          <cell r="B788">
            <v>11566.402857489575</v>
          </cell>
          <cell r="C788">
            <v>4148.7600000000011</v>
          </cell>
          <cell r="D788">
            <v>0.35869060166044286</v>
          </cell>
          <cell r="E788">
            <v>5744.17</v>
          </cell>
          <cell r="F788">
            <v>44.899999999999636</v>
          </cell>
          <cell r="G788">
            <v>5699.27</v>
          </cell>
        </row>
        <row r="789">
          <cell r="A789">
            <v>24920461000140</v>
          </cell>
          <cell r="B789">
            <v>17861.074267916862</v>
          </cell>
          <cell r="C789">
            <v>13809.349999999997</v>
          </cell>
          <cell r="D789">
            <v>0.77315338332169548</v>
          </cell>
          <cell r="E789">
            <v>15563.630000000006</v>
          </cell>
          <cell r="F789">
            <v>1660.6600000000017</v>
          </cell>
          <cell r="G789">
            <v>13902.970000000005</v>
          </cell>
        </row>
        <row r="790">
          <cell r="A790">
            <v>24920461000221</v>
          </cell>
          <cell r="B790">
            <v>3494.1720957151979</v>
          </cell>
          <cell r="C790">
            <v>3182.74</v>
          </cell>
          <cell r="D790">
            <v>0.91087099112917236</v>
          </cell>
          <cell r="E790">
            <v>3726.18</v>
          </cell>
          <cell r="F790">
            <v>596.83999999999924</v>
          </cell>
          <cell r="G790">
            <v>3129.3400000000006</v>
          </cell>
        </row>
        <row r="791">
          <cell r="A791">
            <v>55913843000170</v>
          </cell>
          <cell r="B791">
            <v>1210.2403337558164</v>
          </cell>
          <cell r="C791">
            <v>104.39</v>
          </cell>
          <cell r="D791">
            <v>8.6255594932983126E-2</v>
          </cell>
          <cell r="E791">
            <v>704.78</v>
          </cell>
          <cell r="F791">
            <v>704.78</v>
          </cell>
          <cell r="G791">
            <v>0</v>
          </cell>
        </row>
        <row r="792">
          <cell r="A792">
            <v>32844150000178</v>
          </cell>
          <cell r="B792">
            <v>1192.9270984790221</v>
          </cell>
          <cell r="C792">
            <v>259.38</v>
          </cell>
          <cell r="D792">
            <v>0.21743156000958364</v>
          </cell>
          <cell r="E792">
            <v>0</v>
          </cell>
          <cell r="F792">
            <v>0</v>
          </cell>
          <cell r="G792">
            <v>0</v>
          </cell>
        </row>
        <row r="793">
          <cell r="A793">
            <v>48464291000103</v>
          </cell>
          <cell r="B793">
            <v>5415.2168463232056</v>
          </cell>
          <cell r="C793">
            <v>3859.41</v>
          </cell>
          <cell r="D793">
            <v>0.7126972214640751</v>
          </cell>
          <cell r="E793">
            <v>2130.2800000000002</v>
          </cell>
          <cell r="F793">
            <v>0</v>
          </cell>
          <cell r="G793">
            <v>2130.2800000000002</v>
          </cell>
        </row>
        <row r="794">
          <cell r="A794">
            <v>3838252000182</v>
          </cell>
          <cell r="B794">
            <v>2311.3478912497453</v>
          </cell>
          <cell r="C794">
            <v>1422.4600000000003</v>
          </cell>
          <cell r="D794">
            <v>0.61542444795312767</v>
          </cell>
          <cell r="E794">
            <v>1689.6100000000001</v>
          </cell>
          <cell r="F794">
            <v>305.90999999999985</v>
          </cell>
          <cell r="G794">
            <v>1383.7000000000003</v>
          </cell>
        </row>
        <row r="795">
          <cell r="A795">
            <v>5244921000113</v>
          </cell>
          <cell r="B795">
            <v>4086.8118753025301</v>
          </cell>
          <cell r="C795">
            <v>746.09</v>
          </cell>
          <cell r="D795">
            <v>0.18256039738672092</v>
          </cell>
          <cell r="E795">
            <v>0</v>
          </cell>
          <cell r="F795">
            <v>0</v>
          </cell>
          <cell r="G795">
            <v>0</v>
          </cell>
        </row>
        <row r="796">
          <cell r="A796">
            <v>7243216000127</v>
          </cell>
          <cell r="B796">
            <v>4057.9332747512713</v>
          </cell>
          <cell r="C796">
            <v>1632.8900000000003</v>
          </cell>
          <cell r="D796">
            <v>0.40239449232937113</v>
          </cell>
          <cell r="E796">
            <v>1593.5600000000004</v>
          </cell>
          <cell r="F796">
            <v>0</v>
          </cell>
          <cell r="G796">
            <v>1593.5600000000004</v>
          </cell>
        </row>
        <row r="797">
          <cell r="A797">
            <v>7688383000181</v>
          </cell>
          <cell r="B797">
            <v>6143.0691232539448</v>
          </cell>
          <cell r="C797">
            <v>4528.6900000000005</v>
          </cell>
          <cell r="D797">
            <v>0.73720316492241944</v>
          </cell>
          <cell r="E797">
            <v>3506.67</v>
          </cell>
          <cell r="F797">
            <v>504.2199999999998</v>
          </cell>
          <cell r="G797">
            <v>3002.4500000000003</v>
          </cell>
        </row>
        <row r="798">
          <cell r="A798">
            <v>5123132000124</v>
          </cell>
          <cell r="B798">
            <v>8189.3517243911665</v>
          </cell>
          <cell r="C798">
            <v>3377.9100000000003</v>
          </cell>
          <cell r="D798">
            <v>0.41247587277747916</v>
          </cell>
          <cell r="E798">
            <v>1841.8300000000004</v>
          </cell>
          <cell r="F798">
            <v>22.2800000000002</v>
          </cell>
          <cell r="G798">
            <v>1819.5500000000002</v>
          </cell>
        </row>
        <row r="799">
          <cell r="A799">
            <v>328405000404</v>
          </cell>
          <cell r="B799">
            <v>1393.1375073685949</v>
          </cell>
          <cell r="C799">
            <v>1209.5900000000001</v>
          </cell>
          <cell r="D799">
            <v>0.86824882224635136</v>
          </cell>
          <cell r="E799">
            <v>0</v>
          </cell>
          <cell r="F799">
            <v>0</v>
          </cell>
          <cell r="G799">
            <v>0</v>
          </cell>
        </row>
        <row r="800">
          <cell r="A800">
            <v>10870136000106</v>
          </cell>
          <cell r="B800">
            <v>6396.6318826220413</v>
          </cell>
          <cell r="C800">
            <v>2053.31</v>
          </cell>
          <cell r="D800">
            <v>0.32099861891041453</v>
          </cell>
          <cell r="E800">
            <v>668.67</v>
          </cell>
          <cell r="F800">
            <v>0</v>
          </cell>
          <cell r="G800">
            <v>668.67</v>
          </cell>
        </row>
        <row r="801">
          <cell r="A801">
            <v>13507152000127</v>
          </cell>
          <cell r="B801">
            <v>2978.4592884895046</v>
          </cell>
          <cell r="C801">
            <v>4643.5500000000011</v>
          </cell>
          <cell r="D801">
            <v>1.5590443078894425</v>
          </cell>
          <cell r="E801">
            <v>4766.97</v>
          </cell>
          <cell r="F801">
            <v>330.57000000000062</v>
          </cell>
          <cell r="G801">
            <v>4436.3999999999996</v>
          </cell>
        </row>
        <row r="802">
          <cell r="A802">
            <v>49146937000169</v>
          </cell>
          <cell r="B802">
            <v>4525.1701381027797</v>
          </cell>
          <cell r="C802">
            <v>4967.7200000000012</v>
          </cell>
          <cell r="D802">
            <v>1.0977973973112898</v>
          </cell>
          <cell r="E802">
            <v>2623.86</v>
          </cell>
          <cell r="F802">
            <v>0</v>
          </cell>
          <cell r="G802">
            <v>2623.86</v>
          </cell>
        </row>
        <row r="803">
          <cell r="A803">
            <v>4578510000100</v>
          </cell>
          <cell r="B803">
            <v>1937.048395134186</v>
          </cell>
          <cell r="C803">
            <v>2598.9400000000005</v>
          </cell>
          <cell r="D803">
            <v>1.341701119356888</v>
          </cell>
          <cell r="E803">
            <v>2522.2400000000011</v>
          </cell>
          <cell r="F803">
            <v>0</v>
          </cell>
          <cell r="G803">
            <v>2522.2400000000011</v>
          </cell>
        </row>
        <row r="804">
          <cell r="A804">
            <v>17222004000117</v>
          </cell>
          <cell r="B804">
            <v>2690.5534653886107</v>
          </cell>
          <cell r="C804">
            <v>1213.4000000000001</v>
          </cell>
          <cell r="D804">
            <v>0.45098527704772534</v>
          </cell>
          <cell r="E804">
            <v>0</v>
          </cell>
          <cell r="F804">
            <v>0</v>
          </cell>
          <cell r="G804">
            <v>0</v>
          </cell>
        </row>
        <row r="805">
          <cell r="A805">
            <v>9556154000139</v>
          </cell>
          <cell r="B805">
            <v>2582.0700025792644</v>
          </cell>
          <cell r="C805">
            <v>5929.13</v>
          </cell>
          <cell r="D805">
            <v>2.29627004460658</v>
          </cell>
          <cell r="E805">
            <v>5479.3399999999992</v>
          </cell>
          <cell r="F805">
            <v>0</v>
          </cell>
          <cell r="G805">
            <v>5479.3399999999992</v>
          </cell>
        </row>
        <row r="806">
          <cell r="A806">
            <v>35239450000116</v>
          </cell>
          <cell r="B806">
            <v>3790.5938809702402</v>
          </cell>
          <cell r="C806">
            <v>841.88000000000011</v>
          </cell>
          <cell r="D806">
            <v>0.22209712420696268</v>
          </cell>
          <cell r="E806">
            <v>292.68</v>
          </cell>
          <cell r="F806">
            <v>0</v>
          </cell>
          <cell r="G806">
            <v>292.68</v>
          </cell>
        </row>
        <row r="807">
          <cell r="A807">
            <v>33540619000148</v>
          </cell>
          <cell r="B807">
            <v>12791.999054648481</v>
          </cell>
          <cell r="C807">
            <v>7256.6299999999992</v>
          </cell>
          <cell r="D807">
            <v>0.56727880990289903</v>
          </cell>
          <cell r="E807">
            <v>0</v>
          </cell>
          <cell r="F807">
            <v>0</v>
          </cell>
          <cell r="G807">
            <v>0</v>
          </cell>
        </row>
        <row r="808">
          <cell r="A808">
            <v>33909525000101</v>
          </cell>
          <cell r="B808">
            <v>2018.2027044538809</v>
          </cell>
          <cell r="C808">
            <v>644.72</v>
          </cell>
          <cell r="D808">
            <v>0.31945254982425525</v>
          </cell>
          <cell r="E808">
            <v>618.92000000000007</v>
          </cell>
          <cell r="F808">
            <v>118.6400000000001</v>
          </cell>
          <cell r="G808">
            <v>500.28</v>
          </cell>
        </row>
        <row r="809">
          <cell r="A809">
            <v>569000000107</v>
          </cell>
          <cell r="B809">
            <v>2633.0300191240531</v>
          </cell>
          <cell r="C809">
            <v>1599.0199999999998</v>
          </cell>
          <cell r="D809">
            <v>0.60729273437298525</v>
          </cell>
          <cell r="E809">
            <v>0</v>
          </cell>
          <cell r="F809">
            <v>0</v>
          </cell>
          <cell r="G809">
            <v>0</v>
          </cell>
        </row>
        <row r="810">
          <cell r="A810">
            <v>73399826000149</v>
          </cell>
          <cell r="B810">
            <v>1089.3643341737318</v>
          </cell>
          <cell r="C810">
            <v>184.82000000000002</v>
          </cell>
          <cell r="D810">
            <v>0.1696585744568033</v>
          </cell>
          <cell r="E810">
            <v>0</v>
          </cell>
          <cell r="F810">
            <v>0</v>
          </cell>
          <cell r="G810">
            <v>0</v>
          </cell>
        </row>
        <row r="811">
          <cell r="A811">
            <v>4411142000100</v>
          </cell>
          <cell r="B811">
            <v>2721.3526153947691</v>
          </cell>
          <cell r="C811">
            <v>1199.3199999999997</v>
          </cell>
          <cell r="D811">
            <v>0.44070731342032354</v>
          </cell>
          <cell r="E811">
            <v>830.83</v>
          </cell>
          <cell r="F811">
            <v>26.509999999999991</v>
          </cell>
          <cell r="G811">
            <v>804.32</v>
          </cell>
        </row>
        <row r="812">
          <cell r="A812">
            <v>13667030000106</v>
          </cell>
          <cell r="B812">
            <v>6554.552964213025</v>
          </cell>
          <cell r="C812">
            <v>5861.6400000000012</v>
          </cell>
          <cell r="D812">
            <v>0.89428524447109736</v>
          </cell>
          <cell r="E812">
            <v>6965.840000000002</v>
          </cell>
          <cell r="F812">
            <v>166.35000000000036</v>
          </cell>
          <cell r="G812">
            <v>6799.4900000000016</v>
          </cell>
        </row>
        <row r="813">
          <cell r="A813">
            <v>40735109000191</v>
          </cell>
          <cell r="B813">
            <v>1139.9686563609407</v>
          </cell>
          <cell r="C813">
            <v>75.400000000000006</v>
          </cell>
          <cell r="D813">
            <v>6.6142169417793717E-2</v>
          </cell>
          <cell r="E813">
            <v>0</v>
          </cell>
          <cell r="F813">
            <v>0</v>
          </cell>
          <cell r="G813">
            <v>0</v>
          </cell>
        </row>
        <row r="814">
          <cell r="A814">
            <v>14511974000144</v>
          </cell>
          <cell r="B814">
            <v>3945.0686839929949</v>
          </cell>
          <cell r="C814">
            <v>1619.03</v>
          </cell>
          <cell r="D814">
            <v>0.41039336186190334</v>
          </cell>
          <cell r="E814">
            <v>0</v>
          </cell>
          <cell r="F814">
            <v>0</v>
          </cell>
          <cell r="G814">
            <v>0</v>
          </cell>
        </row>
        <row r="815">
          <cell r="A815">
            <v>4383728000109</v>
          </cell>
          <cell r="B815">
            <v>7699.421640208484</v>
          </cell>
          <cell r="C815">
            <v>3465.1099999999997</v>
          </cell>
          <cell r="D815">
            <v>0.45004808957392961</v>
          </cell>
          <cell r="E815">
            <v>3429.07</v>
          </cell>
          <cell r="F815">
            <v>99.109999999999673</v>
          </cell>
          <cell r="G815">
            <v>3329.9600000000005</v>
          </cell>
        </row>
        <row r="816">
          <cell r="A816">
            <v>55733059000180</v>
          </cell>
          <cell r="B816">
            <v>1399.7241962443679</v>
          </cell>
          <cell r="C816">
            <v>615.76</v>
          </cell>
          <cell r="D816">
            <v>0.43991523591015985</v>
          </cell>
          <cell r="E816">
            <v>0</v>
          </cell>
          <cell r="F816">
            <v>0</v>
          </cell>
          <cell r="G816">
            <v>0</v>
          </cell>
        </row>
        <row r="817">
          <cell r="A817">
            <v>18715418000140</v>
          </cell>
          <cell r="B817">
            <v>7090.0321745616129</v>
          </cell>
          <cell r="C817">
            <v>3810.0899999999992</v>
          </cell>
          <cell r="D817">
            <v>0.53738684200478715</v>
          </cell>
          <cell r="E817">
            <v>2493.6100000000006</v>
          </cell>
          <cell r="F817">
            <v>53.7800000000002</v>
          </cell>
          <cell r="G817">
            <v>2439.8300000000004</v>
          </cell>
        </row>
        <row r="818">
          <cell r="A818">
            <v>7056130000195</v>
          </cell>
          <cell r="B818">
            <v>1329.3951391450589</v>
          </cell>
          <cell r="C818">
            <v>1129.0400000000002</v>
          </cell>
          <cell r="D818">
            <v>0.8492884972680822</v>
          </cell>
          <cell r="E818">
            <v>0</v>
          </cell>
          <cell r="F818">
            <v>0</v>
          </cell>
          <cell r="G818">
            <v>0</v>
          </cell>
        </row>
        <row r="819">
          <cell r="A819">
            <v>4822740000164</v>
          </cell>
          <cell r="B819">
            <v>8404.9924108994819</v>
          </cell>
          <cell r="C819">
            <v>4928.46</v>
          </cell>
          <cell r="D819">
            <v>0.58637292683439413</v>
          </cell>
          <cell r="E819">
            <v>0</v>
          </cell>
          <cell r="F819">
            <v>0</v>
          </cell>
          <cell r="G819">
            <v>0</v>
          </cell>
        </row>
        <row r="820">
          <cell r="A820">
            <v>14132723000159</v>
          </cell>
          <cell r="B820">
            <v>16207.459548849576</v>
          </cell>
          <cell r="C820">
            <v>11047.870000000003</v>
          </cell>
          <cell r="D820">
            <v>0.68165340574823108</v>
          </cell>
          <cell r="E820">
            <v>7329.29</v>
          </cell>
          <cell r="F820">
            <v>0</v>
          </cell>
          <cell r="G820">
            <v>7329.29</v>
          </cell>
        </row>
        <row r="821">
          <cell r="A821">
            <v>14132723000230</v>
          </cell>
          <cell r="B821">
            <v>14038.39729459507</v>
          </cell>
          <cell r="C821">
            <v>12420.799999999997</v>
          </cell>
          <cell r="D821">
            <v>0.88477336403509077</v>
          </cell>
          <cell r="E821">
            <v>9955.4499999999971</v>
          </cell>
          <cell r="F821">
            <v>148.74999999999818</v>
          </cell>
          <cell r="G821">
            <v>9806.6999999999989</v>
          </cell>
        </row>
        <row r="822">
          <cell r="A822">
            <v>65824591000167</v>
          </cell>
          <cell r="B822">
            <v>3704.5584216858729</v>
          </cell>
          <cell r="C822">
            <v>4385.0599999999995</v>
          </cell>
          <cell r="D822">
            <v>1.18369303459505</v>
          </cell>
          <cell r="E822">
            <v>1503.7099999999998</v>
          </cell>
          <cell r="F822">
            <v>0</v>
          </cell>
          <cell r="G822">
            <v>1503.7099999999998</v>
          </cell>
        </row>
        <row r="823">
          <cell r="A823">
            <v>7211143000191</v>
          </cell>
          <cell r="B823">
            <v>716.15628979180769</v>
          </cell>
          <cell r="C823">
            <v>546.48000000000013</v>
          </cell>
          <cell r="D823">
            <v>0.7630736583474903</v>
          </cell>
          <cell r="E823">
            <v>789.78</v>
          </cell>
          <cell r="F823">
            <v>0</v>
          </cell>
          <cell r="G823">
            <v>789.78</v>
          </cell>
        </row>
        <row r="824">
          <cell r="A824">
            <v>33587172000162</v>
          </cell>
          <cell r="B824">
            <v>4557.0627623930659</v>
          </cell>
          <cell r="C824">
            <v>3244.5700000000006</v>
          </cell>
          <cell r="D824">
            <v>0.71198712178722956</v>
          </cell>
          <cell r="E824">
            <v>2099.88</v>
          </cell>
          <cell r="F824">
            <v>113.64000000000033</v>
          </cell>
          <cell r="G824">
            <v>1986.2399999999998</v>
          </cell>
        </row>
        <row r="825">
          <cell r="A825">
            <v>53532526000189</v>
          </cell>
          <cell r="B825">
            <v>1998.8584430002868</v>
          </cell>
          <cell r="C825">
            <v>115.48</v>
          </cell>
          <cell r="D825">
            <v>5.7772975572329431E-2</v>
          </cell>
          <cell r="E825">
            <v>0</v>
          </cell>
          <cell r="F825">
            <v>0</v>
          </cell>
          <cell r="G825">
            <v>0</v>
          </cell>
        </row>
        <row r="826">
          <cell r="A826">
            <v>74641994000161</v>
          </cell>
          <cell r="B826">
            <v>2017.1423999901683</v>
          </cell>
          <cell r="C826">
            <v>2680.1600000000003</v>
          </cell>
          <cell r="D826">
            <v>1.3286915192566791</v>
          </cell>
          <cell r="E826">
            <v>0</v>
          </cell>
          <cell r="F826">
            <v>0</v>
          </cell>
          <cell r="G826">
            <v>0</v>
          </cell>
        </row>
        <row r="827">
          <cell r="A827">
            <v>20787984000100</v>
          </cell>
          <cell r="B827">
            <v>7251.508020771219</v>
          </cell>
          <cell r="C827">
            <v>1719.33</v>
          </cell>
          <cell r="D827">
            <v>0.23709964811114478</v>
          </cell>
          <cell r="E827">
            <v>2898.1600000000003</v>
          </cell>
          <cell r="F827">
            <v>159.01999999999998</v>
          </cell>
          <cell r="G827">
            <v>2739.1400000000003</v>
          </cell>
        </row>
        <row r="828">
          <cell r="A828">
            <v>20787984000290</v>
          </cell>
          <cell r="B828">
            <v>9636.4475021481594</v>
          </cell>
          <cell r="C828">
            <v>3888.1699999999992</v>
          </cell>
          <cell r="D828">
            <v>0.40348582806405031</v>
          </cell>
          <cell r="E828">
            <v>3232.1100000000006</v>
          </cell>
          <cell r="F828">
            <v>251.01000000000022</v>
          </cell>
          <cell r="G828">
            <v>2981.1000000000004</v>
          </cell>
        </row>
        <row r="829">
          <cell r="A829">
            <v>20787984000614</v>
          </cell>
          <cell r="B829">
            <v>7262.3168717491908</v>
          </cell>
          <cell r="C829">
            <v>2807.59</v>
          </cell>
          <cell r="D829">
            <v>0.38659701161232424</v>
          </cell>
          <cell r="E829">
            <v>3597.1900000000005</v>
          </cell>
          <cell r="F829">
            <v>87.019999999999982</v>
          </cell>
          <cell r="G829">
            <v>3510.1700000000005</v>
          </cell>
        </row>
        <row r="830">
          <cell r="A830">
            <v>20787984000703</v>
          </cell>
          <cell r="B830">
            <v>2926.6142410273874</v>
          </cell>
          <cell r="C830">
            <v>808.37000000000012</v>
          </cell>
          <cell r="D830">
            <v>0.27621337608068974</v>
          </cell>
          <cell r="E830">
            <v>1471.4099999999999</v>
          </cell>
          <cell r="F830">
            <v>97.659999999999854</v>
          </cell>
          <cell r="G830">
            <v>1373.75</v>
          </cell>
        </row>
        <row r="831">
          <cell r="A831">
            <v>20787984000886</v>
          </cell>
          <cell r="B831">
            <v>8112.0466444580679</v>
          </cell>
          <cell r="C831">
            <v>2480.8000000000006</v>
          </cell>
          <cell r="D831">
            <v>0.30581678197015993</v>
          </cell>
          <cell r="E831">
            <v>2097.65</v>
          </cell>
          <cell r="F831">
            <v>0</v>
          </cell>
          <cell r="G831">
            <v>2097.65</v>
          </cell>
        </row>
        <row r="832">
          <cell r="A832">
            <v>20787984000967</v>
          </cell>
          <cell r="B832">
            <v>7106.6996967980112</v>
          </cell>
          <cell r="C832">
            <v>2967.72</v>
          </cell>
          <cell r="D832">
            <v>0.41759468200649219</v>
          </cell>
          <cell r="E832">
            <v>2195.29</v>
          </cell>
          <cell r="F832">
            <v>257.63999999999987</v>
          </cell>
          <cell r="G832">
            <v>1937.65</v>
          </cell>
        </row>
        <row r="833">
          <cell r="A833">
            <v>48210177000149</v>
          </cell>
          <cell r="B833">
            <v>2235.7067890232929</v>
          </cell>
          <cell r="C833">
            <v>2339.0500000000002</v>
          </cell>
          <cell r="D833">
            <v>1.0462239554328385</v>
          </cell>
          <cell r="E833">
            <v>0</v>
          </cell>
          <cell r="F833">
            <v>0</v>
          </cell>
          <cell r="G833">
            <v>0</v>
          </cell>
        </row>
        <row r="834">
          <cell r="A834">
            <v>10497520000105</v>
          </cell>
          <cell r="B834">
            <v>11760.241795338341</v>
          </cell>
          <cell r="C834">
            <v>5646.199999999998</v>
          </cell>
          <cell r="D834">
            <v>0.48010917617681154</v>
          </cell>
          <cell r="E834">
            <v>0</v>
          </cell>
          <cell r="F834">
            <v>0</v>
          </cell>
          <cell r="G834">
            <v>0</v>
          </cell>
        </row>
        <row r="835">
          <cell r="A835">
            <v>60511756000127</v>
          </cell>
          <cell r="B835">
            <v>3801.5442265159113</v>
          </cell>
          <cell r="C835">
            <v>3229.8399999999997</v>
          </cell>
          <cell r="D835">
            <v>0.84961263306414969</v>
          </cell>
          <cell r="E835">
            <v>0</v>
          </cell>
          <cell r="F835">
            <v>0</v>
          </cell>
          <cell r="G835">
            <v>0</v>
          </cell>
        </row>
        <row r="836">
          <cell r="A836">
            <v>53889242000144</v>
          </cell>
          <cell r="B836">
            <v>8815.6539094857562</v>
          </cell>
          <cell r="C836">
            <v>2753.8199999999997</v>
          </cell>
          <cell r="D836">
            <v>0.31237841551797468</v>
          </cell>
          <cell r="E836">
            <v>0</v>
          </cell>
          <cell r="F836">
            <v>0</v>
          </cell>
          <cell r="G836">
            <v>0</v>
          </cell>
        </row>
        <row r="837">
          <cell r="A837">
            <v>2351409000188</v>
          </cell>
          <cell r="B837">
            <v>5965.0356958507109</v>
          </cell>
          <cell r="C837">
            <v>3825.3899999999994</v>
          </cell>
          <cell r="D837">
            <v>0.64130211369245405</v>
          </cell>
          <cell r="E837">
            <v>3730.0699999999997</v>
          </cell>
          <cell r="F837">
            <v>467.11999999999989</v>
          </cell>
          <cell r="G837">
            <v>3262.95</v>
          </cell>
        </row>
        <row r="838">
          <cell r="A838">
            <v>4437649000125</v>
          </cell>
          <cell r="B838">
            <v>5256.4156992222788</v>
          </cell>
          <cell r="C838">
            <v>3366.71</v>
          </cell>
          <cell r="D838">
            <v>0.64049538557198338</v>
          </cell>
          <cell r="E838">
            <v>275.42</v>
          </cell>
          <cell r="F838">
            <v>0</v>
          </cell>
          <cell r="G838">
            <v>275.42</v>
          </cell>
        </row>
        <row r="839">
          <cell r="A839">
            <v>2923540000172</v>
          </cell>
          <cell r="B839">
            <v>3732.8556001813245</v>
          </cell>
          <cell r="C839">
            <v>3426.5900000000011</v>
          </cell>
          <cell r="D839">
            <v>0.917954072435471</v>
          </cell>
          <cell r="E839">
            <v>1726.0799999999997</v>
          </cell>
          <cell r="F839">
            <v>0</v>
          </cell>
          <cell r="G839">
            <v>1726.0799999999997</v>
          </cell>
        </row>
        <row r="840">
          <cell r="A840">
            <v>42438050000103</v>
          </cell>
          <cell r="B840">
            <v>4476.7852247262517</v>
          </cell>
          <cell r="C840">
            <v>2993.6799999999994</v>
          </cell>
          <cell r="D840">
            <v>0.66871199973258899</v>
          </cell>
          <cell r="E840">
            <v>0</v>
          </cell>
          <cell r="F840">
            <v>0</v>
          </cell>
          <cell r="G840">
            <v>0</v>
          </cell>
        </row>
        <row r="841">
          <cell r="A841">
            <v>9115230000170</v>
          </cell>
          <cell r="B841">
            <v>4326.4751219144619</v>
          </cell>
          <cell r="C841">
            <v>2129.79</v>
          </cell>
          <cell r="D841">
            <v>0.49226909666305202</v>
          </cell>
          <cell r="E841">
            <v>0</v>
          </cell>
          <cell r="F841">
            <v>0</v>
          </cell>
          <cell r="G841">
            <v>0</v>
          </cell>
        </row>
        <row r="842">
          <cell r="A842">
            <v>37653234000148</v>
          </cell>
          <cell r="B842">
            <v>3805.6112032228898</v>
          </cell>
          <cell r="C842">
            <v>1178.44</v>
          </cell>
          <cell r="D842">
            <v>0.30965853763569035</v>
          </cell>
          <cell r="E842">
            <v>475.83</v>
          </cell>
          <cell r="F842">
            <v>0</v>
          </cell>
          <cell r="G842">
            <v>475.83</v>
          </cell>
        </row>
        <row r="843">
          <cell r="A843">
            <v>7966206000110</v>
          </cell>
          <cell r="B843">
            <v>5447.1023643851786</v>
          </cell>
          <cell r="C843">
            <v>3774.7000000000007</v>
          </cell>
          <cell r="D843">
            <v>0.69297394238084153</v>
          </cell>
          <cell r="E843">
            <v>678.92</v>
          </cell>
          <cell r="F843">
            <v>0</v>
          </cell>
          <cell r="G843">
            <v>678.92</v>
          </cell>
        </row>
        <row r="844">
          <cell r="A844">
            <v>8029945000148</v>
          </cell>
          <cell r="B844">
            <v>13195.811985356415</v>
          </cell>
          <cell r="C844">
            <v>10599.119999999999</v>
          </cell>
          <cell r="D844">
            <v>0.80321847657135437</v>
          </cell>
          <cell r="E844">
            <v>5533.6800000000012</v>
          </cell>
          <cell r="F844">
            <v>1220.8200000000006</v>
          </cell>
          <cell r="G844">
            <v>4312.8600000000006</v>
          </cell>
        </row>
        <row r="845">
          <cell r="A845">
            <v>9179265000173</v>
          </cell>
          <cell r="B845">
            <v>3888.2627353368412</v>
          </cell>
          <cell r="C845">
            <v>3935.86</v>
          </cell>
          <cell r="D845">
            <v>1.0122412676053476</v>
          </cell>
          <cell r="E845">
            <v>3202.4</v>
          </cell>
          <cell r="F845">
            <v>0</v>
          </cell>
          <cell r="G845">
            <v>3202.4</v>
          </cell>
        </row>
        <row r="846">
          <cell r="A846">
            <v>3878763000128</v>
          </cell>
          <cell r="B846">
            <v>3898.7298780103702</v>
          </cell>
          <cell r="C846">
            <v>2466.1200000000003</v>
          </cell>
          <cell r="D846">
            <v>0.63254446375200779</v>
          </cell>
          <cell r="E846">
            <v>1016.9899999999999</v>
          </cell>
          <cell r="F846">
            <v>0</v>
          </cell>
          <cell r="G846">
            <v>1016.9899999999999</v>
          </cell>
        </row>
        <row r="847">
          <cell r="A847">
            <v>14931934000151</v>
          </cell>
          <cell r="B847">
            <v>17272.60559215027</v>
          </cell>
          <cell r="C847">
            <v>8573.8500000000022</v>
          </cell>
          <cell r="D847">
            <v>0.49638428633468507</v>
          </cell>
          <cell r="E847">
            <v>1819.4</v>
          </cell>
          <cell r="F847">
            <v>1772</v>
          </cell>
          <cell r="G847">
            <v>47.4</v>
          </cell>
        </row>
        <row r="848">
          <cell r="A848">
            <v>8617745000106</v>
          </cell>
          <cell r="B848">
            <v>8515.6646234475684</v>
          </cell>
          <cell r="C848">
            <v>11655.91</v>
          </cell>
          <cell r="D848">
            <v>1.3687610439596085</v>
          </cell>
          <cell r="E848">
            <v>8185.38</v>
          </cell>
          <cell r="F848">
            <v>0</v>
          </cell>
          <cell r="G848">
            <v>8185.38</v>
          </cell>
        </row>
        <row r="849">
          <cell r="A849">
            <v>55299135000191</v>
          </cell>
          <cell r="B849">
            <v>32850.665121876693</v>
          </cell>
          <cell r="C849">
            <v>19931.61</v>
          </cell>
          <cell r="D849">
            <v>0.60673383403511882</v>
          </cell>
          <cell r="E849">
            <v>16467.569999999996</v>
          </cell>
          <cell r="F849">
            <v>4202.2000000000025</v>
          </cell>
          <cell r="G849">
            <v>12265.369999999994</v>
          </cell>
        </row>
        <row r="850">
          <cell r="A850">
            <v>15290994000103</v>
          </cell>
          <cell r="B850">
            <v>4927.3421179744837</v>
          </cell>
          <cell r="C850">
            <v>2987.55</v>
          </cell>
          <cell r="D850">
            <v>0.60632079698742591</v>
          </cell>
          <cell r="E850">
            <v>0</v>
          </cell>
          <cell r="F850">
            <v>0</v>
          </cell>
          <cell r="G850">
            <v>0</v>
          </cell>
        </row>
        <row r="851">
          <cell r="A851">
            <v>13565587000128</v>
          </cell>
          <cell r="B851">
            <v>10818.855231194351</v>
          </cell>
          <cell r="C851">
            <v>9019.4999999999982</v>
          </cell>
          <cell r="D851">
            <v>0.83368339877529607</v>
          </cell>
          <cell r="E851">
            <v>9229.739999999998</v>
          </cell>
          <cell r="F851">
            <v>589.38999999999942</v>
          </cell>
          <cell r="G851">
            <v>8640.3499999999985</v>
          </cell>
        </row>
        <row r="852">
          <cell r="A852">
            <v>48771512000188</v>
          </cell>
          <cell r="B852">
            <v>2283.2352436436972</v>
          </cell>
          <cell r="C852">
            <v>1427.79</v>
          </cell>
          <cell r="D852">
            <v>0.62533635286807487</v>
          </cell>
          <cell r="E852">
            <v>518.41999999999996</v>
          </cell>
          <cell r="F852">
            <v>0</v>
          </cell>
          <cell r="G852">
            <v>518.41999999999996</v>
          </cell>
        </row>
        <row r="853">
          <cell r="A853">
            <v>74413980000190</v>
          </cell>
          <cell r="B853">
            <v>7652.5988944354594</v>
          </cell>
          <cell r="C853">
            <v>847.21999999999991</v>
          </cell>
          <cell r="D853">
            <v>0.11071010145534359</v>
          </cell>
          <cell r="E853">
            <v>0</v>
          </cell>
          <cell r="F853">
            <v>0</v>
          </cell>
          <cell r="G853">
            <v>0</v>
          </cell>
        </row>
        <row r="854">
          <cell r="A854">
            <v>4213573000154</v>
          </cell>
          <cell r="B854">
            <v>23234.648147861211</v>
          </cell>
          <cell r="C854">
            <v>9564.89</v>
          </cell>
          <cell r="D854">
            <v>0.41166493846305408</v>
          </cell>
          <cell r="E854">
            <v>4840.84</v>
          </cell>
          <cell r="F854">
            <v>472.38000000000102</v>
          </cell>
          <cell r="G854">
            <v>4368.4599999999991</v>
          </cell>
        </row>
        <row r="855">
          <cell r="A855">
            <v>56089146000100</v>
          </cell>
          <cell r="B855">
            <v>5356.898403668004</v>
          </cell>
          <cell r="C855">
            <v>2264.1500000000005</v>
          </cell>
          <cell r="D855">
            <v>0.42266061989334719</v>
          </cell>
          <cell r="E855">
            <v>0</v>
          </cell>
          <cell r="F855">
            <v>0</v>
          </cell>
          <cell r="G855">
            <v>0</v>
          </cell>
        </row>
        <row r="856">
          <cell r="A856">
            <v>5628142000111</v>
          </cell>
          <cell r="B856">
            <v>2583.5305426702002</v>
          </cell>
          <cell r="C856">
            <v>867.62000000000012</v>
          </cell>
          <cell r="D856">
            <v>0.33582726647515226</v>
          </cell>
          <cell r="E856">
            <v>242.53</v>
          </cell>
          <cell r="F856">
            <v>0</v>
          </cell>
          <cell r="G856">
            <v>242.53</v>
          </cell>
        </row>
        <row r="857">
          <cell r="A857">
            <v>4007182000183</v>
          </cell>
          <cell r="B857">
            <v>5770.9857733713307</v>
          </cell>
          <cell r="C857">
            <v>1803.66</v>
          </cell>
          <cell r="D857">
            <v>0.31253932531293116</v>
          </cell>
          <cell r="E857">
            <v>0</v>
          </cell>
          <cell r="F857">
            <v>0</v>
          </cell>
          <cell r="G857">
            <v>0</v>
          </cell>
        </row>
        <row r="858">
          <cell r="A858">
            <v>19436506000176</v>
          </cell>
          <cell r="B858">
            <v>4391.2552098207098</v>
          </cell>
          <cell r="C858">
            <v>2425.579999999999</v>
          </cell>
          <cell r="D858">
            <v>0.55236598286871896</v>
          </cell>
          <cell r="E858">
            <v>3063.3700000000003</v>
          </cell>
          <cell r="F858">
            <v>59.280000000000655</v>
          </cell>
          <cell r="G858">
            <v>3004.0899999999997</v>
          </cell>
        </row>
        <row r="859">
          <cell r="A859">
            <v>49841927000143</v>
          </cell>
          <cell r="B859">
            <v>3766.027108977823</v>
          </cell>
          <cell r="C859">
            <v>2961.5899999999997</v>
          </cell>
          <cell r="D859">
            <v>0.7863963573018028</v>
          </cell>
          <cell r="E859">
            <v>175.1</v>
          </cell>
          <cell r="F859">
            <v>175.1</v>
          </cell>
          <cell r="G859">
            <v>0</v>
          </cell>
        </row>
        <row r="860">
          <cell r="A860">
            <v>72834815000187</v>
          </cell>
          <cell r="B860">
            <v>10827.032305813114</v>
          </cell>
          <cell r="C860">
            <v>6229.87</v>
          </cell>
          <cell r="D860">
            <v>0.57539959464747659</v>
          </cell>
          <cell r="E860">
            <v>735.53</v>
          </cell>
          <cell r="F860">
            <v>0</v>
          </cell>
          <cell r="G860">
            <v>735.53</v>
          </cell>
        </row>
        <row r="861">
          <cell r="A861">
            <v>9101173000170</v>
          </cell>
          <cell r="B861">
            <v>933.47152589119617</v>
          </cell>
          <cell r="C861">
            <v>445.1</v>
          </cell>
          <cell r="D861">
            <v>0.47682225719210647</v>
          </cell>
          <cell r="E861">
            <v>0</v>
          </cell>
          <cell r="F861">
            <v>0</v>
          </cell>
          <cell r="G861">
            <v>0</v>
          </cell>
        </row>
        <row r="862">
          <cell r="A862">
            <v>10309726000164</v>
          </cell>
          <cell r="B862">
            <v>4462.731656251296</v>
          </cell>
          <cell r="C862">
            <v>1318.02</v>
          </cell>
          <cell r="D862">
            <v>0.29533929026490907</v>
          </cell>
          <cell r="E862">
            <v>45.41</v>
          </cell>
          <cell r="F862">
            <v>0</v>
          </cell>
          <cell r="G862">
            <v>45.41</v>
          </cell>
        </row>
        <row r="863">
          <cell r="A863">
            <v>63937486000109</v>
          </cell>
          <cell r="B863">
            <v>14212.191520025044</v>
          </cell>
          <cell r="C863">
            <v>3919.1499999999992</v>
          </cell>
          <cell r="D863">
            <v>0.27575972322621028</v>
          </cell>
          <cell r="E863">
            <v>0</v>
          </cell>
          <cell r="F863">
            <v>0</v>
          </cell>
          <cell r="G863">
            <v>0</v>
          </cell>
        </row>
        <row r="864">
          <cell r="A864">
            <v>40727407000130</v>
          </cell>
          <cell r="B864">
            <v>5005.1363445213401</v>
          </cell>
          <cell r="C864">
            <v>2213.8099999999995</v>
          </cell>
          <cell r="D864">
            <v>0.44230763112442534</v>
          </cell>
          <cell r="E864">
            <v>2417.0700000000006</v>
          </cell>
          <cell r="F864">
            <v>579.53000000000065</v>
          </cell>
          <cell r="G864">
            <v>1837.54</v>
          </cell>
        </row>
        <row r="865">
          <cell r="A865">
            <v>1913782000112</v>
          </cell>
          <cell r="B865">
            <v>11052.544630361763</v>
          </cell>
          <cell r="C865">
            <v>3687.5499999999997</v>
          </cell>
          <cell r="D865">
            <v>0.33363810084694512</v>
          </cell>
          <cell r="E865">
            <v>0</v>
          </cell>
          <cell r="F865">
            <v>0</v>
          </cell>
          <cell r="G865">
            <v>0</v>
          </cell>
        </row>
        <row r="866">
          <cell r="A866">
            <v>16789469000191</v>
          </cell>
          <cell r="B866">
            <v>1540.9093389653433</v>
          </cell>
          <cell r="C866">
            <v>0</v>
          </cell>
          <cell r="D866">
            <v>0</v>
          </cell>
          <cell r="E866">
            <v>137.85</v>
          </cell>
          <cell r="F866">
            <v>137.85</v>
          </cell>
          <cell r="G866">
            <v>0</v>
          </cell>
        </row>
        <row r="867">
          <cell r="A867">
            <v>48669698000169</v>
          </cell>
          <cell r="B867">
            <v>4681.0697844560527</v>
          </cell>
          <cell r="C867">
            <v>1990.3600000000004</v>
          </cell>
          <cell r="D867">
            <v>0.42519340485142609</v>
          </cell>
          <cell r="E867">
            <v>0</v>
          </cell>
          <cell r="F867">
            <v>0</v>
          </cell>
          <cell r="G867">
            <v>0</v>
          </cell>
        </row>
        <row r="868">
          <cell r="A868">
            <v>53446228000176</v>
          </cell>
          <cell r="B868">
            <v>1804.1833018142574</v>
          </cell>
          <cell r="C868">
            <v>758.57</v>
          </cell>
          <cell r="D868">
            <v>0.42045062673908706</v>
          </cell>
          <cell r="E868">
            <v>0</v>
          </cell>
          <cell r="F868">
            <v>0</v>
          </cell>
          <cell r="G868">
            <v>0</v>
          </cell>
        </row>
        <row r="869">
          <cell r="A869">
            <v>52834325000173</v>
          </cell>
          <cell r="B869">
            <v>4776.9568039854239</v>
          </cell>
          <cell r="C869">
            <v>2548.1499999999996</v>
          </cell>
          <cell r="D869">
            <v>0.53342538033295028</v>
          </cell>
          <cell r="E869">
            <v>0</v>
          </cell>
          <cell r="F869">
            <v>0</v>
          </cell>
          <cell r="G869">
            <v>0</v>
          </cell>
        </row>
        <row r="870">
          <cell r="A870">
            <v>39350015000115</v>
          </cell>
          <cell r="B870">
            <v>6350.2997404043235</v>
          </cell>
          <cell r="C870">
            <v>4717.72</v>
          </cell>
          <cell r="D870">
            <v>0.74291296361699344</v>
          </cell>
          <cell r="E870">
            <v>0</v>
          </cell>
          <cell r="F870">
            <v>0</v>
          </cell>
          <cell r="G870">
            <v>0</v>
          </cell>
        </row>
        <row r="871">
          <cell r="A871">
            <v>51945744000110</v>
          </cell>
          <cell r="B871">
            <v>2899.033548311535</v>
          </cell>
          <cell r="C871">
            <v>2774.7000000000003</v>
          </cell>
          <cell r="D871">
            <v>0.9571120698537795</v>
          </cell>
          <cell r="E871">
            <v>779.43000000000006</v>
          </cell>
          <cell r="F871">
            <v>0</v>
          </cell>
          <cell r="G871">
            <v>779.43000000000006</v>
          </cell>
        </row>
        <row r="872">
          <cell r="A872">
            <v>4256383000114</v>
          </cell>
          <cell r="B872">
            <v>6927.9961504421817</v>
          </cell>
          <cell r="C872">
            <v>4454.8300000000008</v>
          </cell>
          <cell r="D872">
            <v>0.64301854436158568</v>
          </cell>
          <cell r="E872">
            <v>3676.23</v>
          </cell>
          <cell r="F872">
            <v>556.30999999999949</v>
          </cell>
          <cell r="G872">
            <v>3119.9200000000005</v>
          </cell>
        </row>
        <row r="873">
          <cell r="A873">
            <v>4110283000185</v>
          </cell>
          <cell r="B873">
            <v>3385.1562555373453</v>
          </cell>
          <cell r="C873">
            <v>2317.5099999999998</v>
          </cell>
          <cell r="D873">
            <v>0.68460946114646282</v>
          </cell>
          <cell r="E873">
            <v>137.85</v>
          </cell>
          <cell r="F873">
            <v>0</v>
          </cell>
          <cell r="G873">
            <v>137.85</v>
          </cell>
        </row>
        <row r="874">
          <cell r="A874">
            <v>22054397000137</v>
          </cell>
          <cell r="B874">
            <v>3095.4035332870135</v>
          </cell>
          <cell r="C874">
            <v>2617.63</v>
          </cell>
          <cell r="D874">
            <v>0.84565064678993085</v>
          </cell>
          <cell r="E874">
            <v>0</v>
          </cell>
          <cell r="F874">
            <v>0</v>
          </cell>
          <cell r="G874">
            <v>0</v>
          </cell>
        </row>
        <row r="875">
          <cell r="A875">
            <v>29303719000183</v>
          </cell>
          <cell r="B875">
            <v>11465.885875812684</v>
          </cell>
          <cell r="C875">
            <v>5866.6599999999962</v>
          </cell>
          <cell r="D875">
            <v>0.51166216579703894</v>
          </cell>
          <cell r="E875">
            <v>0</v>
          </cell>
          <cell r="F875">
            <v>0</v>
          </cell>
          <cell r="G875">
            <v>0</v>
          </cell>
        </row>
        <row r="876">
          <cell r="A876">
            <v>52905500000176</v>
          </cell>
          <cell r="B876">
            <v>4424.9283122645284</v>
          </cell>
          <cell r="C876">
            <v>3132.2099999999996</v>
          </cell>
          <cell r="D876">
            <v>0.70785553549387126</v>
          </cell>
          <cell r="E876">
            <v>0</v>
          </cell>
          <cell r="F876">
            <v>0</v>
          </cell>
          <cell r="G876">
            <v>0</v>
          </cell>
        </row>
        <row r="877">
          <cell r="A877">
            <v>38872460000182</v>
          </cell>
          <cell r="B877">
            <v>6207.4491525196836</v>
          </cell>
          <cell r="C877">
            <v>12957.52999999999</v>
          </cell>
          <cell r="D877">
            <v>2.0874162126225975</v>
          </cell>
          <cell r="E877">
            <v>16551.410000000003</v>
          </cell>
          <cell r="F877">
            <v>175.7200000000048</v>
          </cell>
          <cell r="G877">
            <v>16375.689999999999</v>
          </cell>
        </row>
        <row r="878">
          <cell r="A878">
            <v>38872460000263</v>
          </cell>
          <cell r="B878">
            <v>2086.4905330834699</v>
          </cell>
          <cell r="C878">
            <v>677.31999999999994</v>
          </cell>
          <cell r="D878">
            <v>0.32462165021139056</v>
          </cell>
          <cell r="E878">
            <v>2419.92</v>
          </cell>
          <cell r="F878">
            <v>90.869999999999891</v>
          </cell>
          <cell r="G878">
            <v>2329.0500000000002</v>
          </cell>
        </row>
        <row r="879">
          <cell r="A879">
            <v>38872460000344</v>
          </cell>
          <cell r="B879">
            <v>1903.7938782984263</v>
          </cell>
          <cell r="C879">
            <v>397.19</v>
          </cell>
          <cell r="D879">
            <v>0.20863077906049401</v>
          </cell>
          <cell r="E879">
            <v>529.24</v>
          </cell>
          <cell r="F879">
            <v>0</v>
          </cell>
          <cell r="G879">
            <v>529.24</v>
          </cell>
        </row>
        <row r="880">
          <cell r="A880">
            <v>38872460000425</v>
          </cell>
          <cell r="B880">
            <v>8516.5057857969387</v>
          </cell>
          <cell r="C880">
            <v>8428.3499999999985</v>
          </cell>
          <cell r="D880">
            <v>0.98964883157316019</v>
          </cell>
          <cell r="E880">
            <v>9206.7599999999984</v>
          </cell>
          <cell r="F880">
            <v>261.98000000000138</v>
          </cell>
          <cell r="G880">
            <v>8944.779999999997</v>
          </cell>
        </row>
        <row r="881">
          <cell r="A881">
            <v>38872460000506</v>
          </cell>
          <cell r="B881">
            <v>1609.7694292658314</v>
          </cell>
          <cell r="C881">
            <v>1633.98</v>
          </cell>
          <cell r="D881">
            <v>1.0150397754448663</v>
          </cell>
          <cell r="E881">
            <v>2018.6100000000001</v>
          </cell>
          <cell r="F881">
            <v>128.13000000000011</v>
          </cell>
          <cell r="G881">
            <v>1890.48</v>
          </cell>
        </row>
        <row r="882">
          <cell r="A882">
            <v>15487866000146</v>
          </cell>
          <cell r="B882">
            <v>1097.1536036417885</v>
          </cell>
          <cell r="C882">
            <v>0</v>
          </cell>
          <cell r="D882">
            <v>0</v>
          </cell>
          <cell r="E882">
            <v>0</v>
          </cell>
          <cell r="F882">
            <v>0</v>
          </cell>
          <cell r="G882">
            <v>0</v>
          </cell>
        </row>
        <row r="883">
          <cell r="A883">
            <v>44944266000168</v>
          </cell>
          <cell r="B883">
            <v>4203.9350165169089</v>
          </cell>
          <cell r="C883">
            <v>1609.0199999999998</v>
          </cell>
          <cell r="D883">
            <v>0.38274140624873954</v>
          </cell>
          <cell r="E883">
            <v>0</v>
          </cell>
          <cell r="F883">
            <v>0</v>
          </cell>
          <cell r="G883">
            <v>0</v>
          </cell>
        </row>
        <row r="884">
          <cell r="A884">
            <v>49133299000141</v>
          </cell>
          <cell r="B884">
            <v>2682.9687791279889</v>
          </cell>
          <cell r="C884">
            <v>1271.8900000000001</v>
          </cell>
          <cell r="D884">
            <v>0.47406067856420836</v>
          </cell>
          <cell r="E884">
            <v>0</v>
          </cell>
          <cell r="F884">
            <v>0</v>
          </cell>
          <cell r="G884">
            <v>0</v>
          </cell>
        </row>
        <row r="885">
          <cell r="A885">
            <v>54806695000122</v>
          </cell>
          <cell r="B885">
            <v>788.48511890421298</v>
          </cell>
          <cell r="C885">
            <v>58.45</v>
          </cell>
          <cell r="D885">
            <v>7.4129490333603429E-2</v>
          </cell>
          <cell r="E885">
            <v>0</v>
          </cell>
          <cell r="F885">
            <v>0</v>
          </cell>
          <cell r="G885">
            <v>0</v>
          </cell>
        </row>
        <row r="886">
          <cell r="A886">
            <v>57338966000150</v>
          </cell>
          <cell r="B886">
            <v>893.70473724607905</v>
          </cell>
          <cell r="C886">
            <v>289.68</v>
          </cell>
          <cell r="D886">
            <v>0.32413389783815977</v>
          </cell>
          <cell r="E886">
            <v>0</v>
          </cell>
          <cell r="F886">
            <v>0</v>
          </cell>
          <cell r="G886">
            <v>0</v>
          </cell>
        </row>
        <row r="887">
          <cell r="A887">
            <v>52479223000187</v>
          </cell>
          <cell r="B887">
            <v>2143.6029904611232</v>
          </cell>
          <cell r="C887">
            <v>565.51</v>
          </cell>
          <cell r="D887">
            <v>0.26381284338400263</v>
          </cell>
          <cell r="E887">
            <v>0</v>
          </cell>
          <cell r="F887">
            <v>0</v>
          </cell>
          <cell r="G887">
            <v>0</v>
          </cell>
        </row>
        <row r="888">
          <cell r="A888">
            <v>4965393000129</v>
          </cell>
          <cell r="B888">
            <v>15463.061109481445</v>
          </cell>
          <cell r="C888">
            <v>6134.25</v>
          </cell>
          <cell r="D888">
            <v>0.3967034700676878</v>
          </cell>
          <cell r="E888">
            <v>3998.57</v>
          </cell>
          <cell r="F888">
            <v>0</v>
          </cell>
          <cell r="G888">
            <v>3998.57</v>
          </cell>
        </row>
        <row r="889">
          <cell r="A889">
            <v>28032369000103</v>
          </cell>
          <cell r="B889">
            <v>13542.419104018967</v>
          </cell>
          <cell r="C889">
            <v>7888.1899999999978</v>
          </cell>
          <cell r="D889">
            <v>0.58248012702981766</v>
          </cell>
          <cell r="E889">
            <v>8113.0100000000029</v>
          </cell>
          <cell r="F889">
            <v>996.94000000000051</v>
          </cell>
          <cell r="G889">
            <v>7116.0700000000024</v>
          </cell>
        </row>
        <row r="890">
          <cell r="A890">
            <v>3940865000126</v>
          </cell>
          <cell r="B890">
            <v>4670.9085428565049</v>
          </cell>
          <cell r="C890">
            <v>2714.0200000000004</v>
          </cell>
          <cell r="D890">
            <v>0.58104755747159953</v>
          </cell>
          <cell r="E890">
            <v>0</v>
          </cell>
          <cell r="F890">
            <v>0</v>
          </cell>
          <cell r="G890">
            <v>0</v>
          </cell>
        </row>
        <row r="891">
          <cell r="A891">
            <v>42286411000135</v>
          </cell>
          <cell r="B891">
            <v>4185.3861964869757</v>
          </cell>
          <cell r="C891">
            <v>759.0200000000001</v>
          </cell>
          <cell r="D891">
            <v>0.18135005095517523</v>
          </cell>
          <cell r="E891">
            <v>0</v>
          </cell>
          <cell r="F891">
            <v>0</v>
          </cell>
          <cell r="G891">
            <v>0</v>
          </cell>
        </row>
        <row r="892">
          <cell r="A892">
            <v>13435712000185</v>
          </cell>
          <cell r="B892">
            <v>54670.826736833646</v>
          </cell>
          <cell r="C892">
            <v>19797.149999999998</v>
          </cell>
          <cell r="D892">
            <v>0.3621154312389786</v>
          </cell>
          <cell r="E892">
            <v>16620.88</v>
          </cell>
          <cell r="F892">
            <v>891.33999999999833</v>
          </cell>
          <cell r="G892">
            <v>15729.540000000003</v>
          </cell>
        </row>
        <row r="893">
          <cell r="A893">
            <v>52950355000145</v>
          </cell>
          <cell r="B893">
            <v>11909.250423435176</v>
          </cell>
          <cell r="C893">
            <v>3357.9799999999996</v>
          </cell>
          <cell r="D893">
            <v>0.2819640095393513</v>
          </cell>
          <cell r="E893">
            <v>439.1</v>
          </cell>
          <cell r="F893">
            <v>0</v>
          </cell>
          <cell r="G893">
            <v>439.1</v>
          </cell>
        </row>
        <row r="894">
          <cell r="A894">
            <v>52950355000226</v>
          </cell>
          <cell r="B894">
            <v>5282.5820237035086</v>
          </cell>
          <cell r="C894">
            <v>4005.4700000000012</v>
          </cell>
          <cell r="D894">
            <v>0.75824094770834227</v>
          </cell>
          <cell r="E894">
            <v>0</v>
          </cell>
          <cell r="F894">
            <v>0</v>
          </cell>
          <cell r="G894">
            <v>0</v>
          </cell>
        </row>
        <row r="895">
          <cell r="A895">
            <v>44692168001071</v>
          </cell>
          <cell r="B895">
            <v>2871.404575178562</v>
          </cell>
          <cell r="C895">
            <v>1293.69</v>
          </cell>
          <cell r="D895">
            <v>0.45054257111070817</v>
          </cell>
          <cell r="E895">
            <v>692.93999999999994</v>
          </cell>
          <cell r="F895">
            <v>0</v>
          </cell>
          <cell r="G895">
            <v>692.93999999999994</v>
          </cell>
        </row>
        <row r="896">
          <cell r="A896">
            <v>44692168001403</v>
          </cell>
          <cell r="B896">
            <v>17515.255346633861</v>
          </cell>
          <cell r="C896">
            <v>6531.97</v>
          </cell>
          <cell r="D896">
            <v>0.37293033248615104</v>
          </cell>
          <cell r="E896">
            <v>4197.3099999999995</v>
          </cell>
          <cell r="F896">
            <v>1234.6499999999996</v>
          </cell>
          <cell r="G896">
            <v>2962.66</v>
          </cell>
        </row>
        <row r="897">
          <cell r="A897">
            <v>32641091000130</v>
          </cell>
          <cell r="B897">
            <v>4038.2597437023901</v>
          </cell>
          <cell r="C897">
            <v>1036.4399999999998</v>
          </cell>
          <cell r="D897">
            <v>0.25665511031486116</v>
          </cell>
          <cell r="E897">
            <v>0</v>
          </cell>
          <cell r="F897">
            <v>0</v>
          </cell>
          <cell r="G897">
            <v>0</v>
          </cell>
        </row>
        <row r="898">
          <cell r="A898">
            <v>55248561000104</v>
          </cell>
          <cell r="B898">
            <v>3424.2501926250843</v>
          </cell>
          <cell r="C898">
            <v>1445.6300000000003</v>
          </cell>
          <cell r="D898">
            <v>0.42217417498099269</v>
          </cell>
          <cell r="E898">
            <v>1463.4800000000002</v>
          </cell>
          <cell r="F898">
            <v>0</v>
          </cell>
          <cell r="G898">
            <v>1463.4800000000002</v>
          </cell>
        </row>
        <row r="899">
          <cell r="A899">
            <v>7542034000157</v>
          </cell>
          <cell r="B899">
            <v>10514.823674811154</v>
          </cell>
          <cell r="C899">
            <v>6587.68</v>
          </cell>
          <cell r="D899">
            <v>0.62651359677872254</v>
          </cell>
          <cell r="E899">
            <v>919.55</v>
          </cell>
          <cell r="F899">
            <v>0</v>
          </cell>
          <cell r="G899">
            <v>919.55</v>
          </cell>
        </row>
        <row r="900">
          <cell r="A900">
            <v>43080555000101</v>
          </cell>
          <cell r="B900">
            <v>5581.3357902594362</v>
          </cell>
          <cell r="C900">
            <v>2914.8400000000006</v>
          </cell>
          <cell r="D900">
            <v>0.52224773952625969</v>
          </cell>
          <cell r="E900">
            <v>866.79</v>
          </cell>
          <cell r="F900">
            <v>0</v>
          </cell>
          <cell r="G900">
            <v>866.79</v>
          </cell>
        </row>
        <row r="901">
          <cell r="A901">
            <v>11751725000138</v>
          </cell>
          <cell r="B901">
            <v>1548.3511081432562</v>
          </cell>
          <cell r="C901">
            <v>940.03999999999985</v>
          </cell>
          <cell r="D901">
            <v>0.60712327782506148</v>
          </cell>
          <cell r="E901">
            <v>80.010000000000005</v>
          </cell>
          <cell r="F901">
            <v>0</v>
          </cell>
          <cell r="G901">
            <v>80.010000000000005</v>
          </cell>
        </row>
        <row r="902">
          <cell r="A902">
            <v>4716183000105</v>
          </cell>
          <cell r="B902">
            <v>11827.582212232277</v>
          </cell>
          <cell r="C902">
            <v>6012.88</v>
          </cell>
          <cell r="D902">
            <v>0.50837778102961584</v>
          </cell>
          <cell r="E902">
            <v>4316.7000000000007</v>
          </cell>
          <cell r="F902">
            <v>718.87000000000035</v>
          </cell>
          <cell r="G902">
            <v>3597.8300000000004</v>
          </cell>
        </row>
        <row r="903">
          <cell r="A903">
            <v>4716183000288</v>
          </cell>
          <cell r="B903">
            <v>4353.3790898976331</v>
          </cell>
          <cell r="C903">
            <v>1362.6599999999999</v>
          </cell>
          <cell r="D903">
            <v>0.31301202396137801</v>
          </cell>
          <cell r="E903">
            <v>1195.42</v>
          </cell>
          <cell r="F903">
            <v>72.820000000000164</v>
          </cell>
          <cell r="G903">
            <v>1122.5999999999999</v>
          </cell>
        </row>
        <row r="904">
          <cell r="A904">
            <v>3521179000110</v>
          </cell>
          <cell r="B904">
            <v>4712.880684821841</v>
          </cell>
          <cell r="C904">
            <v>2654.5600000000004</v>
          </cell>
          <cell r="D904">
            <v>0.56325635583120004</v>
          </cell>
          <cell r="E904">
            <v>1869.33</v>
          </cell>
          <cell r="F904">
            <v>65.9699999999998</v>
          </cell>
          <cell r="G904">
            <v>1803.3600000000001</v>
          </cell>
        </row>
        <row r="905">
          <cell r="A905">
            <v>1374296000173</v>
          </cell>
          <cell r="B905">
            <v>4822.5258651296444</v>
          </cell>
          <cell r="C905">
            <v>1205.81</v>
          </cell>
          <cell r="D905">
            <v>0.25003702079005524</v>
          </cell>
          <cell r="E905">
            <v>882.36</v>
          </cell>
          <cell r="F905">
            <v>116</v>
          </cell>
          <cell r="G905">
            <v>766.36</v>
          </cell>
        </row>
        <row r="906">
          <cell r="A906">
            <v>35588327000100</v>
          </cell>
          <cell r="B906">
            <v>4544.0174516694851</v>
          </cell>
          <cell r="C906">
            <v>906.90000000000009</v>
          </cell>
          <cell r="D906">
            <v>0.19958109968675458</v>
          </cell>
          <cell r="E906">
            <v>0</v>
          </cell>
          <cell r="F906">
            <v>0</v>
          </cell>
          <cell r="G906">
            <v>0</v>
          </cell>
        </row>
        <row r="907">
          <cell r="A907">
            <v>46018910000100</v>
          </cell>
          <cell r="B907">
            <v>8516.0721692022671</v>
          </cell>
          <cell r="C907">
            <v>1540.31</v>
          </cell>
          <cell r="D907">
            <v>0.18087094254208119</v>
          </cell>
          <cell r="E907">
            <v>0</v>
          </cell>
          <cell r="F907">
            <v>0</v>
          </cell>
          <cell r="G907">
            <v>0</v>
          </cell>
        </row>
        <row r="908">
          <cell r="A908">
            <v>52852354000168</v>
          </cell>
          <cell r="B908">
            <v>6412.0350027199138</v>
          </cell>
          <cell r="C908">
            <v>3463.19</v>
          </cell>
          <cell r="D908">
            <v>0.5401077814657832</v>
          </cell>
          <cell r="E908">
            <v>2485.3200000000002</v>
          </cell>
          <cell r="F908">
            <v>336.86000000000013</v>
          </cell>
          <cell r="G908">
            <v>2148.46</v>
          </cell>
        </row>
        <row r="909">
          <cell r="A909">
            <v>53091979000117</v>
          </cell>
          <cell r="B909">
            <v>4323.23269541012</v>
          </cell>
          <cell r="C909">
            <v>5571.67</v>
          </cell>
          <cell r="D909">
            <v>1.2887740245662276</v>
          </cell>
          <cell r="E909">
            <v>0</v>
          </cell>
          <cell r="F909">
            <v>0</v>
          </cell>
          <cell r="G909">
            <v>0</v>
          </cell>
        </row>
        <row r="910">
          <cell r="A910">
            <v>62392356000175</v>
          </cell>
          <cell r="B910">
            <v>4422.0704063328385</v>
          </cell>
          <cell r="C910">
            <v>8023.8000000000011</v>
          </cell>
          <cell r="D910">
            <v>1.8144894275109533</v>
          </cell>
          <cell r="E910">
            <v>6697.5100000000011</v>
          </cell>
          <cell r="F910">
            <v>167.39999999999964</v>
          </cell>
          <cell r="G910">
            <v>6530.1100000000015</v>
          </cell>
        </row>
        <row r="911">
          <cell r="A911">
            <v>62028636000107</v>
          </cell>
          <cell r="B911">
            <v>1429.4493362458838</v>
          </cell>
          <cell r="C911">
            <v>1912.2300000000002</v>
          </cell>
          <cell r="D911">
            <v>1.3377389121198429</v>
          </cell>
          <cell r="E911">
            <v>1663.17</v>
          </cell>
          <cell r="F911">
            <v>87.990000000000236</v>
          </cell>
          <cell r="G911">
            <v>1575.1799999999998</v>
          </cell>
        </row>
        <row r="912">
          <cell r="A912">
            <v>1531920000107</v>
          </cell>
          <cell r="B912">
            <v>11946.195927996103</v>
          </cell>
          <cell r="C912">
            <v>7941.3999999999978</v>
          </cell>
          <cell r="D912">
            <v>0.66476391713860972</v>
          </cell>
          <cell r="E912">
            <v>6714.5500000000011</v>
          </cell>
          <cell r="F912">
            <v>139.85000000000036</v>
          </cell>
          <cell r="G912">
            <v>6574.7000000000007</v>
          </cell>
        </row>
        <row r="913">
          <cell r="A913">
            <v>3300964000143</v>
          </cell>
          <cell r="B913">
            <v>3344.509621414365</v>
          </cell>
          <cell r="C913">
            <v>364.99</v>
          </cell>
          <cell r="D913">
            <v>0.1091310958303205</v>
          </cell>
          <cell r="E913">
            <v>194.67000000000002</v>
          </cell>
          <cell r="F913">
            <v>0</v>
          </cell>
          <cell r="G913">
            <v>194.67000000000002</v>
          </cell>
        </row>
        <row r="914">
          <cell r="A914">
            <v>46943757000110</v>
          </cell>
          <cell r="B914">
            <v>1020.1706752159773</v>
          </cell>
          <cell r="C914">
            <v>111.91999999999999</v>
          </cell>
          <cell r="D914">
            <v>0.10970713305036506</v>
          </cell>
          <cell r="E914">
            <v>306.70000000000005</v>
          </cell>
          <cell r="F914">
            <v>0</v>
          </cell>
          <cell r="G914">
            <v>306.70000000000005</v>
          </cell>
        </row>
        <row r="915">
          <cell r="A915">
            <v>10689094000101</v>
          </cell>
          <cell r="B915">
            <v>2686.5223856969255</v>
          </cell>
          <cell r="C915">
            <v>1812.97</v>
          </cell>
          <cell r="D915">
            <v>0.67483897013189698</v>
          </cell>
          <cell r="E915">
            <v>0</v>
          </cell>
          <cell r="F915">
            <v>0</v>
          </cell>
          <cell r="G915">
            <v>0</v>
          </cell>
        </row>
        <row r="916">
          <cell r="A916">
            <v>8600885000171</v>
          </cell>
          <cell r="B916">
            <v>5307.0296745042997</v>
          </cell>
          <cell r="C916">
            <v>2237.38</v>
          </cell>
          <cell r="D916">
            <v>0.42158799502265482</v>
          </cell>
          <cell r="E916">
            <v>1457.3999999999999</v>
          </cell>
          <cell r="F916">
            <v>0</v>
          </cell>
          <cell r="G916">
            <v>1457.3999999999999</v>
          </cell>
        </row>
        <row r="917">
          <cell r="A917">
            <v>6935814000102</v>
          </cell>
          <cell r="B917">
            <v>3607.008723838881</v>
          </cell>
          <cell r="C917">
            <v>2412.58</v>
          </cell>
          <cell r="D917">
            <v>0.66885893123993612</v>
          </cell>
          <cell r="E917">
            <v>2045.12</v>
          </cell>
          <cell r="F917">
            <v>75.760000000000218</v>
          </cell>
          <cell r="G917">
            <v>1969.3599999999997</v>
          </cell>
        </row>
        <row r="918">
          <cell r="A918">
            <v>4268705000145</v>
          </cell>
          <cell r="B918">
            <v>1862.461117057082</v>
          </cell>
          <cell r="C918">
            <v>746.35</v>
          </cell>
          <cell r="D918">
            <v>0.40073319822070969</v>
          </cell>
          <cell r="E918">
            <v>453.49</v>
          </cell>
          <cell r="F918">
            <v>258.12</v>
          </cell>
          <cell r="G918">
            <v>195.37</v>
          </cell>
        </row>
        <row r="919">
          <cell r="A919">
            <v>7796647000110</v>
          </cell>
          <cell r="B919">
            <v>7863.0767675222314</v>
          </cell>
          <cell r="C919">
            <v>1769.6900000000003</v>
          </cell>
          <cell r="D919">
            <v>0.22506329930664726</v>
          </cell>
          <cell r="E919">
            <v>137.85</v>
          </cell>
          <cell r="F919">
            <v>0</v>
          </cell>
          <cell r="G919">
            <v>137.85</v>
          </cell>
        </row>
        <row r="920">
          <cell r="A920">
            <v>5398931000103</v>
          </cell>
          <cell r="B920">
            <v>3392.3064165975798</v>
          </cell>
          <cell r="C920">
            <v>1540.8300000000002</v>
          </cell>
          <cell r="D920">
            <v>0.45421309598129522</v>
          </cell>
          <cell r="E920">
            <v>137.85</v>
          </cell>
          <cell r="F920">
            <v>0</v>
          </cell>
          <cell r="G920">
            <v>137.85</v>
          </cell>
        </row>
        <row r="921">
          <cell r="A921">
            <v>1727308000104</v>
          </cell>
          <cell r="B921">
            <v>1299.1753104173183</v>
          </cell>
          <cell r="C921">
            <v>139.56</v>
          </cell>
          <cell r="D921">
            <v>0.1074219921522145</v>
          </cell>
          <cell r="E921">
            <v>137.85</v>
          </cell>
          <cell r="F921">
            <v>0</v>
          </cell>
          <cell r="G921">
            <v>137.85</v>
          </cell>
        </row>
        <row r="922">
          <cell r="A922">
            <v>7220741000127</v>
          </cell>
          <cell r="B922">
            <v>4983.329597756815</v>
          </cell>
          <cell r="C922">
            <v>5948.5700000000006</v>
          </cell>
          <cell r="D922">
            <v>1.193693871398287</v>
          </cell>
          <cell r="E922">
            <v>726.04</v>
          </cell>
          <cell r="F922">
            <v>0</v>
          </cell>
          <cell r="G922">
            <v>726.04</v>
          </cell>
        </row>
        <row r="923">
          <cell r="A923">
            <v>3995944000134</v>
          </cell>
          <cell r="B923">
            <v>3425.9442847561004</v>
          </cell>
          <cell r="C923">
            <v>4312.66</v>
          </cell>
          <cell r="D923">
            <v>1.25882374070979</v>
          </cell>
          <cell r="E923">
            <v>4311.8500000000004</v>
          </cell>
          <cell r="F923">
            <v>83.720000000000255</v>
          </cell>
          <cell r="G923">
            <v>4228.13</v>
          </cell>
        </row>
        <row r="924">
          <cell r="A924">
            <v>3744695000104</v>
          </cell>
          <cell r="B924">
            <v>3298.5606450017285</v>
          </cell>
          <cell r="C924">
            <v>2283.1200000000003</v>
          </cell>
          <cell r="D924">
            <v>0.69215644207105487</v>
          </cell>
          <cell r="E924">
            <v>273.2</v>
          </cell>
          <cell r="F924">
            <v>20.829999999999984</v>
          </cell>
          <cell r="G924">
            <v>252.37</v>
          </cell>
        </row>
        <row r="925">
          <cell r="A925">
            <v>7734117000148</v>
          </cell>
          <cell r="B925">
            <v>10053.63029000497</v>
          </cell>
          <cell r="C925">
            <v>3502.33</v>
          </cell>
          <cell r="D925">
            <v>0.34836470995774688</v>
          </cell>
          <cell r="E925">
            <v>137.85</v>
          </cell>
          <cell r="F925">
            <v>0</v>
          </cell>
          <cell r="G925">
            <v>137.85</v>
          </cell>
        </row>
        <row r="926">
          <cell r="A926">
            <v>5638726000178</v>
          </cell>
          <cell r="B926">
            <v>3529.1278887131743</v>
          </cell>
          <cell r="C926">
            <v>2385.3900000000008</v>
          </cell>
          <cell r="D926">
            <v>0.67591486486758778</v>
          </cell>
          <cell r="E926">
            <v>1918.11</v>
          </cell>
          <cell r="F926">
            <v>48.820000000000164</v>
          </cell>
          <cell r="G926">
            <v>1869.2899999999997</v>
          </cell>
        </row>
        <row r="927">
          <cell r="A927">
            <v>8366044000141</v>
          </cell>
          <cell r="B927">
            <v>4800.7774457733076</v>
          </cell>
          <cell r="C927">
            <v>2775.1599999999994</v>
          </cell>
          <cell r="D927">
            <v>0.57806470542459765</v>
          </cell>
          <cell r="E927">
            <v>1192.8499999999999</v>
          </cell>
          <cell r="F927">
            <v>0</v>
          </cell>
          <cell r="G927">
            <v>1192.8499999999999</v>
          </cell>
        </row>
        <row r="928">
          <cell r="A928">
            <v>33193095000166</v>
          </cell>
          <cell r="B928">
            <v>18711.442631798964</v>
          </cell>
          <cell r="C928">
            <v>9319.220000000003</v>
          </cell>
          <cell r="D928">
            <v>0.49804925164682667</v>
          </cell>
          <cell r="E928">
            <v>8072.9</v>
          </cell>
          <cell r="F928">
            <v>485.39999999999964</v>
          </cell>
          <cell r="G928">
            <v>7587.5</v>
          </cell>
        </row>
        <row r="929">
          <cell r="A929">
            <v>1617468000192</v>
          </cell>
          <cell r="B929">
            <v>2918.8877112051346</v>
          </cell>
          <cell r="C929">
            <v>749.62999999999988</v>
          </cell>
          <cell r="D929">
            <v>0.25682043098893198</v>
          </cell>
          <cell r="E929">
            <v>137.85</v>
          </cell>
          <cell r="F929">
            <v>0</v>
          </cell>
          <cell r="G929">
            <v>137.85</v>
          </cell>
        </row>
        <row r="930">
          <cell r="A930">
            <v>4237820000152</v>
          </cell>
          <cell r="B930">
            <v>17184.950526547444</v>
          </cell>
          <cell r="C930">
            <v>7254.1900000000005</v>
          </cell>
          <cell r="D930">
            <v>0.42212457864185715</v>
          </cell>
          <cell r="E930">
            <v>7000.1600000000008</v>
          </cell>
          <cell r="F930">
            <v>3325.4400000000005</v>
          </cell>
          <cell r="G930">
            <v>3674.7200000000003</v>
          </cell>
        </row>
        <row r="931">
          <cell r="A931">
            <v>1134776000167</v>
          </cell>
          <cell r="B931">
            <v>13232.185600931924</v>
          </cell>
          <cell r="C931">
            <v>16227.510000000011</v>
          </cell>
          <cell r="D931">
            <v>1.226366564784062</v>
          </cell>
          <cell r="E931">
            <v>6392.37</v>
          </cell>
          <cell r="F931">
            <v>104.57999999999993</v>
          </cell>
          <cell r="G931">
            <v>6287.79</v>
          </cell>
        </row>
        <row r="932">
          <cell r="A932">
            <v>8464650000108</v>
          </cell>
          <cell r="B932">
            <v>3097.4057602107332</v>
          </cell>
          <cell r="C932">
            <v>1877.69</v>
          </cell>
          <cell r="D932">
            <v>0.60621376253663672</v>
          </cell>
          <cell r="E932">
            <v>1282.1099999999999</v>
          </cell>
          <cell r="F932">
            <v>142.37999999999988</v>
          </cell>
          <cell r="G932">
            <v>1139.73</v>
          </cell>
        </row>
        <row r="933">
          <cell r="A933">
            <v>1561919000117</v>
          </cell>
          <cell r="B933">
            <v>8400.0043320821933</v>
          </cell>
          <cell r="C933">
            <v>2803.1299999999997</v>
          </cell>
          <cell r="D933">
            <v>0.33370578028084896</v>
          </cell>
          <cell r="E933">
            <v>0</v>
          </cell>
          <cell r="F933">
            <v>0</v>
          </cell>
          <cell r="G933">
            <v>0</v>
          </cell>
        </row>
        <row r="934">
          <cell r="A934">
            <v>29946302000139</v>
          </cell>
          <cell r="B934">
            <v>13885.647937435746</v>
          </cell>
          <cell r="C934">
            <v>7235.8600000000006</v>
          </cell>
          <cell r="D934">
            <v>0.52110351872685046</v>
          </cell>
          <cell r="E934">
            <v>0</v>
          </cell>
          <cell r="F934">
            <v>0</v>
          </cell>
          <cell r="G934">
            <v>0</v>
          </cell>
        </row>
        <row r="935">
          <cell r="A935">
            <v>37489689000170</v>
          </cell>
          <cell r="B935">
            <v>601.71829391534982</v>
          </cell>
          <cell r="C935">
            <v>983.38999999999987</v>
          </cell>
          <cell r="D935">
            <v>1.6343029785601697</v>
          </cell>
          <cell r="E935">
            <v>0</v>
          </cell>
          <cell r="F935">
            <v>0</v>
          </cell>
          <cell r="G935">
            <v>0</v>
          </cell>
        </row>
        <row r="936">
          <cell r="A936">
            <v>9112212000216</v>
          </cell>
          <cell r="B936">
            <v>10399.653601075661</v>
          </cell>
          <cell r="C936">
            <v>5468.3999999999987</v>
          </cell>
          <cell r="D936">
            <v>0.52582520627748497</v>
          </cell>
          <cell r="E936">
            <v>0</v>
          </cell>
          <cell r="F936">
            <v>0</v>
          </cell>
          <cell r="G936">
            <v>0</v>
          </cell>
        </row>
        <row r="937">
          <cell r="A937">
            <v>47216701000126</v>
          </cell>
          <cell r="B937">
            <v>2778.7720746563391</v>
          </cell>
          <cell r="C937">
            <v>1228.1200000000001</v>
          </cell>
          <cell r="D937">
            <v>0.44196500000882089</v>
          </cell>
          <cell r="E937">
            <v>205.9</v>
          </cell>
          <cell r="F937">
            <v>0</v>
          </cell>
          <cell r="G937">
            <v>205.9</v>
          </cell>
        </row>
        <row r="938">
          <cell r="A938">
            <v>4965294000147</v>
          </cell>
          <cell r="B938">
            <v>4503.3376013740844</v>
          </cell>
          <cell r="C938">
            <v>3299.5099999999998</v>
          </cell>
          <cell r="D938">
            <v>0.73268102284697334</v>
          </cell>
          <cell r="E938">
            <v>1769.5</v>
          </cell>
          <cell r="F938">
            <v>18.940000000000055</v>
          </cell>
          <cell r="G938">
            <v>1750.56</v>
          </cell>
        </row>
        <row r="939">
          <cell r="A939">
            <v>18096092000110</v>
          </cell>
          <cell r="B939">
            <v>4287.1491389053581</v>
          </cell>
          <cell r="C939">
            <v>4647.49</v>
          </cell>
          <cell r="D939">
            <v>1.0840513939262322</v>
          </cell>
          <cell r="E939">
            <v>4024.4900000000007</v>
          </cell>
          <cell r="F939">
            <v>0</v>
          </cell>
          <cell r="G939">
            <v>4024.4900000000007</v>
          </cell>
        </row>
        <row r="940">
          <cell r="A940">
            <v>15722053000193</v>
          </cell>
          <cell r="B940">
            <v>3547.6078415884867</v>
          </cell>
          <cell r="C940">
            <v>2358.79</v>
          </cell>
          <cell r="D940">
            <v>0.66489592574127965</v>
          </cell>
          <cell r="E940">
            <v>1658.66</v>
          </cell>
          <cell r="F940">
            <v>0</v>
          </cell>
          <cell r="G940">
            <v>1658.66</v>
          </cell>
        </row>
        <row r="941">
          <cell r="A941">
            <v>1394350000142</v>
          </cell>
          <cell r="B941">
            <v>7456.2914726377157</v>
          </cell>
          <cell r="C941">
            <v>5967.52</v>
          </cell>
          <cell r="D941">
            <v>0.80033351994070423</v>
          </cell>
          <cell r="E941">
            <v>4992.8599999999997</v>
          </cell>
          <cell r="F941">
            <v>475.03999999999814</v>
          </cell>
          <cell r="G941">
            <v>4517.8200000000015</v>
          </cell>
        </row>
        <row r="942">
          <cell r="A942">
            <v>27785214000339</v>
          </cell>
          <cell r="B942">
            <v>10332.478372547856</v>
          </cell>
          <cell r="C942">
            <v>7940.0000000000018</v>
          </cell>
          <cell r="D942">
            <v>0.76845067695429403</v>
          </cell>
          <cell r="E942">
            <v>7128.6200000000017</v>
          </cell>
          <cell r="F942">
            <v>503.21999999999935</v>
          </cell>
          <cell r="G942">
            <v>6625.4000000000024</v>
          </cell>
        </row>
        <row r="943">
          <cell r="A943">
            <v>27785214000410</v>
          </cell>
          <cell r="B943">
            <v>9415.044518852379</v>
          </cell>
          <cell r="C943">
            <v>9860.7099999999973</v>
          </cell>
          <cell r="D943">
            <v>1.047335461904108</v>
          </cell>
          <cell r="E943">
            <v>9440.7299999999977</v>
          </cell>
          <cell r="F943">
            <v>414.30999999999767</v>
          </cell>
          <cell r="G943">
            <v>9026.42</v>
          </cell>
        </row>
        <row r="944">
          <cell r="A944">
            <v>29974778000183</v>
          </cell>
          <cell r="B944">
            <v>6064.4574749066496</v>
          </cell>
          <cell r="C944">
            <v>5980.7800000000007</v>
          </cell>
          <cell r="D944">
            <v>0.98620198504929957</v>
          </cell>
          <cell r="E944">
            <v>5251.26</v>
          </cell>
          <cell r="F944">
            <v>13.140000000001237</v>
          </cell>
          <cell r="G944">
            <v>5238.119999999999</v>
          </cell>
        </row>
        <row r="945">
          <cell r="A945">
            <v>10732561000139</v>
          </cell>
          <cell r="B945">
            <v>7532.1130455758102</v>
          </cell>
          <cell r="C945">
            <v>3568.8599999999992</v>
          </cell>
          <cell r="D945">
            <v>0.47381922953164723</v>
          </cell>
          <cell r="E945">
            <v>3281.1600000000008</v>
          </cell>
          <cell r="F945">
            <v>87.889999999999873</v>
          </cell>
          <cell r="G945">
            <v>3193.2700000000009</v>
          </cell>
        </row>
        <row r="946">
          <cell r="A946">
            <v>29601304000196</v>
          </cell>
          <cell r="B946">
            <v>3706.73101922767</v>
          </cell>
          <cell r="C946">
            <v>7519.98</v>
          </cell>
          <cell r="D946">
            <v>2.0287363612282969</v>
          </cell>
          <cell r="E946">
            <v>4708.41</v>
          </cell>
          <cell r="F946">
            <v>0</v>
          </cell>
          <cell r="G946">
            <v>4708.41</v>
          </cell>
        </row>
        <row r="947">
          <cell r="A947">
            <v>17967556000154</v>
          </cell>
          <cell r="B947">
            <v>13916.267096017604</v>
          </cell>
          <cell r="C947">
            <v>34469.62999999999</v>
          </cell>
          <cell r="D947">
            <v>2.4769307575207513</v>
          </cell>
          <cell r="E947">
            <v>33646.210000000006</v>
          </cell>
          <cell r="F947">
            <v>453.52000000000407</v>
          </cell>
          <cell r="G947">
            <v>33192.69</v>
          </cell>
        </row>
        <row r="948">
          <cell r="A948">
            <v>18235089000130</v>
          </cell>
          <cell r="B948">
            <v>7723.3013918092302</v>
          </cell>
          <cell r="C948">
            <v>3651.2099999999991</v>
          </cell>
          <cell r="D948">
            <v>0.47275249466144181</v>
          </cell>
          <cell r="E948">
            <v>3126.5000000000009</v>
          </cell>
          <cell r="F948">
            <v>431.65000000000055</v>
          </cell>
          <cell r="G948">
            <v>2694.8500000000004</v>
          </cell>
        </row>
        <row r="949">
          <cell r="A949">
            <v>45665886000120</v>
          </cell>
          <cell r="B949">
            <v>4915.2488927500717</v>
          </cell>
          <cell r="C949">
            <v>1389.46</v>
          </cell>
          <cell r="D949">
            <v>0.28268354875160756</v>
          </cell>
          <cell r="E949">
            <v>134.41999999999999</v>
          </cell>
          <cell r="F949">
            <v>0</v>
          </cell>
          <cell r="G949">
            <v>134.41999999999999</v>
          </cell>
        </row>
        <row r="950">
          <cell r="A950">
            <v>21784054000165</v>
          </cell>
          <cell r="B950">
            <v>14956.636530679783</v>
          </cell>
          <cell r="C950">
            <v>15073.070000000002</v>
          </cell>
          <cell r="D950">
            <v>1.0077847361658743</v>
          </cell>
          <cell r="E950">
            <v>10984.750000000002</v>
          </cell>
          <cell r="F950">
            <v>0</v>
          </cell>
          <cell r="G950">
            <v>10984.750000000002</v>
          </cell>
        </row>
        <row r="951">
          <cell r="A951">
            <v>12804850000121</v>
          </cell>
          <cell r="B951">
            <v>2839.354819262101</v>
          </cell>
          <cell r="C951">
            <v>974.86000000000013</v>
          </cell>
          <cell r="D951">
            <v>0.34333856176994088</v>
          </cell>
          <cell r="E951">
            <v>0</v>
          </cell>
          <cell r="F951">
            <v>0</v>
          </cell>
          <cell r="G951">
            <v>0</v>
          </cell>
        </row>
        <row r="952">
          <cell r="A952">
            <v>22355280000193</v>
          </cell>
          <cell r="B952">
            <v>1761.7158770568662</v>
          </cell>
          <cell r="C952">
            <v>694.93999999999994</v>
          </cell>
          <cell r="D952">
            <v>0.39446769428051653</v>
          </cell>
          <cell r="E952">
            <v>137.85</v>
          </cell>
          <cell r="F952">
            <v>0</v>
          </cell>
          <cell r="G952">
            <v>137.85</v>
          </cell>
        </row>
        <row r="953">
          <cell r="A953">
            <v>7311428000102</v>
          </cell>
          <cell r="B953">
            <v>1981.6285802143368</v>
          </cell>
          <cell r="C953">
            <v>1438.29</v>
          </cell>
          <cell r="D953">
            <v>0.72581209938162661</v>
          </cell>
          <cell r="E953">
            <v>717.99</v>
          </cell>
          <cell r="F953">
            <v>34.279999999999973</v>
          </cell>
          <cell r="G953">
            <v>683.71</v>
          </cell>
        </row>
        <row r="954">
          <cell r="A954">
            <v>1894476000186</v>
          </cell>
          <cell r="B954">
            <v>8291.7393723795612</v>
          </cell>
          <cell r="C954">
            <v>2556.4999999999995</v>
          </cell>
          <cell r="D954">
            <v>0.30831890453719552</v>
          </cell>
          <cell r="E954">
            <v>2625.7</v>
          </cell>
          <cell r="F954">
            <v>0</v>
          </cell>
          <cell r="G954">
            <v>2625.7</v>
          </cell>
        </row>
        <row r="955">
          <cell r="A955">
            <v>16465328000113</v>
          </cell>
          <cell r="B955">
            <v>2136.6694745422456</v>
          </cell>
          <cell r="C955">
            <v>1111.52</v>
          </cell>
          <cell r="D955">
            <v>0.52021148485688418</v>
          </cell>
          <cell r="E955">
            <v>825.66</v>
          </cell>
          <cell r="F955">
            <v>0</v>
          </cell>
          <cell r="G955">
            <v>825.66</v>
          </cell>
        </row>
        <row r="956">
          <cell r="A956">
            <v>21996240000168</v>
          </cell>
          <cell r="B956">
            <v>3856.6040082856225</v>
          </cell>
          <cell r="C956">
            <v>1954.5999999999997</v>
          </cell>
          <cell r="D956">
            <v>0.50681895154407586</v>
          </cell>
          <cell r="E956">
            <v>0</v>
          </cell>
          <cell r="F956">
            <v>0</v>
          </cell>
          <cell r="G956">
            <v>0</v>
          </cell>
        </row>
        <row r="957">
          <cell r="A957">
            <v>27785214000258</v>
          </cell>
          <cell r="B957">
            <v>6839.212420912032</v>
          </cell>
          <cell r="C957">
            <v>4270.4399999999996</v>
          </cell>
          <cell r="D957">
            <v>0.62440522931301523</v>
          </cell>
          <cell r="E957">
            <v>3701.94</v>
          </cell>
          <cell r="F957">
            <v>43.440000000000055</v>
          </cell>
          <cell r="G957">
            <v>3658.5</v>
          </cell>
        </row>
        <row r="958">
          <cell r="A958">
            <v>27785214000681</v>
          </cell>
          <cell r="B958">
            <v>5070.5321154154108</v>
          </cell>
          <cell r="C958">
            <v>4014.4699999999984</v>
          </cell>
          <cell r="D958">
            <v>0.79172558394714099</v>
          </cell>
          <cell r="E958">
            <v>3652.78</v>
          </cell>
          <cell r="F958">
            <v>34.539999999999964</v>
          </cell>
          <cell r="G958">
            <v>3618.2400000000002</v>
          </cell>
        </row>
        <row r="959">
          <cell r="A959">
            <v>23622022000199</v>
          </cell>
          <cell r="B959">
            <v>2626.5145244982809</v>
          </cell>
          <cell r="C959">
            <v>1678.58</v>
          </cell>
          <cell r="D959">
            <v>0.63909031697460106</v>
          </cell>
          <cell r="E959">
            <v>763.36</v>
          </cell>
          <cell r="F959">
            <v>0</v>
          </cell>
          <cell r="G959">
            <v>763.36</v>
          </cell>
        </row>
        <row r="960">
          <cell r="A960">
            <v>14648568000128</v>
          </cell>
          <cell r="B960">
            <v>6005.2707388470717</v>
          </cell>
          <cell r="C960">
            <v>6303.9300000000012</v>
          </cell>
          <cell r="D960">
            <v>1.0497328553766867</v>
          </cell>
          <cell r="E960">
            <v>0</v>
          </cell>
          <cell r="F960">
            <v>0</v>
          </cell>
          <cell r="G960">
            <v>0</v>
          </cell>
        </row>
        <row r="961">
          <cell r="A961">
            <v>8986750000196</v>
          </cell>
          <cell r="B961">
            <v>1807.2592429206625</v>
          </cell>
          <cell r="C961">
            <v>214.73000000000002</v>
          </cell>
          <cell r="D961">
            <v>0.11881527281773958</v>
          </cell>
          <cell r="E961">
            <v>0</v>
          </cell>
          <cell r="F961">
            <v>0</v>
          </cell>
          <cell r="G961">
            <v>0</v>
          </cell>
        </row>
        <row r="962">
          <cell r="A962">
            <v>8986750000277</v>
          </cell>
          <cell r="B962">
            <v>2549.3682453426704</v>
          </cell>
          <cell r="C962">
            <v>2165.33</v>
          </cell>
          <cell r="D962">
            <v>0.84935944579828626</v>
          </cell>
          <cell r="E962">
            <v>1813.7400000000002</v>
          </cell>
          <cell r="F962">
            <v>76.559999999999945</v>
          </cell>
          <cell r="G962">
            <v>1737.1800000000003</v>
          </cell>
        </row>
        <row r="963">
          <cell r="A963">
            <v>8986750000358</v>
          </cell>
          <cell r="B963">
            <v>2338.3007894439406</v>
          </cell>
          <cell r="C963">
            <v>1075.94</v>
          </cell>
          <cell r="D963">
            <v>0.46013755153196689</v>
          </cell>
          <cell r="E963">
            <v>0</v>
          </cell>
          <cell r="F963">
            <v>0</v>
          </cell>
          <cell r="G963">
            <v>0</v>
          </cell>
        </row>
        <row r="964">
          <cell r="A964">
            <v>43011126000174</v>
          </cell>
          <cell r="B964">
            <v>4492.9584413896</v>
          </cell>
          <cell r="C964">
            <v>1416.3899999999999</v>
          </cell>
          <cell r="D964">
            <v>0.31524662835784723</v>
          </cell>
          <cell r="E964">
            <v>0</v>
          </cell>
          <cell r="F964">
            <v>0</v>
          </cell>
          <cell r="G964">
            <v>0</v>
          </cell>
        </row>
        <row r="965">
          <cell r="A965">
            <v>5465757000174</v>
          </cell>
          <cell r="B965">
            <v>2270.7764072739442</v>
          </cell>
          <cell r="C965">
            <v>1431.2599999999998</v>
          </cell>
          <cell r="D965">
            <v>0.63029543349810491</v>
          </cell>
          <cell r="E965">
            <v>1217.4699999999998</v>
          </cell>
          <cell r="F965">
            <v>82.440000000000055</v>
          </cell>
          <cell r="G965">
            <v>1135.0299999999997</v>
          </cell>
        </row>
        <row r="966">
          <cell r="A966">
            <v>33007949000172</v>
          </cell>
          <cell r="B966">
            <v>7742.3313115720575</v>
          </cell>
          <cell r="C966">
            <v>8192.5099999999966</v>
          </cell>
          <cell r="D966">
            <v>1.0581451077603823</v>
          </cell>
          <cell r="E966">
            <v>7161.9799999999987</v>
          </cell>
          <cell r="F966">
            <v>509.20999999999822</v>
          </cell>
          <cell r="G966">
            <v>6652.77</v>
          </cell>
        </row>
        <row r="967">
          <cell r="A967">
            <v>9039622000360</v>
          </cell>
          <cell r="B967">
            <v>12744.097746034087</v>
          </cell>
          <cell r="C967">
            <v>12132.480000000001</v>
          </cell>
          <cell r="D967">
            <v>0.95200776404713161</v>
          </cell>
          <cell r="E967">
            <v>17968.27</v>
          </cell>
          <cell r="F967">
            <v>2145.4100000000035</v>
          </cell>
          <cell r="G967">
            <v>15822.859999999997</v>
          </cell>
        </row>
        <row r="968">
          <cell r="A968">
            <v>48892332000154</v>
          </cell>
          <cell r="B968">
            <v>2630.6135406137564</v>
          </cell>
          <cell r="C968">
            <v>130.39999999999998</v>
          </cell>
          <cell r="D968">
            <v>4.9570185048760887E-2</v>
          </cell>
          <cell r="E968">
            <v>137.85</v>
          </cell>
          <cell r="F968">
            <v>0</v>
          </cell>
          <cell r="G968">
            <v>137.85</v>
          </cell>
        </row>
        <row r="969">
          <cell r="A969">
            <v>11109080000134</v>
          </cell>
          <cell r="B969">
            <v>7062.1304273527403</v>
          </cell>
          <cell r="C969">
            <v>3976.4899999999993</v>
          </cell>
          <cell r="D969">
            <v>0.56307229679565662</v>
          </cell>
          <cell r="E969">
            <v>2300.0400000000009</v>
          </cell>
          <cell r="F969">
            <v>21.180000000000291</v>
          </cell>
          <cell r="G969">
            <v>2278.8600000000006</v>
          </cell>
        </row>
        <row r="970">
          <cell r="A970">
            <v>1177047000198</v>
          </cell>
          <cell r="B970">
            <v>11841.622491329699</v>
          </cell>
          <cell r="C970">
            <v>12028.869999999999</v>
          </cell>
          <cell r="D970">
            <v>1.0158126564841432</v>
          </cell>
          <cell r="E970">
            <v>7479.9100000000017</v>
          </cell>
          <cell r="F970">
            <v>0</v>
          </cell>
          <cell r="G970">
            <v>7479.9100000000017</v>
          </cell>
        </row>
        <row r="971">
          <cell r="A971">
            <v>20759443000178</v>
          </cell>
          <cell r="B971">
            <v>431.3014902702335</v>
          </cell>
          <cell r="C971">
            <v>974.98</v>
          </cell>
          <cell r="D971">
            <v>2.2605532834795512</v>
          </cell>
          <cell r="E971">
            <v>0</v>
          </cell>
          <cell r="F971">
            <v>0</v>
          </cell>
          <cell r="G971">
            <v>0</v>
          </cell>
        </row>
        <row r="972">
          <cell r="A972">
            <v>53772681000172</v>
          </cell>
          <cell r="B972">
            <v>3050.0502534067919</v>
          </cell>
          <cell r="C972">
            <v>0</v>
          </cell>
          <cell r="D972">
            <v>0</v>
          </cell>
          <cell r="E972">
            <v>137.85</v>
          </cell>
          <cell r="F972">
            <v>137.85</v>
          </cell>
          <cell r="G972">
            <v>0</v>
          </cell>
        </row>
        <row r="973">
          <cell r="A973">
            <v>30049938000167</v>
          </cell>
          <cell r="B973">
            <v>6385.4593918910532</v>
          </cell>
          <cell r="C973">
            <v>1680.9</v>
          </cell>
          <cell r="D973">
            <v>0.26323869542332201</v>
          </cell>
          <cell r="E973">
            <v>0</v>
          </cell>
          <cell r="F973">
            <v>0</v>
          </cell>
          <cell r="G973">
            <v>0</v>
          </cell>
        </row>
        <row r="974">
          <cell r="A974">
            <v>30461125000180</v>
          </cell>
          <cell r="B974">
            <v>7004.0455306411641</v>
          </cell>
          <cell r="C974">
            <v>2012.97</v>
          </cell>
          <cell r="D974">
            <v>0.28740104432412633</v>
          </cell>
          <cell r="E974">
            <v>2383.9499999999998</v>
          </cell>
          <cell r="F974">
            <v>480.46000000000004</v>
          </cell>
          <cell r="G974">
            <v>1903.4899999999998</v>
          </cell>
        </row>
        <row r="975">
          <cell r="A975">
            <v>41196111000100</v>
          </cell>
          <cell r="B975">
            <v>3813.6797737231973</v>
          </cell>
          <cell r="C975">
            <v>1474.75</v>
          </cell>
          <cell r="D975">
            <v>0.38670000826006418</v>
          </cell>
          <cell r="E975">
            <v>0</v>
          </cell>
          <cell r="F975">
            <v>0</v>
          </cell>
          <cell r="G975">
            <v>0</v>
          </cell>
        </row>
        <row r="976">
          <cell r="A976">
            <v>21082444000193</v>
          </cell>
          <cell r="B976">
            <v>4477.8773215552028</v>
          </cell>
          <cell r="C976">
            <v>10643.360000000002</v>
          </cell>
          <cell r="D976">
            <v>2.3768761928259967</v>
          </cell>
          <cell r="E976">
            <v>10315.460000000001</v>
          </cell>
          <cell r="F976">
            <v>0</v>
          </cell>
          <cell r="G976">
            <v>10315.460000000001</v>
          </cell>
        </row>
        <row r="977">
          <cell r="A977">
            <v>21082444000355</v>
          </cell>
          <cell r="B977">
            <v>1075.5054574711826</v>
          </cell>
          <cell r="C977">
            <v>1150.5</v>
          </cell>
          <cell r="D977">
            <v>1.0697295787834966</v>
          </cell>
          <cell r="E977">
            <v>977.6099999999999</v>
          </cell>
          <cell r="F977">
            <v>60.319999999999936</v>
          </cell>
          <cell r="G977">
            <v>917.29</v>
          </cell>
        </row>
        <row r="978">
          <cell r="A978">
            <v>24127802000125</v>
          </cell>
          <cell r="B978">
            <v>1559.3665255502131</v>
          </cell>
          <cell r="C978">
            <v>2265.3800000000006</v>
          </cell>
          <cell r="D978">
            <v>1.4527565924250394</v>
          </cell>
          <cell r="E978">
            <v>2165.21</v>
          </cell>
          <cell r="F978">
            <v>18.940000000000055</v>
          </cell>
          <cell r="G978">
            <v>2146.27</v>
          </cell>
        </row>
        <row r="979">
          <cell r="A979">
            <v>57331628000197</v>
          </cell>
          <cell r="B979">
            <v>2042.0638189037395</v>
          </cell>
          <cell r="C979">
            <v>1838.3400000000004</v>
          </cell>
          <cell r="D979">
            <v>0.90023631141307514</v>
          </cell>
          <cell r="E979">
            <v>1052.32</v>
          </cell>
          <cell r="F979">
            <v>37.539999999999964</v>
          </cell>
          <cell r="G979">
            <v>1014.78</v>
          </cell>
        </row>
        <row r="980">
          <cell r="A980">
            <v>59106417000186</v>
          </cell>
          <cell r="B980">
            <v>997.83757258175092</v>
          </cell>
          <cell r="C980">
            <v>340.44</v>
          </cell>
          <cell r="D980">
            <v>0.34117777216903544</v>
          </cell>
          <cell r="E980">
            <v>346.43</v>
          </cell>
          <cell r="F980">
            <v>149.55999999999997</v>
          </cell>
          <cell r="G980">
            <v>196.87000000000003</v>
          </cell>
        </row>
        <row r="981">
          <cell r="A981">
            <v>15794259000200</v>
          </cell>
          <cell r="B981">
            <v>3157.0520799078463</v>
          </cell>
          <cell r="C981">
            <v>1094.93</v>
          </cell>
          <cell r="D981">
            <v>0.34682037935590876</v>
          </cell>
          <cell r="E981">
            <v>0</v>
          </cell>
          <cell r="F981">
            <v>0</v>
          </cell>
          <cell r="G981">
            <v>0</v>
          </cell>
        </row>
        <row r="982">
          <cell r="A982">
            <v>23585337000103</v>
          </cell>
          <cell r="B982">
            <v>5280.8004955206334</v>
          </cell>
          <cell r="C982">
            <v>7634.1900000000005</v>
          </cell>
          <cell r="D982">
            <v>1.4456501446088708</v>
          </cell>
          <cell r="E982">
            <v>6505.4099999999989</v>
          </cell>
          <cell r="F982">
            <v>75.079999999999927</v>
          </cell>
          <cell r="G982">
            <v>6430.329999999999</v>
          </cell>
        </row>
        <row r="983">
          <cell r="A983">
            <v>33792896000148</v>
          </cell>
          <cell r="B983">
            <v>5437.3395123134669</v>
          </cell>
          <cell r="C983">
            <v>2216.79</v>
          </cell>
          <cell r="D983">
            <v>0.40769755042513522</v>
          </cell>
          <cell r="E983">
            <v>430.88</v>
          </cell>
          <cell r="F983">
            <v>0</v>
          </cell>
          <cell r="G983">
            <v>430.88</v>
          </cell>
        </row>
        <row r="984">
          <cell r="A984">
            <v>1282599000166</v>
          </cell>
          <cell r="B984">
            <v>5564.3590814763447</v>
          </cell>
          <cell r="C984">
            <v>5540.11</v>
          </cell>
          <cell r="D984">
            <v>0.99564207105952784</v>
          </cell>
          <cell r="E984">
            <v>2325.91</v>
          </cell>
          <cell r="F984">
            <v>0</v>
          </cell>
          <cell r="G984">
            <v>2325.91</v>
          </cell>
        </row>
        <row r="985">
          <cell r="A985">
            <v>17967556000235</v>
          </cell>
          <cell r="B985">
            <v>11463.870862312446</v>
          </cell>
          <cell r="C985">
            <v>30325.439999999991</v>
          </cell>
          <cell r="D985">
            <v>2.6453054438789154</v>
          </cell>
          <cell r="E985">
            <v>29807.940000000013</v>
          </cell>
          <cell r="F985">
            <v>487.36999999999898</v>
          </cell>
          <cell r="G985">
            <v>29320.570000000014</v>
          </cell>
        </row>
        <row r="986">
          <cell r="A986">
            <v>2608021000110</v>
          </cell>
          <cell r="B986">
            <v>4180.2552141041706</v>
          </cell>
          <cell r="C986">
            <v>1565.22</v>
          </cell>
          <cell r="D986">
            <v>0.37443168415147277</v>
          </cell>
          <cell r="E986">
            <v>137.85</v>
          </cell>
          <cell r="F986">
            <v>0</v>
          </cell>
          <cell r="G986">
            <v>137.85</v>
          </cell>
        </row>
        <row r="987">
          <cell r="A987">
            <v>27960067000124</v>
          </cell>
          <cell r="B987">
            <v>16628.131214617642</v>
          </cell>
          <cell r="C987">
            <v>16299.269999999991</v>
          </cell>
          <cell r="D987">
            <v>0.98022259925826472</v>
          </cell>
          <cell r="E987">
            <v>17253.650000000001</v>
          </cell>
          <cell r="F987">
            <v>2636.7700000000059</v>
          </cell>
          <cell r="G987">
            <v>14616.879999999996</v>
          </cell>
        </row>
        <row r="988">
          <cell r="A988">
            <v>49560389000208</v>
          </cell>
          <cell r="B988">
            <v>2067.1661373761171</v>
          </cell>
          <cell r="C988">
            <v>580.12999999999988</v>
          </cell>
          <cell r="D988">
            <v>0.28064023955828099</v>
          </cell>
          <cell r="E988">
            <v>0</v>
          </cell>
          <cell r="F988">
            <v>0</v>
          </cell>
          <cell r="G988">
            <v>0</v>
          </cell>
        </row>
        <row r="989">
          <cell r="A989">
            <v>23829894000122</v>
          </cell>
          <cell r="B989">
            <v>18833.694912583331</v>
          </cell>
          <cell r="C989">
            <v>16911.840000000004</v>
          </cell>
          <cell r="D989">
            <v>0.89795656553301817</v>
          </cell>
          <cell r="E989">
            <v>13804.929999999995</v>
          </cell>
          <cell r="F989">
            <v>239.17000000000007</v>
          </cell>
          <cell r="G989">
            <v>13565.759999999995</v>
          </cell>
        </row>
        <row r="990">
          <cell r="A990">
            <v>37558194000155</v>
          </cell>
          <cell r="B990">
            <v>4772.5644446766892</v>
          </cell>
          <cell r="C990">
            <v>2682.04</v>
          </cell>
          <cell r="D990">
            <v>0.56197041047639351</v>
          </cell>
          <cell r="E990">
            <v>2791.2000000000007</v>
          </cell>
          <cell r="F990">
            <v>1463.5500000000009</v>
          </cell>
          <cell r="G990">
            <v>1327.6499999999999</v>
          </cell>
        </row>
        <row r="991">
          <cell r="A991">
            <v>10322682000102</v>
          </cell>
          <cell r="B991">
            <v>2180.574859813878</v>
          </cell>
          <cell r="C991">
            <v>1531.2600000000002</v>
          </cell>
          <cell r="D991">
            <v>0.7022276685931802</v>
          </cell>
          <cell r="E991">
            <v>837.07</v>
          </cell>
          <cell r="F991">
            <v>17.299999999999955</v>
          </cell>
          <cell r="G991">
            <v>819.7700000000001</v>
          </cell>
        </row>
        <row r="992">
          <cell r="A992">
            <v>12930121000111</v>
          </cell>
          <cell r="B992">
            <v>4359.5926476783916</v>
          </cell>
          <cell r="C992">
            <v>3098.26</v>
          </cell>
          <cell r="D992">
            <v>0.71067648984358955</v>
          </cell>
          <cell r="E992">
            <v>2374.7999999999997</v>
          </cell>
          <cell r="F992">
            <v>0</v>
          </cell>
          <cell r="G992">
            <v>2374.7999999999997</v>
          </cell>
        </row>
        <row r="993">
          <cell r="A993">
            <v>21406206000196</v>
          </cell>
          <cell r="B993">
            <v>3200.8169605041717</v>
          </cell>
          <cell r="C993">
            <v>3280.6799999999989</v>
          </cell>
          <cell r="D993">
            <v>1.0249508298916437</v>
          </cell>
          <cell r="E993">
            <v>2788.5099999999993</v>
          </cell>
          <cell r="F993">
            <v>0</v>
          </cell>
          <cell r="G993">
            <v>2788.5099999999993</v>
          </cell>
        </row>
        <row r="994">
          <cell r="A994">
            <v>37515566000166</v>
          </cell>
          <cell r="B994">
            <v>3452.6163212742108</v>
          </cell>
          <cell r="C994">
            <v>1424.3400000000001</v>
          </cell>
          <cell r="D994">
            <v>0.41253932307031965</v>
          </cell>
          <cell r="E994">
            <v>137.85</v>
          </cell>
          <cell r="F994">
            <v>0</v>
          </cell>
          <cell r="G994">
            <v>137.85</v>
          </cell>
        </row>
        <row r="995">
          <cell r="A995">
            <v>49560389000119</v>
          </cell>
          <cell r="B995">
            <v>2501.0830845813425</v>
          </cell>
          <cell r="C995">
            <v>3277.7400000000002</v>
          </cell>
          <cell r="D995">
            <v>1.3105282348301766</v>
          </cell>
          <cell r="E995">
            <v>2678.01</v>
          </cell>
          <cell r="F995">
            <v>222.55000000000018</v>
          </cell>
          <cell r="G995">
            <v>2455.46</v>
          </cell>
        </row>
        <row r="996">
          <cell r="A996">
            <v>5235693000115</v>
          </cell>
          <cell r="B996">
            <v>6210.4684904646874</v>
          </cell>
          <cell r="C996">
            <v>2894.630000000001</v>
          </cell>
          <cell r="D996">
            <v>0.46608883121205813</v>
          </cell>
          <cell r="E996">
            <v>3184.01</v>
          </cell>
          <cell r="F996">
            <v>822.42000000000007</v>
          </cell>
          <cell r="G996">
            <v>2361.59</v>
          </cell>
        </row>
        <row r="997">
          <cell r="A997">
            <v>33379672000109</v>
          </cell>
          <cell r="B997">
            <v>8119.5403341227729</v>
          </cell>
          <cell r="C997">
            <v>8281.18</v>
          </cell>
          <cell r="D997">
            <v>1.0199074897378031</v>
          </cell>
          <cell r="E997">
            <v>6136.53</v>
          </cell>
          <cell r="F997">
            <v>0</v>
          </cell>
          <cell r="G997">
            <v>6136.53</v>
          </cell>
        </row>
        <row r="998">
          <cell r="A998">
            <v>32409163000119</v>
          </cell>
          <cell r="B998">
            <v>573.70855188588632</v>
          </cell>
          <cell r="C998">
            <v>0</v>
          </cell>
          <cell r="D998">
            <v>0</v>
          </cell>
          <cell r="E998">
            <v>0</v>
          </cell>
          <cell r="F998">
            <v>0</v>
          </cell>
          <cell r="G998">
            <v>0</v>
          </cell>
        </row>
        <row r="999">
          <cell r="A999">
            <v>20103913000140</v>
          </cell>
          <cell r="B999">
            <v>14437.915320429169</v>
          </cell>
          <cell r="C999">
            <v>8529.6499999999978</v>
          </cell>
          <cell r="D999">
            <v>0.59078127352158849</v>
          </cell>
          <cell r="E999">
            <v>9551.9499999999989</v>
          </cell>
          <cell r="F999">
            <v>951.79999999999745</v>
          </cell>
          <cell r="G999">
            <v>8600.1500000000015</v>
          </cell>
        </row>
        <row r="1000">
          <cell r="A1000">
            <v>20103913000221</v>
          </cell>
          <cell r="B1000">
            <v>109379.35507270864</v>
          </cell>
          <cell r="C1000">
            <v>84293.840000000011</v>
          </cell>
          <cell r="D1000">
            <v>0.77065585131642689</v>
          </cell>
          <cell r="E1000">
            <v>73758.34000000004</v>
          </cell>
          <cell r="F1000">
            <v>6714.6000000000058</v>
          </cell>
          <cell r="G1000">
            <v>67043.740000000034</v>
          </cell>
        </row>
        <row r="1001">
          <cell r="A1001">
            <v>53494508000150</v>
          </cell>
          <cell r="B1001">
            <v>10835.852884797712</v>
          </cell>
          <cell r="C1001">
            <v>14556.599999999993</v>
          </cell>
          <cell r="D1001">
            <v>1.3433737200716658</v>
          </cell>
          <cell r="E1001">
            <v>13521.379999999996</v>
          </cell>
          <cell r="F1001">
            <v>1292.5300000000007</v>
          </cell>
          <cell r="G1001">
            <v>12228.849999999995</v>
          </cell>
        </row>
        <row r="1002">
          <cell r="A1002">
            <v>52390785000150</v>
          </cell>
          <cell r="B1002">
            <v>2727.78428409252</v>
          </cell>
          <cell r="C1002">
            <v>464.29999999999995</v>
          </cell>
          <cell r="D1002">
            <v>0.17021140663784687</v>
          </cell>
          <cell r="E1002">
            <v>0</v>
          </cell>
          <cell r="F1002">
            <v>0</v>
          </cell>
          <cell r="G1002">
            <v>0</v>
          </cell>
        </row>
        <row r="1003">
          <cell r="A1003">
            <v>58230920000186</v>
          </cell>
          <cell r="B1003">
            <v>1199.0290767975462</v>
          </cell>
          <cell r="C1003">
            <v>309.18</v>
          </cell>
          <cell r="D1003">
            <v>0.25785863410900789</v>
          </cell>
          <cell r="E1003">
            <v>0</v>
          </cell>
          <cell r="F1003">
            <v>0</v>
          </cell>
          <cell r="G1003">
            <v>0</v>
          </cell>
        </row>
        <row r="1004">
          <cell r="A1004">
            <v>4924863000106</v>
          </cell>
          <cell r="B1004">
            <v>653.07817735526248</v>
          </cell>
          <cell r="C1004">
            <v>403.03000000000003</v>
          </cell>
          <cell r="D1004">
            <v>0.61712366754027848</v>
          </cell>
          <cell r="E1004">
            <v>137.85</v>
          </cell>
          <cell r="F1004">
            <v>0</v>
          </cell>
          <cell r="G1004">
            <v>137.85</v>
          </cell>
        </row>
        <row r="1005">
          <cell r="A1005">
            <v>15463847000180</v>
          </cell>
          <cell r="B1005">
            <v>9124.6937424769421</v>
          </cell>
          <cell r="C1005">
            <v>5311.8899999999994</v>
          </cell>
          <cell r="D1005">
            <v>0.5821444697121485</v>
          </cell>
          <cell r="E1005">
            <v>1384.56</v>
          </cell>
          <cell r="F1005">
            <v>153.11999999999989</v>
          </cell>
          <cell r="G1005">
            <v>1231.44</v>
          </cell>
        </row>
        <row r="1006">
          <cell r="A1006">
            <v>7629833000246</v>
          </cell>
          <cell r="B1006">
            <v>7523.43482742988</v>
          </cell>
          <cell r="C1006">
            <v>3260.9300000000003</v>
          </cell>
          <cell r="D1006">
            <v>0.43343633257922215</v>
          </cell>
          <cell r="E1006">
            <v>4462.3900000000003</v>
          </cell>
          <cell r="F1006">
            <v>682.21000000000049</v>
          </cell>
          <cell r="G1006">
            <v>3780.18</v>
          </cell>
        </row>
        <row r="1007">
          <cell r="A1007">
            <v>54858819000113</v>
          </cell>
          <cell r="B1007">
            <v>8108.3938402961958</v>
          </cell>
          <cell r="C1007">
            <v>1221.6599999999999</v>
          </cell>
          <cell r="D1007">
            <v>0.15066609048128984</v>
          </cell>
          <cell r="E1007">
            <v>480.21999999999997</v>
          </cell>
          <cell r="F1007">
            <v>0</v>
          </cell>
          <cell r="G1007">
            <v>480.21999999999997</v>
          </cell>
        </row>
        <row r="1008">
          <cell r="A1008">
            <v>49007687000186</v>
          </cell>
          <cell r="B1008">
            <v>6176.7487480665777</v>
          </cell>
          <cell r="C1008">
            <v>8362.23</v>
          </cell>
          <cell r="D1008">
            <v>1.3538238871408705</v>
          </cell>
          <cell r="E1008">
            <v>6527.89</v>
          </cell>
          <cell r="F1008">
            <v>194.0600000000004</v>
          </cell>
          <cell r="G1008">
            <v>6333.83</v>
          </cell>
        </row>
        <row r="1009">
          <cell r="A1009">
            <v>22019833000137</v>
          </cell>
          <cell r="B1009">
            <v>5887.8773572750333</v>
          </cell>
          <cell r="C1009">
            <v>4142.3</v>
          </cell>
          <cell r="D1009">
            <v>0.70353027902012832</v>
          </cell>
          <cell r="E1009">
            <v>137.85</v>
          </cell>
          <cell r="F1009">
            <v>0</v>
          </cell>
          <cell r="G1009">
            <v>137.85</v>
          </cell>
        </row>
        <row r="1010">
          <cell r="A1010">
            <v>52331882000171</v>
          </cell>
          <cell r="B1010">
            <v>1506.2253021473475</v>
          </cell>
          <cell r="C1010">
            <v>1754.46</v>
          </cell>
          <cell r="D1010">
            <v>1.1648058212133052</v>
          </cell>
          <cell r="E1010">
            <v>137.85</v>
          </cell>
          <cell r="F1010">
            <v>0</v>
          </cell>
          <cell r="G1010">
            <v>137.85</v>
          </cell>
        </row>
        <row r="1011">
          <cell r="A1011">
            <v>97528758000139</v>
          </cell>
          <cell r="B1011">
            <v>2536.1303154805728</v>
          </cell>
          <cell r="C1011">
            <v>1770.6</v>
          </cell>
          <cell r="D1011">
            <v>0.69815024456441932</v>
          </cell>
          <cell r="E1011">
            <v>137.85</v>
          </cell>
          <cell r="F1011">
            <v>0</v>
          </cell>
          <cell r="G1011">
            <v>137.85</v>
          </cell>
        </row>
        <row r="1012">
          <cell r="A1012">
            <v>17660742000146</v>
          </cell>
          <cell r="B1012">
            <v>4679.4826963835339</v>
          </cell>
          <cell r="C1012">
            <v>1649.8200000000002</v>
          </cell>
          <cell r="D1012">
            <v>0.35256461174117348</v>
          </cell>
          <cell r="E1012">
            <v>2334.5</v>
          </cell>
          <cell r="F1012">
            <v>0</v>
          </cell>
          <cell r="G1012">
            <v>2334.5</v>
          </cell>
        </row>
        <row r="1013">
          <cell r="A1013">
            <v>16926052000123</v>
          </cell>
          <cell r="B1013">
            <v>20021.720314359583</v>
          </cell>
          <cell r="C1013">
            <v>2770.41</v>
          </cell>
          <cell r="D1013">
            <v>0.1383702277577547</v>
          </cell>
          <cell r="E1013">
            <v>0</v>
          </cell>
          <cell r="F1013">
            <v>0</v>
          </cell>
          <cell r="G1013">
            <v>0</v>
          </cell>
        </row>
        <row r="1014">
          <cell r="A1014">
            <v>29141097000134</v>
          </cell>
          <cell r="B1014">
            <v>3664.22340054799</v>
          </cell>
          <cell r="C1014">
            <v>5868.76</v>
          </cell>
          <cell r="D1014">
            <v>1.6016381531547226</v>
          </cell>
          <cell r="E1014">
            <v>4364.37</v>
          </cell>
          <cell r="F1014">
            <v>81.180000000000291</v>
          </cell>
          <cell r="G1014">
            <v>4283.1899999999996</v>
          </cell>
        </row>
        <row r="1015">
          <cell r="A1015">
            <v>20119949000201</v>
          </cell>
          <cell r="B1015">
            <v>9423.1254584489707</v>
          </cell>
          <cell r="C1015">
            <v>7067.8000000000011</v>
          </cell>
          <cell r="D1015">
            <v>0.7500483816293525</v>
          </cell>
          <cell r="E1015">
            <v>4855.47</v>
          </cell>
          <cell r="F1015">
            <v>101.01999999999953</v>
          </cell>
          <cell r="G1015">
            <v>4754.4500000000007</v>
          </cell>
        </row>
        <row r="1016">
          <cell r="A1016">
            <v>5382051000149</v>
          </cell>
          <cell r="B1016">
            <v>3924.3133275495547</v>
          </cell>
          <cell r="C1016">
            <v>2997.7799999999997</v>
          </cell>
          <cell r="D1016">
            <v>0.76389924804294185</v>
          </cell>
          <cell r="E1016">
            <v>3158.3300000000008</v>
          </cell>
          <cell r="F1016">
            <v>644.10000000000036</v>
          </cell>
          <cell r="G1016">
            <v>2514.2300000000005</v>
          </cell>
        </row>
        <row r="1017">
          <cell r="A1017">
            <v>30274933000138</v>
          </cell>
          <cell r="B1017">
            <v>4208.0376928683309</v>
          </cell>
          <cell r="C1017">
            <v>1966.5600000000002</v>
          </cell>
          <cell r="D1017">
            <v>0.46733421692796934</v>
          </cell>
          <cell r="E1017">
            <v>2486.4700000000003</v>
          </cell>
          <cell r="F1017">
            <v>59.779999999999745</v>
          </cell>
          <cell r="G1017">
            <v>2426.6900000000005</v>
          </cell>
        </row>
        <row r="1018">
          <cell r="A1018">
            <v>12909312000100</v>
          </cell>
          <cell r="B1018">
            <v>3807.1865818788751</v>
          </cell>
          <cell r="C1018">
            <v>3644.7300000000005</v>
          </cell>
          <cell r="D1018">
            <v>0.95732896762871522</v>
          </cell>
          <cell r="E1018">
            <v>1650.6899999999998</v>
          </cell>
          <cell r="F1018">
            <v>204.56000000000017</v>
          </cell>
          <cell r="G1018">
            <v>1446.1299999999997</v>
          </cell>
        </row>
        <row r="1019">
          <cell r="A1019">
            <v>9559619000105</v>
          </cell>
          <cell r="B1019">
            <v>4804.8231582552598</v>
          </cell>
          <cell r="C1019">
            <v>1611.8200000000002</v>
          </cell>
          <cell r="D1019">
            <v>0.33545875611065956</v>
          </cell>
          <cell r="E1019">
            <v>0</v>
          </cell>
          <cell r="F1019">
            <v>0</v>
          </cell>
          <cell r="G1019">
            <v>0</v>
          </cell>
        </row>
        <row r="1020">
          <cell r="A1020">
            <v>27104567000164</v>
          </cell>
          <cell r="B1020">
            <v>3179.3592097864048</v>
          </cell>
          <cell r="C1020">
            <v>1779.5600000000004</v>
          </cell>
          <cell r="D1020">
            <v>0.55972285060534399</v>
          </cell>
          <cell r="E1020">
            <v>1827.79</v>
          </cell>
          <cell r="F1020">
            <v>607.05999999999995</v>
          </cell>
          <cell r="G1020">
            <v>1220.73</v>
          </cell>
        </row>
        <row r="1021">
          <cell r="A1021">
            <v>23202523000116</v>
          </cell>
          <cell r="B1021">
            <v>5262.1658100713994</v>
          </cell>
          <cell r="C1021">
            <v>8845.2700000000023</v>
          </cell>
          <cell r="D1021">
            <v>1.6809181464922303</v>
          </cell>
          <cell r="E1021">
            <v>6227.2800000000016</v>
          </cell>
          <cell r="F1021">
            <v>5829.6800000000012</v>
          </cell>
          <cell r="G1021">
            <v>397.6</v>
          </cell>
        </row>
        <row r="1022">
          <cell r="A1022">
            <v>15302745000182</v>
          </cell>
          <cell r="B1022">
            <v>4400.6658165482513</v>
          </cell>
          <cell r="C1022">
            <v>2100.8300000000004</v>
          </cell>
          <cell r="D1022">
            <v>0.47738912418662766</v>
          </cell>
          <cell r="E1022">
            <v>0</v>
          </cell>
          <cell r="F1022">
            <v>0</v>
          </cell>
          <cell r="G1022">
            <v>0</v>
          </cell>
        </row>
        <row r="1023">
          <cell r="A1023">
            <v>66613327000147</v>
          </cell>
          <cell r="B1023">
            <v>1437.2323276574921</v>
          </cell>
          <cell r="C1023">
            <v>3240.6200000000008</v>
          </cell>
          <cell r="D1023">
            <v>2.2547642003584794</v>
          </cell>
          <cell r="E1023">
            <v>845.23</v>
          </cell>
          <cell r="F1023">
            <v>0</v>
          </cell>
          <cell r="G1023">
            <v>845.23</v>
          </cell>
        </row>
        <row r="1024">
          <cell r="A1024">
            <v>34975101000108</v>
          </cell>
          <cell r="B1024">
            <v>4488.7591338650336</v>
          </cell>
          <cell r="C1024">
            <v>1916.55</v>
          </cell>
          <cell r="D1024">
            <v>0.42696654973994114</v>
          </cell>
          <cell r="E1024">
            <v>0</v>
          </cell>
          <cell r="F1024">
            <v>0</v>
          </cell>
          <cell r="G1024">
            <v>0</v>
          </cell>
        </row>
        <row r="1025">
          <cell r="A1025">
            <v>23866159000199</v>
          </cell>
          <cell r="B1025">
            <v>3446.182249778793</v>
          </cell>
          <cell r="C1025">
            <v>1056.95</v>
          </cell>
          <cell r="D1025">
            <v>0.30670171319808887</v>
          </cell>
          <cell r="E1025">
            <v>0</v>
          </cell>
          <cell r="F1025">
            <v>0</v>
          </cell>
          <cell r="G1025">
            <v>0</v>
          </cell>
        </row>
        <row r="1026">
          <cell r="A1026">
            <v>61416946000128</v>
          </cell>
          <cell r="B1026">
            <v>10485.399079011007</v>
          </cell>
          <cell r="C1026">
            <v>7449.4400000000005</v>
          </cell>
          <cell r="D1026">
            <v>0.71045841401609666</v>
          </cell>
          <cell r="E1026">
            <v>8697.869999999999</v>
          </cell>
          <cell r="F1026">
            <v>615.71999999999935</v>
          </cell>
          <cell r="G1026">
            <v>8082.15</v>
          </cell>
        </row>
        <row r="1027">
          <cell r="A1027">
            <v>58080762000125</v>
          </cell>
          <cell r="B1027">
            <v>2022.8655795559625</v>
          </cell>
          <cell r="C1027">
            <v>1021.8899999999999</v>
          </cell>
          <cell r="D1027">
            <v>0.50516950326690224</v>
          </cell>
          <cell r="E1027">
            <v>515.5</v>
          </cell>
          <cell r="F1027">
            <v>197.64</v>
          </cell>
          <cell r="G1027">
            <v>317.86</v>
          </cell>
        </row>
        <row r="1028">
          <cell r="A1028">
            <v>30531806000177</v>
          </cell>
          <cell r="B1028">
            <v>2633.404285375289</v>
          </cell>
          <cell r="C1028">
            <v>1126.49</v>
          </cell>
          <cell r="D1028">
            <v>0.42776948691699379</v>
          </cell>
          <cell r="E1028">
            <v>1179.3899999999999</v>
          </cell>
          <cell r="F1028">
            <v>279.35000000000002</v>
          </cell>
          <cell r="G1028">
            <v>900.03999999999985</v>
          </cell>
        </row>
        <row r="1029">
          <cell r="A1029">
            <v>12564855000124</v>
          </cell>
          <cell r="B1029">
            <v>9498.7797689554627</v>
          </cell>
          <cell r="C1029">
            <v>3456.5600000000004</v>
          </cell>
          <cell r="D1029">
            <v>0.36389516170244912</v>
          </cell>
          <cell r="E1029">
            <v>284.82</v>
          </cell>
          <cell r="F1029">
            <v>0</v>
          </cell>
          <cell r="G1029">
            <v>284.82</v>
          </cell>
        </row>
        <row r="1030">
          <cell r="A1030">
            <v>27449054000195</v>
          </cell>
          <cell r="B1030">
            <v>6773.9234275427907</v>
          </cell>
          <cell r="C1030">
            <v>4734.9700000000012</v>
          </cell>
          <cell r="D1030">
            <v>0.69899963450245106</v>
          </cell>
          <cell r="E1030">
            <v>2582.5499999999997</v>
          </cell>
          <cell r="F1030">
            <v>312.42999999999984</v>
          </cell>
          <cell r="G1030">
            <v>2270.12</v>
          </cell>
        </row>
        <row r="1031">
          <cell r="A1031">
            <v>49835112000151</v>
          </cell>
          <cell r="B1031">
            <v>4801.7735588080495</v>
          </cell>
          <cell r="C1031">
            <v>650.85</v>
          </cell>
          <cell r="D1031">
            <v>0.13554366777794524</v>
          </cell>
          <cell r="E1031">
            <v>0</v>
          </cell>
          <cell r="F1031">
            <v>0</v>
          </cell>
          <cell r="G1031">
            <v>0</v>
          </cell>
        </row>
        <row r="1032">
          <cell r="A1032">
            <v>5112326000205</v>
          </cell>
          <cell r="B1032">
            <v>1270.6820360678298</v>
          </cell>
          <cell r="C1032">
            <v>464.84000000000003</v>
          </cell>
          <cell r="D1032">
            <v>0.36581928980318612</v>
          </cell>
          <cell r="E1032">
            <v>0</v>
          </cell>
          <cell r="F1032">
            <v>0</v>
          </cell>
          <cell r="G1032">
            <v>0</v>
          </cell>
        </row>
        <row r="1033">
          <cell r="A1033">
            <v>5112326000396</v>
          </cell>
          <cell r="B1033">
            <v>3063.3113318577653</v>
          </cell>
          <cell r="C1033">
            <v>1746.3600000000001</v>
          </cell>
          <cell r="D1033">
            <v>0.57008896935751829</v>
          </cell>
          <cell r="E1033">
            <v>0</v>
          </cell>
          <cell r="F1033">
            <v>0</v>
          </cell>
          <cell r="G1033">
            <v>0</v>
          </cell>
        </row>
        <row r="1034">
          <cell r="A1034">
            <v>12104635000118</v>
          </cell>
          <cell r="B1034">
            <v>1482.8325909295763</v>
          </cell>
          <cell r="C1034">
            <v>1025.6199999999999</v>
          </cell>
          <cell r="D1034">
            <v>0.69166270439001254</v>
          </cell>
          <cell r="E1034">
            <v>0</v>
          </cell>
          <cell r="F1034">
            <v>0</v>
          </cell>
          <cell r="G1034">
            <v>0</v>
          </cell>
        </row>
        <row r="1035">
          <cell r="A1035">
            <v>12237892000128</v>
          </cell>
          <cell r="B1035">
            <v>10452.576830972865</v>
          </cell>
          <cell r="C1035">
            <v>9340.9799999999959</v>
          </cell>
          <cell r="D1035">
            <v>0.89365332119071272</v>
          </cell>
          <cell r="E1035">
            <v>7579.2700000000023</v>
          </cell>
          <cell r="F1035">
            <v>560.04999999999927</v>
          </cell>
          <cell r="G1035">
            <v>7019.220000000003</v>
          </cell>
        </row>
        <row r="1036">
          <cell r="A1036">
            <v>21987208000116</v>
          </cell>
          <cell r="B1036">
            <v>11727.191540284417</v>
          </cell>
          <cell r="C1036">
            <v>18489.080000000002</v>
          </cell>
          <cell r="D1036">
            <v>1.5765991317262642</v>
          </cell>
          <cell r="E1036">
            <v>16896.430000000008</v>
          </cell>
          <cell r="F1036">
            <v>1500.1500000000033</v>
          </cell>
          <cell r="G1036">
            <v>15396.280000000004</v>
          </cell>
        </row>
        <row r="1037">
          <cell r="A1037">
            <v>22524747000181</v>
          </cell>
          <cell r="B1037">
            <v>9296.2182898952542</v>
          </cell>
          <cell r="C1037">
            <v>6319.4600000000009</v>
          </cell>
          <cell r="D1037">
            <v>0.6797882539902369</v>
          </cell>
          <cell r="E1037">
            <v>0</v>
          </cell>
          <cell r="F1037">
            <v>0</v>
          </cell>
          <cell r="G1037">
            <v>0</v>
          </cell>
        </row>
        <row r="1038">
          <cell r="A1038">
            <v>18768425000100</v>
          </cell>
          <cell r="B1038">
            <v>6342.2397267567158</v>
          </cell>
          <cell r="C1038">
            <v>3338.6499999999996</v>
          </cell>
          <cell r="D1038">
            <v>0.52641498017094235</v>
          </cell>
          <cell r="E1038">
            <v>347.36</v>
          </cell>
          <cell r="F1038">
            <v>0</v>
          </cell>
          <cell r="G1038">
            <v>347.36</v>
          </cell>
        </row>
        <row r="1039">
          <cell r="A1039">
            <v>59824286000172</v>
          </cell>
          <cell r="B1039">
            <v>2465.809779733886</v>
          </cell>
          <cell r="C1039">
            <v>1014.03</v>
          </cell>
          <cell r="D1039">
            <v>0.41123610115190462</v>
          </cell>
          <cell r="E1039">
            <v>195.85000000000002</v>
          </cell>
          <cell r="F1039">
            <v>0</v>
          </cell>
          <cell r="G1039">
            <v>195.85000000000002</v>
          </cell>
        </row>
        <row r="1040">
          <cell r="A1040">
            <v>10488667000139</v>
          </cell>
          <cell r="B1040">
            <v>3872.6576022265649</v>
          </cell>
          <cell r="C1040">
            <v>7930.3799999999992</v>
          </cell>
          <cell r="D1040">
            <v>2.047787543995748</v>
          </cell>
          <cell r="E1040">
            <v>5232.99</v>
          </cell>
          <cell r="F1040">
            <v>56.699999999998909</v>
          </cell>
          <cell r="G1040">
            <v>5176.2900000000009</v>
          </cell>
        </row>
        <row r="1041">
          <cell r="A1041">
            <v>13289540000189</v>
          </cell>
          <cell r="B1041">
            <v>2365.7130154998003</v>
          </cell>
          <cell r="C1041">
            <v>1140.9099999999999</v>
          </cell>
          <cell r="D1041">
            <v>0.48226897874971603</v>
          </cell>
          <cell r="E1041">
            <v>0</v>
          </cell>
          <cell r="F1041">
            <v>0</v>
          </cell>
          <cell r="G1041">
            <v>0</v>
          </cell>
        </row>
        <row r="1042">
          <cell r="A1042">
            <v>17176661000175</v>
          </cell>
          <cell r="B1042">
            <v>11353.771623005443</v>
          </cell>
          <cell r="C1042">
            <v>12234.999999999998</v>
          </cell>
          <cell r="D1042">
            <v>1.0776154749501017</v>
          </cell>
          <cell r="E1042">
            <v>7994.72</v>
          </cell>
          <cell r="F1042">
            <v>969.60000000000036</v>
          </cell>
          <cell r="G1042">
            <v>7025.12</v>
          </cell>
        </row>
        <row r="1043">
          <cell r="A1043">
            <v>17176661000256</v>
          </cell>
          <cell r="B1043">
            <v>1052.0197137956823</v>
          </cell>
          <cell r="C1043">
            <v>944.1099999999999</v>
          </cell>
          <cell r="D1043">
            <v>0.89742614859721148</v>
          </cell>
          <cell r="E1043">
            <v>0</v>
          </cell>
          <cell r="F1043">
            <v>0</v>
          </cell>
          <cell r="G1043">
            <v>0</v>
          </cell>
        </row>
        <row r="1044">
          <cell r="A1044">
            <v>62464432000100</v>
          </cell>
          <cell r="B1044">
            <v>5152.5426936792219</v>
          </cell>
          <cell r="C1044">
            <v>2434.2500000000005</v>
          </cell>
          <cell r="D1044">
            <v>0.47243664821762033</v>
          </cell>
          <cell r="E1044">
            <v>0</v>
          </cell>
          <cell r="F1044">
            <v>0</v>
          </cell>
          <cell r="G1044">
            <v>0</v>
          </cell>
        </row>
        <row r="1045">
          <cell r="A1045">
            <v>20119949000112</v>
          </cell>
          <cell r="B1045">
            <v>3725.5510871931424</v>
          </cell>
          <cell r="C1045">
            <v>1304.2700000000004</v>
          </cell>
          <cell r="D1045">
            <v>0.35008780432068831</v>
          </cell>
          <cell r="E1045">
            <v>0</v>
          </cell>
          <cell r="F1045">
            <v>0</v>
          </cell>
          <cell r="G1045">
            <v>0</v>
          </cell>
        </row>
        <row r="1046">
          <cell r="A1046">
            <v>13159261000109</v>
          </cell>
          <cell r="B1046">
            <v>6408.2385661138214</v>
          </cell>
          <cell r="C1046">
            <v>7777.22</v>
          </cell>
          <cell r="D1046">
            <v>1.2136283504058709</v>
          </cell>
          <cell r="E1046">
            <v>7825.0700000000024</v>
          </cell>
          <cell r="F1046">
            <v>665.78000000000065</v>
          </cell>
          <cell r="G1046">
            <v>7159.2900000000018</v>
          </cell>
        </row>
        <row r="1047">
          <cell r="A1047">
            <v>15317875000199</v>
          </cell>
          <cell r="B1047">
            <v>4935.7920655737089</v>
          </cell>
          <cell r="C1047">
            <v>5079.3699999999981</v>
          </cell>
          <cell r="D1047">
            <v>1.0290891375728164</v>
          </cell>
          <cell r="E1047">
            <v>3731.0599999999995</v>
          </cell>
          <cell r="F1047">
            <v>861.27999999999884</v>
          </cell>
          <cell r="G1047">
            <v>2869.7800000000007</v>
          </cell>
        </row>
        <row r="1048">
          <cell r="A1048">
            <v>33193160000153</v>
          </cell>
          <cell r="B1048">
            <v>4224.5038958684936</v>
          </cell>
          <cell r="C1048">
            <v>2945.06</v>
          </cell>
          <cell r="D1048">
            <v>0.69713747994888298</v>
          </cell>
          <cell r="E1048">
            <v>0</v>
          </cell>
          <cell r="F1048">
            <v>0</v>
          </cell>
          <cell r="G1048">
            <v>0</v>
          </cell>
        </row>
        <row r="1049">
          <cell r="A1049">
            <v>260180000140</v>
          </cell>
          <cell r="B1049">
            <v>5234.2294909505381</v>
          </cell>
          <cell r="C1049">
            <v>2770.67</v>
          </cell>
          <cell r="D1049">
            <v>0.52933674474728565</v>
          </cell>
          <cell r="E1049">
            <v>3109.94</v>
          </cell>
          <cell r="F1049">
            <v>364.73</v>
          </cell>
          <cell r="G1049">
            <v>2745.21</v>
          </cell>
        </row>
        <row r="1050">
          <cell r="A1050">
            <v>26860338000107</v>
          </cell>
          <cell r="B1050">
            <v>2534.1949727986221</v>
          </cell>
          <cell r="C1050">
            <v>853.42</v>
          </cell>
          <cell r="D1050">
            <v>0.336761776090784</v>
          </cell>
          <cell r="E1050">
            <v>0</v>
          </cell>
          <cell r="F1050">
            <v>0</v>
          </cell>
          <cell r="G1050">
            <v>0</v>
          </cell>
        </row>
        <row r="1051">
          <cell r="A1051">
            <v>5674541000119</v>
          </cell>
          <cell r="B1051">
            <v>3834.8720979186523</v>
          </cell>
          <cell r="C1051">
            <v>1915.83</v>
          </cell>
          <cell r="D1051">
            <v>0.49958119882011243</v>
          </cell>
          <cell r="E1051">
            <v>840.29</v>
          </cell>
          <cell r="F1051">
            <v>421.08</v>
          </cell>
          <cell r="G1051">
            <v>419.21</v>
          </cell>
        </row>
        <row r="1052">
          <cell r="A1052">
            <v>2917723000185</v>
          </cell>
          <cell r="B1052">
            <v>21972.539655355053</v>
          </cell>
          <cell r="C1052">
            <v>30754.979999999996</v>
          </cell>
          <cell r="D1052">
            <v>1.3997007393045948</v>
          </cell>
          <cell r="E1052">
            <v>28129.96</v>
          </cell>
          <cell r="F1052">
            <v>138.59000000000015</v>
          </cell>
          <cell r="G1052">
            <v>27991.37</v>
          </cell>
        </row>
        <row r="1053">
          <cell r="A1053">
            <v>3836752000185</v>
          </cell>
          <cell r="B1053">
            <v>7239.8632883610362</v>
          </cell>
          <cell r="C1053">
            <v>3427.8600000000006</v>
          </cell>
          <cell r="D1053">
            <v>0.47347026642211654</v>
          </cell>
          <cell r="E1053">
            <v>54.17</v>
          </cell>
          <cell r="F1053">
            <v>54.17</v>
          </cell>
          <cell r="G1053">
            <v>0</v>
          </cell>
        </row>
        <row r="1054">
          <cell r="A1054">
            <v>2441488000118</v>
          </cell>
          <cell r="B1054">
            <v>5349.6718401664648</v>
          </cell>
          <cell r="C1054">
            <v>1473.0400000000004</v>
          </cell>
          <cell r="D1054">
            <v>0.27535146902658691</v>
          </cell>
          <cell r="E1054">
            <v>360.46999999999997</v>
          </cell>
          <cell r="F1054">
            <v>0</v>
          </cell>
          <cell r="G1054">
            <v>360.46999999999997</v>
          </cell>
        </row>
        <row r="1055">
          <cell r="A1055">
            <v>7625132000158</v>
          </cell>
          <cell r="B1055">
            <v>12019.260241419184</v>
          </cell>
          <cell r="C1055">
            <v>5523.7800000000007</v>
          </cell>
          <cell r="D1055">
            <v>0.45957736907673241</v>
          </cell>
          <cell r="E1055">
            <v>137.85</v>
          </cell>
          <cell r="F1055">
            <v>0</v>
          </cell>
          <cell r="G1055">
            <v>137.85</v>
          </cell>
        </row>
        <row r="1056">
          <cell r="A1056">
            <v>5015978000140</v>
          </cell>
          <cell r="B1056">
            <v>782.84146822178809</v>
          </cell>
          <cell r="C1056">
            <v>343.86</v>
          </cell>
          <cell r="D1056">
            <v>0.43924602101249505</v>
          </cell>
          <cell r="E1056">
            <v>0</v>
          </cell>
          <cell r="F1056">
            <v>0</v>
          </cell>
          <cell r="G1056">
            <v>0</v>
          </cell>
        </row>
        <row r="1057">
          <cell r="A1057">
            <v>5562705000116</v>
          </cell>
          <cell r="B1057">
            <v>4260.7273689377935</v>
          </cell>
          <cell r="C1057">
            <v>2033.6299999999999</v>
          </cell>
          <cell r="D1057">
            <v>0.47729643882541756</v>
          </cell>
          <cell r="E1057">
            <v>758.37000000000012</v>
          </cell>
          <cell r="F1057">
            <v>0</v>
          </cell>
          <cell r="G1057">
            <v>758.37000000000012</v>
          </cell>
        </row>
        <row r="1058">
          <cell r="A1058">
            <v>3961703000174</v>
          </cell>
          <cell r="B1058">
            <v>4748.6352156567464</v>
          </cell>
          <cell r="C1058">
            <v>2929.92</v>
          </cell>
          <cell r="D1058">
            <v>0.61700254219143802</v>
          </cell>
          <cell r="E1058">
            <v>0</v>
          </cell>
          <cell r="F1058">
            <v>0</v>
          </cell>
          <cell r="G1058">
            <v>0</v>
          </cell>
        </row>
        <row r="1059">
          <cell r="A1059">
            <v>26829291000119</v>
          </cell>
          <cell r="B1059">
            <v>2915.9136037348076</v>
          </cell>
          <cell r="C1059">
            <v>2450.0100000000002</v>
          </cell>
          <cell r="D1059">
            <v>0.8402203675931752</v>
          </cell>
          <cell r="E1059">
            <v>1449.07</v>
          </cell>
          <cell r="F1059">
            <v>55.960000000000036</v>
          </cell>
          <cell r="G1059">
            <v>1393.11</v>
          </cell>
        </row>
        <row r="1060">
          <cell r="A1060">
            <v>8226395000157</v>
          </cell>
          <cell r="B1060">
            <v>4374.9470766634358</v>
          </cell>
          <cell r="C1060">
            <v>675.15</v>
          </cell>
          <cell r="D1060">
            <v>0.15432186679499327</v>
          </cell>
          <cell r="E1060">
            <v>0</v>
          </cell>
          <cell r="F1060">
            <v>0</v>
          </cell>
          <cell r="G1060">
            <v>0</v>
          </cell>
        </row>
        <row r="1061">
          <cell r="A1061">
            <v>4427375000193</v>
          </cell>
          <cell r="B1061">
            <v>10914.819766878141</v>
          </cell>
          <cell r="C1061">
            <v>9560.8499999999985</v>
          </cell>
          <cell r="D1061">
            <v>0.87595124832139981</v>
          </cell>
          <cell r="E1061">
            <v>7564.5099999999993</v>
          </cell>
          <cell r="F1061">
            <v>199.5600000000004</v>
          </cell>
          <cell r="G1061">
            <v>7364.9499999999989</v>
          </cell>
        </row>
        <row r="1062">
          <cell r="A1062">
            <v>36876993000107</v>
          </cell>
          <cell r="B1062">
            <v>5904.9096826950563</v>
          </cell>
          <cell r="C1062">
            <v>5071.4800000000005</v>
          </cell>
          <cell r="D1062">
            <v>0.85885818285459858</v>
          </cell>
          <cell r="E1062">
            <v>2046.6900000000003</v>
          </cell>
          <cell r="F1062">
            <v>69.410000000000309</v>
          </cell>
          <cell r="G1062">
            <v>1977.28</v>
          </cell>
        </row>
        <row r="1063">
          <cell r="A1063">
            <v>3476160000108</v>
          </cell>
          <cell r="B1063">
            <v>10159.443663872926</v>
          </cell>
          <cell r="C1063">
            <v>9281.57</v>
          </cell>
          <cell r="D1063">
            <v>0.91359038024939765</v>
          </cell>
          <cell r="E1063">
            <v>8020.8100000000022</v>
          </cell>
          <cell r="F1063">
            <v>359.05000000000109</v>
          </cell>
          <cell r="G1063">
            <v>7661.7600000000011</v>
          </cell>
        </row>
        <row r="1064">
          <cell r="A1064">
            <v>1090014000106</v>
          </cell>
          <cell r="B1064">
            <v>1005.0131079415311</v>
          </cell>
          <cell r="C1064">
            <v>408.51</v>
          </cell>
          <cell r="D1064">
            <v>0.40647231043255805</v>
          </cell>
          <cell r="E1064">
            <v>0</v>
          </cell>
          <cell r="F1064">
            <v>0</v>
          </cell>
          <cell r="G1064">
            <v>0</v>
          </cell>
        </row>
        <row r="1065">
          <cell r="A1065">
            <v>2330943000108</v>
          </cell>
          <cell r="B1065">
            <v>5957.7762043805924</v>
          </cell>
          <cell r="C1065">
            <v>3759.85</v>
          </cell>
          <cell r="D1065">
            <v>0.63108278508942373</v>
          </cell>
          <cell r="E1065">
            <v>2009.4199999999998</v>
          </cell>
          <cell r="F1065">
            <v>0</v>
          </cell>
          <cell r="G1065">
            <v>2009.4199999999998</v>
          </cell>
        </row>
        <row r="1066">
          <cell r="A1066">
            <v>60919809000143</v>
          </cell>
          <cell r="B1066">
            <v>4053.2231692512087</v>
          </cell>
          <cell r="C1066">
            <v>1341.9599999999998</v>
          </cell>
          <cell r="D1066">
            <v>0.33108465632498424</v>
          </cell>
          <cell r="E1066">
            <v>0</v>
          </cell>
          <cell r="F1066">
            <v>0</v>
          </cell>
          <cell r="G1066">
            <v>0</v>
          </cell>
        </row>
        <row r="1067">
          <cell r="A1067">
            <v>27717961000178</v>
          </cell>
          <cell r="B1067">
            <v>7918.6791504710873</v>
          </cell>
          <cell r="C1067">
            <v>7738.5899999999983</v>
          </cell>
          <cell r="D1067">
            <v>0.97725767807370056</v>
          </cell>
          <cell r="E1067">
            <v>4913.0400000000009</v>
          </cell>
          <cell r="F1067">
            <v>0</v>
          </cell>
          <cell r="G1067">
            <v>4913.0400000000009</v>
          </cell>
        </row>
        <row r="1068">
          <cell r="A1068">
            <v>32666944000199</v>
          </cell>
          <cell r="B1068">
            <v>4581.2747624686326</v>
          </cell>
          <cell r="C1068">
            <v>8654.8100000000013</v>
          </cell>
          <cell r="D1068">
            <v>1.8891706891067004</v>
          </cell>
          <cell r="E1068">
            <v>6295.8399999999992</v>
          </cell>
          <cell r="F1068">
            <v>560.98000000000047</v>
          </cell>
          <cell r="G1068">
            <v>5734.8599999999988</v>
          </cell>
        </row>
        <row r="1069">
          <cell r="A1069">
            <v>42162995000137</v>
          </cell>
          <cell r="B1069">
            <v>3316.486914874476</v>
          </cell>
          <cell r="C1069">
            <v>2123.75</v>
          </cell>
          <cell r="D1069">
            <v>0.6403613385220851</v>
          </cell>
          <cell r="E1069">
            <v>889.92</v>
          </cell>
          <cell r="F1069">
            <v>0</v>
          </cell>
          <cell r="G1069">
            <v>889.92</v>
          </cell>
        </row>
        <row r="1070">
          <cell r="A1070">
            <v>10680159000158</v>
          </cell>
          <cell r="B1070">
            <v>4384.7422492381857</v>
          </cell>
          <cell r="C1070">
            <v>7513.3100000000013</v>
          </cell>
          <cell r="D1070">
            <v>1.7135123509951764</v>
          </cell>
          <cell r="E1070">
            <v>6711.37</v>
          </cell>
          <cell r="F1070">
            <v>298.19999999999891</v>
          </cell>
          <cell r="G1070">
            <v>6413.170000000001</v>
          </cell>
        </row>
        <row r="1071">
          <cell r="A1071">
            <v>23088454000161</v>
          </cell>
          <cell r="B1071">
            <v>3591.0654510559334</v>
          </cell>
          <cell r="C1071">
            <v>1339.33</v>
          </cell>
          <cell r="D1071">
            <v>0.37296173468689553</v>
          </cell>
          <cell r="E1071">
            <v>871.9899999999999</v>
          </cell>
          <cell r="F1071">
            <v>0</v>
          </cell>
          <cell r="G1071">
            <v>871.9899999999999</v>
          </cell>
        </row>
        <row r="1072">
          <cell r="A1072">
            <v>21082444000274</v>
          </cell>
          <cell r="B1072">
            <v>1446.8688066987622</v>
          </cell>
          <cell r="C1072">
            <v>477.72999999999996</v>
          </cell>
          <cell r="D1072">
            <v>0.33018197488824791</v>
          </cell>
          <cell r="E1072">
            <v>462.21999999999997</v>
          </cell>
          <cell r="F1072">
            <v>0</v>
          </cell>
          <cell r="G1072">
            <v>462.21999999999997</v>
          </cell>
        </row>
        <row r="1073">
          <cell r="A1073">
            <v>59454115000107</v>
          </cell>
          <cell r="B1073">
            <v>1261.0393328425444</v>
          </cell>
          <cell r="C1073">
            <v>916.32000000000016</v>
          </cell>
          <cell r="D1073">
            <v>0.72663871469773855</v>
          </cell>
          <cell r="E1073">
            <v>0</v>
          </cell>
          <cell r="F1073">
            <v>0</v>
          </cell>
          <cell r="G1073">
            <v>0</v>
          </cell>
        </row>
        <row r="1074">
          <cell r="A1074">
            <v>12026397000170</v>
          </cell>
          <cell r="B1074">
            <v>414.52835469912793</v>
          </cell>
          <cell r="C1074">
            <v>0</v>
          </cell>
          <cell r="D1074">
            <v>0</v>
          </cell>
          <cell r="E1074">
            <v>0</v>
          </cell>
          <cell r="F1074">
            <v>0</v>
          </cell>
          <cell r="G1074">
            <v>0</v>
          </cell>
        </row>
        <row r="1075">
          <cell r="A1075">
            <v>9447656000121</v>
          </cell>
          <cell r="B1075">
            <v>2213.5782668646507</v>
          </cell>
          <cell r="C1075">
            <v>894.38999999999987</v>
          </cell>
          <cell r="D1075">
            <v>0.40404715450465134</v>
          </cell>
          <cell r="E1075">
            <v>137.85</v>
          </cell>
          <cell r="F1075">
            <v>0</v>
          </cell>
          <cell r="G1075">
            <v>137.85</v>
          </cell>
        </row>
        <row r="1076">
          <cell r="A1076">
            <v>17684597000133</v>
          </cell>
          <cell r="B1076">
            <v>6061.5963289834626</v>
          </cell>
          <cell r="C1076">
            <v>3940.3100000000004</v>
          </cell>
          <cell r="D1076">
            <v>0.65004493637417704</v>
          </cell>
          <cell r="E1076">
            <v>3432.8</v>
          </cell>
          <cell r="F1076">
            <v>39.119999999999891</v>
          </cell>
          <cell r="G1076">
            <v>3393.6800000000003</v>
          </cell>
        </row>
        <row r="1077">
          <cell r="A1077">
            <v>17684597000214</v>
          </cell>
          <cell r="B1077">
            <v>2129.2709976619831</v>
          </cell>
          <cell r="C1077">
            <v>1878.63</v>
          </cell>
          <cell r="D1077">
            <v>0.88228788259587632</v>
          </cell>
          <cell r="E1077">
            <v>1584.66</v>
          </cell>
          <cell r="F1077">
            <v>0</v>
          </cell>
          <cell r="G1077">
            <v>1584.66</v>
          </cell>
        </row>
        <row r="1078">
          <cell r="A1078">
            <v>23288222000157</v>
          </cell>
          <cell r="B1078">
            <v>3192.4791422022731</v>
          </cell>
          <cell r="C1078">
            <v>875.81000000000006</v>
          </cell>
          <cell r="D1078">
            <v>0.27433538669757401</v>
          </cell>
          <cell r="E1078">
            <v>0</v>
          </cell>
          <cell r="F1078">
            <v>0</v>
          </cell>
          <cell r="G1078">
            <v>0</v>
          </cell>
        </row>
        <row r="1079">
          <cell r="A1079">
            <v>8087667000185</v>
          </cell>
          <cell r="B1079">
            <v>9228.1168122835843</v>
          </cell>
          <cell r="C1079">
            <v>4621.2599999999993</v>
          </cell>
          <cell r="D1079">
            <v>0.5007803969113851</v>
          </cell>
          <cell r="E1079">
            <v>5493.1200000000008</v>
          </cell>
          <cell r="F1079">
            <v>1311.0600000000004</v>
          </cell>
          <cell r="G1079">
            <v>4182.0600000000004</v>
          </cell>
        </row>
        <row r="1080">
          <cell r="A1080">
            <v>8087667000266</v>
          </cell>
          <cell r="B1080">
            <v>19196.936341061344</v>
          </cell>
          <cell r="C1080">
            <v>9892.3799999999992</v>
          </cell>
          <cell r="D1080">
            <v>0.51531035078970722</v>
          </cell>
          <cell r="E1080">
            <v>11586.42</v>
          </cell>
          <cell r="F1080">
            <v>3326.5099999999984</v>
          </cell>
          <cell r="G1080">
            <v>8259.9100000000017</v>
          </cell>
        </row>
        <row r="1081">
          <cell r="A1081">
            <v>8087667000347</v>
          </cell>
          <cell r="B1081">
            <v>9557.4635497934196</v>
          </cell>
          <cell r="C1081">
            <v>4723.0700000000015</v>
          </cell>
          <cell r="D1081">
            <v>0.49417609341571472</v>
          </cell>
          <cell r="E1081">
            <v>6016.1200000000017</v>
          </cell>
          <cell r="F1081">
            <v>1360.3200000000006</v>
          </cell>
          <cell r="G1081">
            <v>4655.8000000000011</v>
          </cell>
        </row>
        <row r="1082">
          <cell r="A1082">
            <v>8087667000428</v>
          </cell>
          <cell r="B1082">
            <v>7820.412843129624</v>
          </cell>
          <cell r="C1082">
            <v>2716.0999999999995</v>
          </cell>
          <cell r="D1082">
            <v>0.34730903016023545</v>
          </cell>
          <cell r="E1082">
            <v>6127.42</v>
          </cell>
          <cell r="F1082">
            <v>3209.64</v>
          </cell>
          <cell r="G1082">
            <v>2917.78</v>
          </cell>
        </row>
        <row r="1083">
          <cell r="A1083">
            <v>8087667000509</v>
          </cell>
          <cell r="B1083">
            <v>20483.428399132517</v>
          </cell>
          <cell r="C1083">
            <v>9138.5000000000018</v>
          </cell>
          <cell r="D1083">
            <v>0.44614113525971177</v>
          </cell>
          <cell r="E1083">
            <v>10831.939999999999</v>
          </cell>
          <cell r="F1083">
            <v>3822.2599999999966</v>
          </cell>
          <cell r="G1083">
            <v>7009.6800000000021</v>
          </cell>
        </row>
        <row r="1084">
          <cell r="A1084">
            <v>8087667000690</v>
          </cell>
          <cell r="B1084">
            <v>10213.031860593921</v>
          </cell>
          <cell r="C1084">
            <v>9201.24</v>
          </cell>
          <cell r="D1084">
            <v>0.90093129303768937</v>
          </cell>
          <cell r="E1084">
            <v>9668.1900000000023</v>
          </cell>
          <cell r="F1084">
            <v>1282.1299999999992</v>
          </cell>
          <cell r="G1084">
            <v>8386.0600000000031</v>
          </cell>
        </row>
        <row r="1085">
          <cell r="A1085">
            <v>8087667000770</v>
          </cell>
          <cell r="B1085">
            <v>6436.2683542566438</v>
          </cell>
          <cell r="C1085">
            <v>2620.71</v>
          </cell>
          <cell r="D1085">
            <v>0.40717848538226131</v>
          </cell>
          <cell r="E1085">
            <v>2779.22</v>
          </cell>
          <cell r="F1085">
            <v>59.430000000000291</v>
          </cell>
          <cell r="G1085">
            <v>2719.7899999999995</v>
          </cell>
        </row>
        <row r="1086">
          <cell r="A1086">
            <v>8087667000851</v>
          </cell>
          <cell r="B1086">
            <v>7586.3901705853177</v>
          </cell>
          <cell r="C1086">
            <v>3361.7799999999997</v>
          </cell>
          <cell r="D1086">
            <v>0.44313302168857815</v>
          </cell>
          <cell r="E1086">
            <v>3618.48</v>
          </cell>
          <cell r="F1086">
            <v>34.5600000000004</v>
          </cell>
          <cell r="G1086">
            <v>3583.9199999999996</v>
          </cell>
        </row>
        <row r="1087">
          <cell r="A1087">
            <v>8087667000932</v>
          </cell>
          <cell r="B1087">
            <v>12662.594469881225</v>
          </cell>
          <cell r="C1087">
            <v>9897.8200000000052</v>
          </cell>
          <cell r="D1087">
            <v>0.78165813676988471</v>
          </cell>
          <cell r="E1087">
            <v>10108.18</v>
          </cell>
          <cell r="F1087">
            <v>727.34999999999854</v>
          </cell>
          <cell r="G1087">
            <v>9380.8300000000017</v>
          </cell>
        </row>
        <row r="1088">
          <cell r="A1088">
            <v>8087667001076</v>
          </cell>
          <cell r="B1088">
            <v>9042.4323150841537</v>
          </cell>
          <cell r="C1088">
            <v>5168.46</v>
          </cell>
          <cell r="D1088">
            <v>0.57157851116875069</v>
          </cell>
          <cell r="E1088">
            <v>5652.2899999999991</v>
          </cell>
          <cell r="F1088">
            <v>1927.2699999999991</v>
          </cell>
          <cell r="G1088">
            <v>3725.02</v>
          </cell>
        </row>
        <row r="1089">
          <cell r="A1089">
            <v>3577994000282</v>
          </cell>
          <cell r="B1089">
            <v>3673.1987321938732</v>
          </cell>
          <cell r="C1089">
            <v>1874.8399999999997</v>
          </cell>
          <cell r="D1089">
            <v>0.51041071738588539</v>
          </cell>
          <cell r="E1089">
            <v>2061.5499999999997</v>
          </cell>
          <cell r="F1089">
            <v>0</v>
          </cell>
          <cell r="G1089">
            <v>2061.5499999999997</v>
          </cell>
        </row>
        <row r="1090">
          <cell r="A1090">
            <v>9496232000157</v>
          </cell>
          <cell r="B1090">
            <v>28077.890651066613</v>
          </cell>
          <cell r="C1090">
            <v>8961.3900000000012</v>
          </cell>
          <cell r="D1090">
            <v>0.31916179571201442</v>
          </cell>
          <cell r="E1090">
            <v>7354.3300000000027</v>
          </cell>
          <cell r="F1090">
            <v>363.35999999999967</v>
          </cell>
          <cell r="G1090">
            <v>6990.970000000003</v>
          </cell>
        </row>
        <row r="1091">
          <cell r="A1091">
            <v>9496232000238</v>
          </cell>
          <cell r="B1091">
            <v>7204.2443582709902</v>
          </cell>
          <cell r="C1091">
            <v>4265.37</v>
          </cell>
          <cell r="D1091">
            <v>0.59206348200877568</v>
          </cell>
          <cell r="E1091">
            <v>3995.670000000001</v>
          </cell>
          <cell r="F1091">
            <v>487.58000000000084</v>
          </cell>
          <cell r="G1091">
            <v>3508.09</v>
          </cell>
        </row>
        <row r="1092">
          <cell r="A1092">
            <v>9496232000319</v>
          </cell>
          <cell r="B1092">
            <v>5322.3223908754544</v>
          </cell>
          <cell r="C1092">
            <v>455.03000000000003</v>
          </cell>
          <cell r="D1092">
            <v>8.549463309101675E-2</v>
          </cell>
          <cell r="E1092">
            <v>489.78</v>
          </cell>
          <cell r="F1092">
            <v>130.77999999999997</v>
          </cell>
          <cell r="G1092">
            <v>359</v>
          </cell>
        </row>
        <row r="1093">
          <cell r="A1093">
            <v>29710511000189</v>
          </cell>
          <cell r="B1093">
            <v>4856.2176635139458</v>
          </cell>
          <cell r="C1093">
            <v>495.70000000000005</v>
          </cell>
          <cell r="D1093">
            <v>0.1020753257672789</v>
          </cell>
          <cell r="E1093">
            <v>0</v>
          </cell>
          <cell r="F1093">
            <v>0</v>
          </cell>
          <cell r="G1093">
            <v>0</v>
          </cell>
        </row>
        <row r="1094">
          <cell r="A1094">
            <v>15558177000185</v>
          </cell>
          <cell r="B1094">
            <v>3233.4815706667932</v>
          </cell>
          <cell r="C1094">
            <v>231.43</v>
          </cell>
          <cell r="D1094">
            <v>7.1573007280902989E-2</v>
          </cell>
          <cell r="E1094">
            <v>0</v>
          </cell>
          <cell r="F1094">
            <v>0</v>
          </cell>
          <cell r="G1094">
            <v>0</v>
          </cell>
        </row>
        <row r="1095">
          <cell r="A1095">
            <v>13874468000157</v>
          </cell>
          <cell r="B1095">
            <v>9653.3507872678238</v>
          </cell>
          <cell r="C1095">
            <v>5353.7200000000012</v>
          </cell>
          <cell r="D1095">
            <v>0.55459706354618632</v>
          </cell>
          <cell r="E1095">
            <v>3665.5100000000007</v>
          </cell>
          <cell r="F1095">
            <v>567.17000000000098</v>
          </cell>
          <cell r="G1095">
            <v>3098.3399999999997</v>
          </cell>
        </row>
        <row r="1096">
          <cell r="A1096">
            <v>53284997000115</v>
          </cell>
          <cell r="B1096">
            <v>3368.4664161046585</v>
          </cell>
          <cell r="C1096">
            <v>1728.44</v>
          </cell>
          <cell r="D1096">
            <v>0.51312371461871131</v>
          </cell>
          <cell r="E1096">
            <v>0</v>
          </cell>
          <cell r="F1096">
            <v>0</v>
          </cell>
          <cell r="G1096">
            <v>0</v>
          </cell>
        </row>
        <row r="1097">
          <cell r="A1097">
            <v>13874468000238</v>
          </cell>
          <cell r="B1097">
            <v>6396.0297213456515</v>
          </cell>
          <cell r="C1097">
            <v>2412.4200000000005</v>
          </cell>
          <cell r="D1097">
            <v>0.37717460754582843</v>
          </cell>
          <cell r="E1097">
            <v>1625.5700000000004</v>
          </cell>
          <cell r="F1097">
            <v>560.68000000000029</v>
          </cell>
          <cell r="G1097">
            <v>1064.8900000000001</v>
          </cell>
        </row>
        <row r="1098">
          <cell r="A1098">
            <v>11740637000130</v>
          </cell>
          <cell r="B1098">
            <v>5702.1742904174935</v>
          </cell>
          <cell r="C1098">
            <v>2925.4999999999995</v>
          </cell>
          <cell r="D1098">
            <v>0.51304990885955615</v>
          </cell>
          <cell r="E1098">
            <v>2049.04</v>
          </cell>
          <cell r="F1098">
            <v>411.33999999999992</v>
          </cell>
          <cell r="G1098">
            <v>1637.7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e Cabral Neto" refreshedDate="46318.279187499997" createdVersion="8" refreshedVersion="8" minRefreshableVersion="3" recordCount="1097" xr:uid="{7B0B5745-D71B-4C1F-89F3-0843AE4D1A89}">
  <cacheSource type="worksheet">
    <worksheetSource ref="A1:V1098" sheet="BASE 600"/>
  </cacheSource>
  <cacheFields count="22">
    <cacheField name="cnpj" numFmtId="1">
      <sharedItems containsSemiMixedTypes="0" containsString="0" containsNumber="1" containsInteger="1" minValue="17373000175" maxValue="97528758000139"/>
    </cacheField>
    <cacheField name="G. E." numFmtId="1">
      <sharedItems containsBlank="1" count="32">
        <s v="DROGAPLUS POPULAR"/>
        <m/>
        <s v="FUZAFARMA"/>
        <s v="ULTRA POPULAR - ANDREIA"/>
        <s v="SANTA CATARINA "/>
        <s v="DROGARIA TALHAMARES"/>
        <s v="DROGARIA + ECONOMICA"/>
        <s v="REDE MADEIRA"/>
        <s v="ULTRA POPULAR - DÉBORA"/>
        <s v="ULTRA POPULAR - ERICK"/>
        <s v="ULTRA POPOLAR - MOLINA"/>
        <s v="ULTRA POPULAR - MAYKEL"/>
        <s v="ECONOMIZE - MAYCON"/>
        <s v="REDE ECONOMIZAR"/>
        <s v="CENTRAL FARMA"/>
        <s v="ULTRA POPULAR - DMD"/>
        <s v="MEGA POPULAR MT"/>
        <s v="DROGARIA CIDADE - MT"/>
        <s v="DROGARIA NEBRASCA"/>
        <s v="DROGARIA POUPE MAIS"/>
        <s v="FARMACIA ROMANA"/>
        <s v="FARMA FACIL"/>
        <s v="REDE ODEON"/>
        <s v="CAASP"/>
        <s v="ULTRA NACIONAL MT"/>
        <s v="ULTRA POPULAR - FERNANDA"/>
        <s v="ULTRA POPULAR - GABRIELA"/>
        <s v="ECONOMIZE LRV"/>
        <s v="ULTRA POPULAR - MAX"/>
        <s v="DROGAO MS"/>
        <s v="ULTRA POPULAR - MIRANDA"/>
        <s v="ULTRA POPULAR - FAHD"/>
      </sharedItems>
    </cacheField>
    <cacheField name="SAP" numFmtId="1">
      <sharedItems containsString="0" containsBlank="1" containsNumber="1" containsInteger="1" minValue="147" maxValue="155489"/>
    </cacheField>
    <cacheField name="razao_social" numFmtId="0">
      <sharedItems/>
    </cacheField>
    <cacheField name="cidade" numFmtId="0">
      <sharedItems/>
    </cacheField>
    <cacheField name="uf" numFmtId="0">
      <sharedItems count="5">
        <s v="MT"/>
        <s v="MS"/>
        <s v="SP"/>
        <s v="GO"/>
        <s v="PR"/>
      </sharedItems>
    </cacheField>
    <cacheField name="rede" numFmtId="0">
      <sharedItems/>
    </cacheField>
    <cacheField name="tipo_informante" numFmtId="0">
      <sharedItems/>
    </cacheField>
    <cacheField name="setor" numFmtId="0">
      <sharedItems/>
    </cacheField>
    <cacheField name="cota total" numFmtId="44">
      <sharedItems containsSemiMixedTypes="0" containsString="0" containsNumber="1" minValue="0" maxValue="112437.07453859654"/>
    </cacheField>
    <cacheField name="mdtr total" numFmtId="44">
      <sharedItems containsSemiMixedTypes="0" containsString="0" containsNumber="1" minValue="0" maxValue="84293.840000000011"/>
    </cacheField>
    <cacheField name="% MDTR" numFmtId="9">
      <sharedItems containsMixedTypes="1" containsNumber="1" minValue="0" maxValue="273.67653579834553"/>
    </cacheField>
    <cacheField name="sales total" numFmtId="44">
      <sharedItems containsSemiMixedTypes="0" containsString="0" containsNumber="1" minValue="0" maxValue="67043.740000000034"/>
    </cacheField>
    <cacheField name="intermediação cota" numFmtId="9">
      <sharedItems containsMixedTypes="1" containsNumber="1" minValue="0" maxValue="5.3521413908747029"/>
    </cacheField>
    <cacheField name="STATUS SCANTECH" numFmtId="0">
      <sharedItems containsBlank="1"/>
    </cacheField>
    <cacheField name="CLUBE DE PROMO" numFmtId="0">
      <sharedItems containsBlank="1"/>
    </cacheField>
    <cacheField name="TIRO CERTO" numFmtId="0">
      <sharedItems containsBlank="1"/>
    </cacheField>
    <cacheField name="POS. HYMPAR" numFmtId="0">
      <sharedItems/>
    </cacheField>
    <cacheField name="CLIENTES COM PBM" numFmtId="0">
      <sharedItems containsBlank="1"/>
    </cacheField>
    <cacheField name="MDTR Set Semavy" numFmtId="1">
      <sharedItems containsString="0" containsBlank="1" containsNumber="1" containsInteger="1" minValue="1" maxValue="17"/>
    </cacheField>
    <cacheField name="SALES Out Semavy" numFmtId="0">
      <sharedItems containsString="0" containsBlank="1" containsNumber="1" containsInteger="1" minValue="1" maxValue="22"/>
    </cacheField>
    <cacheField name="MDTR Out Semavy" numFmtId="0">
      <sharedItems containsString="0" containsBlank="1" containsNumber="1" containsInteger="1" minValue="1" maxValue="3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7">
  <r>
    <n v="20787984000614"/>
    <x v="0"/>
    <m/>
    <s v="DROGAPLUS POPULAR"/>
    <s v="TANGARA DA SERRA"/>
    <x v="0"/>
    <s v="DROGASHOP"/>
    <s v="SELL OUT"/>
    <s v="847164 - LEONARDO MAZZUCO"/>
    <n v="7262.3168717491908"/>
    <n v="2807.59"/>
    <n v="0.38659701161232424"/>
    <n v="3510.1700000000005"/>
    <n v="0.48334024278873777"/>
    <s v="FORA SCANN"/>
    <s v="Não"/>
    <s v="SIM"/>
    <s v="Comprou Marcas"/>
    <s v="SIM"/>
    <m/>
    <m/>
    <m/>
  </r>
  <r>
    <n v="20787984000703"/>
    <x v="0"/>
    <m/>
    <s v="DROGAPLUS POPULAR"/>
    <s v="TANGARA DA SERRA"/>
    <x v="0"/>
    <s v="DROGASHOP"/>
    <s v="SELL OUT"/>
    <s v="847010604 - LEONARDO MAZZUCO"/>
    <n v="2926.6142410273874"/>
    <n v="808.37000000000012"/>
    <n v="0.27621337608068974"/>
    <n v="1373.75"/>
    <n v="0.46939906897936279"/>
    <s v="FORA SCANN"/>
    <s v="Não"/>
    <s v="SIM"/>
    <s v="Comprou Marcas"/>
    <s v="SIM"/>
    <m/>
    <m/>
    <m/>
  </r>
  <r>
    <n v="27750605000237"/>
    <x v="1"/>
    <m/>
    <s v="DROGARIA SEMPRE POPULAR"/>
    <s v="CAMPO GRANDE"/>
    <x v="1"/>
    <s v="MASTERFARMA"/>
    <s v="SELL IN"/>
    <s v="847010602 - WELLINGTON DE MORAIS DO NASCIMENTO"/>
    <n v="3157.5605296418371"/>
    <n v="2905.21"/>
    <n v="0.92008054088817059"/>
    <n v="2408.7099999999996"/>
    <n v="0.76283889964675367"/>
    <s v="FORA SCANN"/>
    <s v="Não"/>
    <s v="NÃO"/>
    <s v="Comprou Marcas"/>
    <s v="SIM"/>
    <m/>
    <m/>
    <m/>
  </r>
  <r>
    <n v="32062591000118"/>
    <x v="1"/>
    <m/>
    <s v="DROGAMED POPULAR"/>
    <s v="COXIM"/>
    <x v="1"/>
    <s v="INDEPENDENTES VIN"/>
    <s v="SELL IN"/>
    <s v="847010602 - WELLINGTON DE MORAIS DO NASCIMENTO"/>
    <n v="1359.7775355074191"/>
    <n v="852.77"/>
    <n v="0.62713935017449562"/>
    <n v="0"/>
    <n v="0"/>
    <m/>
    <m/>
    <m/>
    <s v="Não Comprou"/>
    <m/>
    <m/>
    <m/>
    <m/>
  </r>
  <r>
    <n v="62510454000160"/>
    <x v="1"/>
    <m/>
    <s v="DROGABEL"/>
    <s v="CANARANA"/>
    <x v="0"/>
    <s v="INDEPENDENTES VIN"/>
    <s v="SELL IN"/>
    <s v="847010606 - PRICILA MOREIRA DOS SANTOS"/>
    <n v="2459.3534645815007"/>
    <n v="1394.24"/>
    <n v="0.56691322336508987"/>
    <n v="0"/>
    <n v="0"/>
    <s v="FORA SCANN"/>
    <s v="Não"/>
    <s v="NÃO"/>
    <s v="Não Comprou"/>
    <s v="SIM"/>
    <m/>
    <m/>
    <m/>
  </r>
  <r>
    <n v="982959000170"/>
    <x v="1"/>
    <m/>
    <s v="FCIA DROGAMARA"/>
    <s v="MARACAJU"/>
    <x v="1"/>
    <s v="INDEPENDENTES VIN"/>
    <s v="SELL IN"/>
    <s v="847010601 - RAFAEL DE OLIVEIRA NASCIMENTO"/>
    <n v="11070.462898397942"/>
    <n v="3821.08"/>
    <n v="0.34515991201713581"/>
    <n v="0"/>
    <n v="0"/>
    <s v="FORA SCANN"/>
    <s v="Não"/>
    <s v="NÃO"/>
    <s v="Não Comprou"/>
    <s v="SIM"/>
    <m/>
    <m/>
    <m/>
  </r>
  <r>
    <n v="20787984000100"/>
    <x v="0"/>
    <m/>
    <s v="DROGAPLUS POPULAR"/>
    <s v="TANGARA DA SERRA"/>
    <x v="0"/>
    <s v="DROGASHOP"/>
    <s v="SELL OUT"/>
    <s v="847010604 - LEONARDO MAZZUCO"/>
    <n v="7251.508020771219"/>
    <n v="1719.33"/>
    <n v="0.23709964811114478"/>
    <n v="2739.1400000000003"/>
    <n v="0.37773384407133082"/>
    <s v="FORA SCANN"/>
    <s v="Não"/>
    <s v="SIM"/>
    <s v="Comprou Marcas"/>
    <s v="SIM"/>
    <m/>
    <m/>
    <m/>
  </r>
  <r>
    <n v="1938125000120"/>
    <x v="1"/>
    <m/>
    <s v="FARMACIA GAUCHA"/>
    <s v="IGUATEMI"/>
    <x v="1"/>
    <s v="FARMARCAS"/>
    <s v="SELL OUT"/>
    <s v="847010601 - RAFAEL DE OLIVEIRA NASCIMENTO"/>
    <n v="10556.090862258139"/>
    <n v="5814.14"/>
    <n v="0.55078533103458438"/>
    <n v="7485.5099999999984"/>
    <n v="0.70911761727662048"/>
    <s v="ATIVO"/>
    <s v="Sim"/>
    <s v="NÃO"/>
    <s v="Comprou Marcas"/>
    <s v="SIM"/>
    <m/>
    <m/>
    <m/>
  </r>
  <r>
    <n v="1938125000200"/>
    <x v="1"/>
    <m/>
    <s v="ULTRAPOPULAR"/>
    <s v="MUNDO NOVO"/>
    <x v="1"/>
    <s v="FARMARCAS"/>
    <s v="SELL OUT"/>
    <s v="847010601 - RAFAEL DE OLIVEIRA NASCIMENTO"/>
    <n v="4929.6425594295961"/>
    <n v="1973.33"/>
    <n v="0.40029879980351596"/>
    <n v="1697.15"/>
    <n v="0.34427445388583622"/>
    <s v="ATIVO"/>
    <s v="Sim"/>
    <s v="NÃO"/>
    <s v="Comprou Marcas"/>
    <s v="SIM"/>
    <m/>
    <m/>
    <m/>
  </r>
  <r>
    <n v="1956853000164"/>
    <x v="1"/>
    <m/>
    <s v="FCIA MARIALVA LTDA"/>
    <s v="AQUIDAUANA"/>
    <x v="1"/>
    <s v="HIPER SAUDE"/>
    <s v="SELL IN"/>
    <s v="847010602 - WELLINGTON DE MORAIS DO NASCIMENTO"/>
    <n v="2959.8009021289618"/>
    <n v="717.98000000000013"/>
    <n v="0.242577127226214"/>
    <n v="0"/>
    <n v="0"/>
    <s v="ATIVO"/>
    <s v="Não"/>
    <s v="NÃO"/>
    <s v="Não Comprou"/>
    <s v="SIM"/>
    <n v="4"/>
    <m/>
    <m/>
  </r>
  <r>
    <n v="13289540000189"/>
    <x v="1"/>
    <m/>
    <s v="FARMACIAS SUPRAVITA"/>
    <s v="SINOP"/>
    <x v="0"/>
    <s v="ASSOCIADAS"/>
    <s v="SELL IN"/>
    <s v="847010605 - ISABELA CAMILA CRUCCITTI"/>
    <n v="2365.7130154998003"/>
    <n v="1140.9099999999999"/>
    <n v="0.48226897874971603"/>
    <n v="0"/>
    <n v="0"/>
    <s v="FORA SCANN"/>
    <s v="Não"/>
    <s v="SIM"/>
    <s v="Não Comprou"/>
    <s v="NÃO"/>
    <m/>
    <m/>
    <m/>
  </r>
  <r>
    <n v="4411142000100"/>
    <x v="1"/>
    <m/>
    <s v="FARMACIA MODERNA"/>
    <s v="DOURADOS"/>
    <x v="1"/>
    <s v="DSG FARMA"/>
    <s v="SELL IN"/>
    <s v="847010601 - RAFAEL DE OLIVEIRA NASCIMENTO"/>
    <n v="2721.3526153947691"/>
    <n v="1199.3199999999997"/>
    <n v="0.44070731342032354"/>
    <n v="804.32"/>
    <n v="0.2955589053215445"/>
    <s v="ATIVO"/>
    <s v="Sim"/>
    <s v="NÃO"/>
    <s v="Comprou Marcas e SG"/>
    <s v="SIM"/>
    <m/>
    <m/>
    <m/>
  </r>
  <r>
    <n v="7549438000172"/>
    <x v="1"/>
    <m/>
    <s v="FARMACIA POPULAR"/>
    <s v="SORRISO"/>
    <x v="0"/>
    <s v="INDEPENDENTES VIN"/>
    <s v="SELL IN"/>
    <s v="847010605 - ISABELA CAMILA CRUCCITTI"/>
    <n v="3592.8306608693852"/>
    <n v="1575.22"/>
    <n v="0.43843424549790272"/>
    <n v="1250.8000000000002"/>
    <n v="0.34813775489695203"/>
    <s v="FORA SCANN"/>
    <s v="Não"/>
    <s v="SIM"/>
    <s v="Comprou Marcas"/>
    <s v="SIM"/>
    <m/>
    <m/>
    <m/>
  </r>
  <r>
    <n v="9033695000182"/>
    <x v="1"/>
    <m/>
    <s v="DROG NOSSO LAR"/>
    <s v="BRASNORTE"/>
    <x v="0"/>
    <s v="INDEPENDENTES VIN"/>
    <s v="SELL IN"/>
    <s v="847010604 - LEONARDO MAZZUCO"/>
    <n v="7135.7448196380137"/>
    <n v="353.53000000000003"/>
    <n v="4.9543531745566839E-2"/>
    <n v="0"/>
    <n v="0"/>
    <s v="FORA SCANN"/>
    <s v="Não"/>
    <s v="NÃO"/>
    <s v="Não Comprou"/>
    <s v="NÃO"/>
    <n v="4"/>
    <m/>
    <m/>
  </r>
  <r>
    <n v="9112212000216"/>
    <x v="1"/>
    <m/>
    <s v="DROGACERTA"/>
    <s v="BARRA DO GARCAS"/>
    <x v="0"/>
    <s v="ASSOCIADAS"/>
    <s v="SELL IN"/>
    <s v="847010606 - PRICILA MOREIRA DOS SANTOS"/>
    <n v="10399.653601075661"/>
    <n v="5468.3999999999987"/>
    <n v="0.52582520627748497"/>
    <n v="0"/>
    <n v="0"/>
    <s v="FORA SCANN"/>
    <s v="Não"/>
    <s v="NÃO"/>
    <s v="Não Comprou"/>
    <s v="NÃO"/>
    <m/>
    <m/>
    <m/>
  </r>
  <r>
    <n v="7382151000109"/>
    <x v="1"/>
    <m/>
    <s v="DROGARIA CENTRAL"/>
    <s v="RIBEIRAO CASCALHEIRA"/>
    <x v="0"/>
    <s v="HIPER SAUDE"/>
    <s v="SELL IN"/>
    <s v="847010606 - PRICILA MOREIRA DOS SANTOS"/>
    <n v="3235.4629286244663"/>
    <n v="4383.93"/>
    <n v="1.354962209956087"/>
    <n v="3168.54"/>
    <n v="0.9793158104108094"/>
    <s v="ATIVO"/>
    <s v="Não"/>
    <s v="NÃO"/>
    <s v="Comprou Marcas"/>
    <s v="SIM"/>
    <m/>
    <m/>
    <m/>
  </r>
  <r>
    <n v="14178866000100"/>
    <x v="1"/>
    <m/>
    <s v="REAL FARMA"/>
    <s v="TEODORO SAMPAIO"/>
    <x v="2"/>
    <s v="INDEPENDENTES VIN"/>
    <s v="SELL IN"/>
    <s v="847010607 - MANUEL ARIEDE ARTERO"/>
    <n v="2273.2026013625427"/>
    <n v="1776.7700000000002"/>
    <n v="0.78161532937496025"/>
    <n v="0"/>
    <n v="0"/>
    <s v="FORA SCANN"/>
    <s v="Não"/>
    <s v="NÃO"/>
    <s v="Não Comprou"/>
    <s v="SIM"/>
    <m/>
    <m/>
    <m/>
  </r>
  <r>
    <n v="14132723000159"/>
    <x v="2"/>
    <m/>
    <s v="FUZAFARMA"/>
    <s v="MUNDO NOVO"/>
    <x v="1"/>
    <s v="DSG FARMA"/>
    <s v="SELL IN"/>
    <s v="847010601 - RAFAEL DE OLIVEIRA NASCIMENTO"/>
    <n v="16207.459548849576"/>
    <n v="11047.870000000003"/>
    <n v="0.68165340574823108"/>
    <n v="7329.29"/>
    <n v="0.45221707806269007"/>
    <s v="ATIVO"/>
    <s v="Sim"/>
    <s v="NÃO"/>
    <s v="Comprou Marcas"/>
    <s v="SIM"/>
    <m/>
    <m/>
    <m/>
  </r>
  <r>
    <n v="18380223000197"/>
    <x v="1"/>
    <m/>
    <s v="DROGARIA DR FABIO"/>
    <s v="CUIABA"/>
    <x v="0"/>
    <s v="INDEPENDENTES VIN"/>
    <s v="SELL IN"/>
    <s v="847010603 - ERIVALDO DA SILVA MACIEL"/>
    <n v="2371.7274108148795"/>
    <n v="959.40000000000009"/>
    <n v="0.40451528941530801"/>
    <n v="137.85"/>
    <n v="5.812219371054847E-2"/>
    <s v="FORA SCANN"/>
    <s v="Não"/>
    <s v="NÃO"/>
    <s v="Comprou Marcas"/>
    <s v="NÃO"/>
    <m/>
    <m/>
    <m/>
  </r>
  <r>
    <n v="18569567000149"/>
    <x v="1"/>
    <m/>
    <s v="DROGARIA SAO JORGE"/>
    <s v="JUTI"/>
    <x v="1"/>
    <s v="HIPER SAUDE"/>
    <s v="SELL IN"/>
    <s v="847010601 - RAFAEL DE OLIVEIRA NASCIMENTO"/>
    <n v="1957.8532297452696"/>
    <n v="401.96"/>
    <n v="0.20530650300701947"/>
    <n v="474.77000000000004"/>
    <n v="0.24249519462792976"/>
    <s v="ATIVO"/>
    <s v="Não"/>
    <s v="NÃO"/>
    <s v="Comprou Marcas"/>
    <s v="SIM"/>
    <m/>
    <m/>
    <m/>
  </r>
  <r>
    <n v="18666741000414"/>
    <x v="1"/>
    <m/>
    <s v="DROGARIA MAX PROMISSAO"/>
    <s v="PROMISSAO"/>
    <x v="2"/>
    <s v="FARMARCAS"/>
    <s v="SELL OUT"/>
    <s v="847010608 - VALTER PEREIRA DA SILVA JUNIOR"/>
    <n v="12687.205069337238"/>
    <n v="11501.339999999993"/>
    <n v="0.90653062964960862"/>
    <n v="2199.62"/>
    <n v="0.1733730942298787"/>
    <m/>
    <m/>
    <m/>
    <s v="Comprou Marcas e SG"/>
    <m/>
    <m/>
    <m/>
    <n v="9"/>
  </r>
  <r>
    <n v="20787984000290"/>
    <x v="0"/>
    <m/>
    <s v="DROGAPLUS POPULAR"/>
    <s v="TANGARA DA SERRA"/>
    <x v="0"/>
    <s v="DROGASHOP"/>
    <s v="SELL OUT"/>
    <s v="847010604 - LEONARDO MAZZUCO"/>
    <n v="9636.4475021481594"/>
    <n v="3888.1699999999992"/>
    <n v="0.40348582806405031"/>
    <n v="2981.1000000000004"/>
    <n v="0.3093567416141117"/>
    <s v="FORA SCANN"/>
    <s v="Não"/>
    <s v="SIM"/>
    <s v="Comprou Marcas"/>
    <s v="SIM"/>
    <m/>
    <m/>
    <m/>
  </r>
  <r>
    <n v="20787984000967"/>
    <x v="0"/>
    <m/>
    <s v="DROGAPLUS POPULAR"/>
    <s v="CAMPO NOVO DO PARECIS"/>
    <x v="0"/>
    <s v="DROGASHOP"/>
    <s v="SELL OUT"/>
    <s v="847010604 - LEONARDO MAZZUCO"/>
    <n v="7106.6996967980112"/>
    <n v="2967.72"/>
    <n v="0.41759468200649219"/>
    <n v="1937.65"/>
    <n v="0.27265117180525106"/>
    <s v="FORA SCANN"/>
    <s v="Não"/>
    <s v="SIM"/>
    <s v="Comprou Marcas"/>
    <s v="SIM"/>
    <m/>
    <m/>
    <m/>
  </r>
  <r>
    <n v="20787984000886"/>
    <x v="0"/>
    <m/>
    <s v="DROGAPLUS POPULAR"/>
    <s v="CAMPO NOVO DO PARECIS"/>
    <x v="0"/>
    <s v="DROGASHOP"/>
    <s v="SELL OUT"/>
    <s v="847010604 - LEONARDO MAZZUCO"/>
    <n v="8112.0466444580679"/>
    <n v="2480.8000000000006"/>
    <n v="0.30581678197015993"/>
    <n v="2097.65"/>
    <n v="0.25858455848907846"/>
    <s v="FORA SCANN"/>
    <s v="Não"/>
    <s v="SIM"/>
    <s v="Comprou Marcas"/>
    <s v="SIM"/>
    <m/>
    <m/>
    <m/>
  </r>
  <r>
    <n v="18645755000109"/>
    <x v="3"/>
    <m/>
    <s v="DROGARIA ULTRA POPULAR DE PARANATINGA"/>
    <s v="PARANATINGA"/>
    <x v="0"/>
    <s v="FARMARCAS"/>
    <s v="SELL OUT"/>
    <s v="847010606 - PRICILA MOREIRA DOS SANTOS"/>
    <n v="11325.46052120567"/>
    <n v="7527.239999999998"/>
    <n v="0.66462992704853585"/>
    <n v="7765.1400000000021"/>
    <n v="0.68563569538392166"/>
    <s v="ATIVO"/>
    <s v="Sim"/>
    <s v="NÃO"/>
    <s v="Comprou Marcas"/>
    <s v="SIM"/>
    <m/>
    <m/>
    <m/>
  </r>
  <r>
    <n v="33019679000110"/>
    <x v="1"/>
    <m/>
    <s v="FARMACIAS DESCONTO FACIL"/>
    <s v="TANGARA DA SERRA"/>
    <x v="0"/>
    <s v="ECONOMIZE RONDONOPOLIS"/>
    <s v="SELL IN"/>
    <s v="847010604 - LEONARDO MAZZUCO"/>
    <n v="11566.402857489575"/>
    <n v="4148.7600000000011"/>
    <n v="0.35869060166044286"/>
    <n v="5699.27"/>
    <n v="0.49274351500817398"/>
    <s v="TERMO DEVOLVIDO"/>
    <s v="Não"/>
    <s v="SIM"/>
    <s v="Comprou Marcas"/>
    <s v="SIM"/>
    <m/>
    <m/>
    <m/>
  </r>
  <r>
    <n v="14132723000230"/>
    <x v="2"/>
    <m/>
    <s v="FUZAFARMA"/>
    <s v="NAVIRAI"/>
    <x v="1"/>
    <s v="DSG FARMA"/>
    <s v="SELL IN"/>
    <s v="847010601 - RAFAEL DE OLIVEIRA NASCIMENTO"/>
    <n v="14038.39729459507"/>
    <n v="12420.799999999997"/>
    <n v="0.88477336403509077"/>
    <n v="9806.6999999999989"/>
    <n v="0.69856264886987351"/>
    <s v="ATIVO"/>
    <s v="Sim"/>
    <s v="SIM"/>
    <s v="Comprou Marcas"/>
    <s v="SIM"/>
    <m/>
    <m/>
    <m/>
  </r>
  <r>
    <n v="35595811000167"/>
    <x v="1"/>
    <m/>
    <s v="FARMACIA FLOR DE MAIO"/>
    <s v="SINOP"/>
    <x v="0"/>
    <s v="INDEPENDENTES VIN"/>
    <s v="SELL IN"/>
    <s v="847010605 - ISABELA CAMILA CRUCCITTI"/>
    <n v="8236.3261613615305"/>
    <n v="384.38"/>
    <n v="4.666886576240916E-2"/>
    <n v="0"/>
    <n v="0"/>
    <s v="ATIVO"/>
    <s v="Sim"/>
    <s v="NÃO"/>
    <s v="Não Comprou"/>
    <s v="SIM"/>
    <n v="4"/>
    <m/>
    <m/>
  </r>
  <r>
    <n v="30960236000130"/>
    <x v="1"/>
    <m/>
    <s v="DROGARIA A MAIS POPULAR"/>
    <s v="SETE QUEDAS"/>
    <x v="1"/>
    <s v="INDEPENDENTES VIN"/>
    <s v="SELL IN"/>
    <s v="847010601 - RAFAEL DE OLIVEIRA NASCIMENTO"/>
    <n v="3288.3094681418461"/>
    <n v="1928.4000000000003"/>
    <n v="0.58644115424139143"/>
    <n v="451.95000000000005"/>
    <n v="0.13744144350725829"/>
    <s v="FORA SCANN"/>
    <s v="Não"/>
    <s v="SIM"/>
    <s v="Comprou Marcas"/>
    <s v="SIM"/>
    <m/>
    <m/>
    <m/>
  </r>
  <r>
    <n v="33019679000209"/>
    <x v="1"/>
    <m/>
    <s v="DROGARIAS FARMARELA"/>
    <s v="TANGARA DA SERRA"/>
    <x v="0"/>
    <s v="ECONOMIZE RONDONOPOLIS"/>
    <s v="SELL IN"/>
    <s v="847010604 - LEONARDO MAZZUCO"/>
    <n v="4998.5724604267298"/>
    <n v="2406.84"/>
    <n v="0.48150547362366886"/>
    <n v="2155.0099999999998"/>
    <n v="0.43112508962529389"/>
    <s v="TERMO DEVOLVIDO"/>
    <s v="Não"/>
    <s v="SIM"/>
    <s v="Comprou Marcas"/>
    <s v="SIM"/>
    <n v="1"/>
    <m/>
    <m/>
  </r>
  <r>
    <n v="33193160000153"/>
    <x v="1"/>
    <m/>
    <s v="FCIA BIOFARMA"/>
    <s v="AMAMBAI"/>
    <x v="1"/>
    <s v="ASSOCIADAS"/>
    <s v="SELL IN"/>
    <s v="847010601 - RAFAEL DE OLIVEIRA NASCIMENTO"/>
    <n v="4224.5038958684936"/>
    <n v="2945.06"/>
    <n v="0.69713747994888298"/>
    <n v="0"/>
    <n v="0"/>
    <s v="FORA SCANN"/>
    <s v="Não"/>
    <s v="SIM"/>
    <s v="Não Comprou"/>
    <s v="SIM"/>
    <m/>
    <m/>
    <m/>
  </r>
  <r>
    <n v="16735647000282"/>
    <x v="1"/>
    <m/>
    <s v="DROGARIA SANTA MARIA"/>
    <s v="TANGARA DA SERRA"/>
    <x v="0"/>
    <s v="INDEPENDENTES VIN"/>
    <s v="SELL IN"/>
    <s v="847010604 - LEONARDO MAZZUCO"/>
    <n v="1672.6892611244018"/>
    <n v="29.8"/>
    <n v="1.7815622239344134E-2"/>
    <n v="0"/>
    <n v="0"/>
    <s v="FORA SCANN"/>
    <s v="Não"/>
    <s v="NÃO"/>
    <s v="Não Comprou"/>
    <s v="NÃO"/>
    <m/>
    <m/>
    <m/>
  </r>
  <r>
    <n v="22054397000137"/>
    <x v="1"/>
    <m/>
    <s v="DROGARIA EVANGELICA"/>
    <s v="RIBEIRAO CASCALHEIRA"/>
    <x v="0"/>
    <s v="COMPRE BEM"/>
    <s v="SELL IN"/>
    <s v="847010606 - PRICILA MOREIRA DOS SANTOS"/>
    <n v="3095.4035332870135"/>
    <n v="2617.63"/>
    <n v="0.84565064678993085"/>
    <n v="0"/>
    <n v="0"/>
    <s v="FORA SCANN"/>
    <s v="Não"/>
    <s v="NÃO"/>
    <s v="Não Comprou"/>
    <s v="SIM"/>
    <m/>
    <m/>
    <m/>
  </r>
  <r>
    <n v="32641091000130"/>
    <x v="1"/>
    <m/>
    <s v="BIOFARDROGAS"/>
    <s v="PROMISSAO"/>
    <x v="2"/>
    <s v="BIOFARDROGAS"/>
    <s v="SELL IN"/>
    <s v="847010608 - VALTER PEREIRA DA SILVA JUNIOR"/>
    <n v="4038.2597437023901"/>
    <n v="1036.4399999999998"/>
    <n v="0.25665511031486116"/>
    <n v="0"/>
    <n v="0"/>
    <s v="ATIVO"/>
    <s v="Não"/>
    <s v="NÃO"/>
    <s v="Não Comprou"/>
    <s v="NÃO"/>
    <m/>
    <m/>
    <m/>
  </r>
  <r>
    <n v="55845358000107"/>
    <x v="1"/>
    <m/>
    <s v="DROGA SERV"/>
    <s v="PRESIDENTE PRUDENTE"/>
    <x v="2"/>
    <s v="MASTERFARMA"/>
    <s v="SELL IN"/>
    <s v="847010607 - MANUEL ARIEDE ARTERO"/>
    <n v="1733.0829608640965"/>
    <n v="827.09000000000015"/>
    <n v="0.47723624239408707"/>
    <n v="0"/>
    <n v="0"/>
    <s v="FORA SCANN"/>
    <s v="Não"/>
    <s v="NÃO"/>
    <s v="Não Comprou"/>
    <s v="NÃO"/>
    <m/>
    <m/>
    <m/>
  </r>
  <r>
    <n v="57338966000150"/>
    <x v="1"/>
    <m/>
    <s v="DROGARIAS BEM POPULAR BRASIL"/>
    <s v="TANGARA DA SERRA"/>
    <x v="0"/>
    <s v="COMPRE BEM"/>
    <s v="SELL IN"/>
    <s v="847010604 - LEONARDO MAZZUCO"/>
    <n v="893.70473724607905"/>
    <n v="289.68"/>
    <n v="0.32413389783815977"/>
    <n v="0"/>
    <n v="0"/>
    <s v="ATIVO"/>
    <s v="Sim"/>
    <s v="NÃO"/>
    <s v="Não Comprou"/>
    <s v="SIM"/>
    <m/>
    <m/>
    <m/>
  </r>
  <r>
    <n v="8029945000148"/>
    <x v="1"/>
    <m/>
    <s v="DROGARIA NOVA FORMULA"/>
    <s v="CLEMENTINA"/>
    <x v="2"/>
    <s v="DROGARIA TOTAL"/>
    <s v="SELL IN"/>
    <s v="847010608 - VALTER PEREIRA DA SILVA JUNIOR"/>
    <n v="13195.811985356415"/>
    <n v="10599.119999999999"/>
    <n v="0.80321847657135437"/>
    <n v="4312.8600000000006"/>
    <n v="0.3268355145394648"/>
    <s v="ATIVO"/>
    <s v="Sim"/>
    <s v="NÃO"/>
    <s v="Comprou Marcas"/>
    <s v="SIM"/>
    <n v="4"/>
    <m/>
    <m/>
  </r>
  <r>
    <n v="8298153000179"/>
    <x v="1"/>
    <m/>
    <s v="DROG MATO GROSSO"/>
    <s v="LUCAS DO RIO VERDE"/>
    <x v="0"/>
    <s v="INDEPENDENTES VIN"/>
    <s v="SELL IN"/>
    <s v="847010605 - ISABELA CAMILA CRUCCITTI"/>
    <n v="1343.4458856421841"/>
    <n v="767.24999999999989"/>
    <n v="0.57110599555950459"/>
    <n v="524.75000000000011"/>
    <n v="0.39060002759185419"/>
    <s v="FORA SCANN"/>
    <s v="Não"/>
    <s v="NÃO"/>
    <s v="Comprou Marcas"/>
    <s v="SIM"/>
    <m/>
    <m/>
    <m/>
  </r>
  <r>
    <n v="9447656000121"/>
    <x v="1"/>
    <m/>
    <s v="POSTO DE MEDICAMENTOS NIAGARA"/>
    <s v="SAO JOSE DO POVO"/>
    <x v="0"/>
    <s v="ASSOCIADAS"/>
    <s v="SELL IN"/>
    <s v="847010603 - ERIVALDO DA SILVA MACIEL"/>
    <n v="2213.5782668646507"/>
    <n v="894.38999999999987"/>
    <n v="0.40404715450465134"/>
    <n v="137.85"/>
    <n v="6.2274735013211457E-2"/>
    <s v="FORA SCANN"/>
    <s v="Não"/>
    <s v="SIM"/>
    <s v="Comprou Marcas"/>
    <s v="NÃO"/>
    <m/>
    <m/>
    <m/>
  </r>
  <r>
    <n v="1770218000198"/>
    <x v="1"/>
    <m/>
    <s v="FARMACIA VIDEIRA"/>
    <s v="VALPARAISO"/>
    <x v="2"/>
    <s v="MULTIDROGAS"/>
    <s v="SELL IN"/>
    <s v="847010608 - VALTER PEREIRA DA SILVA JUNIOR"/>
    <n v="5749.905993469868"/>
    <n v="1838.4400000000003"/>
    <n v="0.31973392296985464"/>
    <n v="176.63000000000002"/>
    <n v="3.0718763089448351E-2"/>
    <s v="TERMO DEVOLVIDO"/>
    <s v="Não"/>
    <s v="SIM"/>
    <s v="Comprou Marcas"/>
    <s v="NÃO"/>
    <m/>
    <m/>
    <m/>
  </r>
  <r>
    <n v="2021988000109"/>
    <x v="1"/>
    <m/>
    <s v="FARMACIA DO JOAO E DROGARIA"/>
    <s v="AGUA CLARA"/>
    <x v="1"/>
    <s v="INDEPENDENTES VIN"/>
    <s v="SELL IN"/>
    <s v="847010602 - WELLINGTON DE MORAIS DO NASCIMENTO"/>
    <n v="613.53326523484054"/>
    <n v="405.59000000000003"/>
    <n v="0.6610725497414609"/>
    <n v="0"/>
    <n v="0"/>
    <s v="FORA SCANN"/>
    <s v="Não"/>
    <s v="NÃO"/>
    <s v="Não Comprou"/>
    <s v="NÃO"/>
    <m/>
    <m/>
    <m/>
  </r>
  <r>
    <n v="2440068000206"/>
    <x v="1"/>
    <m/>
    <s v="FARMACIA ECONOMIZE"/>
    <s v="BARRA DO BUGRES"/>
    <x v="0"/>
    <s v="ECONOMIZE RONDONOPOLIS"/>
    <s v="SELL IN"/>
    <s v="847010604 - LEONARDO MAZZUCO"/>
    <n v="14495.808018265252"/>
    <n v="5635.35"/>
    <n v="0.38875721814880909"/>
    <n v="4784.08"/>
    <n v="0.33003196468743812"/>
    <s v="TERMO DEVOLVIDO"/>
    <s v="Não"/>
    <s v="SIM"/>
    <s v="Comprou Marcas"/>
    <s v="SIM"/>
    <m/>
    <m/>
    <m/>
  </r>
  <r>
    <n v="4834843001620"/>
    <x v="4"/>
    <m/>
    <s v="FARMACIA SANTA CATARINA DE PRESIDENTE PRUDENTE"/>
    <s v="TEODORO SAMPAIO"/>
    <x v="2"/>
    <s v="REDE SANTA CATARINA"/>
    <s v="SELL IN"/>
    <s v="847010607 - MANUEL ARIEDE ARTERO"/>
    <n v="7244.006867904327"/>
    <n v="6952.6"/>
    <n v="0.95977269579968938"/>
    <n v="6114.76"/>
    <n v="0.84411294902167655"/>
    <s v="ATIVO"/>
    <s v="Sim"/>
    <s v="NÃO"/>
    <s v="Comprou Marcas e SG"/>
    <s v="SIM"/>
    <m/>
    <m/>
    <m/>
  </r>
  <r>
    <n v="5382051000149"/>
    <x v="1"/>
    <m/>
    <s v="FARMA REAL"/>
    <s v="DOURADOS"/>
    <x v="1"/>
    <s v="ASSOCIADAS"/>
    <s v="SELL IN"/>
    <s v="847010601 - RAFAEL DE OLIVEIRA NASCIMENTO"/>
    <n v="3924.3133275495547"/>
    <n v="2997.7799999999997"/>
    <n v="0.76389924804294185"/>
    <n v="2514.2300000000005"/>
    <n v="0.64068023884574787"/>
    <s v="FORA SCANN"/>
    <s v="Não"/>
    <s v="SIM"/>
    <s v="Comprou Marcas"/>
    <s v="SIM"/>
    <m/>
    <m/>
    <m/>
  </r>
  <r>
    <n v="13475688000108"/>
    <x v="1"/>
    <m/>
    <s v="FARMACIA FLOR DE LIS"/>
    <s v="PORTO ESPERIDIAO"/>
    <x v="0"/>
    <s v="ECONOMIZE RONDONOPOLIS"/>
    <s v="SELL IN"/>
    <s v="847010603 - ERIVALDO DA SILVA MACIEL"/>
    <n v="2548.4112439938481"/>
    <n v="148.63"/>
    <n v="5.8322611921562684E-2"/>
    <n v="0"/>
    <n v="0"/>
    <s v="FORA SCANN"/>
    <s v="Não"/>
    <s v="NÃO"/>
    <s v="Não Comprou"/>
    <s v="NÃO"/>
    <m/>
    <m/>
    <m/>
  </r>
  <r>
    <n v="16042681000190"/>
    <x v="1"/>
    <m/>
    <s v="FCIA INOFARMA"/>
    <s v="INOCENCIA"/>
    <x v="1"/>
    <s v="INDEPENDENTES VIN"/>
    <s v="SELL IN"/>
    <s v="847010608 - VALTER PEREIRA DA SILVA JUNIOR"/>
    <n v="4681.8195339454387"/>
    <n v="2258.6100000000006"/>
    <n v="0.48242141407288214"/>
    <n v="951.63000000000011"/>
    <n v="0.20326071799654513"/>
    <s v="FORA SCANN"/>
    <s v="Não"/>
    <s v="NÃO"/>
    <s v="Comprou Marcas"/>
    <s v="SIM"/>
    <m/>
    <m/>
    <m/>
  </r>
  <r>
    <n v="16925842000194"/>
    <x v="1"/>
    <m/>
    <s v="DROGA LIDER"/>
    <s v="PARANAIBA"/>
    <x v="1"/>
    <s v="MASTERFARMA"/>
    <s v="SELL IN"/>
    <s v="847010608 - VALTER PEREIRA DA SILVA JUNIOR"/>
    <n v="1930.9378077951558"/>
    <n v="1088.21"/>
    <n v="0.56356553567231371"/>
    <n v="243.66999999999996"/>
    <n v="0.1261925676820399"/>
    <s v="TERMO DEVOLVIDO"/>
    <s v="Não"/>
    <s v="SIM"/>
    <s v="Comprou Marcas"/>
    <s v="NÃO"/>
    <m/>
    <m/>
    <m/>
  </r>
  <r>
    <n v="17241854000162"/>
    <x v="1"/>
    <n v="116557"/>
    <s v="NAIARA BELON DE ALBUQUERQUE CARNIATO - DROGARIA"/>
    <s v="SANTO ANASTACIO"/>
    <x v="2"/>
    <s v="FARMAIS"/>
    <s v="SELL IN"/>
    <s v="847010607 - MANUEL ARIEDE ARTERO"/>
    <n v="28247.564316245564"/>
    <n v="15086.58"/>
    <n v="0.53408427824424842"/>
    <n v="12283.670000000002"/>
    <n v="0.43485766993848363"/>
    <s v="ATIVO"/>
    <s v="Sim"/>
    <s v="NÃO"/>
    <s v="Comprou Marcas e SG"/>
    <s v="SIM"/>
    <n v="4"/>
    <m/>
    <m/>
  </r>
  <r>
    <n v="18645755000532"/>
    <x v="3"/>
    <m/>
    <s v="DROGARIA ULTRA POPULAR DE AGUA BOA"/>
    <s v="AGUA BOA"/>
    <x v="0"/>
    <s v="FARMARCAS"/>
    <s v="SELL OUT"/>
    <s v="847010606 - PRICILA MOREIRA DOS SANTOS"/>
    <n v="1948.9473959941192"/>
    <n v="1847.1200000000006"/>
    <n v="0.94775261959177792"/>
    <n v="1243.1600000000001"/>
    <n v="0.63786226480776254"/>
    <s v="ATIVO"/>
    <s v="Sim"/>
    <s v="NÃO"/>
    <s v="Comprou Marcas"/>
    <m/>
    <m/>
    <m/>
    <m/>
  </r>
  <r>
    <n v="12741296000180"/>
    <x v="1"/>
    <m/>
    <s v="ASTOLFI DROGARIA"/>
    <s v="PROMISSAO"/>
    <x v="2"/>
    <s v="HIPER SAUDE"/>
    <s v="SELL IN"/>
    <s v="847010608 - VALTER PEREIRA DA SILVA JUNIOR"/>
    <n v="3681.9848483465744"/>
    <n v="1309.0100000000002"/>
    <n v="0.35551748687608586"/>
    <n v="361.34000000000003"/>
    <n v="9.8137285970164356E-2"/>
    <s v="TERMO DEVOLVIDO"/>
    <s v="Não"/>
    <s v="NÃO"/>
    <s v="Comprou Marcas e SG"/>
    <s v="SIM"/>
    <m/>
    <m/>
    <m/>
  </r>
  <r>
    <n v="57259868000128"/>
    <x v="1"/>
    <m/>
    <s v="TRIUNFO FARMACIAS"/>
    <s v="TEODORO SAMPAIO"/>
    <x v="2"/>
    <s v="INDEPENDENTES VIN"/>
    <s v="SELL IN"/>
    <s v="847010607 - MANUEL ARIEDE ARTERO"/>
    <n v="1557.1122690860825"/>
    <n v="1042.9499999999998"/>
    <n v="0.66979756097621623"/>
    <n v="246.82"/>
    <n v="0.15851137063152571"/>
    <s v="FORA SCANN"/>
    <s v="Não"/>
    <s v="NÃO"/>
    <s v="Comprou Marcas"/>
    <s v="NÃO"/>
    <m/>
    <m/>
    <m/>
  </r>
  <r>
    <n v="54297138000123"/>
    <x v="1"/>
    <m/>
    <s v="SCALLA PRODUTOS MEDICOS E HOSPITALARES"/>
    <s v="CAMPO GRANDE"/>
    <x v="1"/>
    <s v="INDEPENDENTES VIN"/>
    <s v="SELL IN"/>
    <s v="847010602 - WELLINGTON DE MORAIS DO NASCIMENTO"/>
    <n v="3670.8603949917547"/>
    <n v="681.00999999999988"/>
    <n v="0.18551781509564313"/>
    <n v="335.71"/>
    <n v="9.1452674271682299E-2"/>
    <s v="FORA SCANN"/>
    <s v="Não"/>
    <s v="NÃO"/>
    <s v="Comprou Marcas"/>
    <s v="SIM"/>
    <m/>
    <m/>
    <m/>
  </r>
  <r>
    <n v="23566528000128"/>
    <x v="1"/>
    <m/>
    <s v="NOVA PHARMA"/>
    <s v="IVINHEMA"/>
    <x v="1"/>
    <s v="MASTERFARMA"/>
    <s v="SELL IN"/>
    <s v="847010601 - RAFAEL DE OLIVEIRA NASCIMENTO"/>
    <n v="4552.2196156872324"/>
    <n v="2092.2399999999998"/>
    <n v="0.45960875718517852"/>
    <n v="0"/>
    <n v="0"/>
    <s v="TERMO DEVOLVIDO"/>
    <s v="Não"/>
    <s v="SIM"/>
    <s v="Não Comprou"/>
    <s v="NÃO"/>
    <m/>
    <m/>
    <m/>
  </r>
  <r>
    <n v="26495088000153"/>
    <x v="1"/>
    <m/>
    <s v="DROGARIA EXTRA POPULAR"/>
    <s v="BARRA DO GARCAS"/>
    <x v="0"/>
    <s v="MASTERFARMA"/>
    <s v="SELL IN"/>
    <s v="847010606 - PRICILA MOREIRA DOS SANTOS"/>
    <n v="2825.1883665619689"/>
    <n v="1424.6700000000003"/>
    <n v="0.50427434038096053"/>
    <n v="764.00000000000011"/>
    <n v="0.27042444639885294"/>
    <s v="ATIVO"/>
    <s v="Sim"/>
    <s v="NÃO"/>
    <s v="Comprou Marcas"/>
    <s v="NÃO"/>
    <m/>
    <m/>
    <m/>
  </r>
  <r>
    <n v="27377243000280"/>
    <x v="5"/>
    <m/>
    <s v="DROGARIA TALHAMARES II"/>
    <s v="CACERES"/>
    <x v="0"/>
    <s v="INDEPENDENTES VIN"/>
    <s v="SELL IN"/>
    <s v="847010603 - ERIVALDO DA SILVA MACIEL"/>
    <n v="1930.5423440592913"/>
    <n v="583.54"/>
    <n v="0.30226739226709143"/>
    <n v="249.20999999999998"/>
    <n v="0.12908807764143307"/>
    <s v="FORA SCANN"/>
    <s v="Não"/>
    <s v="SIM"/>
    <s v="Comprou Marcas"/>
    <s v="NÃO"/>
    <m/>
    <m/>
    <m/>
  </r>
  <r>
    <n v="33780608000135"/>
    <x v="1"/>
    <m/>
    <s v="DORGA NOSSA"/>
    <s v="JUINA"/>
    <x v="0"/>
    <s v="INDEPENDENTES VIN"/>
    <s v="SELL IN"/>
    <s v="847010604 - LEONARDO MAZZUCO"/>
    <n v="7404.956944185963"/>
    <n v="4020.5000000000005"/>
    <n v="0.54294711371100068"/>
    <n v="3203.74"/>
    <n v="0.43264802538999653"/>
    <s v="FORA SCANN"/>
    <s v="Não"/>
    <s v="NÃO"/>
    <s v="Comprou Marcas"/>
    <s v="NÃO"/>
    <m/>
    <m/>
    <m/>
  </r>
  <r>
    <n v="40727407000130"/>
    <x v="1"/>
    <m/>
    <s v="REDE POPULAR DROGA10"/>
    <s v="CAMPO GRANDE"/>
    <x v="1"/>
    <s v="DROGA 10"/>
    <s v="SELL IN"/>
    <s v="847010602 - WELLINGTON DE MORAIS DO NASCIMENTO"/>
    <n v="5005.1363445213401"/>
    <n v="2213.8099999999995"/>
    <n v="0.44230763112442534"/>
    <n v="1837.54"/>
    <n v="0.36713085788589656"/>
    <s v="FORA SCANN"/>
    <s v="Não"/>
    <s v="NÃO"/>
    <s v="Comprou Marcas"/>
    <s v="SIM"/>
    <m/>
    <m/>
    <m/>
  </r>
  <r>
    <n v="23339848000145"/>
    <x v="1"/>
    <m/>
    <s v="DROGARIA PRIMAVERAS"/>
    <s v="SINOP"/>
    <x v="0"/>
    <s v="MASTERFARMA"/>
    <s v="SELL IN"/>
    <s v="847010605 - ISABELA CAMILA CRUCCITTI"/>
    <n v="6457.723493575746"/>
    <n v="1762.3899999999999"/>
    <n v="0.27291196375212651"/>
    <n v="0"/>
    <n v="0"/>
    <s v="FORA SCANN"/>
    <s v="Não"/>
    <s v="NÃO"/>
    <s v="Não Comprou"/>
    <s v="SIM"/>
    <m/>
    <m/>
    <m/>
  </r>
  <r>
    <n v="24217601000119"/>
    <x v="1"/>
    <m/>
    <s v="DROGARIA MAIS POPULAR"/>
    <s v="NIOAQUE"/>
    <x v="1"/>
    <s v="INDEPENDENTES VIN"/>
    <s v="SELL IN"/>
    <s v="847010601 - RAFAEL DE OLIVEIRA NASCIMENTO"/>
    <n v="2287.1676453714549"/>
    <n v="420.67"/>
    <n v="0.18392617648789786"/>
    <n v="0"/>
    <n v="0"/>
    <m/>
    <m/>
    <m/>
    <s v="Não Comprou"/>
    <m/>
    <m/>
    <m/>
    <m/>
  </r>
  <r>
    <n v="18645755000451"/>
    <x v="3"/>
    <m/>
    <s v="DROGARIA ULTRA POPULAR DE AGUA BOA"/>
    <s v="AGUA BOA"/>
    <x v="0"/>
    <s v="FARMARCAS"/>
    <s v="SELL OUT"/>
    <s v="847010606 - PRICILA MOREIRA DOS SANTOS"/>
    <n v="7952.184537424223"/>
    <n v="5183.0200000000004"/>
    <n v="0.65177310405812372"/>
    <n v="1422.0700000000002"/>
    <n v="0.17882759049510441"/>
    <s v="ATIVO"/>
    <s v="Sim"/>
    <s v="NÃO"/>
    <s v="Comprou Marcas"/>
    <s v="SIM"/>
    <m/>
    <m/>
    <n v="1"/>
  </r>
  <r>
    <n v="26543256000139"/>
    <x v="1"/>
    <m/>
    <s v="FCIA DROGACITY"/>
    <s v="CAMPO NOVO DO PARECIS"/>
    <x v="0"/>
    <s v="INDEPENDENTES VIN"/>
    <s v="SELL IN"/>
    <s v="847010604 - LEONARDO MAZZUCO"/>
    <n v="4287.1738088201291"/>
    <n v="1954.2600000000002"/>
    <n v="0.455838761652127"/>
    <n v="0"/>
    <n v="0"/>
    <s v="FORA SCANN"/>
    <s v="Não"/>
    <s v="NÃO"/>
    <s v="Não Comprou"/>
    <s v="NÃO"/>
    <m/>
    <m/>
    <m/>
  </r>
  <r>
    <n v="18645755000290"/>
    <x v="3"/>
    <m/>
    <s v="DROGARIA ULTRA POPULAR DE AGUA BOA"/>
    <s v="AGUA BOA"/>
    <x v="0"/>
    <s v="FARMARCAS"/>
    <s v="SELL OUT"/>
    <s v="847010606 - PRICILA MOREIRA DOS SANTOS"/>
    <n v="8121.0710117034705"/>
    <n v="5033.2999999999984"/>
    <n v="0.61978278391438624"/>
    <n v="3722.21"/>
    <n v="0.45833979220669707"/>
    <s v="TERMO DEVOLVIDO"/>
    <s v="Não"/>
    <s v="SIM"/>
    <s v="Comprou Marcas"/>
    <s v="SIM"/>
    <m/>
    <n v="6"/>
    <m/>
  </r>
  <r>
    <n v="28800059000264"/>
    <x v="6"/>
    <m/>
    <s v="FARMACIA + ECONOMICA"/>
    <s v="CORUMBA"/>
    <x v="1"/>
    <s v="INDEPENDENTES VIN"/>
    <s v="SELL IN"/>
    <s v="847010602 - WELLINGTON DE MORAIS DO NASCIMENTO"/>
    <n v="43987.164135477266"/>
    <n v="45185.389999999978"/>
    <n v="1.0272403526818019"/>
    <n v="39706.410000000018"/>
    <n v="0.90268174319460937"/>
    <s v="ATIVO"/>
    <s v="Sim"/>
    <s v="NÃO"/>
    <s v="Comprou Marcas e SG"/>
    <s v="SIM"/>
    <m/>
    <m/>
    <m/>
  </r>
  <r>
    <n v="29946302000139"/>
    <x v="1"/>
    <m/>
    <s v="DROGA CERTA"/>
    <s v="AGUA BOA"/>
    <x v="0"/>
    <s v="ASSOCIADAS"/>
    <s v="SELL IN"/>
    <s v="847010606 - PRICILA MOREIRA DOS SANTOS"/>
    <n v="13885.647937435746"/>
    <n v="7235.8600000000006"/>
    <n v="0.52110351872685046"/>
    <n v="0"/>
    <n v="0"/>
    <s v="ATIVO"/>
    <s v="Não"/>
    <s v="NÃO"/>
    <s v="Não Comprou"/>
    <s v="SIM"/>
    <m/>
    <m/>
    <m/>
  </r>
  <r>
    <n v="30890084000147"/>
    <x v="1"/>
    <m/>
    <s v="FARMACIA AVENIDA"/>
    <s v="DEODAPOLIS"/>
    <x v="1"/>
    <s v="INDEPENDENTES VIN"/>
    <s v="SELL IN"/>
    <s v="847010601 - RAFAEL DE OLIVEIRA NASCIMENTO"/>
    <n v="1950.1240156776253"/>
    <n v="859.81999999999994"/>
    <n v="0.44090529273402718"/>
    <n v="211.91"/>
    <n v="0.10866488402603766"/>
    <s v="FORA SCANN"/>
    <s v="Não"/>
    <s v="NÃO"/>
    <s v="Comprou Marcas"/>
    <s v="NÃO"/>
    <m/>
    <m/>
    <m/>
  </r>
  <r>
    <n v="2440068000117"/>
    <x v="1"/>
    <m/>
    <s v="DROGARIA DENISE"/>
    <s v="DENISE"/>
    <x v="0"/>
    <s v="ECONOMIZE RONDONOPOLIS"/>
    <s v="SELL IN"/>
    <s v="847010604 - LEONARDO MAZZUCO"/>
    <n v="7696.4296002099491"/>
    <n v="4565.5399999999991"/>
    <n v="0.5932023336997011"/>
    <n v="4148.0200000000004"/>
    <n v="0.53895380266803816"/>
    <s v="TERMO DEVOLVIDO"/>
    <s v="Não"/>
    <s v="SIM"/>
    <s v="Comprou Marcas"/>
    <s v="SIM"/>
    <m/>
    <m/>
    <m/>
  </r>
  <r>
    <n v="3070289000103"/>
    <x v="1"/>
    <m/>
    <s v="FCIA ALTERNATIVA"/>
    <s v="SELVIRIA"/>
    <x v="1"/>
    <s v="HIPER SAUDE"/>
    <s v="SELL IN"/>
    <s v="847010608 - VALTER PEREIRA DA SILVA JUNIOR"/>
    <n v="6754.0239694625525"/>
    <n v="2951.86"/>
    <n v="0.43705204680149995"/>
    <n v="314.10000000000002"/>
    <n v="4.6505609310858627E-2"/>
    <s v="ATIVO"/>
    <s v="Não"/>
    <s v="NÃO"/>
    <s v="Comprou Marcas"/>
    <s v="NÃO"/>
    <m/>
    <m/>
    <m/>
  </r>
  <r>
    <n v="4972853000308"/>
    <x v="7"/>
    <m/>
    <s v="FARMACIA MADEIRA"/>
    <s v="SINOP"/>
    <x v="0"/>
    <s v="REDE MADEIRA"/>
    <s v="SELL IN"/>
    <s v="847010605 - ISABELA CAMILA CRUCCITTI"/>
    <n v="27410.243024066564"/>
    <n v="22663.419999999995"/>
    <n v="0.82682302306116751"/>
    <n v="20330.37000000001"/>
    <n v="0.74170703200805888"/>
    <s v="FORA SCANN"/>
    <s v="Não"/>
    <s v="SIM"/>
    <s v="Comprou Marcas e SG"/>
    <s v="SIM"/>
    <n v="4"/>
    <n v="3"/>
    <n v="6"/>
  </r>
  <r>
    <n v="4993223000158"/>
    <x v="1"/>
    <m/>
    <s v="DROGARIA POUPE JA - MAX FARMA"/>
    <s v="CAMPO NOVO DO PARECIS"/>
    <x v="0"/>
    <s v="INDEPENDENTES VIN"/>
    <s v="SELL IN"/>
    <s v="847010604 - LEONARDO MAZZUCO"/>
    <n v="11342.616727649192"/>
    <n v="5945.0499999999984"/>
    <n v="0.52413390514272773"/>
    <n v="5082.5800000000008"/>
    <n v="0.44809589550976464"/>
    <s v="FORA SCANN"/>
    <s v="Não"/>
    <s v="SIM"/>
    <s v="Comprou Marcas"/>
    <s v="SIM"/>
    <n v="2"/>
    <n v="2"/>
    <n v="2"/>
  </r>
  <r>
    <n v="5015978000140"/>
    <x v="1"/>
    <m/>
    <s v="FCIA MARLEY ZEILINGER"/>
    <s v="NOVA ANDRADINA"/>
    <x v="1"/>
    <s v="ASSOCIADAS"/>
    <s v="SELL IN"/>
    <s v="847010601 - RAFAEL DE OLIVEIRA NASCIMENTO"/>
    <n v="782.84146822178809"/>
    <n v="343.86"/>
    <n v="0.43924602101249505"/>
    <n v="0"/>
    <n v="0"/>
    <s v="FORA SCANN"/>
    <s v="Não"/>
    <s v="NÃO"/>
    <s v="Não Comprou"/>
    <s v="SIM"/>
    <m/>
    <m/>
    <m/>
  </r>
  <r>
    <n v="5051579000135"/>
    <x v="1"/>
    <m/>
    <s v="FARMACIA FARMAMED"/>
    <s v="COXIM"/>
    <x v="1"/>
    <s v="INDEPENDENTES VIN"/>
    <s v="SELL IN"/>
    <s v="847010602 - WELLINGTON DE MORAIS DO NASCIMENTO"/>
    <n v="2930.2242486128953"/>
    <n v="377.9"/>
    <n v="0.12896623873715116"/>
    <n v="0"/>
    <n v="0"/>
    <m/>
    <m/>
    <m/>
    <s v="Não Comprou"/>
    <m/>
    <m/>
    <m/>
    <m/>
  </r>
  <r>
    <n v="569000000107"/>
    <x v="1"/>
    <m/>
    <s v="FARMACIA &amp; SAUDE"/>
    <s v="ITAPORA"/>
    <x v="1"/>
    <s v="DSG FARMA"/>
    <s v="SELL IN"/>
    <s v="847010601 - RAFAEL DE OLIVEIRA NASCIMENTO"/>
    <n v="2633.0300191240531"/>
    <n v="1599.0199999999998"/>
    <n v="0.60729273437298525"/>
    <n v="0"/>
    <n v="0"/>
    <s v="NÃO HOMOLOGADO"/>
    <s v="Não"/>
    <s v="NÃO"/>
    <s v="Não Comprou"/>
    <s v="NÃO"/>
    <m/>
    <m/>
    <m/>
  </r>
  <r>
    <n v="3492774000175"/>
    <x v="1"/>
    <m/>
    <s v="DROGARIA DO AIRTON"/>
    <s v="COXIM"/>
    <x v="1"/>
    <s v="MASTERFARMA"/>
    <s v="SELL IN"/>
    <s v="847010602 - WELLINGTON DE MORAIS DO NASCIMENTO"/>
    <n v="4634.0100702135915"/>
    <n v="800.98"/>
    <n v="0.17284813538678415"/>
    <n v="154.56"/>
    <n v="3.3353401839473343E-2"/>
    <s v="TERMO DEVOLVIDO"/>
    <s v="Não"/>
    <s v="NÃO"/>
    <s v="Comprou Marcas"/>
    <s v="SIM"/>
    <m/>
    <m/>
    <m/>
  </r>
  <r>
    <n v="3878763000128"/>
    <x v="1"/>
    <m/>
    <s v="DROGARIA PROGRESSO"/>
    <s v="MURUTINGA DO SUL"/>
    <x v="2"/>
    <s v="DROGARIA TOTAL"/>
    <s v="SELL IN"/>
    <s v="847010608 - VALTER PEREIRA DA SILVA JUNIOR"/>
    <n v="3898.7298780103702"/>
    <n v="2466.1200000000003"/>
    <n v="0.63254446375200779"/>
    <n v="1016.9899999999999"/>
    <n v="0.26085161881463764"/>
    <s v="ATIVO"/>
    <s v="Não"/>
    <s v="NÃO"/>
    <s v="Comprou Marcas"/>
    <s v="SIM"/>
    <m/>
    <m/>
    <m/>
  </r>
  <r>
    <n v="4834843000659"/>
    <x v="4"/>
    <m/>
    <s v="FARMACIA SANTA CATARINA DE PRESIDENTE PRUDENTE"/>
    <s v="QUATA"/>
    <x v="2"/>
    <s v="REDE SANTA CATARINA"/>
    <s v="SELL IN"/>
    <s v="847010607 - MANUEL ARIEDE ARTERO"/>
    <n v="10723.979410472793"/>
    <n v="4819.5600000000013"/>
    <n v="0.44941899042563704"/>
    <n v="4454.5300000000007"/>
    <n v="0.41538032007500952"/>
    <s v="ATIVO"/>
    <s v="Sim"/>
    <s v="NÃO"/>
    <s v="Comprou Marcas e SG"/>
    <s v="SIM"/>
    <m/>
    <m/>
    <m/>
  </r>
  <r>
    <n v="4924863000106"/>
    <x v="1"/>
    <m/>
    <s v="DROGARIAS ULTRAFORT POPULAR"/>
    <s v="RONDONOPOLIS"/>
    <x v="0"/>
    <s v="ASSOCIADAS"/>
    <s v="SELL IN"/>
    <s v="847010603 - ERIVALDO DA SILVA MACIEL"/>
    <n v="653.07817735526248"/>
    <n v="403.03000000000003"/>
    <n v="0.61712366754027848"/>
    <n v="137.85"/>
    <n v="0.21107733312762667"/>
    <s v="FORA SCANN"/>
    <s v="Não"/>
    <s v="NÃO"/>
    <s v="Comprou Marcas"/>
    <s v="NÃO"/>
    <m/>
    <m/>
    <m/>
  </r>
  <r>
    <n v="27377243000108"/>
    <x v="5"/>
    <m/>
    <s v="DROGARIA TALHAMARES"/>
    <s v="CACERES"/>
    <x v="0"/>
    <s v="INDEPENDENTES VIN"/>
    <s v="SELL IN"/>
    <s v="847010603 - ERIVALDO DA SILVA MACIEL"/>
    <n v="310.74975142988046"/>
    <n v="161.55000000000001"/>
    <n v="0.51987169501068187"/>
    <n v="137.85"/>
    <n v="0.44360453826816765"/>
    <s v="ATIVO"/>
    <s v="Não"/>
    <s v="NÃO"/>
    <s v="Comprou Marcas"/>
    <s v="NÃO"/>
    <m/>
    <m/>
    <m/>
  </r>
  <r>
    <n v="27704045000101"/>
    <x v="1"/>
    <m/>
    <s v="FARMACIA PRO VIDA"/>
    <s v="MIRASSOL D'OESTE"/>
    <x v="0"/>
    <s v="INDEPENDENTES VIN"/>
    <s v="SELL IN"/>
    <s v="847010603 - ERIVALDO DA SILVA MACIEL"/>
    <n v="731.8846996102385"/>
    <n v="189.4"/>
    <n v="0.25878393154121682"/>
    <n v="0"/>
    <n v="0"/>
    <s v="FORA SCANN"/>
    <s v="Não"/>
    <s v="NÃO"/>
    <s v="Não Comprou"/>
    <s v="NÃO"/>
    <m/>
    <m/>
    <m/>
  </r>
  <r>
    <n v="29630512000113"/>
    <x v="1"/>
    <m/>
    <s v="HIPER POPULAR"/>
    <s v="CUIABA"/>
    <x v="0"/>
    <s v="HIPER SAUDE"/>
    <s v="SELL IN"/>
    <s v="847010603 - ERIVALDO DA SILVA MACIEL"/>
    <n v="4081.9543917798301"/>
    <n v="2695.87"/>
    <n v="0.66043609047393981"/>
    <n v="137.85"/>
    <n v="3.3770588000101118E-2"/>
    <s v="FORA SCANN"/>
    <s v="Não"/>
    <s v="NÃO"/>
    <s v="Comprou Marcas"/>
    <s v="SIM"/>
    <m/>
    <m/>
    <m/>
  </r>
  <r>
    <n v="19651628000185"/>
    <x v="8"/>
    <m/>
    <s v="DROGARIA ULTRA POPULAR"/>
    <s v="SINOP"/>
    <x v="0"/>
    <s v="FARMARCAS"/>
    <s v="SELL OUT"/>
    <s v="847010605 - ISABELA CAMILA CRUCCITTI"/>
    <n v="10159.440018075791"/>
    <n v="5887.5300000000007"/>
    <n v="0.5795132398562165"/>
    <n v="7388.9399999999987"/>
    <n v="0.72729796001093694"/>
    <s v="ATIVO"/>
    <s v="Sim"/>
    <s v="NÃO"/>
    <s v="Comprou Marcas e SG"/>
    <s v="SIM"/>
    <m/>
    <m/>
    <m/>
  </r>
  <r>
    <n v="11411195000189"/>
    <x v="1"/>
    <m/>
    <s v="LC COMERCIO DE MED LTDA ME"/>
    <s v="CAMPO GRANDE"/>
    <x v="1"/>
    <s v="INDEPENDENTES VIN"/>
    <s v="SELL IN"/>
    <s v="847010602 - WELLINGTON DE MORAIS DO NASCIMENTO"/>
    <n v="3167.79131739267"/>
    <n v="1843.8799999999999"/>
    <n v="0.58207117049542634"/>
    <n v="1782.6899999999998"/>
    <n v="0.562754872839063"/>
    <s v="FORA SCANN"/>
    <s v="Não"/>
    <s v="NÃO"/>
    <s v="Comprou Marcas"/>
    <s v="NÃO"/>
    <m/>
    <m/>
    <m/>
  </r>
  <r>
    <n v="12476127000160"/>
    <x v="1"/>
    <m/>
    <s v="FARMA VIDA"/>
    <s v="INOCENCIA"/>
    <x v="1"/>
    <s v="MASTERFARMA"/>
    <s v="SELL IN"/>
    <s v="847010608 - VALTER PEREIRA DA SILVA JUNIOR"/>
    <n v="23154.949232804956"/>
    <n v="10693.58"/>
    <n v="0.4618269680699531"/>
    <n v="3857.6499999999992"/>
    <n v="0.16660153132768019"/>
    <s v="TERMO DEVOLVIDO"/>
    <s v="Não"/>
    <s v="SIM"/>
    <s v="Comprou Marcas"/>
    <s v="NÃO"/>
    <n v="2"/>
    <m/>
    <m/>
  </r>
  <r>
    <n v="19436791000206"/>
    <x v="9"/>
    <m/>
    <s v="DROGARIA ULTRA POPULAR"/>
    <s v="CAARAPO"/>
    <x v="1"/>
    <s v="FARMARCAS"/>
    <s v="SELL OUT"/>
    <s v="847010601 - RAFAEL DE OLIVEIRA NASCIMENTO"/>
    <n v="19428.138101137305"/>
    <n v="14499.77"/>
    <n v="0.7463283369985515"/>
    <n v="12283.959999999997"/>
    <n v="0.63227674911786358"/>
    <s v="ATIVO"/>
    <s v="Sim"/>
    <s v="NÃO"/>
    <s v="Comprou Marcas e SG"/>
    <s v="SIM"/>
    <m/>
    <m/>
    <m/>
  </r>
  <r>
    <n v="19671223000109"/>
    <x v="4"/>
    <m/>
    <s v="DROGARIA SANTA CATARINA"/>
    <s v="MARTINOPOLIS"/>
    <x v="2"/>
    <s v="REDE SANTA CATARINA"/>
    <s v="SELL IN"/>
    <s v="847010607 - MANUEL ARIEDE ARTERO"/>
    <n v="20020.363440446486"/>
    <n v="9972.61"/>
    <n v="0.49812332476705506"/>
    <n v="6122.5300000000016"/>
    <n v="0.30581512759308127"/>
    <s v="ATIVO"/>
    <s v="Sim"/>
    <s v="NÃO"/>
    <s v="Comprou Marcas"/>
    <s v="SIM"/>
    <n v="3"/>
    <m/>
    <m/>
  </r>
  <r>
    <n v="21206725000100"/>
    <x v="1"/>
    <m/>
    <s v="FARMA POPULAR"/>
    <s v="CUIABA"/>
    <x v="0"/>
    <s v="HIPER SAUDE"/>
    <s v="SELL IN"/>
    <s v="847010603 - ERIVALDO DA SILVA MACIEL"/>
    <n v="15423.846601623234"/>
    <n v="9196.6"/>
    <n v="0.59625852341089369"/>
    <n v="137.85"/>
    <n v="8.9374592188625895E-3"/>
    <s v="ATIVO"/>
    <s v="Não"/>
    <s v="NÃO"/>
    <s v="Comprou Marcas"/>
    <s v="SIM"/>
    <m/>
    <m/>
    <n v="1"/>
  </r>
  <r>
    <n v="34565893000215"/>
    <x v="10"/>
    <m/>
    <s v="ULTRAPOPULAR"/>
    <s v="CAMPO GRANDE"/>
    <x v="1"/>
    <s v="FARMARCAS"/>
    <s v="SELL OUT"/>
    <s v="847010602 - WELLINGTON DE MORAIS DO NASCIMENTO"/>
    <n v="2644.9200107252223"/>
    <n v="1989.7999999999997"/>
    <n v="0.7523100857233137"/>
    <n v="873.82"/>
    <n v="0.33037672082960401"/>
    <s v="ATIVO"/>
    <s v="Sim"/>
    <s v="NÃO"/>
    <s v="Comprou Marcas"/>
    <s v="SIM"/>
    <m/>
    <m/>
    <m/>
  </r>
  <r>
    <n v="45665886000120"/>
    <x v="1"/>
    <m/>
    <s v="DROGARIA BOM PRECO"/>
    <s v="ALTO GARCAS"/>
    <x v="0"/>
    <s v="ASSOCIADAS"/>
    <s v="SELL IN"/>
    <s v="847010606 - PRICILA MOREIRA DOS SANTOS"/>
    <n v="4915.2488927500717"/>
    <n v="1389.46"/>
    <n v="0.28268354875160756"/>
    <n v="134.41999999999999"/>
    <n v="2.7347546977380482E-2"/>
    <s v="ATIVO"/>
    <s v="Sim"/>
    <s v="NÃO"/>
    <s v="Comprou Marcas"/>
    <s v="SIM"/>
    <m/>
    <m/>
    <m/>
  </r>
  <r>
    <n v="47964776000195"/>
    <x v="1"/>
    <m/>
    <s v="DROGARIA POLO CENTRO"/>
    <s v="NOBRES"/>
    <x v="0"/>
    <s v="INDEPENDENTES VIN"/>
    <s v="SELL IN"/>
    <s v="847010603 - ERIVALDO DA SILVA MACIEL"/>
    <n v="6144.9412804426001"/>
    <n v="2301.0299999999997"/>
    <n v="0.37445923321081176"/>
    <n v="137.85"/>
    <n v="2.2433086616910864E-2"/>
    <s v="TERMO DEVOLVIDO"/>
    <s v="Não"/>
    <s v="NÃO"/>
    <s v="Comprou Marcas"/>
    <s v="SIM"/>
    <m/>
    <m/>
    <m/>
  </r>
  <r>
    <n v="48771512000188"/>
    <x v="1"/>
    <m/>
    <s v="DROGARIA TOTAL - SATO"/>
    <s v="PRESIDENTE PRUDENTE"/>
    <x v="2"/>
    <s v="DROGARIA TOTAL"/>
    <s v="SELL IN"/>
    <s v="847010607 - MANUEL ARIEDE ARTERO"/>
    <n v="2283.2352436436972"/>
    <n v="1427.79"/>
    <n v="0.62533635286807487"/>
    <n v="518.41999999999996"/>
    <n v="0.22705500952791893"/>
    <s v="ATIVO"/>
    <s v="Sim"/>
    <s v="NÃO"/>
    <s v="Comprou Marcas"/>
    <s v="SIM"/>
    <m/>
    <m/>
    <m/>
  </r>
  <r>
    <n v="48771964000160"/>
    <x v="1"/>
    <m/>
    <s v="DROGARIA ECONOMIA JURUMIRIM"/>
    <s v="CUIABA"/>
    <x v="0"/>
    <s v="ECONOMIZE RONDONOPOLIS"/>
    <s v="SELL IN"/>
    <s v="847010603 - ERIVALDO DA SILVA MACIEL"/>
    <n v="2701.3333607141117"/>
    <n v="770.26"/>
    <n v="0.28514066838325269"/>
    <n v="137.85"/>
    <n v="5.1030354862814348E-2"/>
    <s v="TERMO DEVOLVIDO"/>
    <s v="Não"/>
    <s v="SIM"/>
    <s v="Comprou Marcas"/>
    <s v="NÃO"/>
    <m/>
    <m/>
    <m/>
  </r>
  <r>
    <n v="48892332000154"/>
    <x v="1"/>
    <m/>
    <s v="DROGARIA HIPER POPULAR"/>
    <s v="PRIMAVERA DO LESTE"/>
    <x v="0"/>
    <s v="ASSOCIADAS"/>
    <s v="SELL IN"/>
    <s v="847010606 - PRICILA MOREIRA DOS SANTOS"/>
    <n v="2630.6135406137564"/>
    <n v="130.39999999999998"/>
    <n v="4.9570185048760887E-2"/>
    <n v="137.85"/>
    <n v="5.2402223995181671E-2"/>
    <s v="TERMO DEVOLVIDO"/>
    <s v="Não"/>
    <s v="SIM"/>
    <s v="Não Comprou"/>
    <s v="NÃO"/>
    <m/>
    <m/>
    <m/>
  </r>
  <r>
    <n v="34975101000108"/>
    <x v="1"/>
    <m/>
    <s v="FARMACIA MINI PRECO"/>
    <s v="CAMPO NOVO DO PARECIS"/>
    <x v="0"/>
    <s v="ASSOCIADAS"/>
    <s v="SELL IN"/>
    <s v="847010604 - LEONARDO MAZZUCO"/>
    <n v="4488.7591338650336"/>
    <n v="1916.55"/>
    <n v="0.42696654973994114"/>
    <n v="0"/>
    <n v="0"/>
    <s v="FORA SCANN"/>
    <s v="Não"/>
    <s v="NÃO"/>
    <s v="Não Comprou"/>
    <s v="NÃO"/>
    <m/>
    <m/>
    <m/>
  </r>
  <r>
    <n v="36728431000205"/>
    <x v="11"/>
    <m/>
    <s v="ULTRA MAX POPULAR"/>
    <s v="CAMPO GRANDE"/>
    <x v="1"/>
    <s v="FARMARCAS"/>
    <s v="SELL OUT"/>
    <s v="847010602 - WELLINGTON DE MORAIS DO NASCIMENTO"/>
    <n v="8814.396516952922"/>
    <n v="6039.86"/>
    <n v="0.68522671840135674"/>
    <n v="8249.14"/>
    <n v="0.93587121751718882"/>
    <s v="ATIVO"/>
    <s v="Sim"/>
    <s v="NÃO"/>
    <s v="Comprou Marcas"/>
    <s v="SIM"/>
    <m/>
    <m/>
    <m/>
  </r>
  <r>
    <n v="37489689000170"/>
    <x v="1"/>
    <m/>
    <s v="DROGACENTER"/>
    <s v="CANARANA"/>
    <x v="0"/>
    <s v="ASSOCIADAS"/>
    <s v="SELL IN"/>
    <s v="847010606 - PRICILA MOREIRA DOS SANTOS"/>
    <n v="601.71829391534982"/>
    <n v="983.38999999999987"/>
    <n v="1.6343029785601697"/>
    <n v="0"/>
    <n v="0"/>
    <s v="TERMO DEVOLVIDO"/>
    <s v="Não"/>
    <s v="NÃO"/>
    <s v="Não Comprou"/>
    <s v="SIM"/>
    <m/>
    <m/>
    <m/>
  </r>
  <r>
    <n v="3577994000282"/>
    <x v="1"/>
    <m/>
    <s v="ULTRAFARMA"/>
    <s v="PEIXOTO DE AZEVEDO"/>
    <x v="0"/>
    <s v="ASSOCIADAS"/>
    <s v="SELL IN"/>
    <s v="847010605 - ISABELA CAMILA CRUCCITTI"/>
    <n v="3673.1987321938732"/>
    <n v="1874.8399999999997"/>
    <n v="0.51041071738588539"/>
    <n v="2061.5499999999997"/>
    <n v="0.56124107359927899"/>
    <s v="ATIVO"/>
    <s v="Sim"/>
    <s v="NÃO"/>
    <s v="Comprou Marcas"/>
    <s v="SIM"/>
    <m/>
    <m/>
    <m/>
  </r>
  <r>
    <n v="3836752000185"/>
    <x v="1"/>
    <m/>
    <s v="FCIA FARMA"/>
    <s v="DOURADOS"/>
    <x v="1"/>
    <s v="ASSOCIADAS"/>
    <s v="SELL IN"/>
    <s v="847010601 - RAFAEL DE OLIVEIRA NASCIMENTO"/>
    <n v="7239.8632883610362"/>
    <n v="3427.8600000000006"/>
    <n v="0.47347026642211654"/>
    <n v="0"/>
    <n v="0"/>
    <s v="FORA SCANN"/>
    <s v="Não"/>
    <s v="SIM"/>
    <s v="Não Comprou"/>
    <s v="SIM"/>
    <m/>
    <m/>
    <m/>
  </r>
  <r>
    <n v="4564557000106"/>
    <x v="1"/>
    <m/>
    <s v="FARMAR"/>
    <s v="GUARARAPES"/>
    <x v="2"/>
    <s v="INDEPENDENTES VIN"/>
    <s v="SELL IN"/>
    <s v="847010608 - VALTER PEREIRA DA SILVA JUNIOR"/>
    <n v="2660.8150448173178"/>
    <n v="1514.1"/>
    <n v="0.5690361691802418"/>
    <n v="267.67"/>
    <n v="0.10059699584206812"/>
    <s v="ATIVO"/>
    <s v="Sim"/>
    <s v="NÃO"/>
    <s v="Comprou Marcas e SG"/>
    <s v="SIM"/>
    <m/>
    <m/>
    <m/>
  </r>
  <r>
    <n v="14511974000144"/>
    <x v="1"/>
    <m/>
    <s v="FARMALINE"/>
    <s v="CAMPO GRANDE"/>
    <x v="1"/>
    <s v="DSG FARMA"/>
    <s v="SELL IN"/>
    <s v="847010602 - WELLINGTON DE MORAIS DO NASCIMENTO"/>
    <n v="3945.0686839929949"/>
    <n v="1619.03"/>
    <n v="0.41039336186190334"/>
    <n v="0"/>
    <n v="0"/>
    <s v="NÃO HOMOLOGADO"/>
    <s v="Não"/>
    <s v="NÃO"/>
    <s v="Não Comprou"/>
    <s v="NÃO"/>
    <m/>
    <m/>
    <m/>
  </r>
  <r>
    <n v="4972853000499"/>
    <x v="7"/>
    <m/>
    <s v="FARMACIA MADEIRA"/>
    <s v="SINOP"/>
    <x v="0"/>
    <s v="REDE MADEIRA"/>
    <s v="SELL IN"/>
    <s v="847010605 - ISABELA CAMILA CRUCCITTI"/>
    <n v="4520.1129601150096"/>
    <n v="3922.4800000000005"/>
    <n v="0.86778362280136401"/>
    <n v="3181.6700000000005"/>
    <n v="0.70389170095409437"/>
    <s v="FORA SCANN"/>
    <s v="Não"/>
    <s v="SIM"/>
    <s v="Comprou Marcas e SG"/>
    <s v="SIM"/>
    <m/>
    <m/>
    <m/>
  </r>
  <r>
    <n v="4972853000812"/>
    <x v="7"/>
    <m/>
    <s v="FARMACIA MADEIRA"/>
    <s v="SINOP"/>
    <x v="0"/>
    <s v="REDE MADEIRA"/>
    <s v="SELL IN"/>
    <s v="847010605 - ISABELA CAMILA CRUCCITTI"/>
    <n v="44175.319068929399"/>
    <n v="34420.089999999997"/>
    <n v="0.77917015033422321"/>
    <n v="32194.909999999993"/>
    <n v="0.72879858433539202"/>
    <s v="FORA SCANN"/>
    <s v="Não"/>
    <s v="SIM"/>
    <s v="Comprou Marcas e SG"/>
    <s v="SIM"/>
    <n v="4"/>
    <m/>
    <n v="1"/>
  </r>
  <r>
    <n v="5674541000119"/>
    <x v="1"/>
    <m/>
    <s v="FCIA DROG VIDA"/>
    <s v="CASSILANDIA"/>
    <x v="1"/>
    <s v="ASSOCIADAS"/>
    <s v="SELL IN"/>
    <s v="847010608 - VALTER PEREIRA DA SILVA JUNIOR"/>
    <n v="3834.8720979186523"/>
    <n v="1915.83"/>
    <n v="0.49958119882011243"/>
    <n v="419.21"/>
    <n v="0.10931524945187168"/>
    <s v="FORA SCANN"/>
    <s v="Não"/>
    <s v="SIM"/>
    <s v="Comprou Marcas"/>
    <s v="SIM"/>
    <m/>
    <m/>
    <m/>
  </r>
  <r>
    <n v="531367000131"/>
    <x v="1"/>
    <m/>
    <s v="FARMAVIDA"/>
    <s v="NOVA ALVORADA DO SUL"/>
    <x v="1"/>
    <s v="FARMARCAS"/>
    <s v="SELL OUT"/>
    <s v="847010601 - RAFAEL DE OLIVEIRA NASCIMENTO"/>
    <n v="2510.5119527779052"/>
    <n v="1154.3700000000001"/>
    <n v="0.45981458033795808"/>
    <n v="996.67000000000007"/>
    <n v="0.39699870733424525"/>
    <s v="ATIVO"/>
    <s v="Sim"/>
    <s v="NÃO"/>
    <s v="Comprou Marcas"/>
    <s v="SIM"/>
    <m/>
    <m/>
    <m/>
  </r>
  <r>
    <n v="10309605000112"/>
    <x v="1"/>
    <m/>
    <s v="FARMAIS PARANAIBA"/>
    <s v="PARANAIBA"/>
    <x v="1"/>
    <s v="FARMAIS"/>
    <s v="SELL IN"/>
    <s v="847010608 - VALTER PEREIRA DA SILVA JUNIOR"/>
    <n v="13543.786136610917"/>
    <n v="6332.6200000000008"/>
    <n v="0.46756644974494715"/>
    <n v="6424.3000000000011"/>
    <n v="0.47433560565713151"/>
    <s v="FILA DE ATIVAÇÃO"/>
    <s v="Não"/>
    <s v="SIM"/>
    <s v="Comprou Marcas"/>
    <s v="SIM"/>
    <m/>
    <n v="1"/>
    <m/>
  </r>
  <r>
    <n v="19651628000347"/>
    <x v="8"/>
    <m/>
    <s v="DROGARIA ULTRA POPULAR"/>
    <s v="SINOP"/>
    <x v="0"/>
    <s v="FARMARCAS"/>
    <s v="SELL OUT"/>
    <s v="847010605 - ISABELA CAMILA CRUCCITTI"/>
    <n v="6265.4712192037787"/>
    <n v="2524.0199999999995"/>
    <n v="0.40284599700399776"/>
    <n v="3698.0099999999998"/>
    <n v="0.59022057090702684"/>
    <s v="ATIVO"/>
    <s v="Sim"/>
    <s v="NÃO"/>
    <s v="Comprou Marcas e SG"/>
    <s v="SIM"/>
    <m/>
    <m/>
    <m/>
  </r>
  <r>
    <n v="19651628000851"/>
    <x v="8"/>
    <m/>
    <s v="DROGARIAS ULTRA POPULAR"/>
    <s v="SINOP                                             "/>
    <x v="0"/>
    <s v="INDEPENDENTES VIN"/>
    <s v="SELL OUT"/>
    <s v="847010605 - ISABELA CAMILA CRUCCITTI"/>
    <n v="13.43852877"/>
    <n v="3677.8100000000013"/>
    <n v="273.67653579834553"/>
    <n v="67.540000000000006"/>
    <n v="5.0258477811034972"/>
    <m/>
    <m/>
    <m/>
    <s v="Comprou Marcas"/>
    <s v="SIM"/>
    <m/>
    <m/>
    <m/>
  </r>
  <r>
    <n v="10737685000450"/>
    <x v="12"/>
    <m/>
    <s v="FARMACIA GALENA MANIPULACAO DE FORMULAS"/>
    <s v="CACERES"/>
    <x v="0"/>
    <s v="ECONOMIZE RONDONOPOLIS"/>
    <s v="SELL IN"/>
    <s v="847010603 - ERIVALDO DA SILVA MACIEL"/>
    <n v="45368.032309507158"/>
    <n v="12157.66"/>
    <n v="0.26797856069795395"/>
    <n v="9603.6899999999969"/>
    <n v="0.21168407601375039"/>
    <s v="ATIVO"/>
    <s v="Sim"/>
    <s v="NÃO"/>
    <s v="Comprou Marcas"/>
    <s v="SIM"/>
    <n v="6"/>
    <m/>
    <n v="2"/>
  </r>
  <r>
    <n v="73399826000149"/>
    <x v="1"/>
    <m/>
    <s v="FARMACIA CRISTO REI LTDA-"/>
    <s v="CAMPO GRANDE"/>
    <x v="1"/>
    <s v="DSG FARMA"/>
    <s v="SELL IN"/>
    <s v="847010602 - WELLINGTON DE MORAIS DO NASCIMENTO"/>
    <n v="1089.3643341737318"/>
    <n v="184.82000000000002"/>
    <n v="0.1696585744568033"/>
    <n v="0"/>
    <n v="0"/>
    <s v="TERMO DEVOLVIDO"/>
    <s v="Não"/>
    <s v="SIM"/>
    <s v="Não Comprou"/>
    <s v="NÃO"/>
    <m/>
    <m/>
    <m/>
  </r>
  <r>
    <n v="22524747000181"/>
    <x v="1"/>
    <m/>
    <s v="FARMACIA SAO JOAO"/>
    <s v="PEDRO GOMES"/>
    <x v="1"/>
    <s v="ASSOCIADAS"/>
    <s v="SELL IN"/>
    <s v="847010602 - WELLINGTON DE MORAIS DO NASCIMENTO"/>
    <n v="9296.2182898952542"/>
    <n v="6319.4600000000009"/>
    <n v="0.6797882539902369"/>
    <n v="0"/>
    <n v="0"/>
    <m/>
    <m/>
    <m/>
    <s v="Não Comprou"/>
    <m/>
    <m/>
    <m/>
    <m/>
  </r>
  <r>
    <n v="24385511000137"/>
    <x v="1"/>
    <m/>
    <s v="FARMA LIFE"/>
    <s v="CAARAPO"/>
    <x v="1"/>
    <s v="INDEPENDENTES VIN"/>
    <s v="SELL IN"/>
    <s v="847010601 - RAFAEL DE OLIVEIRA NASCIMENTO"/>
    <n v="2153.7782084643354"/>
    <n v="1378.45"/>
    <n v="0.64001483280994298"/>
    <n v="0"/>
    <n v="0"/>
    <s v="FORA SCANN"/>
    <s v="Não"/>
    <s v="NÃO"/>
    <s v="Não Comprou"/>
    <s v="NÃO"/>
    <m/>
    <m/>
    <n v="1"/>
  </r>
  <r>
    <n v="26034403000145"/>
    <x v="1"/>
    <m/>
    <s v="REDES DROGARIAS ECONOMICAS"/>
    <s v="CUIABA"/>
    <x v="0"/>
    <s v="MASTERFARMA"/>
    <s v="SELL IN"/>
    <s v="847010603 - ERIVALDO DA SILVA MACIEL"/>
    <n v="2628.2879985005989"/>
    <n v="1604.7900000000004"/>
    <n v="0.61058377198979352"/>
    <n v="137.85"/>
    <n v="5.2448590138767695E-2"/>
    <s v="TERMO DEVOLVIDO"/>
    <s v="Não"/>
    <s v="SIM"/>
    <s v="Comprou Marcas"/>
    <s v="SIM"/>
    <m/>
    <m/>
    <m/>
  </r>
  <r>
    <n v="26661675000175"/>
    <x v="1"/>
    <m/>
    <s v="FARMACIA FARMA +"/>
    <s v="SORRISO"/>
    <x v="0"/>
    <s v="FARMA &amp; FARMA"/>
    <s v="SELL IN"/>
    <s v="847010605 - ISABELA CAMILA CRUCCITTI"/>
    <n v="16542.312373378587"/>
    <n v="7327.9100000000008"/>
    <n v="0.44297978629594426"/>
    <n v="7622.6800000000012"/>
    <n v="0.460798939588828"/>
    <s v="ATIVO"/>
    <s v="Sim"/>
    <s v="NÃO"/>
    <s v="Comprou Marcas"/>
    <s v="SIM"/>
    <m/>
    <m/>
    <m/>
  </r>
  <r>
    <n v="12881115000111"/>
    <x v="1"/>
    <m/>
    <s v="FARMA NOSSA"/>
    <s v="MIRASSOL D'OESTE"/>
    <x v="0"/>
    <s v="HIPER SAUDE"/>
    <s v="SELL IN"/>
    <s v="847010603 - ERIVALDO DA SILVA MACIEL"/>
    <n v="1769.943479186968"/>
    <n v="371.18"/>
    <n v="0.20971291138093479"/>
    <n v="0"/>
    <n v="0"/>
    <s v="ATIVO"/>
    <s v="Não"/>
    <s v="NÃO"/>
    <s v="Não Comprou"/>
    <s v="SIM"/>
    <m/>
    <m/>
    <m/>
  </r>
  <r>
    <n v="13412480000140"/>
    <x v="1"/>
    <m/>
    <s v="DROGARIA MED FARMA"/>
    <s v="ARAGARCAS"/>
    <x v="3"/>
    <s v="INDEPENDENTES VIN"/>
    <s v="SELL IN"/>
    <s v="847010606 - PRICILA MOREIRA DOS SANTOS"/>
    <n v="1492.017577893899"/>
    <n v="1346.1699999999998"/>
    <n v="0.90224808336388729"/>
    <n v="0"/>
    <n v="0"/>
    <s v="FORA SCANN"/>
    <s v="Não"/>
    <s v="NÃO"/>
    <s v="Não Comprou"/>
    <s v="SIM"/>
    <m/>
    <m/>
    <m/>
  </r>
  <r>
    <n v="14782944000172"/>
    <x v="1"/>
    <m/>
    <s v="DROGARIA MEGA POPULAR"/>
    <s v="TANGARA DA SERRA"/>
    <x v="0"/>
    <s v="INDEPENDENTES VIN"/>
    <s v="SELL IN"/>
    <s v="847010604 - LEONARDO MAZZUCO"/>
    <n v="2255.4714599977387"/>
    <n v="811.97"/>
    <n v="0.36000012166006928"/>
    <n v="796.58"/>
    <n v="0.35317671454853994"/>
    <s v="FORA SCANN"/>
    <s v="Não"/>
    <s v="NÃO"/>
    <s v="Comprou Marcas"/>
    <s v="SIM"/>
    <m/>
    <m/>
    <m/>
  </r>
  <r>
    <n v="15056307000181"/>
    <x v="1"/>
    <m/>
    <s v="FARMA VIDA"/>
    <s v="FLORIDA PAULISTA"/>
    <x v="2"/>
    <s v="REDE INOVA"/>
    <s v="SELL IN"/>
    <s v="847010607 - MANUEL ARIEDE ARTERO"/>
    <n v="3422.2466306673541"/>
    <n v="3203.5499999999997"/>
    <n v="0.9360955961772085"/>
    <n v="0"/>
    <n v="0"/>
    <m/>
    <m/>
    <m/>
    <s v="Não Comprou"/>
    <m/>
    <m/>
    <m/>
    <m/>
  </r>
  <r>
    <n v="15448038000107"/>
    <x v="1"/>
    <m/>
    <s v="FCIA BRASIL"/>
    <s v="ELDORADO"/>
    <x v="1"/>
    <s v="INDEPENDENTES VIN"/>
    <s v="SELL IN"/>
    <s v="847010601 - RAFAEL DE OLIVEIRA NASCIMENTO"/>
    <n v="3006.1930933430244"/>
    <n v="2252.77"/>
    <n v="0.74937634744374204"/>
    <n v="1048.96"/>
    <n v="0.34893300843609765"/>
    <s v="FORA SCANN"/>
    <s v="Não"/>
    <s v="NÃO"/>
    <s v="Comprou Marcas"/>
    <s v="SIM"/>
    <m/>
    <m/>
    <m/>
  </r>
  <r>
    <n v="35976688000124"/>
    <x v="1"/>
    <m/>
    <s v="DROGARIA AMERICAURILIA"/>
    <s v="VARZEA GRANDE"/>
    <x v="0"/>
    <s v="INDEPENDENTES VIN"/>
    <s v="SELL IN"/>
    <s v="847010603 - ERIVALDO DA SILVA MACIEL"/>
    <n v="1846.9604656784461"/>
    <n v="1255.69"/>
    <n v="0.67986836932037198"/>
    <n v="137.85"/>
    <n v="7.4636140059101588E-2"/>
    <s v="FORA SCANN"/>
    <s v="Não"/>
    <s v="NÃO"/>
    <s v="Comprou Marcas"/>
    <s v="NÃO"/>
    <m/>
    <m/>
    <m/>
  </r>
  <r>
    <n v="36728431000469"/>
    <x v="1"/>
    <m/>
    <s v="ABRE FARMA"/>
    <s v="CAMPO GRANDE"/>
    <x v="1"/>
    <s v="FARMARCAS"/>
    <s v="SELL OUT"/>
    <s v="847010602 - WELLINGTON DE MORAIS DO NASCIMENTO"/>
    <n v="3712.2664245732899"/>
    <n v="1334.8400000000004"/>
    <n v="0.3595754849824484"/>
    <n v="2283.61"/>
    <n v="0.61515250761197504"/>
    <s v="ATIVO"/>
    <s v="Sim"/>
    <s v="NÃO"/>
    <s v="Comprou Marcas"/>
    <s v="SIM"/>
    <m/>
    <m/>
    <m/>
  </r>
  <r>
    <n v="39350015000115"/>
    <x v="1"/>
    <m/>
    <s v="DROGARIA BEM POPULAR BRASIL"/>
    <s v="PONTES E LACERDA"/>
    <x v="0"/>
    <s v="COMPRE BEM"/>
    <s v="SELL IN"/>
    <s v="847010603 - ERIVALDO DA SILVA MACIEL"/>
    <n v="6350.2997404043235"/>
    <n v="4717.72"/>
    <n v="0.74291296361699344"/>
    <n v="0"/>
    <n v="0"/>
    <s v="TERMO DEVOLVIDO"/>
    <s v="Não"/>
    <s v="NÃO"/>
    <s v="Não Comprou"/>
    <s v="SIM"/>
    <n v="4"/>
    <m/>
    <m/>
  </r>
  <r>
    <n v="42162995000137"/>
    <x v="1"/>
    <m/>
    <s v="MAXIFARMA POPULAR"/>
    <s v="CAMPO GRANDE"/>
    <x v="1"/>
    <s v="ASSOCIADAS"/>
    <s v="SELL IN"/>
    <s v="847010602 - WELLINGTON DE MORAIS DO NASCIMENTO"/>
    <n v="3316.486914874476"/>
    <n v="2123.75"/>
    <n v="0.6403613385220851"/>
    <n v="889.92"/>
    <n v="0.26833213060745092"/>
    <s v="FORA SCANN"/>
    <s v="Não"/>
    <s v="NÃO"/>
    <s v="Comprou Marcas"/>
    <s v="NÃO"/>
    <m/>
    <m/>
    <m/>
  </r>
  <r>
    <n v="43533082000142"/>
    <x v="1"/>
    <m/>
    <s v="FARMACIA E DROGARIA XAVIER"/>
    <s v="ANDRADINA"/>
    <x v="2"/>
    <s v="INDEPENDENTES VIN"/>
    <s v="SELL IN"/>
    <s v="847010608 - VALTER PEREIRA DA SILVA JUNIOR"/>
    <n v="1559.9559594339769"/>
    <n v="3524.8999999999996"/>
    <n v="2.2596150735428417"/>
    <n v="0"/>
    <n v="0"/>
    <s v="FORA SCANN"/>
    <s v="Não"/>
    <s v="NÃO"/>
    <s v="Não Comprou"/>
    <s v="SIM"/>
    <n v="1"/>
    <m/>
    <n v="6"/>
  </r>
  <r>
    <n v="36728431000116"/>
    <x v="1"/>
    <m/>
    <s v="ULTRA MAX POPULAR"/>
    <s v="CAMPO GRANDE"/>
    <x v="1"/>
    <s v="FARMARCAS"/>
    <s v="SELL OUT"/>
    <s v="847010602 - WELLINGTON DE MORAIS DO NASCIMENTO"/>
    <n v="5339.5951158266034"/>
    <n v="3007.099999999999"/>
    <n v="0.56317004094316625"/>
    <n v="4730.1600000000008"/>
    <n v="0.88586491997862682"/>
    <s v="ATIVO"/>
    <s v="Sim"/>
    <s v="NÃO"/>
    <s v="Comprou Marcas"/>
    <s v="SIM"/>
    <m/>
    <m/>
    <m/>
  </r>
  <r>
    <n v="18096092000110"/>
    <x v="1"/>
    <m/>
    <s v="DROGAMED"/>
    <s v="SAO GABRIEL DO OESTE"/>
    <x v="1"/>
    <s v="ASSOCIADAS"/>
    <s v="SELL IN"/>
    <s v="847010602 - WELLINGTON DE MORAIS DO NASCIMENTO"/>
    <n v="4287.1491389053581"/>
    <n v="4647.49"/>
    <n v="1.0840513939262322"/>
    <n v="4024.4900000000007"/>
    <n v="0.93873337959676806"/>
    <s v="ATIVO"/>
    <s v="Sim"/>
    <s v="SIM"/>
    <s v="Comprou Marcas"/>
    <s v="SIM"/>
    <m/>
    <m/>
    <m/>
  </r>
  <r>
    <n v="1069181000175"/>
    <x v="1"/>
    <m/>
    <s v="DROGARIA BOM JESUS"/>
    <s v="PONTE BRANCA"/>
    <x v="0"/>
    <s v="INDEPENDENTES VIN"/>
    <s v="SELL IN"/>
    <s v="847010606 - PRICILA MOREIRA DOS SANTOS"/>
    <n v="393.16066964743146"/>
    <n v="0"/>
    <n v="0"/>
    <n v="0"/>
    <n v="0"/>
    <s v="FORA SCANN"/>
    <s v="Não"/>
    <s v="NÃO"/>
    <s v="Não Comprou"/>
    <s v="NÃO"/>
    <m/>
    <m/>
    <m/>
  </r>
  <r>
    <n v="1561919000117"/>
    <x v="1"/>
    <m/>
    <s v="DROGA BRASILEIRA"/>
    <s v="BANDEIRANTES"/>
    <x v="1"/>
    <s v="ASSOCIADAS"/>
    <s v="SELL IN"/>
    <s v="847010602 - WELLINGTON DE MORAIS DO NASCIMENTO"/>
    <n v="8400.0043320821933"/>
    <n v="2803.1299999999997"/>
    <n v="0.33370578028084896"/>
    <n v="0"/>
    <n v="0"/>
    <s v="FORA SCANN"/>
    <s v="Não"/>
    <s v="SIM"/>
    <s v="Não Comprou"/>
    <s v="SIM"/>
    <m/>
    <m/>
    <m/>
  </r>
  <r>
    <n v="1569011000150"/>
    <x v="1"/>
    <m/>
    <s v="DROG PALMEIRA"/>
    <s v="CORUMBA"/>
    <x v="1"/>
    <s v="MASTERFARMA"/>
    <s v="SELL IN"/>
    <s v="847010602 - WELLINGTON DE MORAIS DO NASCIMENTO"/>
    <n v="6849.2105873064929"/>
    <n v="2139.7400000000002"/>
    <n v="0.31240680553252931"/>
    <n v="1379.81"/>
    <n v="0.20145533305066932"/>
    <s v="TERMO DEVOLVIDO"/>
    <s v="Não"/>
    <s v="SIM"/>
    <s v="Comprou Marcas"/>
    <s v="SIM"/>
    <m/>
    <m/>
    <m/>
  </r>
  <r>
    <n v="2025871000195"/>
    <x v="4"/>
    <m/>
    <s v="DROG VELASQUES"/>
    <s v="PRESIDENTE PRUDENTE"/>
    <x v="2"/>
    <s v="REDE SANTA CATARINA"/>
    <s v="SELL IN"/>
    <s v="847010607 - MANUEL ARIEDE ARTERO"/>
    <n v="8586.7630668873317"/>
    <n v="5660.8700000000017"/>
    <n v="0.65925540927403803"/>
    <n v="4054.58"/>
    <n v="0.4721895746297527"/>
    <s v="ATIVO"/>
    <s v="Sim"/>
    <s v="NÃO"/>
    <s v="Comprou Marcas e SG"/>
    <s v="SIM"/>
    <m/>
    <m/>
    <m/>
  </r>
  <r>
    <n v="2222873000174"/>
    <x v="1"/>
    <m/>
    <s v="SUPER POPULAR"/>
    <s v="BRASILANDIA"/>
    <x v="1"/>
    <s v="MASTERFARMA"/>
    <s v="SELL IN"/>
    <s v="847010608 - VALTER PEREIRA DA SILVA JUNIOR"/>
    <n v="5056.1381288460116"/>
    <n v="2264.0100000000002"/>
    <n v="0.44777455486896023"/>
    <n v="599.9799999999999"/>
    <n v="0.11866368851298302"/>
    <s v="ATIVO"/>
    <s v="Sim"/>
    <s v="NÃO"/>
    <s v="Comprou Marcas"/>
    <s v="SIM"/>
    <m/>
    <m/>
    <m/>
  </r>
  <r>
    <n v="19651628000690"/>
    <x v="8"/>
    <m/>
    <s v="FARMACIA POPULAR MENDONCA"/>
    <s v="SINOP"/>
    <x v="0"/>
    <s v="FARMARCAS"/>
    <s v="SELL OUT"/>
    <s v="847010605 - ISABELA CAMILA CRUCCITTI"/>
    <n v="16077.580325756697"/>
    <n v="8082.71"/>
    <n v="0.50273174421970024"/>
    <n v="5247.5599999999986"/>
    <n v="0.32638991027731162"/>
    <s v="ATIVO"/>
    <s v="Sim"/>
    <s v="NÃO"/>
    <s v="Comprou Marcas e SG"/>
    <s v="SIM"/>
    <m/>
    <m/>
    <m/>
  </r>
  <r>
    <n v="6940115000142"/>
    <x v="1"/>
    <m/>
    <s v="FARMACIA BEM ESTAR"/>
    <s v="SINOP"/>
    <x v="0"/>
    <s v="REDE INOVA"/>
    <s v="SELL IN"/>
    <s v="847010605 - ISABELA CAMILA CRUCCITTI"/>
    <n v="3799.6427197281369"/>
    <n v="829.04000000000008"/>
    <n v="0.21818893542162238"/>
    <n v="527.45000000000005"/>
    <n v="0.13881568318553353"/>
    <s v="ATIVO"/>
    <s v="Sim"/>
    <s v="NÃO"/>
    <s v="Comprou Marcas"/>
    <s v="SIM"/>
    <m/>
    <n v="1"/>
    <m/>
  </r>
  <r>
    <n v="8087667000266"/>
    <x v="13"/>
    <m/>
    <s v="REDE DE FARMACIAS ECONOMIZAR"/>
    <s v="GUARANTA DO NORTE"/>
    <x v="0"/>
    <s v="ASSOCIADAS"/>
    <s v="SELL IN"/>
    <s v="847010605 - ISABELA CAMILA CRUCCITTI"/>
    <n v="19196.936341061344"/>
    <n v="9892.3799999999992"/>
    <n v="0.51531035078970722"/>
    <n v="8259.9100000000017"/>
    <n v="0.43027230247841386"/>
    <s v="FORA SCANN"/>
    <s v="Não"/>
    <s v="NÃO"/>
    <s v="Comprou Marcas"/>
    <s v="SIM"/>
    <n v="4"/>
    <m/>
    <m/>
  </r>
  <r>
    <n v="8967701000106"/>
    <x v="1"/>
    <m/>
    <s v="BIOFARMA"/>
    <s v="APARECIDA DO TABOADO"/>
    <x v="1"/>
    <s v="INDEPENDENTES VIN"/>
    <s v="SELL IN"/>
    <s v="847010608 - VALTER PEREIRA DA SILVA JUNIOR"/>
    <n v="2385.0235105481283"/>
    <n v="1418.51"/>
    <n v="0.59475723980347539"/>
    <n v="488.13999999999993"/>
    <n v="0.20466884198043614"/>
    <s v="ATIVO"/>
    <s v="Sim"/>
    <s v="SIM"/>
    <s v="Comprou Marcas"/>
    <s v="NÃO"/>
    <m/>
    <m/>
    <m/>
  </r>
  <r>
    <n v="9137352000168"/>
    <x v="1"/>
    <m/>
    <s v="DROGARIA AVENIDA"/>
    <s v="ARAGARCAS"/>
    <x v="3"/>
    <s v="INDEPENDENTES VIN"/>
    <s v="SELL IN"/>
    <s v="847010606 - PRICILA MOREIRA DOS SANTOS"/>
    <n v="151.31757555855862"/>
    <n v="0"/>
    <n v="0"/>
    <n v="0"/>
    <n v="0"/>
    <s v="TERMO DEVOLVIDO"/>
    <s v="Não"/>
    <s v="SIM"/>
    <s v="Não Comprou"/>
    <s v="NÃO"/>
    <m/>
    <m/>
    <m/>
  </r>
  <r>
    <n v="10870136000106"/>
    <x v="1"/>
    <m/>
    <s v="DROGARIA FARMAFLORES"/>
    <s v="RONDONOPOLIS"/>
    <x v="0"/>
    <s v="DSG FARMA"/>
    <s v="SELL IN"/>
    <s v="847010603 - ERIVALDO DA SILVA MACIEL"/>
    <n v="6396.6318826220413"/>
    <n v="2053.31"/>
    <n v="0.32099861891041453"/>
    <n v="668.67"/>
    <n v="0.10453470080349624"/>
    <s v="NÃO HOMOLOGADO"/>
    <s v="Não"/>
    <s v="SIM"/>
    <s v="Comprou Marcas"/>
    <s v="SIM"/>
    <m/>
    <m/>
    <n v="2"/>
  </r>
  <r>
    <n v="10742383000127"/>
    <x v="1"/>
    <m/>
    <s v="FARMACIA PIONEIRA"/>
    <s v="SINOP"/>
    <x v="0"/>
    <s v="INDEPENDENTES VIN"/>
    <s v="SELL IN"/>
    <s v="847010605 - ISABELA CAMILA CRUCCITTI"/>
    <n v="97.493367849103336"/>
    <n v="0"/>
    <n v="0"/>
    <n v="0"/>
    <n v="0"/>
    <s v="FORA SCANN"/>
    <s v="Não"/>
    <s v="SIM"/>
    <s v="Não Comprou"/>
    <s v="NÃO"/>
    <m/>
    <m/>
    <m/>
  </r>
  <r>
    <n v="8226395000157"/>
    <x v="1"/>
    <m/>
    <s v="FCIA NAJA III"/>
    <s v="GLORIA DE DOURADOS"/>
    <x v="1"/>
    <s v="ASSOCIADAS"/>
    <s v="SELL IN"/>
    <s v="847010601 - RAFAEL DE OLIVEIRA NASCIMENTO"/>
    <n v="4374.9470766634358"/>
    <n v="675.15"/>
    <n v="0.15432186679499327"/>
    <n v="0"/>
    <n v="0"/>
    <s v="FORA SCANN"/>
    <s v="Não"/>
    <s v="SIM"/>
    <s v="Não Comprou"/>
    <s v="NÃO"/>
    <m/>
    <m/>
    <m/>
  </r>
  <r>
    <n v="8954952000237"/>
    <x v="14"/>
    <n v="137437"/>
    <s v="CENTRAL FARMA"/>
    <s v="SINOP"/>
    <x v="0"/>
    <s v="MASTERFARMA"/>
    <s v="SELL IN"/>
    <s v="847010605 - ISABELA CAMILA CRUCCITTI"/>
    <n v="14139.680487773532"/>
    <n v="9995.82"/>
    <n v="0.70693393734344312"/>
    <n v="3749.0900000000011"/>
    <n v="0.26514672684731516"/>
    <s v="ATIVO"/>
    <s v="Sim"/>
    <s v="NÃO"/>
    <s v="Comprou Marcas e SG"/>
    <s v="SIM"/>
    <m/>
    <m/>
    <m/>
  </r>
  <r>
    <n v="8954952000318"/>
    <x v="14"/>
    <m/>
    <s v="CENTRAL FARMA"/>
    <s v="SINOP"/>
    <x v="0"/>
    <s v="MASTERFARMA"/>
    <s v="SELL IN"/>
    <s v="847010605 - ISABELA CAMILA CRUCCITTI"/>
    <n v="17770.341882431076"/>
    <n v="11000.779999999995"/>
    <n v="0.61905280566808263"/>
    <n v="9676.1399999999921"/>
    <n v="0.54451062697710151"/>
    <s v="ATIVO"/>
    <s v="Sim"/>
    <s v="NÃO"/>
    <s v="Comprou Marcas e SG"/>
    <s v="SIM"/>
    <n v="17"/>
    <m/>
    <n v="1"/>
  </r>
  <r>
    <n v="9555593000127"/>
    <x v="1"/>
    <n v="13685"/>
    <s v="DROGARIA COMPRE CERTO"/>
    <s v="APARECIDA DO TABOADO"/>
    <x v="1"/>
    <s v="REDE COMPRE CERTO"/>
    <s v="SELL IN"/>
    <s v="847010608 - VALTER PEREIRA DA SILVA JUNIOR"/>
    <n v="6110.2289990059153"/>
    <n v="4213.3300000000008"/>
    <n v="0.68955353403047182"/>
    <n v="2594.6799999999998"/>
    <n v="0.42464529568730291"/>
    <s v="TERMO DEVOLVIDO"/>
    <s v="Não"/>
    <s v="SIM"/>
    <s v="Comprou Marcas"/>
    <s v="SIM"/>
    <m/>
    <n v="2"/>
    <n v="3"/>
  </r>
  <r>
    <n v="10309726000164"/>
    <x v="1"/>
    <m/>
    <s v="MAX FARMA"/>
    <s v="TEODORO SAMPAIO"/>
    <x v="2"/>
    <s v="DROGARIA TOTAL"/>
    <s v="SELL IN"/>
    <s v="847010607 - MANUEL ARIEDE ARTERO"/>
    <n v="4462.731656251296"/>
    <n v="1318.02"/>
    <n v="0.29533929026490907"/>
    <n v="45.41"/>
    <n v="1.0175382142099149E-2"/>
    <s v="ATIVO"/>
    <s v="Sim"/>
    <s v="NÃO"/>
    <s v="Comprou Marcas e SG"/>
    <s v="SIM"/>
    <m/>
    <m/>
    <m/>
  </r>
  <r>
    <n v="49413331000142"/>
    <x v="1"/>
    <m/>
    <s v="FARMACIA ECONOMIZE"/>
    <s v="PEIXOTO DE AZEVEDO"/>
    <x v="0"/>
    <s v="ECONOMIZE RONDONOPOLIS"/>
    <s v="SELL IN"/>
    <s v="847010605 - ISABELA CAMILA CRUCCITTI"/>
    <n v="2050.2748365508019"/>
    <n v="609.95000000000005"/>
    <n v="0.29749670099162173"/>
    <n v="0"/>
    <n v="0"/>
    <s v="TERMO DEVOLVIDO"/>
    <s v="Não"/>
    <s v="SIM"/>
    <s v="Não Comprou"/>
    <s v="NÃO"/>
    <m/>
    <m/>
    <m/>
  </r>
  <r>
    <n v="23088454000161"/>
    <x v="1"/>
    <m/>
    <s v="MULTI+FARMA"/>
    <s v="QUERENCIA"/>
    <x v="0"/>
    <s v="ASSOCIADAS"/>
    <s v="SELL IN"/>
    <s v="847010606 - PRICILA MOREIRA DOS SANTOS"/>
    <n v="3591.0654510559334"/>
    <n v="1339.33"/>
    <n v="0.37296173468689553"/>
    <n v="871.9899999999999"/>
    <n v="0.24282208494517857"/>
    <s v="FORA SCANN"/>
    <s v="Não"/>
    <s v="SIM"/>
    <s v="Comprou Marcas"/>
    <s v="SIM"/>
    <m/>
    <m/>
    <m/>
  </r>
  <r>
    <n v="23716744000102"/>
    <x v="1"/>
    <m/>
    <s v="DROGARIA REGIANE"/>
    <s v="RIBEIRAO CASCALHEIRA"/>
    <x v="0"/>
    <s v="INDEPENDENTES VIN"/>
    <s v="SELL IN"/>
    <s v="847010606 - PRICILA MOREIRA DOS SANTOS"/>
    <n v="4097.1738713064851"/>
    <n v="806.25000000000011"/>
    <n v="0.19678198322174387"/>
    <n v="0"/>
    <n v="0"/>
    <s v="FORA SCANN"/>
    <s v="Não"/>
    <s v="NÃO"/>
    <s v="Não Comprou"/>
    <s v="SIM"/>
    <m/>
    <m/>
    <m/>
  </r>
  <r>
    <n v="10693312000505"/>
    <x v="1"/>
    <m/>
    <s v="FARMACIA ECONOMIZE"/>
    <s v="PRIMAVERA DO LESTE"/>
    <x v="0"/>
    <s v="ECONOMIZE RONDONOPOLIS"/>
    <s v="SELL IN"/>
    <s v="847010606 - PRICILA MOREIRA DOS SANTOS"/>
    <n v="24948.062461456342"/>
    <n v="15931.13"/>
    <n v="0.63857183396958761"/>
    <n v="15027.180000000002"/>
    <n v="0.60233855928556912"/>
    <s v="TERMO DEVOLVIDO"/>
    <s v="Não"/>
    <s v="SIM"/>
    <s v="Comprou Marcas e SG"/>
    <s v="SIM"/>
    <n v="4"/>
    <m/>
    <n v="1"/>
  </r>
  <r>
    <n v="15272871000131"/>
    <x v="1"/>
    <m/>
    <s v="FARMA LIMA"/>
    <s v="TANGARA DA SERRA"/>
    <x v="0"/>
    <s v="INDEPENDENTES VIN"/>
    <s v="SELL IN"/>
    <s v="847010604 - LEONARDO MAZZUCO"/>
    <n v="1582.8168275046232"/>
    <n v="0"/>
    <n v="0"/>
    <n v="0"/>
    <n v="0"/>
    <s v="FORA SCANN"/>
    <s v="Não"/>
    <s v="NÃO"/>
    <s v="Não Comprou"/>
    <s v="NÃO"/>
    <m/>
    <m/>
    <m/>
  </r>
  <r>
    <n v="26609370000114"/>
    <x v="1"/>
    <m/>
    <s v="DROG NACIONAL"/>
    <s v="RIBEIRAO CASCALHEIRA"/>
    <x v="0"/>
    <s v="INDEPENDENTES VIN"/>
    <s v="SELL IN"/>
    <s v="847010606 - PRICILA MOREIRA DOS SANTOS"/>
    <n v="568.66951488794348"/>
    <n v="251.81999999999996"/>
    <n v="0.4428231044697748"/>
    <n v="0"/>
    <n v="0"/>
    <s v="FORA SCANN"/>
    <s v="Não"/>
    <s v="NÃO"/>
    <s v="Não Comprou"/>
    <s v="NÃO"/>
    <m/>
    <m/>
    <m/>
  </r>
  <r>
    <n v="19651628000509"/>
    <x v="8"/>
    <m/>
    <s v="ULTRAPOPULAR"/>
    <s v="SINOP"/>
    <x v="0"/>
    <s v="FARMARCAS"/>
    <s v="SELL OUT"/>
    <s v="847010605 - ISABELA CAMILA CRUCCITTI"/>
    <n v="13820.441939742703"/>
    <n v="7993.3199999999979"/>
    <n v="0.57836934845144405"/>
    <n v="3619.9800000000009"/>
    <n v="0.26192939529597958"/>
    <s v="ATIVO"/>
    <s v="Sim"/>
    <s v="NÃO"/>
    <s v="Comprou Marcas e SG"/>
    <s v="SIM"/>
    <m/>
    <m/>
    <m/>
  </r>
  <r>
    <n v="29141097000134"/>
    <x v="1"/>
    <m/>
    <s v="FARMA LISBOA POPULAR"/>
    <s v="CUIABA"/>
    <x v="0"/>
    <s v="ASSOCIADAS"/>
    <s v="SELL IN"/>
    <s v="847010603 - ERIVALDO DA SILVA MACIEL"/>
    <n v="3664.22340054799"/>
    <n v="5868.76"/>
    <n v="1.6016381531547226"/>
    <n v="4283.1899999999996"/>
    <n v="1.1689216327147089"/>
    <s v="FORA SCANN"/>
    <s v="Não"/>
    <s v="NÃO"/>
    <s v="Comprou Marcas"/>
    <s v="NÃO"/>
    <m/>
    <m/>
    <n v="1"/>
  </r>
  <r>
    <n v="30425108000197"/>
    <x v="1"/>
    <m/>
    <s v="IORI FARMA"/>
    <s v="SINOP"/>
    <x v="0"/>
    <s v="INDEPENDENTES VIN"/>
    <s v="SELL IN"/>
    <s v="847010605 - ISABELA CAMILA CRUCCITTI"/>
    <n v="1290.962100058696"/>
    <n v="239.05"/>
    <n v="0.18517197366919691"/>
    <n v="0"/>
    <n v="0"/>
    <s v="FORA SCANN"/>
    <s v="Não"/>
    <s v="NÃO"/>
    <s v="Não Comprou"/>
    <s v="SIM"/>
    <m/>
    <m/>
    <m/>
  </r>
  <r>
    <n v="30531806000177"/>
    <x v="1"/>
    <m/>
    <s v="FARMACIA POPULAR DOM ANTONIO LTDA"/>
    <s v="CAMPO GRANDE"/>
    <x v="1"/>
    <s v="ASSOCIADAS"/>
    <s v="SELL IN"/>
    <s v="847010602 - WELLINGTON DE MORAIS DO NASCIMENTO"/>
    <n v="2633.404285375289"/>
    <n v="1126.49"/>
    <n v="0.42776948691699379"/>
    <n v="900.03999999999985"/>
    <n v="0.3417781329659127"/>
    <s v="ATIVO"/>
    <s v="Sim"/>
    <s v="NÃO"/>
    <s v="Comprou Marcas"/>
    <s v="NÃO"/>
    <m/>
    <m/>
    <m/>
  </r>
  <r>
    <n v="37447212000121"/>
    <x v="1"/>
    <m/>
    <s v="DROGARIA A"/>
    <s v="TORIXOREU"/>
    <x v="0"/>
    <s v="INDEPENDENTES VIN"/>
    <s v="SELL IN"/>
    <s v="847010606 - PRICILA MOREIRA DOS SANTOS"/>
    <n v="3003.133128997004"/>
    <n v="1136.45"/>
    <n v="0.37842145225828044"/>
    <n v="0"/>
    <n v="0"/>
    <s v="FORA SCANN"/>
    <s v="Não"/>
    <s v="NÃO"/>
    <s v="Não Comprou"/>
    <s v="SIM"/>
    <m/>
    <m/>
    <m/>
  </r>
  <r>
    <n v="27717961000178"/>
    <x v="1"/>
    <m/>
    <s v="JAQUINTA &amp; SILVA"/>
    <s v="ELDORADO"/>
    <x v="1"/>
    <s v="ASSOCIADAS"/>
    <s v="SELL IN"/>
    <s v="847010601 - RAFAEL DE OLIVEIRA NASCIMENTO"/>
    <n v="7918.6791504710873"/>
    <n v="7738.5899999999983"/>
    <n v="0.97725767807370056"/>
    <n v="4913.0400000000009"/>
    <n v="0.62043680601804918"/>
    <s v="FORA SCANN"/>
    <s v="Não"/>
    <s v="NÃO"/>
    <s v="Comprou Marcas"/>
    <s v="SIM"/>
    <m/>
    <m/>
    <m/>
  </r>
  <r>
    <n v="29041586000114"/>
    <x v="1"/>
    <m/>
    <s v="IDEAL FARMA"/>
    <s v="TANGARA DA SERRA"/>
    <x v="0"/>
    <s v="INDEPENDENTES VIN"/>
    <s v="SELL IN"/>
    <s v="847010604 - LEONARDO MAZZUCO"/>
    <n v="730.62091223784944"/>
    <n v="181.69"/>
    <n v="0.24867889346815172"/>
    <n v="0"/>
    <n v="0"/>
    <s v="FORA SCANN"/>
    <s v="Não"/>
    <s v="NÃO"/>
    <s v="Não Comprou"/>
    <s v="NÃO"/>
    <m/>
    <m/>
    <m/>
  </r>
  <r>
    <n v="29576260000191"/>
    <x v="1"/>
    <m/>
    <s v="SLC DROGARIA - EIRELLI"/>
    <s v="CAMPO GRANDE"/>
    <x v="1"/>
    <s v="INDEPENDENTES VIN"/>
    <s v="SELL IN"/>
    <s v="847010602 - WELLINGTON DE MORAIS DO NASCIMENTO"/>
    <n v="6842.1078066538657"/>
    <n v="1698.51"/>
    <n v="0.24824367694823807"/>
    <n v="0"/>
    <n v="0"/>
    <s v="FORA SCANN"/>
    <s v="Não"/>
    <s v="NÃO"/>
    <s v="Não Comprou"/>
    <s v="SIM"/>
    <m/>
    <m/>
    <m/>
  </r>
  <r>
    <n v="1531920000107"/>
    <x v="1"/>
    <m/>
    <s v="ARAL FARMA"/>
    <s v="ARAL MOREIRA"/>
    <x v="1"/>
    <s v="ASSOCIADAS"/>
    <s v="SELL IN"/>
    <s v="847010601 - RAFAEL DE OLIVEIRA NASCIMENTO"/>
    <n v="11946.195927996103"/>
    <n v="7941.3999999999978"/>
    <n v="0.66476391713860972"/>
    <n v="6574.7000000000007"/>
    <n v="0.55035929760636904"/>
    <s v="FORA SCANN"/>
    <s v="Não"/>
    <s v="SIM"/>
    <s v="Comprou Marcas"/>
    <s v="SIM"/>
    <n v="4"/>
    <m/>
    <m/>
  </r>
  <r>
    <n v="2100833000150"/>
    <x v="1"/>
    <m/>
    <s v="DROGATOP"/>
    <s v="CORUMBA"/>
    <x v="1"/>
    <s v="FARMARCAS"/>
    <s v="SELL OUT"/>
    <s v="847010602 - WELLINGTON DE MORAIS DO NASCIMENTO"/>
    <n v="41134.389910313344"/>
    <n v="27416.680000000022"/>
    <n v="0.66651480816361941"/>
    <n v="15551.699999999995"/>
    <n v="0.37807051554448418"/>
    <s v="ATIVO"/>
    <s v="Sim"/>
    <s v="NÃO"/>
    <s v="Comprou Marcas e SG"/>
    <s v="SIM"/>
    <m/>
    <m/>
    <m/>
  </r>
  <r>
    <n v="4050862000180"/>
    <x v="10"/>
    <m/>
    <s v="FARMATOTAL"/>
    <s v="CAMPO GRANDE"/>
    <x v="1"/>
    <s v="FARMARCAS"/>
    <s v="SELL OUT"/>
    <s v="847010602 - WELLINGTON DE MORAIS DO NASCIMENTO"/>
    <n v="4548.1790713563269"/>
    <n v="2660.95"/>
    <n v="0.58505831856054635"/>
    <n v="866.24999999999989"/>
    <n v="0.19046083859263543"/>
    <s v="ATIVO"/>
    <s v="Sim"/>
    <s v="NÃO"/>
    <s v="Comprou Marcas"/>
    <s v="SIM"/>
    <m/>
    <m/>
    <m/>
  </r>
  <r>
    <n v="4237820000152"/>
    <x v="1"/>
    <n v="11444"/>
    <s v="DROG SAN MARINO"/>
    <s v="MARACAJU"/>
    <x v="1"/>
    <s v="ASSOCIADAS"/>
    <s v="SELL IN"/>
    <s v="847010601 - RAFAEL DE OLIVEIRA NASCIMENTO"/>
    <n v="17184.950526547444"/>
    <n v="7254.1900000000005"/>
    <n v="0.42212457864185715"/>
    <n v="3674.7200000000003"/>
    <n v="0.21383360949007474"/>
    <s v="NÃO HOMOLOGADO"/>
    <s v="Não"/>
    <s v="NÃO"/>
    <s v="Comprou Marcas"/>
    <s v="SIM"/>
    <n v="1"/>
    <m/>
    <m/>
  </r>
  <r>
    <n v="5562705000116"/>
    <x v="1"/>
    <m/>
    <s v="FCIA MODERNA"/>
    <s v="CAMPO NOVO DO PARECIS"/>
    <x v="0"/>
    <s v="ASSOCIADAS"/>
    <s v="SELL IN"/>
    <s v="847010604 - LEONARDO MAZZUCO"/>
    <n v="4260.7273689377935"/>
    <n v="2033.6299999999999"/>
    <n v="0.47729643882541756"/>
    <n v="758.37000000000012"/>
    <n v="0.17799073593133066"/>
    <s v="FORA SCANN"/>
    <s v="Não"/>
    <s v="NÃO"/>
    <s v="Comprou Marcas"/>
    <s v="SIM"/>
    <m/>
    <m/>
    <m/>
  </r>
  <r>
    <n v="5628142000111"/>
    <x v="1"/>
    <m/>
    <s v="DROGAVITA"/>
    <s v="PRESIDENTE PRUDENTE"/>
    <x v="2"/>
    <s v="DROGARIA TOTAL"/>
    <s v="SELL IN"/>
    <s v="847010607 - MANUEL ARIEDE ARTERO"/>
    <n v="2583.5305426702002"/>
    <n v="867.62000000000012"/>
    <n v="0.33582726647515226"/>
    <n v="242.53"/>
    <n v="9.3875414280697386E-2"/>
    <s v="ATIVO"/>
    <s v="Sim"/>
    <s v="NÃO"/>
    <s v="Comprou Marcas"/>
    <s v="SIM"/>
    <m/>
    <m/>
    <m/>
  </r>
  <r>
    <n v="3744695000104"/>
    <x v="1"/>
    <m/>
    <s v="DROG ITAPORA LTDA"/>
    <s v="ITAPORA"/>
    <x v="1"/>
    <s v="ASSOCIADAS"/>
    <s v="SELL IN"/>
    <s v="847010601 - RAFAEL DE OLIVEIRA NASCIMENTO"/>
    <n v="3298.5606450017285"/>
    <n v="2283.1200000000003"/>
    <n v="0.69215644207105487"/>
    <n v="252.37"/>
    <n v="7.6509128423154327E-2"/>
    <s v="FORA SCANN"/>
    <s v="Não"/>
    <s v="NÃO"/>
    <s v="Comprou Marcas"/>
    <s v="SIM"/>
    <m/>
    <m/>
    <m/>
  </r>
  <r>
    <n v="19651628000266"/>
    <x v="8"/>
    <m/>
    <s v="ULTRA POPULAR"/>
    <s v="SINOP"/>
    <x v="0"/>
    <s v="FARMARCAS"/>
    <s v="SELL OUT"/>
    <s v="847010605 - ISABELA CAMILA CRUCCITTI"/>
    <n v="11779.891386150268"/>
    <n v="9291.1299999999974"/>
    <n v="0.78872798529565979"/>
    <n v="2984.21"/>
    <n v="0.2533308586791016"/>
    <s v="ATIVO"/>
    <s v="Sim"/>
    <s v="NÃO"/>
    <s v="Comprou Marcas e SG"/>
    <s v="SIM"/>
    <n v="1"/>
    <m/>
    <n v="3"/>
  </r>
  <r>
    <n v="4225403000190"/>
    <x v="1"/>
    <m/>
    <s v="DROG CATARINENSE"/>
    <s v="CANARANA"/>
    <x v="0"/>
    <s v="INDEPENDENTES VIN"/>
    <s v="SELL IN"/>
    <s v="847010606 - PRICILA MOREIRA DOS SANTOS"/>
    <n v="3876.0461901337449"/>
    <n v="1680.93"/>
    <n v="0.43367130254502945"/>
    <n v="0"/>
    <n v="0"/>
    <s v="FORA SCANN"/>
    <s v="Não"/>
    <s v="NÃO"/>
    <s v="Não Comprou"/>
    <s v="NÃO"/>
    <m/>
    <m/>
    <m/>
  </r>
  <r>
    <n v="4834843000144"/>
    <x v="4"/>
    <n v="13471"/>
    <s v="FARMACIA SANTA CATARINA DE PRESIDENTE PRUDENTE"/>
    <s v="PRESIDENTE PRUDENTE"/>
    <x v="2"/>
    <s v="REDE SANTA CATARINA"/>
    <s v="SELL IN"/>
    <s v="847010607 - MANUEL ARIEDE ARTERO"/>
    <n v="9320.8642371830938"/>
    <n v="4300.7599999999993"/>
    <n v="0.46141214919140955"/>
    <n v="3919.0999999999995"/>
    <n v="0.42046530238749735"/>
    <s v="ATIVO"/>
    <s v="Sim"/>
    <s v="NÃO"/>
    <s v="Comprou Marcas e SG"/>
    <s v="SIM"/>
    <m/>
    <m/>
    <m/>
  </r>
  <r>
    <n v="4834843001469"/>
    <x v="4"/>
    <m/>
    <s v="FARMACIA SANTA CATARINA DE PRESIDENTE PRUDENTE"/>
    <s v="NOVA ESPERANCA"/>
    <x v="4"/>
    <s v="REDE SANTA CATARINA"/>
    <s v="SELL IN"/>
    <s v="847010607 - MANUEL ARIEDE ARTERO"/>
    <n v="5788.6244183784174"/>
    <n v="3377.8999999999996"/>
    <n v="0.58354105498284503"/>
    <n v="3423.3799999999997"/>
    <n v="0.59139784386961491"/>
    <s v="ATIVO"/>
    <s v="Sim"/>
    <s v="NÃO"/>
    <s v="Comprou Marcas e SG"/>
    <s v="SIM"/>
    <m/>
    <m/>
    <m/>
  </r>
  <r>
    <n v="8963901000190"/>
    <x v="1"/>
    <m/>
    <s v="DROGARIA VITORIA"/>
    <s v="ARAPUTANGA"/>
    <x v="0"/>
    <s v="MASTERFARMA"/>
    <s v="SELL IN"/>
    <s v="847010603 - ERIVALDO DA SILVA MACIEL"/>
    <n v="13214.014002437179"/>
    <n v="3025.3999999999996"/>
    <n v="0.22895389693411841"/>
    <n v="1645.1499999999999"/>
    <n v="0.12450039781224465"/>
    <s v="TERMO DEVOLVIDO"/>
    <s v="Não"/>
    <s v="SIM"/>
    <s v="Comprou Marcas"/>
    <s v="SIM"/>
    <m/>
    <m/>
    <m/>
  </r>
  <r>
    <n v="9495338000136"/>
    <x v="1"/>
    <n v="111658"/>
    <s v="FARMACIA FARMACLIN"/>
    <s v="PONTA PORA"/>
    <x v="1"/>
    <s v="HIPER SAUDE"/>
    <s v="SELL IN"/>
    <s v="847010601 - RAFAEL DE OLIVEIRA NASCIMENTO"/>
    <n v="9667.8345503204455"/>
    <n v="4820.1000000000013"/>
    <n v="0.49857079937722315"/>
    <n v="3708.3200000000006"/>
    <n v="0.38357296876549118"/>
    <s v="ATIVO"/>
    <s v="Não"/>
    <s v="NÃO"/>
    <s v="Comprou Marcas"/>
    <s v="SIM"/>
    <m/>
    <m/>
    <m/>
  </r>
  <r>
    <n v="19651628000428"/>
    <x v="8"/>
    <m/>
    <s v="FARMACIA POPULAR MENDONCA"/>
    <s v="SINOP"/>
    <x v="0"/>
    <s v="FARMARCAS"/>
    <s v="SELL OUT"/>
    <s v="847010605 - ISABELA CAMILA CRUCCITTI"/>
    <n v="6806.9426973570844"/>
    <n v="2910.01"/>
    <n v="0.42750616971255878"/>
    <n v="1141.79"/>
    <n v="0.16773903509475996"/>
    <s v="ATIVO"/>
    <s v="Sim"/>
    <s v="NÃO"/>
    <s v="Comprou Marcas e SG"/>
    <s v="SIM"/>
    <m/>
    <m/>
    <m/>
  </r>
  <r>
    <n v="19651628000770"/>
    <x v="8"/>
    <m/>
    <s v="DROGARIAS ULTRA POPULAR"/>
    <s v="SINOP"/>
    <x v="0"/>
    <s v="FARMARCAS"/>
    <s v="SELL OUT"/>
    <s v="847010605 - ISABELA CAMILA CRUCCITTI"/>
    <n v="9186.7028109200419"/>
    <n v="5666.82"/>
    <n v="0.61685025809956207"/>
    <n v="4400.369999999999"/>
    <n v="0.47899339845514227"/>
    <s v="ATIVO"/>
    <s v="Sim"/>
    <s v="NÃO"/>
    <s v="Comprou Marcas e SG"/>
    <s v="SIM"/>
    <n v="3"/>
    <m/>
    <m/>
  </r>
  <r>
    <n v="7139095000178"/>
    <x v="1"/>
    <m/>
    <s v="DROG LUCIA"/>
    <s v="CASSILANDIA"/>
    <x v="1"/>
    <s v="FARMA &amp; FARMA"/>
    <s v="SELL IN"/>
    <s v="847010608 - VALTER PEREIRA DA SILVA JUNIOR"/>
    <n v="6521.4619802438092"/>
    <n v="1812.35"/>
    <n v="0.27790547663857484"/>
    <n v="0"/>
    <n v="0"/>
    <s v="FORA SCANN"/>
    <s v="Não"/>
    <s v="NÃO"/>
    <s v="Não Comprou"/>
    <s v="SIM"/>
    <n v="4"/>
    <m/>
    <m/>
  </r>
  <r>
    <n v="24769226000110"/>
    <x v="15"/>
    <m/>
    <s v="ULTRAPOPULAR"/>
    <s v="JUINA"/>
    <x v="0"/>
    <s v="FARMARCAS"/>
    <s v="SELL OUT"/>
    <s v="847010604 - LEONARDO MAZZUCO"/>
    <n v="41658.41111463643"/>
    <n v="25107.79"/>
    <n v="0.60270637617233869"/>
    <n v="14496.760000000009"/>
    <n v="0.34799118862473033"/>
    <s v="ATIVO"/>
    <s v="Sim"/>
    <s v="SIM"/>
    <s v="Comprou Marcas e SG"/>
    <s v="SIM"/>
    <m/>
    <n v="3"/>
    <n v="3"/>
  </r>
  <r>
    <n v="10689094000101"/>
    <x v="1"/>
    <m/>
    <s v="DOSE UNICA MEDICAMENTOS"/>
    <s v="ARAGARCAS"/>
    <x v="3"/>
    <s v="ASSOCIADAS"/>
    <s v="SELL IN"/>
    <s v="847010606 - PRICILA MOREIRA DOS SANTOS"/>
    <n v="2686.5223856969255"/>
    <n v="1812.97"/>
    <n v="0.67483897013189698"/>
    <n v="0"/>
    <n v="0"/>
    <s v="FORA SCANN"/>
    <s v="Não"/>
    <s v="NÃO"/>
    <s v="Não Comprou"/>
    <s v="NÃO"/>
    <m/>
    <m/>
    <m/>
  </r>
  <r>
    <n v="11318768000124"/>
    <x v="1"/>
    <m/>
    <s v="FARMACIA DOIS IRMAOS"/>
    <s v="INOCENCIA"/>
    <x v="1"/>
    <s v="MULTIDROGAS"/>
    <s v="SELL IN"/>
    <s v="847010608 - VALTER PEREIRA DA SILVA JUNIOR"/>
    <n v="8160.5485489288294"/>
    <n v="5171.2699999999986"/>
    <n v="0.63369146926756414"/>
    <n v="651.29999999999995"/>
    <n v="7.9810811257962674E-2"/>
    <s v="FORA SCANN"/>
    <s v="Não"/>
    <s v="NÃO"/>
    <s v="Não Comprou"/>
    <s v="NÃO"/>
    <n v="1"/>
    <m/>
    <n v="1"/>
  </r>
  <r>
    <n v="45924995000115"/>
    <x v="1"/>
    <m/>
    <s v="TOP FARMA POPULAR"/>
    <s v="SINOP"/>
    <x v="0"/>
    <s v="HIPER SAUDE"/>
    <s v="SELL IN"/>
    <s v="847010605 - ISABELA CAMILA CRUCCITTI"/>
    <n v="4752.5958535760856"/>
    <n v="2185.46"/>
    <n v="0.45984553859246269"/>
    <n v="1628.9399999999998"/>
    <n v="0.34274742691918686"/>
    <s v="TERMO DEVOLVIDO"/>
    <s v="Não"/>
    <s v="NÃO"/>
    <s v="Comprou Marcas"/>
    <s v="SIM"/>
    <m/>
    <m/>
    <m/>
  </r>
  <r>
    <n v="45290499000157"/>
    <x v="1"/>
    <m/>
    <s v="DROGARIA MODELO"/>
    <s v="JARDIM"/>
    <x v="1"/>
    <s v="MASTERFARMA"/>
    <s v="SELL IN"/>
    <s v="847010601 - RAFAEL DE OLIVEIRA NASCIMENTO"/>
    <n v="11011.335182389988"/>
    <n v="6388.6600000000017"/>
    <n v="0.580189404298322"/>
    <n v="0"/>
    <n v="0"/>
    <s v="TERMO DEVOLVIDO"/>
    <s v="Não"/>
    <s v="NÃO"/>
    <s v="Não Comprou"/>
    <s v="SIM"/>
    <n v="5"/>
    <m/>
    <n v="1"/>
  </r>
  <r>
    <n v="7217112000229"/>
    <x v="16"/>
    <m/>
    <s v="DROGARIA BEM-ESTTAR"/>
    <s v="DIAMANTINO"/>
    <x v="0"/>
    <s v="INDEPENDENTES VIN"/>
    <s v="SELL IN"/>
    <s v="847010604 - LEONARDO MAZZUCO"/>
    <n v="3872.4683115254188"/>
    <n v="405.03000000000003"/>
    <n v="0.1045922051303896"/>
    <n v="158.22"/>
    <n v="4.085766164415041E-2"/>
    <s v="ATIVO"/>
    <s v="Sim"/>
    <s v="NÃO"/>
    <s v="Comprou Marcas"/>
    <s v="SIM"/>
    <m/>
    <m/>
    <m/>
  </r>
  <r>
    <n v="7734117000148"/>
    <x v="17"/>
    <n v="12589"/>
    <s v="DROG LIMA"/>
    <s v="RONDONOPOLIS"/>
    <x v="0"/>
    <s v="ASSOCIADAS"/>
    <s v="SELL IN"/>
    <s v="847010603 - ERIVALDO DA SILVA MACIEL"/>
    <n v="10053.63029000497"/>
    <n v="3502.33"/>
    <n v="0.34836470995774688"/>
    <n v="137.85"/>
    <n v="1.3711465015482665E-2"/>
    <s v="FORA SCANN"/>
    <s v="Não"/>
    <s v="NÃO"/>
    <s v="Comprou Marcas"/>
    <s v="SIM"/>
    <m/>
    <m/>
    <m/>
  </r>
  <r>
    <n v="7796647000110"/>
    <x v="17"/>
    <m/>
    <s v="DROG BRASIL"/>
    <s v="RONDONOPOLIS"/>
    <x v="0"/>
    <s v="ASSOCIADAS"/>
    <s v="SELL IN"/>
    <s v="847010603 - ERIVALDO DA SILVA MACIEL"/>
    <n v="7863.0767675222314"/>
    <n v="1769.6900000000003"/>
    <n v="0.22506329930664726"/>
    <n v="137.85"/>
    <n v="1.753130537519075E-2"/>
    <s v="FORA SCANN"/>
    <s v="Não"/>
    <s v="NÃO"/>
    <s v="Comprou Marcas"/>
    <s v="SIM"/>
    <m/>
    <m/>
    <m/>
  </r>
  <r>
    <n v="9039622000360"/>
    <x v="18"/>
    <m/>
    <s v="DROGARIA HIPER POPULAR"/>
    <s v="SORRISO"/>
    <x v="0"/>
    <s v="ASSOCIADAS"/>
    <s v="SELL IN"/>
    <s v="847010605 - ISABELA CAMILA CRUCCITTI"/>
    <n v="12744.097746034087"/>
    <n v="12132.480000000001"/>
    <n v="0.95200776404713161"/>
    <n v="15822.859999999997"/>
    <n v="1.2415833835646786"/>
    <s v="FORA SCANN"/>
    <s v="Não"/>
    <s v="SIM"/>
    <s v="Comprou Marcas e SG"/>
    <s v="SIM"/>
    <n v="4"/>
    <m/>
    <m/>
  </r>
  <r>
    <n v="53889242000144"/>
    <x v="1"/>
    <m/>
    <s v="DROGAPLIS"/>
    <s v="PENAPOLIS"/>
    <x v="2"/>
    <s v="DROGARIA TOTAL"/>
    <s v="SELL IN"/>
    <s v="847010608 - VALTER PEREIRA DA SILVA JUNIOR"/>
    <n v="8815.6539094857562"/>
    <n v="2753.8199999999997"/>
    <n v="0.31237841551797468"/>
    <n v="0"/>
    <n v="0"/>
    <s v="TERMO DEVOLVIDO"/>
    <s v="Não"/>
    <s v="NÃO"/>
    <s v="Não Comprou"/>
    <s v="SIM"/>
    <m/>
    <m/>
    <m/>
  </r>
  <r>
    <n v="58750720000154"/>
    <x v="1"/>
    <n v="1488"/>
    <s v="DROG FARMALAR"/>
    <s v="ADAMANTINA"/>
    <x v="2"/>
    <s v="INDEPENDENTES VIN"/>
    <s v="SELL IN"/>
    <s v="847010607 - MANUEL ARIEDE ARTERO"/>
    <n v="5673.4816686489112"/>
    <n v="2707.9299999999994"/>
    <n v="0.47729598122502942"/>
    <n v="1232.2400000000002"/>
    <n v="0.21719291115528486"/>
    <s v="TERMO DEVOLVIDO"/>
    <s v="Não"/>
    <s v="NÃO"/>
    <s v="Comprou Marcas"/>
    <s v="SIM"/>
    <m/>
    <m/>
    <m/>
  </r>
  <r>
    <n v="60919809000143"/>
    <x v="1"/>
    <m/>
    <s v="GT COMERCIO DE MEDICAMENTOS"/>
    <s v="DOURADOS"/>
    <x v="1"/>
    <s v="ASSOCIADAS"/>
    <s v="SELL IN"/>
    <s v="847010601 - RAFAEL DE OLIVEIRA NASCIMENTO"/>
    <n v="4053.2231692512087"/>
    <n v="1341.9599999999998"/>
    <n v="0.33108465632498424"/>
    <n v="0"/>
    <n v="0"/>
    <s v="TERMO DEVOLVIDO"/>
    <s v="Não"/>
    <s v="SIM"/>
    <s v="Não Comprou"/>
    <s v="NÃO"/>
    <m/>
    <m/>
    <m/>
  </r>
  <r>
    <n v="47468096000180"/>
    <x v="1"/>
    <m/>
    <s v="FARMACIA SANRIVAL III"/>
    <s v="CHAPADAO DO SUL"/>
    <x v="1"/>
    <s v="HIPER SAUDE"/>
    <s v="SELL IN"/>
    <s v="847010608 - VALTER PEREIRA DA SILVA JUNIOR"/>
    <n v="4446.8679660960033"/>
    <n v="2052.11"/>
    <n v="0.46147311223220094"/>
    <n v="226.8"/>
    <n v="5.1002188895460369E-2"/>
    <s v="ATIVO"/>
    <s v="Sim"/>
    <s v="NÃO"/>
    <s v="Comprou Marcas"/>
    <s v="SIM"/>
    <m/>
    <m/>
    <m/>
  </r>
  <r>
    <n v="49182677000187"/>
    <x v="1"/>
    <m/>
    <s v="MAX FARMA"/>
    <s v="PRESIDENTE PRUDENTE"/>
    <x v="2"/>
    <s v="REDE SMALLFARMA"/>
    <s v="SELL IN"/>
    <s v="847010607 - MANUEL ARIEDE ARTERO"/>
    <n v="2109.3872524554695"/>
    <n v="236.17000000000002"/>
    <n v="0.11196142373814109"/>
    <n v="565.81999999999994"/>
    <n v="0.26823903450698638"/>
    <s v="TERMO DEVOLVIDO"/>
    <s v="Não"/>
    <s v="SIM"/>
    <s v="Não Comprou"/>
    <s v="NÃO"/>
    <m/>
    <m/>
    <m/>
  </r>
  <r>
    <n v="52479223000187"/>
    <x v="1"/>
    <m/>
    <s v="FARMACIA ALAMEDA"/>
    <s v="VARZEA GRANDE"/>
    <x v="0"/>
    <s v="COMPRE BEM"/>
    <s v="SELL IN"/>
    <s v="847010603 - ERIVALDO DA SILVA MACIEL"/>
    <n v="2143.6029904611232"/>
    <n v="565.51"/>
    <n v="0.26381284338400263"/>
    <n v="0"/>
    <n v="0"/>
    <s v="TERMO DEVOLVIDO"/>
    <s v="Não"/>
    <s v="SIM"/>
    <s v="Não Comprou"/>
    <s v="NÃO"/>
    <m/>
    <m/>
    <m/>
  </r>
  <r>
    <n v="53284997000115"/>
    <x v="1"/>
    <m/>
    <s v="FARMACIA VITA FARMA"/>
    <s v="SINOP"/>
    <x v="0"/>
    <s v="ASFAR FARMACIAS"/>
    <s v="SELL IN"/>
    <s v="847010605 - ISABELA CAMILA CRUCCITTI"/>
    <n v="3368.4664161046585"/>
    <n v="1728.44"/>
    <n v="0.51312371461871131"/>
    <n v="0"/>
    <n v="0"/>
    <s v="ATIVO"/>
    <s v="Sim"/>
    <s v="NÃO"/>
    <s v="Não Comprou"/>
    <s v="SIM"/>
    <m/>
    <m/>
    <n v="1"/>
  </r>
  <r>
    <n v="53548149000176"/>
    <x v="1"/>
    <m/>
    <s v="DROGARIA DOS TRABALHADORES"/>
    <s v="BARRA DO GARCAS"/>
    <x v="0"/>
    <s v="INDEPENDENTES VIN"/>
    <s v="SELL IN"/>
    <s v="847010606 - PRICILA MOREIRA DOS SANTOS"/>
    <n v="1977.4674903859127"/>
    <n v="559.54"/>
    <n v="0.28295787552532808"/>
    <n v="0"/>
    <n v="0"/>
    <s v="FORA SCANN"/>
    <s v="Não"/>
    <s v="SIM"/>
    <s v="Não Comprou"/>
    <s v="NÃO"/>
    <m/>
    <m/>
    <m/>
  </r>
  <r>
    <n v="40190327000198"/>
    <x v="1"/>
    <m/>
    <s v="DROGA VIDA POPULAR"/>
    <s v="ARAGARCAS"/>
    <x v="3"/>
    <s v="INDEPENDENTES VIN"/>
    <s v="SELL IN"/>
    <s v="847010606 - PRICILA MOREIRA DOS SANTOS"/>
    <n v="1300.890489656646"/>
    <n v="210.8"/>
    <n v="0.16204284809218497"/>
    <n v="0"/>
    <n v="0"/>
    <s v="FORA SCANN"/>
    <s v="Não"/>
    <s v="NÃO"/>
    <s v="Não Comprou"/>
    <s v="NÃO"/>
    <m/>
    <m/>
    <m/>
  </r>
  <r>
    <n v="40584253000174"/>
    <x v="1"/>
    <m/>
    <s v="DROGARIA ALVORADA"/>
    <s v="SAO GABRIEL DO OESTE"/>
    <x v="1"/>
    <s v="INDEPENDENTES VIN"/>
    <s v="SELL IN"/>
    <s v="847010602 - WELLINGTON DE MORAIS DO NASCIMENTO"/>
    <n v="3412.3832869686507"/>
    <n v="1504.67"/>
    <n v="0.44094401872910804"/>
    <n v="1186.8999999999999"/>
    <n v="0.34782141986586979"/>
    <s v="FORA SCANN"/>
    <s v="Não"/>
    <s v="SIM"/>
    <s v="Não Comprou"/>
    <s v="NÃO"/>
    <m/>
    <m/>
    <m/>
  </r>
  <r>
    <n v="42070773000275"/>
    <x v="1"/>
    <m/>
    <s v="DROGARIA DAVI PAJU"/>
    <s v="PARANAIBA"/>
    <x v="1"/>
    <s v="FARMA &amp; FARMA"/>
    <s v="SELL IN"/>
    <s v="847010608 - VALTER PEREIRA DA SILVA JUNIOR"/>
    <n v="12793.213878944354"/>
    <n v="8340.8799999999974"/>
    <n v="0.65197690579751755"/>
    <n v="4016.58"/>
    <n v="0.31396176426086864"/>
    <s v="ATIVO"/>
    <s v="Sim"/>
    <s v="NÃO"/>
    <s v="Comprou Marcas"/>
    <s v="SIM"/>
    <m/>
    <m/>
    <m/>
  </r>
  <r>
    <n v="52837594000193"/>
    <x v="1"/>
    <m/>
    <s v="FARMACIA AMARELINHA POPULAR"/>
    <s v="NOVA OLIMPIA"/>
    <x v="0"/>
    <s v="INDEPENDENTES VIN"/>
    <s v="SELL IN"/>
    <s v="847010604 - LEONARDO MAZZUCO"/>
    <n v="5123.3965920924529"/>
    <n v="3770.6200000000003"/>
    <n v="0.73596098451945857"/>
    <n v="0"/>
    <n v="0"/>
    <s v="FORA SCANN"/>
    <s v="Não"/>
    <s v="NÃO"/>
    <s v="Não Comprou"/>
    <s v="NÃO"/>
    <m/>
    <m/>
    <m/>
  </r>
  <r>
    <n v="53446228000176"/>
    <x v="1"/>
    <m/>
    <s v="BEM POPULAR BRASIL"/>
    <s v="ALTO ARAGUAIA"/>
    <x v="0"/>
    <s v="COMPRE BEM"/>
    <s v="SELL IN"/>
    <s v="847010606 - PRICILA MOREIRA DOS SANTOS"/>
    <n v="1804.1833018142574"/>
    <n v="758.57"/>
    <n v="0.42045062673908706"/>
    <n v="0"/>
    <n v="0"/>
    <s v="TERMO DEVOLVIDO"/>
    <s v="Não"/>
    <s v="SIM"/>
    <s v="Não Comprou"/>
    <s v="NÃO"/>
    <m/>
    <m/>
    <m/>
  </r>
  <r>
    <n v="33540619000148"/>
    <x v="1"/>
    <m/>
    <s v="DROGARIA SEMPRE AMERICA"/>
    <s v="CUIABA"/>
    <x v="0"/>
    <s v="DSG FARMA"/>
    <s v="SELL IN"/>
    <s v="847010603 - ERIVALDO DA SILVA MACIEL"/>
    <n v="12791.999054648481"/>
    <n v="7256.6299999999992"/>
    <n v="0.56727880990289903"/>
    <n v="0"/>
    <n v="0"/>
    <s v="FORA SCANN"/>
    <s v="Não"/>
    <s v="NÃO"/>
    <s v="Não Comprou"/>
    <s v="SIM"/>
    <m/>
    <m/>
    <m/>
  </r>
  <r>
    <n v="42569761000109"/>
    <x v="1"/>
    <m/>
    <s v="DROGARIA FELIPE"/>
    <s v="INOCENCIA"/>
    <x v="1"/>
    <s v="REDE INOVA"/>
    <s v="SELL IN"/>
    <s v="847010608 - VALTER PEREIRA DA SILVA JUNIOR"/>
    <n v="6673.5765250154573"/>
    <n v="3774.9600000000005"/>
    <n v="0.5656577078047752"/>
    <n v="2210.5"/>
    <n v="0.3312316853959924"/>
    <s v="ATIVO"/>
    <s v="Não"/>
    <s v="NÃO"/>
    <s v="Comprou Marcas"/>
    <s v="SIM"/>
    <m/>
    <m/>
    <m/>
  </r>
  <r>
    <n v="43002849000107"/>
    <x v="1"/>
    <m/>
    <s v="FARMACIA UNIAO"/>
    <s v="ADAMANTINA"/>
    <x v="2"/>
    <s v="INDEPENDENTES VIN"/>
    <s v="SELL IN"/>
    <s v="847010607 - MANUEL ARIEDE ARTERO"/>
    <n v="5315.7437625572293"/>
    <n v="2721.7999999999997"/>
    <n v="0.51202618515431064"/>
    <n v="1344.6599999999999"/>
    <n v="0.25295801680123275"/>
    <s v="FORA SCANN"/>
    <s v="Não"/>
    <s v="NÃO"/>
    <s v="Comprou Marcas"/>
    <s v="SIM"/>
    <m/>
    <m/>
    <m/>
  </r>
  <r>
    <n v="8986750000277"/>
    <x v="1"/>
    <m/>
    <s v="DROGARIA FARMALIMA"/>
    <s v="CAMPO GRANDE"/>
    <x v="1"/>
    <s v="ASSOCIADAS"/>
    <s v="SELL IN"/>
    <s v="847010602 - WELLINGTON DE MORAIS DO NASCIMENTO"/>
    <n v="2549.3682453426704"/>
    <n v="2165.33"/>
    <n v="0.84935944579828626"/>
    <n v="1737.1800000000003"/>
    <n v="0.68141587751144961"/>
    <s v="ATIVO"/>
    <s v="Não"/>
    <s v="NÃO"/>
    <s v="Comprou Marcas"/>
    <s v="NÃO"/>
    <m/>
    <m/>
    <m/>
  </r>
  <r>
    <n v="10341045000698"/>
    <x v="15"/>
    <m/>
    <s v="DROGARIA ULTRAPOPULAR"/>
    <s v="JUINA"/>
    <x v="0"/>
    <s v="FARMARCAS"/>
    <s v="SELL OUT"/>
    <s v="847010604 - LEONARDO MAZZUCO"/>
    <n v="4421.2678533289536"/>
    <n v="2890.5800000000004"/>
    <n v="0.65378983945149682"/>
    <n v="1419.44"/>
    <n v="0.32104818054197859"/>
    <s v="ATIVO"/>
    <s v="Sim"/>
    <s v="NÃO"/>
    <s v="Comprou Marcas e SG"/>
    <s v="SIM"/>
    <m/>
    <m/>
    <m/>
  </r>
  <r>
    <n v="10341045000930"/>
    <x v="15"/>
    <m/>
    <s v="DROGARIA ULTRAPOPULAR"/>
    <s v="VARZEA GRANDE"/>
    <x v="0"/>
    <s v="FARMARCAS"/>
    <s v="SELL OUT"/>
    <s v="847010603 - ERIVALDO DA SILVA MACIEL"/>
    <n v="4386.8997287881803"/>
    <n v="2203.0099999999998"/>
    <n v="0.5021792464375634"/>
    <n v="1852.71"/>
    <n v="0.4223278658141989"/>
    <s v="ATIVO"/>
    <s v="Sim"/>
    <s v="NÃO"/>
    <s v="Comprou Marcas e SG"/>
    <s v="SIM"/>
    <m/>
    <m/>
    <m/>
  </r>
  <r>
    <n v="10341045001317"/>
    <x v="15"/>
    <m/>
    <s v="DROGARIA ULTRAPOPULAR"/>
    <s v="CUIABA"/>
    <x v="0"/>
    <s v="FARMARCAS"/>
    <s v="SELL OUT"/>
    <s v="847010603 - ERIVALDO DA SILVA MACIEL"/>
    <n v="32536.033406322054"/>
    <n v="21528.219999999994"/>
    <n v="0.66167315883739108"/>
    <n v="16384.209999999995"/>
    <n v="0.50357121888178269"/>
    <s v="ATIVO"/>
    <s v="Sim"/>
    <s v="NÃO"/>
    <s v="Comprou Marcas e SG"/>
    <s v="SIM"/>
    <m/>
    <n v="1"/>
    <n v="1"/>
  </r>
  <r>
    <n v="4427375000193"/>
    <x v="1"/>
    <n v="155485"/>
    <s v="FCIA NSA SRA APARECIDA"/>
    <s v="MIRANDA"/>
    <x v="1"/>
    <s v="ASSOCIADAS"/>
    <s v="SELL IN"/>
    <s v="847010602 - WELLINGTON DE MORAIS DO NASCIMENTO"/>
    <n v="10914.819766878141"/>
    <n v="9560.8499999999985"/>
    <n v="0.87595124832139981"/>
    <n v="7364.9499999999989"/>
    <n v="0.67476606644019033"/>
    <s v="TERMO DEVOLVIDO"/>
    <s v="Não"/>
    <s v="SIM"/>
    <s v="Comprou Marcas e SG"/>
    <s v="SIM"/>
    <n v="1"/>
    <m/>
    <m/>
  </r>
  <r>
    <n v="4437649000125"/>
    <x v="1"/>
    <m/>
    <s v="DROGARIA DELTA MED"/>
    <s v="PRESIDENTE BERNARDES"/>
    <x v="2"/>
    <s v="DROGARIA TOTAL"/>
    <s v="SELL IN"/>
    <s v="847010607 - MANUEL ARIEDE ARTERO"/>
    <n v="5256.4156992222788"/>
    <n v="3366.71"/>
    <n v="0.64049538557198338"/>
    <n v="275.42"/>
    <n v="5.2396921354745635E-2"/>
    <m/>
    <m/>
    <m/>
    <s v="Comprou Marcas e SG"/>
    <m/>
    <m/>
    <m/>
    <m/>
  </r>
  <r>
    <n v="7217112000300"/>
    <x v="16"/>
    <m/>
    <s v="DROGARIA MEGA POPULAR"/>
    <s v="ALTO PARAGUAI"/>
    <x v="0"/>
    <s v="INDEPENDENTES VIN"/>
    <s v="SELL IN"/>
    <s v="847010604 - LEONARDO MAZZUCO"/>
    <n v="4604.4758975242648"/>
    <n v="2415.77"/>
    <n v="0.52465688902811103"/>
    <n v="2351.7700000000004"/>
    <n v="0.51075737007647282"/>
    <s v="ATIVO"/>
    <s v="Sim"/>
    <s v="NÃO"/>
    <s v="Comprou Marcas"/>
    <s v="SIM"/>
    <m/>
    <m/>
    <m/>
  </r>
  <r>
    <n v="7236140000374"/>
    <x v="1"/>
    <m/>
    <s v="M. G. DROGARIA"/>
    <s v="PEIXOTO DE AZEVEDO"/>
    <x v="0"/>
    <s v="FARMA &amp; FARMA"/>
    <s v="SELL IN"/>
    <s v="847010605 - ISABELA CAMILA CRUCCITTI"/>
    <n v="5572.5400692475077"/>
    <n v="6313.7900000000009"/>
    <n v="1.1330183222626138"/>
    <n v="5529.7199999999993"/>
    <n v="0.99231587952434575"/>
    <s v="ATIVO"/>
    <s v="Sim"/>
    <s v="NÃO"/>
    <s v="Comprou Marcas"/>
    <s v="SIM"/>
    <n v="1"/>
    <m/>
    <m/>
  </r>
  <r>
    <n v="7284256000117"/>
    <x v="1"/>
    <m/>
    <s v="FCIA FARMAUTIL"/>
    <s v="DOURADOS"/>
    <x v="1"/>
    <s v="MASTERFARMA"/>
    <s v="SELL IN"/>
    <s v="847010601 - RAFAEL DE OLIVEIRA NASCIMENTO"/>
    <n v="1566.6339110433412"/>
    <n v="1509.99"/>
    <n v="0.96384355614668282"/>
    <n v="1406.64"/>
    <n v="0.8978740917609852"/>
    <s v="TERMO DEVOLVIDO"/>
    <s v="Não"/>
    <s v="NÃO"/>
    <s v="Comprou Marcas"/>
    <s v="NÃO"/>
    <m/>
    <m/>
    <m/>
  </r>
  <r>
    <n v="8087667000185"/>
    <x v="13"/>
    <n v="591"/>
    <s v="REDE DE FARMACIAS ECONOMIZAR"/>
    <s v="PEIXOTO DE AZEVEDO"/>
    <x v="0"/>
    <s v="ASSOCIADAS"/>
    <s v="SELL IN"/>
    <s v="847010605 - ISABELA CAMILA CRUCCITTI"/>
    <n v="9228.1168122835843"/>
    <n v="4621.2599999999993"/>
    <n v="0.5007803969113851"/>
    <n v="4182.0600000000004"/>
    <n v="0.45318672109061764"/>
    <s v="FORA SCANN"/>
    <s v="Não"/>
    <s v="NÃO"/>
    <s v="Comprou Marcas"/>
    <s v="SIM"/>
    <n v="4"/>
    <m/>
    <m/>
  </r>
  <r>
    <n v="23288222000157"/>
    <x v="1"/>
    <m/>
    <s v="PREVI SAUDE"/>
    <s v="VARZEA GRANDE"/>
    <x v="0"/>
    <s v="ASSOCIADAS"/>
    <s v="SELL IN"/>
    <s v="847010603 - ERIVALDO DA SILVA MACIEL"/>
    <n v="3192.4791422022731"/>
    <n v="875.81000000000006"/>
    <n v="0.27433538669757401"/>
    <n v="0"/>
    <n v="0"/>
    <s v="TERMO DEVOLVIDO"/>
    <s v="Não"/>
    <s v="NÃO"/>
    <s v="Não Comprou"/>
    <s v="NÃO"/>
    <m/>
    <m/>
    <m/>
  </r>
  <r>
    <n v="7272090000119"/>
    <x v="1"/>
    <m/>
    <s v="DROG NATALIA"/>
    <s v="ALTO GARCAS"/>
    <x v="0"/>
    <s v="INDEPENDENTES VIN"/>
    <s v="SELL IN"/>
    <s v="847010606 - PRICILA MOREIRA DOS SANTOS"/>
    <n v="1783.5504166971753"/>
    <n v="1066.1400000000001"/>
    <n v="0.59776274896355641"/>
    <n v="0"/>
    <n v="0"/>
    <s v="FORA SCANN"/>
    <s v="Não"/>
    <s v="NÃO"/>
    <s v="Não Comprou"/>
    <s v="NÃO"/>
    <m/>
    <m/>
    <m/>
  </r>
  <r>
    <n v="7496421000102"/>
    <x v="1"/>
    <m/>
    <s v="DROG MIRASSOL"/>
    <s v="MIRASSOL D'OESTE"/>
    <x v="0"/>
    <s v="INDEPENDENTES VIN"/>
    <s v="SELL IN"/>
    <s v="847010603 - ERIVALDO DA SILVA MACIEL"/>
    <n v="2071.45686641372"/>
    <n v="770.57999999999993"/>
    <n v="0.37199905655486454"/>
    <n v="0"/>
    <n v="0"/>
    <s v="FORA SCANN"/>
    <s v="Não"/>
    <s v="NÃO"/>
    <s v="Não Comprou"/>
    <s v="NÃO"/>
    <m/>
    <m/>
    <m/>
  </r>
  <r>
    <n v="8685407000101"/>
    <x v="1"/>
    <m/>
    <s v="DROG POPULAR"/>
    <s v="JUNQUEIROPOLIS"/>
    <x v="2"/>
    <s v="MASTERFARMA"/>
    <s v="SELL IN"/>
    <s v="847010607 - MANUEL ARIEDE ARTERO"/>
    <n v="7637.1919838081703"/>
    <n v="4399"/>
    <n v="0.57599704306588684"/>
    <n v="1412.66"/>
    <n v="0.18497112590530931"/>
    <s v="ATIVO"/>
    <s v="Sim"/>
    <s v="NÃO"/>
    <s v="Comprou Marcas"/>
    <s v="SIM"/>
    <m/>
    <m/>
    <n v="1"/>
  </r>
  <r>
    <n v="9165147000106"/>
    <x v="1"/>
    <m/>
    <s v="FARMACIA BRASIL"/>
    <s v="ITAQUIRAI"/>
    <x v="1"/>
    <s v="INDEPENDENTES VIN"/>
    <s v="SELL IN"/>
    <s v="847010601 - RAFAEL DE OLIVEIRA NASCIMENTO"/>
    <n v="5314.3480111306872"/>
    <n v="2469.1200000000008"/>
    <n v="0.46461390839074307"/>
    <n v="0"/>
    <n v="0"/>
    <s v="FORA SCANN"/>
    <s v="Não"/>
    <s v="NÃO"/>
    <s v="Não Comprou"/>
    <s v="SIM"/>
    <m/>
    <m/>
    <m/>
  </r>
  <r>
    <n v="9364347000198"/>
    <x v="1"/>
    <m/>
    <s v="DROGARIA CONCORDIA"/>
    <s v="PARANATINGA"/>
    <x v="0"/>
    <s v="INDEPENDENTES VIN"/>
    <s v="SELL IN"/>
    <s v="847010606 - PRICILA MOREIRA DOS SANTOS"/>
    <n v="1790.5959823099993"/>
    <n v="1005.8900000000001"/>
    <n v="0.56176268121764061"/>
    <n v="0"/>
    <n v="0"/>
    <s v="FORA SCANN"/>
    <s v="Não"/>
    <s v="NÃO"/>
    <s v="Não Comprou"/>
    <s v="NÃO"/>
    <m/>
    <m/>
    <m/>
  </r>
  <r>
    <n v="38872460000506"/>
    <x v="19"/>
    <m/>
    <s v="DROGARIA POUPE MAIS"/>
    <s v="PARANATINGA"/>
    <x v="0"/>
    <s v="COMPRE BEM"/>
    <s v="SELL IN"/>
    <s v="847010606 - PRICILA MOREIRA DOS SANTOS"/>
    <n v="1609.7694292658314"/>
    <n v="1633.98"/>
    <n v="1.0150397754448663"/>
    <n v="1890.48"/>
    <n v="1.1743793649145098"/>
    <s v="TERMO DEVOLVIDO"/>
    <s v="Não"/>
    <s v="NÃO"/>
    <s v="Comprou Marcas"/>
    <s v="SIM"/>
    <m/>
    <m/>
    <m/>
  </r>
  <r>
    <n v="7754019000172"/>
    <x v="1"/>
    <m/>
    <s v="DROGARIA ESTRELA"/>
    <s v="BARRA DO GARCAS"/>
    <x v="0"/>
    <s v="INDEPENDENTES VIN"/>
    <s v="SELL IN"/>
    <s v="847010606 - PRICILA MOREIRA DOS SANTOS"/>
    <n v="1879.0845119968251"/>
    <n v="498.68999999999994"/>
    <n v="0.2653898730026053"/>
    <n v="0"/>
    <n v="0"/>
    <s v="TERMO DEVOLVIDO"/>
    <s v="Não"/>
    <s v="NÃO"/>
    <s v="Não Comprou"/>
    <s v="NÃO"/>
    <m/>
    <m/>
    <m/>
  </r>
  <r>
    <n v="8087667000932"/>
    <x v="13"/>
    <m/>
    <s v="REDE DE FARMACIAS ECONOMIZAR"/>
    <s v="SINOP"/>
    <x v="0"/>
    <s v="ASSOCIADAS"/>
    <s v="SELL IN"/>
    <s v="847010605 - ISABELA CAMILA CRUCCITTI"/>
    <n v="12662.594469881225"/>
    <n v="9897.8200000000052"/>
    <n v="0.78165813676988471"/>
    <n v="9380.8300000000017"/>
    <n v="0.74083001096757017"/>
    <s v="FORA SCANN"/>
    <s v="Não"/>
    <s v="NÃO"/>
    <s v="Comprou Marcas"/>
    <s v="SIM"/>
    <n v="4"/>
    <m/>
    <m/>
  </r>
  <r>
    <n v="10280518000180"/>
    <x v="1"/>
    <m/>
    <s v="DROGARIA FARMAX"/>
    <s v="SINOP"/>
    <x v="0"/>
    <s v="INDEPENDENTES VIN"/>
    <s v="SELL IN"/>
    <s v="847010605 - ISABELA CAMILA CRUCCITTI"/>
    <n v="324.92938901659545"/>
    <n v="0"/>
    <n v="0"/>
    <n v="0"/>
    <n v="0"/>
    <s v="FORA SCANN"/>
    <s v="Não"/>
    <s v="NÃO"/>
    <s v="Não Comprou"/>
    <s v="NÃO"/>
    <m/>
    <m/>
    <m/>
  </r>
  <r>
    <n v="10497520000105"/>
    <x v="1"/>
    <m/>
    <s v="DROG BOM JESUS PREVER"/>
    <s v="AVANHANDAVA"/>
    <x v="2"/>
    <s v="DROGARIA TOTAL"/>
    <s v="SELL IN"/>
    <s v="847010608 - VALTER PEREIRA DA SILVA JUNIOR"/>
    <n v="11760.241795338341"/>
    <n v="5646.199999999998"/>
    <n v="0.48010917617681154"/>
    <n v="0"/>
    <n v="0"/>
    <s v="TERMO DEVOLVIDO"/>
    <s v="Não"/>
    <s v="SIM"/>
    <s v="Não Comprou"/>
    <s v="SIM"/>
    <m/>
    <m/>
    <m/>
  </r>
  <r>
    <n v="18332251000139"/>
    <x v="11"/>
    <m/>
    <s v="DROGARIA ULTRAPOPULAR"/>
    <s v="CHAPADAO DO SUL"/>
    <x v="1"/>
    <s v="FARMARCAS"/>
    <s v="SELL OUT"/>
    <s v="847010608 - VALTER PEREIRA DA SILVA JUNIOR"/>
    <n v="18316.582778702996"/>
    <n v="10213.789999999997"/>
    <n v="0.55762530180442527"/>
    <n v="7935.7199999999993"/>
    <n v="0.43325330362533543"/>
    <s v="ATIVO"/>
    <s v="Sim"/>
    <s v="NÃO"/>
    <s v="Comprou Marcas"/>
    <s v="SIM"/>
    <m/>
    <m/>
    <m/>
  </r>
  <r>
    <n v="10341045001902"/>
    <x v="15"/>
    <m/>
    <s v="DROGARIA ULTRAPOPULAR"/>
    <s v="NOVA MUTUM"/>
    <x v="0"/>
    <s v="FARMARCAS"/>
    <s v="SELL OUT"/>
    <s v="847010604 - LEONARDO MAZZUCO"/>
    <n v="23881.360988403314"/>
    <n v="14246.299999999997"/>
    <n v="0.59654472820531201"/>
    <n v="10988.479999999996"/>
    <n v="0.46012787986982628"/>
    <s v="ATIVO"/>
    <s v="Sim"/>
    <s v="NÃO"/>
    <s v="Comprou Marcas e SG"/>
    <s v="SIM"/>
    <n v="3"/>
    <n v="5"/>
    <n v="2"/>
  </r>
  <r>
    <n v="7688383000181"/>
    <x v="1"/>
    <m/>
    <s v="DROGAMIL"/>
    <s v="RONDONOPOLIS"/>
    <x v="0"/>
    <s v="DSG FARMA"/>
    <s v="SELL IN"/>
    <s v="847010603 - ERIVALDO DA SILVA MACIEL"/>
    <n v="6143.0691232539448"/>
    <n v="4528.6900000000005"/>
    <n v="0.73720316492241944"/>
    <n v="3002.4500000000003"/>
    <n v="0.48875406409388106"/>
    <s v="TERMO DEVOLVIDO"/>
    <s v="Não"/>
    <s v="SIM"/>
    <s v="Comprou Marcas"/>
    <s v="SIM"/>
    <m/>
    <n v="1"/>
    <n v="1"/>
  </r>
  <r>
    <n v="4834843000900"/>
    <x v="4"/>
    <m/>
    <s v="FARMACIA SANTA CATARINA DE PRESIDENTE PRUDENTE"/>
    <s v="PRESIDENTE PRUDENTE"/>
    <x v="2"/>
    <s v="REDE SANTA CATARINA"/>
    <s v="SELL IN"/>
    <s v="847010607 - MANUEL ARIEDE ARTERO"/>
    <n v="8982.6240795125195"/>
    <n v="7077.409999999998"/>
    <n v="0.78790005429950971"/>
    <n v="6409.0299999999988"/>
    <n v="0.71349195327205683"/>
    <s v="ATIVO"/>
    <s v="Sim"/>
    <s v="NÃO"/>
    <s v="Comprou Marcas e SG"/>
    <s v="SIM"/>
    <n v="3"/>
    <n v="4"/>
    <n v="4"/>
  </r>
  <r>
    <n v="4972853000146"/>
    <x v="7"/>
    <n v="46829"/>
    <s v="FARMACIA MADEIRA"/>
    <s v="SINOP"/>
    <x v="0"/>
    <s v="REDE MADEIRA"/>
    <s v="SELL IN"/>
    <s v="847010605 - ISABELA CAMILA CRUCCITTI"/>
    <n v="11873.430065890458"/>
    <n v="17380.680000000004"/>
    <n v="1.4638297361038548"/>
    <n v="15893.729999999998"/>
    <n v="1.3385963375199308"/>
    <s v="FORA SCANN"/>
    <s v="Não"/>
    <s v="SIM"/>
    <s v="Comprou Marcas e SG"/>
    <s v="SIM"/>
    <n v="4"/>
    <m/>
    <m/>
  </r>
  <r>
    <n v="5113547000117"/>
    <x v="1"/>
    <m/>
    <s v="ANAFARMA"/>
    <s v="PIRAPOZINHO"/>
    <x v="2"/>
    <s v="INDEPENDENTES VIN"/>
    <s v="SELL IN"/>
    <s v="847010607 - MANUEL ARIEDE ARTERO"/>
    <n v="9656.8574937672529"/>
    <n v="4181.45"/>
    <n v="0.43300317962637425"/>
    <n v="3735.5399999999995"/>
    <n v="0.38682770273984046"/>
    <s v="ATIVO"/>
    <s v="Não"/>
    <s v="NÃO"/>
    <s v="Comprou Marcas"/>
    <s v="SIM"/>
    <m/>
    <m/>
    <m/>
  </r>
  <r>
    <n v="6368293000140"/>
    <x v="1"/>
    <m/>
    <s v="FARMACIAS MEIO PRECO INGAS"/>
    <s v="SINOP"/>
    <x v="0"/>
    <s v="INDEPENDENTES VIN"/>
    <s v="SELL IN"/>
    <s v="847010605 - ISABELA CAMILA CRUCCITTI"/>
    <n v="11331.053713827969"/>
    <n v="4740.87"/>
    <n v="0.4183962162507826"/>
    <n v="0"/>
    <n v="0"/>
    <s v="FORA SCANN"/>
    <s v="Não"/>
    <s v="NÃO"/>
    <s v="Não Comprou"/>
    <s v="SIM"/>
    <m/>
    <m/>
    <n v="1"/>
  </r>
  <r>
    <n v="7234960000165"/>
    <x v="1"/>
    <m/>
    <s v="DROGA PRACA"/>
    <s v="PONTES E LACERDA"/>
    <x v="0"/>
    <s v="MASTERFARMA"/>
    <s v="SELL IN"/>
    <s v="847010603 - ERIVALDO DA SILVA MACIEL"/>
    <n v="11592.584261847447"/>
    <n v="3894.2"/>
    <n v="0.33592164715302247"/>
    <n v="2239.92"/>
    <n v="0.19322007495531771"/>
    <s v="TERMO DEVOLVIDO"/>
    <s v="Não"/>
    <s v="SIM"/>
    <s v="Comprou Marcas"/>
    <s v="NÃO"/>
    <n v="4"/>
    <m/>
    <m/>
  </r>
  <r>
    <n v="12104635000118"/>
    <x v="20"/>
    <m/>
    <s v="FARMACIA ROMANA"/>
    <s v="CAARAPO"/>
    <x v="1"/>
    <s v="ASSOCIADAS"/>
    <s v="SELL IN"/>
    <s v="847010601 - RAFAEL DE OLIVEIRA NASCIMENTO"/>
    <n v="1482.8325909295763"/>
    <n v="1025.6199999999999"/>
    <n v="0.69166270439001254"/>
    <n v="0"/>
    <n v="0"/>
    <s v="FORA SCANN"/>
    <s v="Não"/>
    <s v="SIM"/>
    <s v="Não Comprou"/>
    <s v="NÃO"/>
    <m/>
    <m/>
    <m/>
  </r>
  <r>
    <n v="1189590000105"/>
    <x v="1"/>
    <m/>
    <s v="DROGALAB"/>
    <s v="CAMPO GRANDE"/>
    <x v="1"/>
    <s v="INDEPENDENTES VIN"/>
    <s v="SELL IN"/>
    <s v="847010602 - WELLINGTON DE MORAIS DO NASCIMENTO"/>
    <n v="6105.1419757076228"/>
    <n v="4988.66"/>
    <n v="0.81712432239084565"/>
    <n v="2471.0800000000004"/>
    <n v="0.40475389595073052"/>
    <m/>
    <m/>
    <m/>
    <s v="Comprou Marcas"/>
    <m/>
    <m/>
    <m/>
    <m/>
  </r>
  <r>
    <n v="1282599000166"/>
    <x v="1"/>
    <m/>
    <s v="DROGARIA NOSSA SENHORA SANTANA"/>
    <s v="NORTELANDIA"/>
    <x v="0"/>
    <s v="ASSOCIADAS"/>
    <s v="SELL IN"/>
    <s v="847010604 - LEONARDO MAZZUCO"/>
    <n v="5564.3590814763447"/>
    <n v="5540.11"/>
    <n v="0.99564207105952784"/>
    <n v="2325.91"/>
    <n v="0.4180014204588115"/>
    <s v="NÃO HOMOLOGADO"/>
    <s v="Não"/>
    <s v="NÃO"/>
    <s v="Comprou Marcas"/>
    <s v="NÃO"/>
    <m/>
    <m/>
    <n v="1"/>
  </r>
  <r>
    <n v="1719283000199"/>
    <x v="1"/>
    <m/>
    <s v="DROG SIDRO"/>
    <s v="SIDROLANDIA"/>
    <x v="1"/>
    <s v="INDEPENDENTES VIN"/>
    <s v="SELL IN"/>
    <s v="847010602 - WELLINGTON DE MORAIS DO NASCIMENTO"/>
    <n v="3787.5702169322594"/>
    <n v="1307.22"/>
    <n v="0.34513419557374758"/>
    <n v="0"/>
    <n v="0"/>
    <m/>
    <m/>
    <m/>
    <s v="Não Comprou"/>
    <m/>
    <m/>
    <m/>
    <m/>
  </r>
  <r>
    <n v="1738769000174"/>
    <x v="1"/>
    <m/>
    <s v="FCIA PARANA"/>
    <s v="CAMPO NOVO DO PARECIS"/>
    <x v="0"/>
    <s v="INDEPENDENTES VIN"/>
    <s v="SELL IN"/>
    <s v="847010604 - LEONARDO MAZZUCO"/>
    <n v="3350.5870385202734"/>
    <n v="2023.5499999999997"/>
    <n v="0.60393894464943199"/>
    <n v="2090.61"/>
    <n v="0.62395334786565659"/>
    <s v="FORA SCANN"/>
    <s v="Não"/>
    <s v="NÃO"/>
    <s v="Comprou Marcas"/>
    <s v="SIM"/>
    <m/>
    <m/>
    <m/>
  </r>
  <r>
    <n v="14782944000253"/>
    <x v="1"/>
    <m/>
    <s v="DROGARIA MEGA POPULAR"/>
    <s v="TANGARA DA SERRA"/>
    <x v="0"/>
    <s v="INDEPENDENTES VIN"/>
    <s v="SELL IN"/>
    <s v="847010604 - LEONARDO MAZZUCO"/>
    <n v="1802.2785272390997"/>
    <n v="1230.8000000000002"/>
    <n v="0.68291331300798208"/>
    <n v="1115.71"/>
    <n v="0.61905525873914169"/>
    <s v="FORA SCANN"/>
    <s v="Não"/>
    <s v="NÃO"/>
    <s v="Comprou Marcas"/>
    <s v="SIM"/>
    <m/>
    <m/>
    <m/>
  </r>
  <r>
    <n v="15900640000125"/>
    <x v="1"/>
    <m/>
    <s v="FCIA PROGRESSO"/>
    <s v="RIO BRILHANTE"/>
    <x v="1"/>
    <s v="INDEPENDENTES VIN"/>
    <s v="SELL IN"/>
    <s v="847010601 - RAFAEL DE OLIVEIRA NASCIMENTO"/>
    <n v="3947.0207597375684"/>
    <n v="1644.8899999999999"/>
    <n v="0.41674217089989823"/>
    <n v="0"/>
    <n v="0"/>
    <s v="FORA SCANN"/>
    <s v="Não"/>
    <s v="NÃO"/>
    <s v="Não Comprou"/>
    <s v="SIM"/>
    <m/>
    <m/>
    <m/>
  </r>
  <r>
    <n v="15946916000106"/>
    <x v="1"/>
    <m/>
    <s v="FARMACIA E DROGARIA BIOTEC"/>
    <s v="ALTA FLORESTA"/>
    <x v="0"/>
    <s v="HIPER SAUDE"/>
    <s v="SELL IN"/>
    <s v="847010605 - ISABELA CAMILA CRUCCITTI"/>
    <n v="10154.15799487712"/>
    <n v="5847.6600000000008"/>
    <n v="0.57588822263256167"/>
    <n v="3777"/>
    <n v="0.37196584905469626"/>
    <s v="ATIVO"/>
    <s v="Não"/>
    <s v="NÃO"/>
    <s v="Comprou Marcas"/>
    <s v="SIM"/>
    <n v="13"/>
    <m/>
    <m/>
  </r>
  <r>
    <n v="19436791000125"/>
    <x v="9"/>
    <m/>
    <s v="DROGARIA ULTRA POPULAR"/>
    <s v="NAVIRAI"/>
    <x v="1"/>
    <s v="FARMARCAS"/>
    <s v="SELL OUT"/>
    <s v="847010601 - RAFAEL DE OLIVEIRA NASCIMENTO"/>
    <n v="11632.447979371749"/>
    <n v="6928.920000000001"/>
    <n v="0.5956545012956268"/>
    <n v="2990.5299999999997"/>
    <n v="0.25708518149431808"/>
    <s v="ATIVO"/>
    <s v="Sim"/>
    <s v="NÃO"/>
    <s v="Comprou Marcas e SG"/>
    <s v="SIM"/>
    <m/>
    <m/>
    <m/>
  </r>
  <r>
    <n v="20397408000156"/>
    <x v="1"/>
    <m/>
    <s v="ALTA FARMA"/>
    <s v="CAMPO VERDE"/>
    <x v="0"/>
    <s v="INDEPENDENTES VIN"/>
    <s v="SELL IN"/>
    <s v="847010603 - ERIVALDO DA SILVA MACIEL"/>
    <n v="2419.2426333230133"/>
    <n v="259.24"/>
    <n v="0.10715750310828237"/>
    <n v="0"/>
    <n v="0"/>
    <s v="ATIVO"/>
    <s v="Sim"/>
    <s v="NÃO"/>
    <s v="Não Comprou"/>
    <s v="SIM"/>
    <m/>
    <m/>
    <m/>
  </r>
  <r>
    <n v="30878190000105"/>
    <x v="1"/>
    <m/>
    <s v="DROGA CENTER"/>
    <s v="SONORA"/>
    <x v="1"/>
    <s v="MASTERFARMA"/>
    <s v="SELL IN"/>
    <s v="847010602 - WELLINGTON DE MORAIS DO NASCIMENTO"/>
    <n v="9900.4632620860248"/>
    <n v="8762.5300000000007"/>
    <n v="0.8850626246507316"/>
    <n v="4317.46"/>
    <n v="0.43608666440223853"/>
    <s v="TERMO DEVOLVIDO"/>
    <s v="Não"/>
    <s v="SIM"/>
    <s v="Comprou Marcas"/>
    <s v="SIM"/>
    <m/>
    <m/>
    <n v="1"/>
  </r>
  <r>
    <n v="16789469000191"/>
    <x v="1"/>
    <m/>
    <s v="DROGARIA FLORAIS"/>
    <s v="CUIABA"/>
    <x v="0"/>
    <s v="CONCEITO"/>
    <s v="SELL IN"/>
    <s v="847010603 - ERIVALDO DA SILVA MACIEL"/>
    <n v="1540.9093389653433"/>
    <n v="0"/>
    <n v="0"/>
    <n v="0"/>
    <n v="0"/>
    <s v="TERMO DEVOLVIDO"/>
    <s v="Não"/>
    <s v="SIM"/>
    <s v="Não Comprou"/>
    <s v="NÃO"/>
    <m/>
    <m/>
    <m/>
  </r>
  <r>
    <n v="20412740000142"/>
    <x v="1"/>
    <m/>
    <s v="DROGARIA CONFIANCA"/>
    <s v="MARACAJU"/>
    <x v="1"/>
    <s v="INDEPENDENTES VIN"/>
    <s v="SELL IN"/>
    <s v="847010601 - RAFAEL DE OLIVEIRA NASCIMENTO"/>
    <n v="1356.8254755727651"/>
    <n v="488.28"/>
    <n v="0.35986942225851071"/>
    <n v="0"/>
    <n v="0"/>
    <s v="FORA SCANN"/>
    <s v="Não"/>
    <s v="NÃO"/>
    <s v="Não Comprou"/>
    <s v="NÃO"/>
    <m/>
    <m/>
    <m/>
  </r>
  <r>
    <n v="10341045002127"/>
    <x v="15"/>
    <m/>
    <s v="DROGARIA ULTRAPOPULAR"/>
    <s v="NOVA MUTUM"/>
    <x v="0"/>
    <s v="FARMARCAS"/>
    <s v="SELL OUT"/>
    <s v="847010604 - LEONARDO MAZZUCO"/>
    <n v="14049.710908441331"/>
    <n v="7783.94"/>
    <n v="0.55402848149161998"/>
    <n v="5703.0600000000013"/>
    <n v="0.40592009594827289"/>
    <s v="ATIVO"/>
    <s v="Sim"/>
    <s v="NÃO"/>
    <s v="Comprou Marcas e SG"/>
    <m/>
    <m/>
    <m/>
    <m/>
  </r>
  <r>
    <n v="22315443000104"/>
    <x v="1"/>
    <m/>
    <s v="MAIS HIPER POPULAR"/>
    <s v="VILA BELA DA SANTISSIMA TRINDADE"/>
    <x v="0"/>
    <s v="HIPER SAUDE"/>
    <s v="SELL IN"/>
    <s v="847010603 - ERIVALDO DA SILVA MACIEL"/>
    <n v="6571.6177440860629"/>
    <n v="3158.5400000000004"/>
    <n v="0.4806335552372073"/>
    <n v="1669.95"/>
    <n v="0.25411551082727279"/>
    <s v="ATIVO"/>
    <s v="Sim"/>
    <s v="NÃO"/>
    <s v="Comprou Marcas"/>
    <s v="SIM"/>
    <m/>
    <m/>
    <m/>
  </r>
  <r>
    <n v="9556154000139"/>
    <x v="1"/>
    <m/>
    <s v="DROGARIA MODELO"/>
    <s v="DIAMANTINO"/>
    <x v="0"/>
    <s v="DSG FARMA"/>
    <s v="SELL IN"/>
    <s v="847010604 - LEONARDO MAZZUCO"/>
    <n v="2582.0700025792644"/>
    <n v="5929.13"/>
    <n v="2.29627004460658"/>
    <n v="5479.3399999999992"/>
    <n v="2.1220725985455906"/>
    <s v="ATIVO"/>
    <s v="Sim"/>
    <s v="NÃO"/>
    <s v="Comprou Marcas"/>
    <s v="NÃO"/>
    <m/>
    <n v="4"/>
    <n v="8"/>
  </r>
  <r>
    <n v="7217112000148"/>
    <x v="16"/>
    <n v="155487"/>
    <s v="DROGARIA MEGA POPULAR"/>
    <s v="DIAMANTINO"/>
    <x v="0"/>
    <s v="INDEPENDENTES VIN"/>
    <s v="SELL IN"/>
    <s v="847010604 - LEONARDO MAZZUCO"/>
    <n v="8811.4823298924966"/>
    <n v="4321.3599999999997"/>
    <n v="0.49042372647562488"/>
    <n v="3821.6899999999991"/>
    <n v="0.43371703612627288"/>
    <s v="ATIVO"/>
    <s v="Sim"/>
    <s v="NÃO"/>
    <s v="Comprou Marcas"/>
    <s v="SIM"/>
    <m/>
    <m/>
    <m/>
  </r>
  <r>
    <n v="33689225000156"/>
    <x v="1"/>
    <m/>
    <s v="DROGARIA SEMPREAMERICA"/>
    <s v="CUIABA"/>
    <x v="0"/>
    <s v="INDEPENDENTES VIN"/>
    <s v="SELL IN"/>
    <s v="847010603 - ERIVALDO DA SILVA MACIEL"/>
    <n v="6653.1504888866593"/>
    <n v="2008.46"/>
    <n v="0.30188104167415225"/>
    <n v="137.85"/>
    <n v="2.0719507281589819E-2"/>
    <s v="FORA SCANN"/>
    <s v="Não"/>
    <s v="NÃO"/>
    <s v="Comprou Marcas"/>
    <s v="NÃO"/>
    <m/>
    <m/>
    <m/>
  </r>
  <r>
    <n v="33675901000132"/>
    <x v="1"/>
    <m/>
    <s v="FARMACIA GERALDO TOMAS"/>
    <s v="ARAGUAIANA"/>
    <x v="0"/>
    <s v="MASTERFARMA"/>
    <s v="SELL IN"/>
    <s v="847010606 - PRICILA MOREIRA DOS SANTOS"/>
    <n v="4427.4224002714254"/>
    <n v="2707.3300000000004"/>
    <n v="0.61149123694048846"/>
    <n v="982.61999999999989"/>
    <n v="0.22193951946842927"/>
    <s v="NÃO HOMOLOGADO"/>
    <s v="Não"/>
    <s v="NÃO"/>
    <s v="Comprou Marcas"/>
    <s v="NÃO"/>
    <m/>
    <m/>
    <m/>
  </r>
  <r>
    <n v="10341045000426"/>
    <x v="15"/>
    <m/>
    <s v="DROGARIA ULTRAPOPULAR"/>
    <s v="JUINA"/>
    <x v="0"/>
    <s v="FARMARCAS"/>
    <s v="SELL OUT"/>
    <s v="847010604 - LEONARDO MAZZUCO"/>
    <n v="12101.626402963089"/>
    <n v="6327.9299999999985"/>
    <n v="0.52289913680119904"/>
    <n v="3583.4100000000003"/>
    <n v="0.2961097856336567"/>
    <s v="ATIVO"/>
    <s v="Sim"/>
    <s v="NÃO"/>
    <s v="Comprou Marcas e SG"/>
    <s v="SIM"/>
    <m/>
    <m/>
    <m/>
  </r>
  <r>
    <n v="36630262000187"/>
    <x v="1"/>
    <m/>
    <s v="DROGA BOX"/>
    <s v="CUIABA"/>
    <x v="0"/>
    <s v="HIPER SAUDE"/>
    <s v="SELL IN"/>
    <s v="847010603 - ERIVALDO DA SILVA MACIEL"/>
    <n v="6532.0276467028343"/>
    <n v="3497.1"/>
    <n v="0.5353774033343579"/>
    <n v="137.85"/>
    <n v="2.1103707371719776E-2"/>
    <s v="TERMO DEVOLVIDO"/>
    <s v="Não"/>
    <s v="SIM"/>
    <s v="Comprou Marcas"/>
    <s v="SIM"/>
    <m/>
    <m/>
    <m/>
  </r>
  <r>
    <n v="97528758000139"/>
    <x v="21"/>
    <n v="116286"/>
    <s v="FARMA FACIL"/>
    <s v="VARZEA GRANDE"/>
    <x v="0"/>
    <s v="ASSOCIADAS"/>
    <s v="SELL IN"/>
    <s v="847010603 - ERIVALDO DA SILVA MACIEL"/>
    <n v="2536.1303154805728"/>
    <n v="1770.6"/>
    <n v="0.69815024456441932"/>
    <n v="137.85"/>
    <n v="5.4354462449568063E-2"/>
    <s v="FORA SCANN"/>
    <s v="Não"/>
    <s v="NÃO"/>
    <s v="Comprou Marcas"/>
    <s v="NÃO"/>
    <m/>
    <m/>
    <m/>
  </r>
  <r>
    <n v="64799330000171"/>
    <x v="1"/>
    <m/>
    <s v="JP MEDICAMENTOS E PERFUMARIAS"/>
    <s v="CAMPO GRANDE"/>
    <x v="1"/>
    <s v="INDEPENDENTES VIN"/>
    <s v="SELL IN"/>
    <s v="847010602 - WELLINGTON DE MORAIS DO NASCIMENTO"/>
    <n v="2978.9462490748751"/>
    <n v="3764.7000000000003"/>
    <n v="1.2637690261008048"/>
    <n v="589.80000000000007"/>
    <n v="0.19798947368827655"/>
    <s v="FORA SCANN"/>
    <s v="Não"/>
    <s v="NÃO"/>
    <s v="Comprou Marcas"/>
    <s v="NÃO"/>
    <m/>
    <m/>
    <m/>
  </r>
  <r>
    <n v="48130762000139"/>
    <x v="1"/>
    <m/>
    <s v="DROGARIA IMPERATRIZ"/>
    <s v="ALTO GARCAS"/>
    <x v="0"/>
    <s v="HIPER SAUDE"/>
    <s v="SELL IN"/>
    <s v="847010606 - PRICILA MOREIRA DOS SANTOS"/>
    <n v="1020.1518610696065"/>
    <n v="0"/>
    <n v="0"/>
    <n v="0"/>
    <n v="0"/>
    <s v="FILA DE ATIVAÇÃO"/>
    <s v="Não"/>
    <s v="NÃO"/>
    <s v="Não Comprou"/>
    <s v="NÃO"/>
    <m/>
    <m/>
    <m/>
  </r>
  <r>
    <n v="56129324000260"/>
    <x v="1"/>
    <m/>
    <s v="FARMANIA"/>
    <s v="CAMPO GRANDE"/>
    <x v="1"/>
    <s v="INDEPENDENTES VIN"/>
    <s v="SELL IN"/>
    <s v="847010602 - WELLINGTON DE MORAIS DO NASCIMENTO"/>
    <n v="1819.3548563943521"/>
    <n v="1996.0900000000006"/>
    <n v="1.097141656002121"/>
    <n v="0"/>
    <n v="0"/>
    <s v="FORA SCANN"/>
    <s v="Não"/>
    <s v="NÃO"/>
    <s v="Não Comprou"/>
    <s v="NÃO"/>
    <m/>
    <m/>
    <m/>
  </r>
  <r>
    <n v="2923540000172"/>
    <x v="1"/>
    <m/>
    <s v="DROGARIA DROGA BARAO"/>
    <s v="ANDRADINA"/>
    <x v="2"/>
    <s v="DROGARIA TOTAL"/>
    <s v="SELL IN"/>
    <s v="847010608 - VALTER PEREIRA DA SILVA JUNIOR"/>
    <n v="3732.8556001813245"/>
    <n v="3426.5900000000011"/>
    <n v="0.917954072435471"/>
    <n v="1726.0799999999997"/>
    <n v="0.46240202806563291"/>
    <s v="ATIVO"/>
    <s v="Sim"/>
    <s v="NÃO"/>
    <s v="Comprou Marcas e SG"/>
    <s v="SIM"/>
    <m/>
    <n v="1"/>
    <n v="4"/>
  </r>
  <r>
    <n v="3521179000110"/>
    <x v="1"/>
    <n v="14627"/>
    <s v="FARMACIA SAO MATEUS"/>
    <s v="PIRAPOZINHO"/>
    <x v="2"/>
    <s v="BIODROGAS"/>
    <s v="SELL IN"/>
    <s v="847010607 - MANUEL ARIEDE ARTERO"/>
    <n v="4712.880684821841"/>
    <n v="2654.5600000000004"/>
    <n v="0.56325635583120004"/>
    <n v="1803.3600000000001"/>
    <n v="0.38264495127318754"/>
    <s v="FORA SCANN"/>
    <s v="Não"/>
    <s v="NÃO"/>
    <s v="Comprou Marcas e SG"/>
    <s v="SIM"/>
    <m/>
    <m/>
    <m/>
  </r>
  <r>
    <n v="4007182000183"/>
    <x v="1"/>
    <m/>
    <s v="ESSENCIAL VIDA"/>
    <s v="BIRIGUI"/>
    <x v="2"/>
    <s v="DROGARIA TOTAL"/>
    <s v="SELL IN"/>
    <s v="847010608 - VALTER PEREIRA DA SILVA JUNIOR"/>
    <n v="5770.9857733713307"/>
    <n v="1803.66"/>
    <n v="0.31253932531293116"/>
    <n v="0"/>
    <n v="0"/>
    <s v="FORA SCANN"/>
    <s v="Não"/>
    <s v="SIM"/>
    <s v="Não Comprou"/>
    <s v="SIM"/>
    <m/>
    <m/>
    <m/>
  </r>
  <r>
    <n v="13507152000127"/>
    <x v="1"/>
    <m/>
    <s v="DROGARIA FARMALUZ"/>
    <s v="SINOP"/>
    <x v="0"/>
    <s v="DSG FARMA"/>
    <s v="SELL IN"/>
    <s v="847010605 - ISABELA CAMILA CRUCCITTI"/>
    <n v="2978.4592884895046"/>
    <n v="4643.5500000000011"/>
    <n v="1.5590443078894425"/>
    <n v="4436.3999999999996"/>
    <n v="1.4894949268384579"/>
    <s v="ATIVO"/>
    <s v="Sim"/>
    <s v="SIM"/>
    <s v="Comprou Marcas"/>
    <s v="SIM"/>
    <m/>
    <m/>
    <n v="2"/>
  </r>
  <r>
    <n v="3477379000113"/>
    <x v="1"/>
    <m/>
    <s v="FARMACIA PROGRESSO"/>
    <s v="FATIMA DO SUL"/>
    <x v="1"/>
    <s v="INDEPENDENTES VIN"/>
    <s v="SELL IN"/>
    <s v="847010601 - RAFAEL DE OLIVEIRA NASCIMENTO"/>
    <n v="7145.7810969192305"/>
    <n v="3558.7900000000004"/>
    <n v="0.49802673098036909"/>
    <n v="1827.6100000000001"/>
    <n v="0.25576070344331425"/>
    <s v="FORA SCANN"/>
    <s v="Não"/>
    <s v="NÃO"/>
    <s v="Comprou Marcas"/>
    <s v="SIM"/>
    <m/>
    <m/>
    <m/>
  </r>
  <r>
    <n v="4213573000154"/>
    <x v="1"/>
    <m/>
    <s v="DROGARIA TOTAL PIACATU"/>
    <s v="PIACATU"/>
    <x v="2"/>
    <s v="DROGARIA TOTAL"/>
    <s v="SELL IN"/>
    <s v="847010608 - VALTER PEREIRA DA SILVA JUNIOR"/>
    <n v="23234.648147861211"/>
    <n v="9564.89"/>
    <n v="0.41166493846305408"/>
    <n v="4368.4599999999991"/>
    <n v="0.1880148979317392"/>
    <s v="FORA SCANN"/>
    <s v="Não"/>
    <s v="SIM"/>
    <s v="Comprou Marcas"/>
    <s v="SIM"/>
    <m/>
    <n v="3"/>
    <n v="4"/>
  </r>
  <r>
    <n v="4834843001035"/>
    <x v="4"/>
    <m/>
    <s v="FARMACIA SANTA CATARINA DE PRESIDENTE PRUDENTE"/>
    <s v="OSVALDO CRUZ"/>
    <x v="2"/>
    <s v="REDE SANTA CATARINA"/>
    <s v="SELL IN"/>
    <s v="847010607 - MANUEL ARIEDE ARTERO"/>
    <n v="17788.738593008398"/>
    <n v="10764.44"/>
    <n v="0.6051266616639589"/>
    <n v="8709.3700000000008"/>
    <n v="0.48960020152429978"/>
    <s v="ATIVO"/>
    <s v="Sim"/>
    <s v="NÃO"/>
    <s v="Comprou Marcas e SG"/>
    <s v="SIM"/>
    <n v="4"/>
    <m/>
    <n v="1"/>
  </r>
  <r>
    <n v="5215960000192"/>
    <x v="1"/>
    <m/>
    <s v="FARMA MIL"/>
    <s v="PARANAIBA"/>
    <x v="1"/>
    <s v="MASTERFARMA"/>
    <s v="SELL IN"/>
    <s v="847010608 - VALTER PEREIRA DA SILVA JUNIOR"/>
    <n v="10582.039315843218"/>
    <n v="4107.55"/>
    <n v="0.38816242100426318"/>
    <n v="2698.37"/>
    <n v="0.2549952725993046"/>
    <s v="FORA SCANN"/>
    <s v="Não"/>
    <s v="NÃO"/>
    <s v="Comprou Marcas"/>
    <s v="SIM"/>
    <m/>
    <m/>
    <m/>
  </r>
  <r>
    <n v="8954076000400"/>
    <x v="1"/>
    <m/>
    <s v="DROGARIA PARANATINGA"/>
    <s v="AGUA BOA"/>
    <x v="0"/>
    <s v="ECONOMIZE RONDONOPOLIS"/>
    <s v="SELL IN"/>
    <s v="847010606 - PRICILA MOREIRA DOS SANTOS"/>
    <n v="2321.2291816762686"/>
    <n v="1283.5300000000002"/>
    <n v="0.55295272441521814"/>
    <n v="0"/>
    <n v="0"/>
    <s v="FORA SCANN"/>
    <s v="Não"/>
    <s v="NÃO"/>
    <s v="Não Comprou"/>
    <s v="SIM"/>
    <m/>
    <m/>
    <m/>
  </r>
  <r>
    <n v="10341045000183"/>
    <x v="15"/>
    <n v="134711"/>
    <s v="DROGARIA ULTRAPOPULAR"/>
    <s v="JUINA"/>
    <x v="0"/>
    <s v="FARMARCAS"/>
    <s v="SELL OUT"/>
    <s v="847010604 - LEONARDO MAZZUCO"/>
    <n v="60669.360601323679"/>
    <n v="32773.449999999997"/>
    <n v="0.54019771553822749"/>
    <n v="19171.939999999999"/>
    <n v="0.31600695655892092"/>
    <s v="ATIVO"/>
    <s v="Sim"/>
    <s v="NÃO"/>
    <s v="Comprou Marcas e SG"/>
    <s v="SIM"/>
    <m/>
    <n v="3"/>
    <m/>
  </r>
  <r>
    <n v="7217112000571"/>
    <x v="16"/>
    <m/>
    <s v="FARMACIA ECONOMIZE"/>
    <s v="NOVO DIAMANTINO (DIAMANTINO)"/>
    <x v="0"/>
    <s v="ECONOMIZE RONDONOPOLIS"/>
    <s v="SELL IN"/>
    <s v="847010604 - LEONARDO MAZZUCO"/>
    <n v="6583.001802347093"/>
    <n v="4662.41"/>
    <n v="0.70824984406622393"/>
    <n v="3523.1100000000006"/>
    <n v="0.53518290071618646"/>
    <s v="ATIVO"/>
    <s v="Sim"/>
    <s v="NÃO"/>
    <s v="Comprou Marcas"/>
    <s v="SIM"/>
    <m/>
    <m/>
    <m/>
  </r>
  <r>
    <n v="9559619000105"/>
    <x v="1"/>
    <m/>
    <s v="FARMACIA CENTRAL"/>
    <s v="ALTO ARAGUAIA"/>
    <x v="0"/>
    <s v="ASSOCIADAS"/>
    <s v="SELL IN"/>
    <s v="847010606 - PRICILA MOREIRA DOS SANTOS"/>
    <n v="4804.8231582552598"/>
    <n v="1611.8200000000002"/>
    <n v="0.33545875611065956"/>
    <n v="0"/>
    <n v="0"/>
    <s v="FORA SCANN"/>
    <s v="Não"/>
    <s v="NÃO"/>
    <s v="Não Comprou"/>
    <s v="SIM"/>
    <m/>
    <m/>
    <m/>
  </r>
  <r>
    <n v="10341045002550"/>
    <x v="15"/>
    <m/>
    <s v="DROGARIA DMD"/>
    <s v="NOBRES"/>
    <x v="0"/>
    <s v="FARMARCAS"/>
    <s v="SELL OUT"/>
    <s v="847010603 - ERIVALDO DA SILVA MACIEL"/>
    <n v="26938.162310394811"/>
    <n v="17296.490000000002"/>
    <n v="0.64208128975916401"/>
    <n v="12455.489999999998"/>
    <n v="0.46237341124022086"/>
    <s v="ATIVO"/>
    <s v="Sim"/>
    <s v="NÃO"/>
    <s v="Comprou Marcas e SG"/>
    <s v="SIM"/>
    <n v="1"/>
    <m/>
    <m/>
  </r>
  <r>
    <n v="10341045001821"/>
    <x v="15"/>
    <m/>
    <s v="DROGARIA ULTRAPOPULAR"/>
    <s v="SORRISO"/>
    <x v="0"/>
    <s v="FARMARCAS"/>
    <s v="SELL OUT"/>
    <s v="847010605 - ISABELA CAMILA CRUCCITTI"/>
    <n v="21364.517009646792"/>
    <n v="9850.5999999999967"/>
    <n v="0.46107290867151934"/>
    <n v="7462.4799999999977"/>
    <n v="0.34929317599974008"/>
    <s v="ATIVO"/>
    <s v="Sim"/>
    <s v="NÃO"/>
    <s v="Comprou Marcas e SG"/>
    <s v="SIM"/>
    <m/>
    <m/>
    <m/>
  </r>
  <r>
    <n v="10737685000379"/>
    <x v="12"/>
    <m/>
    <s v="FARMACIA ECONOMIZE"/>
    <s v="CACERES"/>
    <x v="0"/>
    <s v="ECONOMIZE RONDONOPOLIS"/>
    <s v="SELL IN"/>
    <s v="847010603 - ERIVALDO DA SILVA MACIEL"/>
    <n v="27938.853784778628"/>
    <n v="14096.199999999997"/>
    <n v="0.50453751999231089"/>
    <n v="11907.4"/>
    <n v="0.42619500755923179"/>
    <m/>
    <m/>
    <m/>
    <s v="Comprou Marcas"/>
    <m/>
    <m/>
    <m/>
    <m/>
  </r>
  <r>
    <n v="23622022000199"/>
    <x v="1"/>
    <m/>
    <s v="DROGARIA ESPIRITO SANTO EIRELI"/>
    <s v="CAMPO GRANDE"/>
    <x v="1"/>
    <s v="ASSOCIADAS"/>
    <s v="SELL IN"/>
    <s v="847010602 - WELLINGTON DE MORAIS DO NASCIMENTO"/>
    <n v="2626.5145244982809"/>
    <n v="1678.58"/>
    <n v="0.63909031697460106"/>
    <n v="763.36"/>
    <n v="0.29063612360788971"/>
    <s v="FORA SCANN"/>
    <s v="Não"/>
    <s v="SIM"/>
    <s v="Comprou Marcas"/>
    <s v="SIM"/>
    <m/>
    <m/>
    <m/>
  </r>
  <r>
    <n v="30049938000167"/>
    <x v="1"/>
    <m/>
    <s v="DROGARIA MAIS GERAL"/>
    <s v="VARZEA GRANDE"/>
    <x v="0"/>
    <s v="ASSOCIADAS"/>
    <s v="SELL IN"/>
    <s v="847010603 - ERIVALDO DA SILVA MACIEL"/>
    <n v="6385.4593918910532"/>
    <n v="1680.9"/>
    <n v="0.26323869542332201"/>
    <n v="0"/>
    <n v="0"/>
    <s v="FORA SCANN"/>
    <s v="Não"/>
    <s v="NÃO"/>
    <s v="Não Comprou"/>
    <s v="NÃO"/>
    <n v="1"/>
    <m/>
    <n v="1"/>
  </r>
  <r>
    <n v="12050037000103"/>
    <x v="1"/>
    <m/>
    <s v="BIOFARMA"/>
    <s v="TANGARA DA SERRA"/>
    <x v="0"/>
    <s v="MASTERFARMA"/>
    <s v="SELL IN"/>
    <s v="847010604 - LEONARDO MAZZUCO"/>
    <n v="2095.1614534055102"/>
    <n v="1369.2200000000003"/>
    <n v="0.65351526860827236"/>
    <n v="586.76"/>
    <n v="0.28005478959450619"/>
    <s v="TERMO DEVOLVIDO"/>
    <s v="Não"/>
    <s v="SIM"/>
    <s v="Comprou Marcas"/>
    <s v="NÃO"/>
    <m/>
    <m/>
    <m/>
  </r>
  <r>
    <n v="13874468000157"/>
    <x v="1"/>
    <m/>
    <s v="FARMACIA VITA FARMA"/>
    <s v="SINOP"/>
    <x v="0"/>
    <s v="ASFAR FARMACIAS"/>
    <s v="SELL IN"/>
    <s v="847010605 - ISABELA CAMILA CRUCCITTI"/>
    <n v="9653.3507872678238"/>
    <n v="5353.7200000000012"/>
    <n v="0.55459706354618632"/>
    <n v="3098.3399999999997"/>
    <n v="0.32096005503980229"/>
    <s v="ATIVO"/>
    <s v="Sim"/>
    <s v="NÃO"/>
    <s v="Comprou Marcas"/>
    <s v="SIM"/>
    <m/>
    <m/>
    <m/>
  </r>
  <r>
    <n v="14931934000151"/>
    <x v="1"/>
    <m/>
    <s v="DROGARIA RIO FARMA"/>
    <s v="PANORAMA"/>
    <x v="2"/>
    <s v="DROGARIA TOTAL"/>
    <s v="SELL IN"/>
    <s v="847010607 - MANUEL ARIEDE ARTERO"/>
    <n v="17272.60559215027"/>
    <n v="8573.8500000000022"/>
    <n v="0.49638428633468507"/>
    <n v="47.4"/>
    <n v="2.7442298584957826E-3"/>
    <s v="ATIVO"/>
    <s v="Sim"/>
    <s v="NÃO"/>
    <s v="Comprou SG"/>
    <s v="NÃO"/>
    <m/>
    <m/>
    <m/>
  </r>
  <r>
    <n v="15290994000103"/>
    <x v="1"/>
    <m/>
    <s v="DROGARIA SAO LUIZ"/>
    <s v="FLORIDA PAULISTA"/>
    <x v="2"/>
    <s v="DROGARIA TOTAL"/>
    <s v="SELL IN"/>
    <s v="847010607 - MANUEL ARIEDE ARTERO"/>
    <n v="4927.3421179744837"/>
    <n v="2987.55"/>
    <n v="0.60632079698742591"/>
    <n v="0"/>
    <n v="0"/>
    <s v="FILA DE ATIVAÇÃO"/>
    <s v="Não"/>
    <s v="SIM"/>
    <s v="Não Comprou"/>
    <s v="NÃO"/>
    <m/>
    <m/>
    <n v="1"/>
  </r>
  <r>
    <n v="15433090000181"/>
    <x v="1"/>
    <m/>
    <s v="DROGARIA CENTRALFARMA"/>
    <s v="CAMPO GRANDE"/>
    <x v="1"/>
    <s v="INDEPENDENTES VIN"/>
    <s v="SELL IN"/>
    <s v="847010602 - WELLINGTON DE MORAIS DO NASCIMENTO"/>
    <n v="967.85688234480256"/>
    <n v="95.47"/>
    <n v="9.8640616956411187E-2"/>
    <n v="0"/>
    <n v="0"/>
    <s v="FORA SCANN"/>
    <s v="Não"/>
    <s v="NÃO"/>
    <s v="Não Comprou"/>
    <s v="NÃO"/>
    <m/>
    <m/>
    <m/>
  </r>
  <r>
    <n v="68204486000202"/>
    <x v="1"/>
    <m/>
    <s v="FARMACIA PRIVATIVA UNIMED"/>
    <s v="DRACENA"/>
    <x v="2"/>
    <s v="UNIMED"/>
    <s v="SELL IN"/>
    <s v="847010607 - MANUEL ARIEDE ARTERO"/>
    <n v="9861.2796559612416"/>
    <n v="3108.35"/>
    <n v="0.31520757025899487"/>
    <n v="1702.8200000000002"/>
    <n v="0.17267738664835741"/>
    <s v="FORA SCANN"/>
    <s v="Não"/>
    <s v="NÃO"/>
    <s v="Comprou Marcas"/>
    <s v="SIM"/>
    <m/>
    <m/>
    <m/>
  </r>
  <r>
    <n v="59106417000186"/>
    <x v="1"/>
    <m/>
    <s v="DROGARIA MS POPULAR"/>
    <s v="CAMPO GRANDE"/>
    <x v="1"/>
    <s v="ASSOCIADAS"/>
    <s v="SELL IN"/>
    <s v="847010602 - WELLINGTON DE MORAIS DO NASCIMENTO"/>
    <n v="997.83757258175092"/>
    <n v="340.44"/>
    <n v="0.34117777216903544"/>
    <n v="196.87000000000003"/>
    <n v="0.19729663966313601"/>
    <s v="FILA DE ATIVAÇÃO"/>
    <s v="Não"/>
    <s v="SIM"/>
    <s v="Comprou Marcas"/>
    <s v="NÃO"/>
    <m/>
    <m/>
    <m/>
  </r>
  <r>
    <n v="59412809000173"/>
    <x v="1"/>
    <m/>
    <s v="DROGARIA CONFIANCA"/>
    <s v="PRESIDENTE VENCESLAU"/>
    <x v="2"/>
    <s v="INDEPENDENTES VIN"/>
    <s v="SELL IN"/>
    <s v="847010607 - MANUEL ARIEDE ARTERO"/>
    <n v="2465.1166670508483"/>
    <n v="1390.24"/>
    <n v="0.56396519425720282"/>
    <n v="0"/>
    <n v="0"/>
    <s v="FORA SCANN"/>
    <s v="Não"/>
    <s v="NÃO"/>
    <s v="Não Comprou"/>
    <s v="NÃO"/>
    <m/>
    <m/>
    <m/>
  </r>
  <r>
    <n v="61416946000128"/>
    <x v="22"/>
    <m/>
    <s v="FARMACIA ODEON"/>
    <s v="TRES LAGOAS"/>
    <x v="1"/>
    <s v="ASSOCIADAS"/>
    <s v="SELL IN"/>
    <s v="847010608 - VALTER PEREIRA DA SILVA JUNIOR"/>
    <n v="10485.399079011007"/>
    <n v="7449.4400000000005"/>
    <n v="0.71045841401609666"/>
    <n v="8082.15"/>
    <n v="0.77080041866773807"/>
    <s v="ATIVO"/>
    <s v="Sim"/>
    <s v="NÃO"/>
    <s v="Comprou Marcas e SG"/>
    <s v="SIM"/>
    <n v="2"/>
    <m/>
    <m/>
  </r>
  <r>
    <n v="65675078000313"/>
    <x v="1"/>
    <m/>
    <s v="DROGARIA RODRIGUES"/>
    <s v="CAMPO GRANDE"/>
    <x v="1"/>
    <s v="INDEPENDENTES VIN"/>
    <s v="SELL IN"/>
    <s v="847010602 - WELLINGTON DE MORAIS DO NASCIMENTO"/>
    <n v="516.46810507702764"/>
    <n v="1341.8999999999999"/>
    <n v="2.5982243372025167"/>
    <n v="1136.05"/>
    <n v="2.1996518058565608"/>
    <m/>
    <m/>
    <m/>
    <s v="Comprou Marcas"/>
    <m/>
    <m/>
    <m/>
    <m/>
  </r>
  <r>
    <n v="65937282000101"/>
    <x v="1"/>
    <m/>
    <s v="DROGARIA BETEL"/>
    <s v="VALPARAISO"/>
    <x v="2"/>
    <s v="INDEPENDENTES VIN"/>
    <s v="SELL IN"/>
    <s v="847010608 - VALTER PEREIRA DA SILVA JUNIOR"/>
    <n v="483.41102469567358"/>
    <n v="491.94"/>
    <n v="1.0176433198016031"/>
    <n v="441.17"/>
    <n v="0.91261882220773516"/>
    <m/>
    <m/>
    <m/>
    <s v="Comprou Marcas"/>
    <m/>
    <m/>
    <m/>
    <m/>
  </r>
  <r>
    <n v="68389238000194"/>
    <x v="1"/>
    <m/>
    <s v="DROGARIA NOVA VIDA"/>
    <s v="EMILIANOPOLIS"/>
    <x v="2"/>
    <s v="MULTIDROGAS"/>
    <s v="SELL IN"/>
    <s v="847010607 - MANUEL ARIEDE ARTERO"/>
    <n v="5116.6267992599505"/>
    <n v="3234.4500000000003"/>
    <n v="0.63214499061526608"/>
    <n v="107.31"/>
    <n v="2.0972801849750096E-2"/>
    <s v="FORA SCANN"/>
    <s v="Não"/>
    <s v="NÃO"/>
    <s v="Comprou Marcas e SG"/>
    <s v="SIM"/>
    <m/>
    <m/>
    <m/>
  </r>
  <r>
    <n v="72855430000104"/>
    <x v="1"/>
    <m/>
    <s v="FARMAIS"/>
    <s v="PRESIDENTE EPITACIO"/>
    <x v="2"/>
    <s v="FARMAIS"/>
    <s v="SELL IN"/>
    <s v="847010607 - MANUEL ARIEDE ARTERO"/>
    <n v="7218.827481000505"/>
    <n v="3619.1899999999996"/>
    <n v="0.50135427249445674"/>
    <n v="1958.2000000000005"/>
    <n v="0.27126288932016429"/>
    <s v="FORA SCANN"/>
    <s v="Não"/>
    <s v="NÃO"/>
    <s v="Comprou Marcas e SG"/>
    <s v="NÃO"/>
    <m/>
    <m/>
    <m/>
  </r>
  <r>
    <n v="388531000101"/>
    <x v="1"/>
    <m/>
    <s v="DROG SANTO ANTONIO"/>
    <s v="NIOAQUE"/>
    <x v="1"/>
    <s v="INDEPENDENTES VIN"/>
    <s v="SELL IN"/>
    <s v="847010601 - RAFAEL DE OLIVEIRA NASCIMENTO"/>
    <n v="3373.594799286484"/>
    <n v="2545.0500000000002"/>
    <n v="0.75440298892394508"/>
    <n v="0"/>
    <n v="0"/>
    <m/>
    <m/>
    <m/>
    <s v="Não Comprou"/>
    <m/>
    <m/>
    <m/>
    <m/>
  </r>
  <r>
    <n v="10341045002631"/>
    <x v="15"/>
    <m/>
    <s v="DROGARIA DMD"/>
    <s v="ROSARIO OESTE"/>
    <x v="0"/>
    <s v="FARMARCAS"/>
    <s v="SELL OUT"/>
    <s v="847010603 - ERIVALDO DA SILVA MACIEL"/>
    <n v="16432.303520948666"/>
    <n v="11664.21"/>
    <n v="0.70983413768677783"/>
    <n v="8313.91"/>
    <n v="0.50594915006292573"/>
    <s v="ATIVO"/>
    <s v="Sim"/>
    <s v="NÃO"/>
    <s v="Comprou Marcas e SG"/>
    <s v="SIM"/>
    <m/>
    <m/>
    <m/>
  </r>
  <r>
    <n v="10341045001660"/>
    <x v="15"/>
    <m/>
    <s v="DROGARIA ULTRAPOPULAR"/>
    <s v="SORRISO"/>
    <x v="0"/>
    <s v="FARMARCAS"/>
    <s v="SELL OUT"/>
    <s v="847010605 - ISABELA CAMILA CRUCCITTI"/>
    <n v="9939.4349731348448"/>
    <n v="5195.54"/>
    <n v="0.52271985420126499"/>
    <n v="3488.889999999999"/>
    <n v="0.35101492282308494"/>
    <s v="ATIVO"/>
    <s v="Sim"/>
    <s v="NÃO"/>
    <s v="Comprou Marcas e SG"/>
    <s v="SIM"/>
    <m/>
    <m/>
    <m/>
  </r>
  <r>
    <n v="1894476000186"/>
    <x v="1"/>
    <m/>
    <s v="DROGARIA DO RUBENS"/>
    <s v="COLIDER"/>
    <x v="0"/>
    <s v="ASSOCIADAS"/>
    <s v="SELL IN"/>
    <s v="847010605 - ISABELA CAMILA CRUCCITTI"/>
    <n v="8291.7393723795612"/>
    <n v="2556.4999999999995"/>
    <n v="0.30831890453719552"/>
    <n v="2625.7"/>
    <n v="0.31666456000129645"/>
    <s v="FORA SCANN"/>
    <s v="Não"/>
    <s v="NÃO"/>
    <s v="Comprou Marcas"/>
    <s v="SIM"/>
    <n v="1"/>
    <m/>
    <m/>
  </r>
  <r>
    <n v="4834843002279"/>
    <x v="4"/>
    <m/>
    <s v="FARMACIA SANTA CATARINA DE PRESIDENTE PRUDENTE"/>
    <s v="PRESIDENTE PRUDENTE"/>
    <x v="2"/>
    <s v="REDE SANTA CATARINA"/>
    <s v="SELL IN"/>
    <s v="847010607 - MANUEL ARIEDE ARTERO"/>
    <n v="19825.793681531533"/>
    <n v="12385.249999999996"/>
    <n v="0.62470386804929368"/>
    <n v="10991.229999999998"/>
    <n v="0.55439041566536318"/>
    <s v="ATIVO"/>
    <s v="Sim"/>
    <s v="NÃO"/>
    <s v="Comprou Marcas"/>
    <s v="SIM"/>
    <n v="4"/>
    <m/>
    <m/>
  </r>
  <r>
    <n v="4972853000570"/>
    <x v="7"/>
    <m/>
    <s v="FARMACIA MADEIRA"/>
    <s v="SORRISO"/>
    <x v="0"/>
    <s v="REDE MADEIRA"/>
    <s v="SELL IN"/>
    <s v="847010605 - ISABELA CAMILA CRUCCITTI"/>
    <n v="13423.754819641865"/>
    <n v="11403.629999999996"/>
    <n v="0.84951119513252815"/>
    <n v="9071.8600000000042"/>
    <n v="0.67580644327069395"/>
    <s v="FORA SCANN"/>
    <s v="Não"/>
    <s v="SIM"/>
    <s v="Comprou Marcas e SG"/>
    <s v="SIM"/>
    <n v="4"/>
    <m/>
    <n v="3"/>
  </r>
  <r>
    <n v="33909525000101"/>
    <x v="1"/>
    <m/>
    <s v="FARMA SAUDE"/>
    <s v="SINOP"/>
    <x v="0"/>
    <s v="DSG FARMA"/>
    <s v="SELL IN"/>
    <s v="847010605 - ISABELA CAMILA CRUCCITTI"/>
    <n v="2018.2027044538809"/>
    <n v="644.72"/>
    <n v="0.31945254982425525"/>
    <n v="500.28"/>
    <n v="0.24788392112246926"/>
    <s v="ATIVO"/>
    <s v="Sim"/>
    <s v="NÃO"/>
    <s v="Comprou Marcas"/>
    <s v="NÃO"/>
    <m/>
    <m/>
    <m/>
  </r>
  <r>
    <n v="8252612000183"/>
    <x v="1"/>
    <m/>
    <s v="FARMACIA ECONOMIZE"/>
    <s v="GUIRATINGA"/>
    <x v="0"/>
    <s v="ECONOMIZE RONDONOPOLIS"/>
    <s v="SELL IN"/>
    <s v="847010603 - ERIVALDO DA SILVA MACIEL"/>
    <n v="9850.7159583565408"/>
    <n v="4346.6900000000005"/>
    <n v="0.44125625166489796"/>
    <n v="0"/>
    <n v="0"/>
    <s v="TERMO DEVOLVIDO"/>
    <s v="Não"/>
    <s v="SIM"/>
    <s v="Não Comprou"/>
    <s v="SIM"/>
    <m/>
    <m/>
    <m/>
  </r>
  <r>
    <n v="23585337000103"/>
    <x v="1"/>
    <m/>
    <s v="DROGARIA NANDA"/>
    <s v="CUIABA"/>
    <x v="0"/>
    <s v="ASSOCIADAS"/>
    <s v="SELL IN"/>
    <s v="847010603 - ERIVALDO DA SILVA MACIEL"/>
    <n v="5280.8004955206334"/>
    <n v="7634.1900000000005"/>
    <n v="1.4456501446088708"/>
    <n v="6430.329999999999"/>
    <n v="1.2176809189164481"/>
    <s v="FORA SCANN"/>
    <s v="Não"/>
    <s v="SIM"/>
    <s v="Comprou Marcas"/>
    <s v="SIM"/>
    <n v="2"/>
    <m/>
    <m/>
  </r>
  <r>
    <n v="7832402000100"/>
    <x v="1"/>
    <m/>
    <s v="DROGARIA BIOFARMA"/>
    <s v="MARTINOPOLIS"/>
    <x v="2"/>
    <s v="REDE SMALLFARMA"/>
    <s v="SELL IN"/>
    <s v="847010607 - MANUEL ARIEDE ARTERO"/>
    <n v="2680.8963606454436"/>
    <n v="2049.23"/>
    <n v="0.76438240212562125"/>
    <n v="2118.36"/>
    <n v="0.79016855373327111"/>
    <s v="FORA SCANN"/>
    <s v="Não"/>
    <s v="SIM"/>
    <s v="Comprou Marcas"/>
    <s v="SIM"/>
    <m/>
    <m/>
    <m/>
  </r>
  <r>
    <n v="10341045000507"/>
    <x v="15"/>
    <m/>
    <s v="DROGARIA ULTRAPOPULAR"/>
    <s v="JUINA"/>
    <x v="0"/>
    <s v="FARMARCAS"/>
    <s v="SELL OUT"/>
    <s v="847010604 - LEONARDO MAZZUCO"/>
    <n v="14454.47574507448"/>
    <n v="7440.3299999999981"/>
    <n v="0.51474229375184166"/>
    <n v="5172.8999999999996"/>
    <n v="0.35787531081939944"/>
    <s v="ATIVO"/>
    <s v="Sim"/>
    <s v="NÃO"/>
    <s v="Comprou Marcas e SG"/>
    <m/>
    <m/>
    <m/>
    <m/>
  </r>
  <r>
    <n v="24724080000196"/>
    <x v="1"/>
    <m/>
    <s v="FARMACIA MATOGROSSENSE"/>
    <s v="AGUA BOA"/>
    <x v="0"/>
    <s v="INDEPENDENTES VIN"/>
    <s v="SELL IN"/>
    <s v="847010606 - PRICILA MOREIRA DOS SANTOS"/>
    <n v="1577.0543787302042"/>
    <n v="1238.7700000000002"/>
    <n v="0.78549605943037915"/>
    <n v="0"/>
    <n v="0"/>
    <s v="FORA SCANN"/>
    <s v="Não"/>
    <s v="NÃO"/>
    <s v="Não Comprou"/>
    <s v="SIM"/>
    <m/>
    <m/>
    <m/>
  </r>
  <r>
    <n v="26829291000119"/>
    <x v="1"/>
    <m/>
    <s v="FCIA NAJA"/>
    <s v="ITAQUIRAI"/>
    <x v="1"/>
    <s v="ASSOCIADAS"/>
    <s v="SELL IN"/>
    <s v="847010601 - RAFAEL DE OLIVEIRA NASCIMENTO"/>
    <n v="2915.9136037348076"/>
    <n v="2450.0100000000002"/>
    <n v="0.8402203675931752"/>
    <n v="1393.11"/>
    <n v="0.47776106885185288"/>
    <s v="FORA SCANN"/>
    <s v="Não"/>
    <s v="NÃO"/>
    <s v="Comprou Marcas"/>
    <s v="NÃO"/>
    <m/>
    <m/>
    <m/>
  </r>
  <r>
    <n v="35652065000104"/>
    <x v="1"/>
    <m/>
    <s v="DROGARIA BEM ESTAR"/>
    <s v="PONTAL DO ARAGUAIA"/>
    <x v="0"/>
    <s v="INDEPENDENTES VIN"/>
    <s v="SELL IN"/>
    <s v="847010606 - PRICILA MOREIRA DOS SANTOS"/>
    <n v="294.21825439516203"/>
    <n v="0"/>
    <n v="0"/>
    <n v="0"/>
    <n v="0"/>
    <s v="FORA SCANN"/>
    <s v="Não"/>
    <s v="NÃO"/>
    <s v="Não Comprou"/>
    <s v="NÃO"/>
    <m/>
    <m/>
    <m/>
  </r>
  <r>
    <n v="37515566000166"/>
    <x v="1"/>
    <m/>
    <s v="DROGARIA SAO LUCAS"/>
    <s v="PEDRA PRETA"/>
    <x v="0"/>
    <s v="ASSOCIADAS"/>
    <s v="SELL IN"/>
    <s v="847010603 - ERIVALDO DA SILVA MACIEL"/>
    <n v="3452.6163212742108"/>
    <n v="1424.3400000000001"/>
    <n v="0.41253932307031965"/>
    <n v="137.85"/>
    <n v="3.9926243512955865E-2"/>
    <s v="FORA SCANN"/>
    <s v="Não"/>
    <s v="NÃO"/>
    <s v="Comprou Marcas"/>
    <s v="SIM"/>
    <m/>
    <m/>
    <m/>
  </r>
  <r>
    <n v="67943415000170"/>
    <x v="1"/>
    <m/>
    <s v="DROG RIZZO"/>
    <s v="PRESIDENTE PRUDENTE"/>
    <x v="2"/>
    <s v="INDEPENDENTES VIN"/>
    <s v="SELL IN"/>
    <s v="847010607 - MANUEL ARIEDE ARTERO"/>
    <n v="1821.0399323943204"/>
    <n v="717.8900000000001"/>
    <n v="0.39421980113094585"/>
    <n v="0"/>
    <n v="0"/>
    <m/>
    <m/>
    <m/>
    <s v="Não Comprou"/>
    <m/>
    <m/>
    <m/>
    <m/>
  </r>
  <r>
    <n v="57331628000197"/>
    <x v="1"/>
    <m/>
    <s v="DROGARIA MEGA SAUDE POPULAR"/>
    <s v="VARZEA GRANDE"/>
    <x v="0"/>
    <s v="ASSOCIADAS"/>
    <s v="SELL IN"/>
    <s v="847010603 - ERIVALDO DA SILVA MACIEL"/>
    <n v="2042.0638189037395"/>
    <n v="1838.3400000000004"/>
    <n v="0.90023631141307514"/>
    <n v="1014.78"/>
    <n v="0.49693843581478953"/>
    <s v="FORA SCANN"/>
    <s v="Não"/>
    <s v="NÃO"/>
    <s v="Comprou Marcas"/>
    <s v="NÃO"/>
    <m/>
    <m/>
    <m/>
  </r>
  <r>
    <n v="58219068000146"/>
    <x v="1"/>
    <m/>
    <s v="DROGARIA DROGAMED"/>
    <s v="TRES LAGOAS"/>
    <x v="1"/>
    <s v="INDEPENDENTES VIN"/>
    <s v="SELL IN"/>
    <s v="847010608 - VALTER PEREIRA DA SILVA JUNIOR"/>
    <n v="2737.8356541816606"/>
    <n v="996.9899999999999"/>
    <n v="0.36415261028441837"/>
    <n v="383.86"/>
    <n v="0.14020563996005664"/>
    <s v="FORA SCANN"/>
    <s v="Não"/>
    <s v="NÃO"/>
    <s v="Comprou Marcas"/>
    <s v="NÃO"/>
    <m/>
    <m/>
    <m/>
  </r>
  <r>
    <n v="4268705000145"/>
    <x v="1"/>
    <m/>
    <s v="DROG BRASIL"/>
    <s v="MARACAJU"/>
    <x v="1"/>
    <s v="ASSOCIADAS"/>
    <s v="SELL IN"/>
    <s v="847010601 - RAFAEL DE OLIVEIRA NASCIMENTO"/>
    <n v="1862.461117057082"/>
    <n v="746.35"/>
    <n v="0.40073319822070969"/>
    <n v="195.37"/>
    <n v="0.10489883424181691"/>
    <s v="FORA SCANN"/>
    <s v="Não"/>
    <s v="NÃO"/>
    <s v="Comprou Marcas"/>
    <s v="SIM"/>
    <m/>
    <m/>
    <m/>
  </r>
  <r>
    <n v="40735109000191"/>
    <x v="1"/>
    <m/>
    <s v="FARMACIA SAO JOAO"/>
    <s v="SINOP"/>
    <x v="0"/>
    <s v="DSG FARMA"/>
    <s v="SELL IN"/>
    <s v="847010605 - ISABELA CAMILA CRUCCITTI"/>
    <n v="1139.9686563609407"/>
    <n v="75.400000000000006"/>
    <n v="6.6142169417793717E-2"/>
    <n v="0"/>
    <n v="0"/>
    <s v="ATIVO"/>
    <s v="Sim"/>
    <s v="NÃO"/>
    <s v="Não Comprou"/>
    <s v="NÃO"/>
    <m/>
    <m/>
    <m/>
  </r>
  <r>
    <n v="4834843001388"/>
    <x v="4"/>
    <m/>
    <s v="FARMACIA SANTA CATARINA DE PRESIDENTE PRUDENTE"/>
    <s v="LUCELIA"/>
    <x v="2"/>
    <s v="REDE SANTA CATARINA"/>
    <s v="SELL IN"/>
    <s v="847010607 - MANUEL ARIEDE ARTERO"/>
    <n v="5752.6982582331648"/>
    <n v="2824.34"/>
    <n v="0.49095917658428412"/>
    <n v="2055.9400000000005"/>
    <n v="0.35738707432769895"/>
    <s v="ATIVO"/>
    <s v="Sim"/>
    <s v="NÃO"/>
    <s v="Comprou Marcas"/>
    <s v="SIM"/>
    <m/>
    <m/>
    <m/>
  </r>
  <r>
    <n v="4834843002945"/>
    <x v="4"/>
    <m/>
    <s v="FARMACIA SANTA CATARINA DE PRESIDENTE PRUDENTE"/>
    <s v="TARABAI"/>
    <x v="2"/>
    <s v="REDE SANTA CATARINA"/>
    <s v="SELL IN"/>
    <s v="847010607 - MANUEL ARIEDE ARTERO"/>
    <n v="4551.4157960586217"/>
    <n v="4686.59"/>
    <n v="1.0296993748754915"/>
    <n v="2851.9999999999991"/>
    <n v="0.62661820580526584"/>
    <s v="ATIVO"/>
    <s v="Sim"/>
    <s v="NÃO"/>
    <s v="Comprou Marcas"/>
    <s v="SIM"/>
    <m/>
    <m/>
    <m/>
  </r>
  <r>
    <n v="5088829000101"/>
    <x v="1"/>
    <m/>
    <s v="DROG MACHADO"/>
    <s v="COLIDER"/>
    <x v="0"/>
    <s v="INDEPENDENTES VIN"/>
    <s v="SELL IN"/>
    <s v="847010605 - ISABELA CAMILA CRUCCITTI"/>
    <n v="12966.05016092217"/>
    <n v="4319.08"/>
    <n v="0.33310684027870663"/>
    <n v="2181.16"/>
    <n v="0.1682208516031895"/>
    <s v="ATIVO"/>
    <s v="Sim"/>
    <s v="NÃO"/>
    <s v="Comprou Marcas"/>
    <s v="SIM"/>
    <n v="4"/>
    <m/>
    <m/>
  </r>
  <r>
    <n v="5235693000115"/>
    <x v="1"/>
    <m/>
    <s v="DROGARIA SILVA"/>
    <s v="DOURADOS"/>
    <x v="1"/>
    <s v="ASSOCIADAS"/>
    <s v="SELL IN"/>
    <s v="847010601 - RAFAEL DE OLIVEIRA NASCIMENTO"/>
    <n v="6210.4684904646874"/>
    <n v="2894.630000000001"/>
    <n v="0.46608883121205813"/>
    <n v="2361.59"/>
    <n v="0.38025955749166007"/>
    <s v="FORA SCANN"/>
    <s v="Não"/>
    <s v="SIM"/>
    <s v="Comprou Marcas e SG"/>
    <s v="SIM"/>
    <m/>
    <m/>
    <m/>
  </r>
  <r>
    <n v="1090014000106"/>
    <x v="1"/>
    <m/>
    <s v="FCIA SANTA TEREZINHA"/>
    <s v="DOURADOS"/>
    <x v="1"/>
    <s v="ASSOCIADAS"/>
    <s v="SELL IN"/>
    <s v="847010601 - RAFAEL DE OLIVEIRA NASCIMENTO"/>
    <n v="1005.0131079415311"/>
    <n v="408.51"/>
    <n v="0.40647231043255805"/>
    <n v="0"/>
    <n v="0"/>
    <s v="FORA SCANN"/>
    <s v="Não"/>
    <s v="SIM"/>
    <s v="Não Comprou"/>
    <s v="NÃO"/>
    <m/>
    <m/>
    <m/>
  </r>
  <r>
    <n v="2330544000147"/>
    <x v="1"/>
    <m/>
    <s v="DROG NOSSA SENHORA APAREC"/>
    <s v="BRASNORTE"/>
    <x v="0"/>
    <s v="MASTERFARMA"/>
    <s v="SELL IN"/>
    <s v="847010604 - LEONARDO MAZZUCO"/>
    <n v="3629.4108994481644"/>
    <n v="2080.94"/>
    <n v="0.5733547558135117"/>
    <n v="1195.33"/>
    <n v="0.32934545939170029"/>
    <s v="ATIVO"/>
    <s v="Sim"/>
    <s v="NÃO"/>
    <s v="Comprou Marcas"/>
    <s v="NÃO"/>
    <m/>
    <m/>
    <n v="1"/>
  </r>
  <r>
    <n v="3300964000143"/>
    <x v="1"/>
    <m/>
    <s v="BELLA PHARMA - FARMACIA E MANIPULACAO"/>
    <s v="APARECIDA DO TABOADO"/>
    <x v="1"/>
    <s v="ASSOCIADAS"/>
    <s v="SELL IN"/>
    <s v="847010608 - VALTER PEREIRA DA SILVA JUNIOR"/>
    <n v="3344.509621414365"/>
    <n v="364.99"/>
    <n v="0.1091310958303205"/>
    <n v="194.67000000000002"/>
    <n v="5.82058424211307E-2"/>
    <s v="FORA SCANN"/>
    <s v="Não"/>
    <s v="NÃO"/>
    <s v="Comprou Marcas"/>
    <s v="NÃO"/>
    <m/>
    <m/>
    <m/>
  </r>
  <r>
    <n v="4252211000172"/>
    <x v="1"/>
    <m/>
    <s v="JOTAFARMA"/>
    <s v="CANARANA"/>
    <x v="0"/>
    <s v="MASTERFARMA"/>
    <s v="SELL IN"/>
    <s v="847010606 - PRICILA MOREIRA DOS SANTOS"/>
    <n v="10129.468617793846"/>
    <n v="3517.25"/>
    <n v="0.34722946807115357"/>
    <n v="2026.9299999999998"/>
    <n v="0.20010230313951616"/>
    <s v="TERMO DEVOLVIDO"/>
    <s v="Não"/>
    <s v="SIM"/>
    <s v="Comprou Marcas"/>
    <s v="SIM"/>
    <n v="4"/>
    <m/>
    <m/>
  </r>
  <r>
    <n v="13874468000238"/>
    <x v="1"/>
    <m/>
    <s v="FARMACIA VITA FARMA II"/>
    <s v="SINOP"/>
    <x v="0"/>
    <s v="ASFAR FARMACIAS"/>
    <s v="SELL IN"/>
    <s v="847010605 - ISABELA CAMILA CRUCCITTI"/>
    <n v="6396.0297213456515"/>
    <n v="2412.4200000000005"/>
    <n v="0.37717460754582843"/>
    <n v="1064.8900000000001"/>
    <n v="0.1664923470330528"/>
    <s v="ATIVO"/>
    <s v="Sim"/>
    <s v="NÃO"/>
    <s v="Comprou Marcas"/>
    <s v="SIM"/>
    <m/>
    <m/>
    <m/>
  </r>
  <r>
    <n v="7056130000195"/>
    <x v="1"/>
    <m/>
    <s v="FCIA DO POVO"/>
    <s v="SINOP"/>
    <x v="0"/>
    <s v="DSG FARMA"/>
    <s v="SELL IN"/>
    <s v="847010605 - ISABELA CAMILA CRUCCITTI"/>
    <n v="1329.3951391450589"/>
    <n v="1129.0400000000002"/>
    <n v="0.8492884972680822"/>
    <n v="0"/>
    <n v="0"/>
    <s v="ATIVO"/>
    <s v="Sim"/>
    <s v="NÃO"/>
    <s v="Não Comprou"/>
    <s v="SIM"/>
    <m/>
    <m/>
    <m/>
  </r>
  <r>
    <n v="15558177000185"/>
    <x v="1"/>
    <m/>
    <s v="DROGARIA NOVA FARMA"/>
    <s v="COLIDER"/>
    <x v="0"/>
    <s v="ASFAR FARMACIAS"/>
    <s v="SELL IN"/>
    <s v="847010605 - ISABELA CAMILA CRUCCITTI"/>
    <n v="3233.4815706667932"/>
    <n v="231.43"/>
    <n v="7.1573007280902989E-2"/>
    <n v="0"/>
    <n v="0"/>
    <s v="TERMO DEVOLVIDO"/>
    <s v="Não"/>
    <s v="NÃO"/>
    <s v="Não Comprou"/>
    <s v="SIM"/>
    <n v="2"/>
    <m/>
    <m/>
  </r>
  <r>
    <n v="15722053000193"/>
    <x v="1"/>
    <m/>
    <s v="DROGAMIX"/>
    <s v="DOURADOS"/>
    <x v="1"/>
    <s v="ASSOCIADAS"/>
    <s v="SELL IN"/>
    <s v="847010601 - RAFAEL DE OLIVEIRA NASCIMENTO"/>
    <n v="3547.6078415884867"/>
    <n v="2358.79"/>
    <n v="0.66489592574127965"/>
    <n v="1658.66"/>
    <n v="0.46754322181713126"/>
    <s v="FORA SCANN"/>
    <s v="Não"/>
    <s v="NÃO"/>
    <s v="Comprou Marcas"/>
    <s v="NÃO"/>
    <n v="1"/>
    <m/>
    <m/>
  </r>
  <r>
    <n v="10341045000779"/>
    <x v="15"/>
    <m/>
    <s v="DROGARIA ULTRAPOPULAR"/>
    <s v="CUIABA"/>
    <x v="0"/>
    <s v="FARMARCAS"/>
    <s v="SELL OUT"/>
    <s v="847010603 - ERIVALDO DA SILVA MACIEL"/>
    <n v="54207.929590797306"/>
    <n v="38203.81"/>
    <n v="0.70476423446516812"/>
    <n v="27133.97"/>
    <n v="0.50055352057951397"/>
    <s v="ATIVO"/>
    <s v="Sim"/>
    <s v="NÃO"/>
    <s v="Comprou Marcas e SG"/>
    <s v="SIM"/>
    <n v="1"/>
    <n v="8"/>
    <n v="8"/>
  </r>
  <r>
    <n v="18876606000231"/>
    <x v="1"/>
    <m/>
    <s v="FARMACIA ECCOCHAPADA"/>
    <s v="CUIABA"/>
    <x v="0"/>
    <s v="INDEPENDENTES VIN"/>
    <s v="SELL IN"/>
    <s v="847010603 - ERIVALDO DA SILVA MACIEL"/>
    <n v="3183.4078122459123"/>
    <n v="0"/>
    <n v="0"/>
    <n v="0"/>
    <n v="0"/>
    <s v="FORA SCANN"/>
    <s v="Não"/>
    <s v="NÃO"/>
    <s v="Não Comprou"/>
    <s v="NÃO"/>
    <m/>
    <m/>
    <m/>
  </r>
  <r>
    <n v="20759443000178"/>
    <x v="1"/>
    <m/>
    <s v="DROGARIA LIDER"/>
    <s v="RIBEIRAO CASCALHEIRA"/>
    <x v="0"/>
    <s v="ASSOCIADAS"/>
    <s v="SELL IN"/>
    <s v="847010606 - PRICILA MOREIRA DOS SANTOS"/>
    <n v="431.3014902702335"/>
    <n v="974.98"/>
    <n v="2.2605532834795512"/>
    <n v="0"/>
    <n v="0"/>
    <s v="FORA SCANN"/>
    <s v="Não"/>
    <s v="NÃO"/>
    <s v="Não Comprou"/>
    <s v="NÃO"/>
    <m/>
    <m/>
    <m/>
  </r>
  <r>
    <n v="21303831000102"/>
    <x v="1"/>
    <m/>
    <s v="DROGARIA CUSTO POPULAR"/>
    <s v="CUIABA"/>
    <x v="0"/>
    <s v="HIPER SAUDE"/>
    <s v="SELL IN"/>
    <s v="847010603 - ERIVALDO DA SILVA MACIEL"/>
    <n v="8916.3915277332671"/>
    <n v="3763.940000000001"/>
    <n v="0.42213713790974283"/>
    <n v="776.94"/>
    <n v="8.7136146678107401E-2"/>
    <s v="FORA SCANN"/>
    <s v="Não"/>
    <s v="NÃO"/>
    <s v="Comprou Marcas"/>
    <s v="SIM"/>
    <m/>
    <m/>
    <m/>
  </r>
  <r>
    <n v="7220741000127"/>
    <x v="1"/>
    <m/>
    <s v="DROG DROGATEM"/>
    <s v="ARAGARCAS"/>
    <x v="3"/>
    <s v="ASSOCIADAS"/>
    <s v="SELL IN"/>
    <s v="847010606 - PRICILA MOREIRA DOS SANTOS"/>
    <n v="4983.329597756815"/>
    <n v="5948.5700000000006"/>
    <n v="1.193693871398287"/>
    <n v="726.04"/>
    <n v="0.14569375469903054"/>
    <s v="FORA SCANN"/>
    <s v="Não"/>
    <s v="NÃO"/>
    <s v="Comprou Marcas"/>
    <s v="SIM"/>
    <n v="5"/>
    <m/>
    <m/>
  </r>
  <r>
    <n v="8087667000851"/>
    <x v="13"/>
    <m/>
    <s v="REDE DE FARMACIAS ECONOMIZAR"/>
    <s v="COLIDER"/>
    <x v="0"/>
    <s v="ASSOCIADAS"/>
    <s v="SELL IN"/>
    <s v="847010605 - ISABELA CAMILA CRUCCITTI"/>
    <n v="7586.3901705853177"/>
    <n v="3361.7799999999997"/>
    <n v="0.44313302168857815"/>
    <n v="3583.9199999999996"/>
    <n v="0.47241440519312061"/>
    <s v="FORA SCANN"/>
    <s v="Não"/>
    <s v="NÃO"/>
    <s v="Comprou Marcas"/>
    <s v="SIM"/>
    <n v="4"/>
    <m/>
    <m/>
  </r>
  <r>
    <n v="8604819000170"/>
    <x v="1"/>
    <m/>
    <s v="DROGA SOL"/>
    <s v="CASSILANDIA"/>
    <x v="1"/>
    <s v="MASTERFARMA"/>
    <s v="SELL IN"/>
    <s v="847010608 - VALTER PEREIRA DA SILVA JUNIOR"/>
    <n v="13724.584958360769"/>
    <n v="7965.96"/>
    <n v="0.58041536586847975"/>
    <n v="2840.9399999999991"/>
    <n v="0.20699642347066749"/>
    <s v="ATIVO"/>
    <s v="Sim"/>
    <s v="NÃO"/>
    <s v="Comprou Marcas"/>
    <s v="SIM"/>
    <n v="1"/>
    <m/>
    <m/>
  </r>
  <r>
    <n v="8966998000195"/>
    <x v="1"/>
    <m/>
    <s v="FCIA SANTA TEREZINHA"/>
    <s v="PACAEMBU"/>
    <x v="2"/>
    <s v="INDEPENDENTES VIN"/>
    <s v="SELL IN"/>
    <s v="847010607 - MANUEL ARIEDE ARTERO"/>
    <n v="5783.2657441709798"/>
    <n v="5075.8200000000006"/>
    <n v="0.87767365784911022"/>
    <n v="3225.9600000000005"/>
    <n v="0.55780940089973952"/>
    <s v="FORA SCANN"/>
    <s v="Não"/>
    <s v="NÃO"/>
    <s v="Comprou Marcas"/>
    <s v="SIM"/>
    <m/>
    <m/>
    <m/>
  </r>
  <r>
    <n v="9465779000195"/>
    <x v="1"/>
    <m/>
    <s v="BETAFARMA"/>
    <s v="ARENAPOLIS"/>
    <x v="0"/>
    <s v="INDEPENDENTES VIN"/>
    <s v="SELL IN"/>
    <s v="847010604 - LEONARDO MAZZUCO"/>
    <n v="3294.2681733390068"/>
    <n v="176.92000000000002"/>
    <n v="5.3705403048798332E-2"/>
    <n v="0"/>
    <n v="0"/>
    <s v="FORA SCANN"/>
    <s v="Não"/>
    <s v="NÃO"/>
    <s v="Não Comprou"/>
    <s v="NÃO"/>
    <m/>
    <m/>
    <m/>
  </r>
  <r>
    <n v="61723222000127"/>
    <x v="1"/>
    <m/>
    <s v="DROGARIAS COMPRE MAIS VG"/>
    <s v="VARZEA GRANDE"/>
    <x v="0"/>
    <s v="INDEPENDENTES VIN"/>
    <s v="SELL IN"/>
    <s v="847010603 - ERIVALDO DA SILVA MACIEL"/>
    <n v="2764.2710194372507"/>
    <n v="7752.86"/>
    <n v="2.8046671058969914"/>
    <n v="6942.7299999999987"/>
    <n v="2.5115952636993595"/>
    <s v="FORA SCANN"/>
    <s v="Não"/>
    <s v="NÃO"/>
    <s v="Comprou Marcas"/>
    <s v="NÃO"/>
    <m/>
    <n v="1"/>
    <n v="1"/>
  </r>
  <r>
    <n v="61723222000208"/>
    <x v="1"/>
    <m/>
    <s v="DROGARIAS COMPRE MAIS"/>
    <s v="VARZEA GRANDE"/>
    <x v="0"/>
    <s v="INDEPENDENTES VIN"/>
    <s v="SELL IN"/>
    <s v="847010603 - ERIVALDO DA SILVA MACIEL"/>
    <n v="5249.1754299870809"/>
    <n v="435.47999999999996"/>
    <n v="8.2961601456911449E-2"/>
    <n v="0"/>
    <n v="0"/>
    <s v="FORA SCANN"/>
    <s v="Não"/>
    <s v="NÃO"/>
    <s v="Não Comprou"/>
    <s v="NÃO"/>
    <m/>
    <m/>
    <m/>
  </r>
  <r>
    <n v="67759241000190"/>
    <x v="1"/>
    <m/>
    <s v="DROGARIA DROGANOSSA"/>
    <s v="GUARACAI"/>
    <x v="2"/>
    <s v="FARMAIS"/>
    <s v="SELL IN"/>
    <s v="847010608 - VALTER PEREIRA DA SILVA JUNIOR"/>
    <n v="3022.4781270512467"/>
    <n v="526.48"/>
    <n v="0.17418819189723567"/>
    <n v="862.37"/>
    <n v="0.28531885550527869"/>
    <s v="ATIVO"/>
    <s v="Não"/>
    <s v="NÃO"/>
    <s v="Comprou Marcas"/>
    <s v="NÃO"/>
    <m/>
    <m/>
    <m/>
  </r>
  <r>
    <n v="72834344000107"/>
    <x v="1"/>
    <m/>
    <s v="DROG AGUAPE"/>
    <s v="VALPARAISO"/>
    <x v="2"/>
    <s v="INDEPENDENTES VIN"/>
    <s v="SELL IN"/>
    <s v="847010608 - VALTER PEREIRA DA SILVA JUNIOR"/>
    <n v="3170.8069448376482"/>
    <n v="1127.54"/>
    <n v="0.35560033127710095"/>
    <n v="466.34"/>
    <n v="0.14707297167973044"/>
    <s v="FORA SCANN"/>
    <s v="Não"/>
    <s v="NÃO"/>
    <s v="Comprou Marcas"/>
    <s v="NÃO"/>
    <m/>
    <m/>
    <m/>
  </r>
  <r>
    <n v="57862460000146"/>
    <x v="1"/>
    <m/>
    <s v="HIPER POPULAR"/>
    <s v="DOURADOS"/>
    <x v="1"/>
    <s v="HIPER SAUDE"/>
    <s v="SELL IN"/>
    <s v="847010601 - RAFAEL DE OLIVEIRA NASCIMENTO"/>
    <n v="6465.260433336648"/>
    <n v="2501.5500000000002"/>
    <n v="0.38692176839487014"/>
    <n v="0"/>
    <n v="0"/>
    <s v="FORA SCANN"/>
    <s v="Não"/>
    <s v="NÃO"/>
    <s v="Não Comprou"/>
    <s v="SIM"/>
    <m/>
    <m/>
    <m/>
  </r>
  <r>
    <n v="2369415000162"/>
    <x v="1"/>
    <m/>
    <s v="DROGARIAS FARMARELA"/>
    <s v="RONDONOPOLIS"/>
    <x v="0"/>
    <s v="ECONOMIZE RONDONOPOLIS"/>
    <s v="SELL IN"/>
    <s v="847010603 - ERIVALDO DA SILVA MACIEL"/>
    <n v="5761.9640715957312"/>
    <n v="1552.8200000000002"/>
    <n v="0.2694949119267866"/>
    <n v="1078.27"/>
    <n v="0.18713584232769809"/>
    <s v="FILA DE ATIVAÇÃO"/>
    <s v="Não"/>
    <s v="SIM"/>
    <s v="Comprou Marcas"/>
    <s v="SIM"/>
    <n v="4"/>
    <m/>
    <m/>
  </r>
  <r>
    <n v="2462665000142"/>
    <x v="1"/>
    <m/>
    <s v="DROGARIA AMERICANA"/>
    <s v="COXIM"/>
    <x v="1"/>
    <s v="INDEPENDENTES VIN"/>
    <s v="SELL IN"/>
    <s v="847010602 - WELLINGTON DE MORAIS DO NASCIMENTO"/>
    <n v="9490.1425523551898"/>
    <n v="3448.51"/>
    <n v="0.36337810322397907"/>
    <n v="1689.86"/>
    <n v="0.17806476464156207"/>
    <s v="FORA SCANN"/>
    <s v="Não"/>
    <s v="SIM"/>
    <s v="Comprou Marcas e SG"/>
    <s v="SIM"/>
    <m/>
    <m/>
    <m/>
  </r>
  <r>
    <n v="2489904000158"/>
    <x v="1"/>
    <m/>
    <s v="DROGARIA CENTRAL"/>
    <s v="SAO JOSE DO RIO CLARO"/>
    <x v="0"/>
    <s v="MASTERFARMA"/>
    <s v="SELL IN"/>
    <s v="847010603 - ERIVALDO DA SILVA MACIEL"/>
    <n v="6644.7990658384697"/>
    <n v="5392.89"/>
    <n v="0.81159564744784374"/>
    <n v="778.7399999999999"/>
    <n v="0.1171954173909599"/>
    <s v="ATIVO"/>
    <s v="Sim"/>
    <s v="NÃO"/>
    <s v="Comprou Marcas"/>
    <s v="SIM"/>
    <m/>
    <m/>
    <m/>
  </r>
  <r>
    <n v="3100938000171"/>
    <x v="1"/>
    <m/>
    <s v="FCIA DO EDSON"/>
    <s v="AMAMBAI"/>
    <x v="1"/>
    <s v="INDEPENDENTES VIN"/>
    <s v="SELL IN"/>
    <s v="847010601 - RAFAEL DE OLIVEIRA NASCIMENTO"/>
    <n v="7143.179940383473"/>
    <n v="4739.6799999999994"/>
    <n v="0.66352521419830779"/>
    <n v="2428.3099999999995"/>
    <n v="0.33994803718603211"/>
    <s v="FORA SCANN"/>
    <s v="Não"/>
    <s v="NÃO"/>
    <s v="Comprou Marcas"/>
    <s v="SIM"/>
    <m/>
    <m/>
    <m/>
  </r>
  <r>
    <n v="3110652000177"/>
    <x v="1"/>
    <m/>
    <s v="DROG L S DO NASCIMENTO"/>
    <s v="CANARANA"/>
    <x v="0"/>
    <s v="HIPER SAUDE"/>
    <s v="SELL IN"/>
    <s v="847010606 - PRICILA MOREIRA DOS SANTOS"/>
    <n v="1995.572478084199"/>
    <n v="1590.9900000000002"/>
    <n v="0.79725994293496749"/>
    <n v="0"/>
    <n v="0"/>
    <s v="ATIVO"/>
    <s v="Não"/>
    <s v="NÃO"/>
    <s v="Não Comprou"/>
    <s v="SIM"/>
    <m/>
    <m/>
    <m/>
  </r>
  <r>
    <n v="3511815000123"/>
    <x v="1"/>
    <m/>
    <s v="FARMINEI POPULAR"/>
    <s v="CAMPO GRANDE"/>
    <x v="1"/>
    <s v="INDEPENDENTES VIN"/>
    <s v="SELL IN"/>
    <s v="847010602 - WELLINGTON DE MORAIS DO NASCIMENTO"/>
    <n v="834.15678654637259"/>
    <n v="3086.33"/>
    <n v="3.6999399270947779"/>
    <n v="2900.1"/>
    <n v="3.4766845355381846"/>
    <s v="FORA SCANN"/>
    <s v="Não"/>
    <s v="NÃO"/>
    <s v="Comprou Marcas"/>
    <s v="NÃO"/>
    <m/>
    <m/>
    <m/>
  </r>
  <r>
    <n v="3940865000126"/>
    <x v="1"/>
    <m/>
    <s v="FARMACIA PLANALTO"/>
    <s v="CAARAPO"/>
    <x v="1"/>
    <s v="COMPRE BEM"/>
    <s v="SELL IN"/>
    <s v="847010601 - RAFAEL DE OLIVEIRA NASCIMENTO"/>
    <n v="4670.9085428565049"/>
    <n v="2714.0200000000004"/>
    <n v="0.58104755747159953"/>
    <n v="0"/>
    <n v="0"/>
    <s v="TERMO DEVOLVIDO"/>
    <s v="Não"/>
    <s v="SIM"/>
    <s v="Não Comprou"/>
    <s v="NÃO"/>
    <m/>
    <m/>
    <m/>
  </r>
  <r>
    <n v="14876562000108"/>
    <x v="1"/>
    <m/>
    <s v="DROGARIA DO FERNANDINHO"/>
    <s v="CARLINDA"/>
    <x v="0"/>
    <s v="MASTERFARMA"/>
    <s v="SELL IN"/>
    <s v="847010605 - ISABELA CAMILA CRUCCITTI"/>
    <n v="10129.943229516388"/>
    <n v="6740.66"/>
    <n v="0.66541932637482359"/>
    <n v="3620.0699999999997"/>
    <n v="0.3573633057934546"/>
    <s v="ATIVO"/>
    <s v="Sim"/>
    <s v="NÃO"/>
    <s v="Comprou Marcas"/>
    <s v="NÃO"/>
    <n v="1"/>
    <m/>
    <n v="2"/>
  </r>
  <r>
    <n v="17967556000154"/>
    <x v="1"/>
    <n v="13687"/>
    <s v="DROGARIA AQUIDAUANA"/>
    <s v="AQUIDAUANA"/>
    <x v="1"/>
    <s v="ASSOCIADAS"/>
    <s v="SELL IN"/>
    <s v="847010602 - WELLINGTON DE MORAIS DO NASCIMENTO"/>
    <n v="13916.267096017604"/>
    <n v="34469.62999999999"/>
    <n v="2.4769307575207513"/>
    <n v="33192.69"/>
    <n v="2.385171955308238"/>
    <s v="ATIVO"/>
    <s v="Sim"/>
    <s v="NÃO"/>
    <s v="Comprou Marcas"/>
    <s v="SIM"/>
    <n v="1"/>
    <n v="1"/>
    <n v="1"/>
  </r>
  <r>
    <n v="17967556000235"/>
    <x v="1"/>
    <m/>
    <s v="DROGARIA NS"/>
    <s v="SIDROLANDIA"/>
    <x v="1"/>
    <s v="ASSOCIADAS"/>
    <s v="SELL IN"/>
    <s v="847010602 - WELLINGTON DE MORAIS DO NASCIMENTO"/>
    <n v="11463.870862312446"/>
    <n v="30325.439999999991"/>
    <n v="2.6453054438789154"/>
    <n v="29320.570000000014"/>
    <n v="2.5576500601024379"/>
    <s v="ATIVO"/>
    <s v="Sim"/>
    <s v="NÃO"/>
    <s v="Comprou Marcas"/>
    <s v="SIM"/>
    <n v="1"/>
    <n v="1"/>
    <n v="1"/>
  </r>
  <r>
    <n v="20750641000170"/>
    <x v="1"/>
    <m/>
    <s v="FARMACIA MARACAJU FARMA"/>
    <s v="MARACAJU"/>
    <x v="1"/>
    <s v="INDEPENDENTES VIN"/>
    <s v="SELL IN"/>
    <s v="847010601 - RAFAEL DE OLIVEIRA NASCIMENTO"/>
    <n v="5003.0707053113047"/>
    <n v="1605.9800000000002"/>
    <n v="0.32099886141826406"/>
    <n v="0"/>
    <n v="0"/>
    <s v="FORA SCANN"/>
    <s v="Não"/>
    <s v="NÃO"/>
    <s v="Não Comprou"/>
    <s v="NÃO"/>
    <m/>
    <m/>
    <m/>
  </r>
  <r>
    <n v="10341045001406"/>
    <x v="15"/>
    <m/>
    <s v="DROGARIA ULTRAPOPULAR"/>
    <s v="VARZEA GRANDE"/>
    <x v="0"/>
    <s v="FARMARCAS"/>
    <s v="SELL OUT"/>
    <s v="847010603 - ERIVALDO DA SILVA MACIEL"/>
    <n v="26695.24895206343"/>
    <n v="17843.070000000003"/>
    <n v="0.66839871139770024"/>
    <n v="12559.399999999998"/>
    <n v="0.47047322999507779"/>
    <s v="ATIVO"/>
    <s v="Sim"/>
    <s v="NÃO"/>
    <s v="Comprou Marcas e SG"/>
    <s v="SIM"/>
    <m/>
    <m/>
    <n v="3"/>
  </r>
  <r>
    <n v="23255059000126"/>
    <x v="1"/>
    <m/>
    <s v="DROGARIA NOVA FARMA"/>
    <s v="TORIXOREU"/>
    <x v="0"/>
    <s v="ECONOMIZE RONDONOPOLIS"/>
    <s v="SELL IN"/>
    <s v="847010606 - PRICILA MOREIRA DOS SANTOS"/>
    <n v="3197.1648324058092"/>
    <n v="1232.1600000000001"/>
    <n v="0.38539145292450305"/>
    <n v="0"/>
    <n v="0"/>
    <s v="TERMO DEVOLVIDO"/>
    <s v="Não"/>
    <s v="SIM"/>
    <s v="Não Comprou"/>
    <s v="SIM"/>
    <m/>
    <m/>
    <m/>
  </r>
  <r>
    <n v="8087667001157"/>
    <x v="13"/>
    <m/>
    <s v="REDE DE FARMACIAS ECONOMIZAR"/>
    <s v="MATUPA                                            "/>
    <x v="0"/>
    <s v="INDEPENDENTES VIN"/>
    <s v="SELL IN"/>
    <s v="847010605 - ISABELA CAMILA CRUCCITTI"/>
    <n v="0"/>
    <n v="9582.1799999999985"/>
    <e v="#DIV/0!"/>
    <n v="5519.2400000000007"/>
    <e v="#DIV/0!"/>
    <m/>
    <m/>
    <m/>
    <s v="Comprou Marcas"/>
    <m/>
    <m/>
    <m/>
    <m/>
  </r>
  <r>
    <n v="8366044000141"/>
    <x v="1"/>
    <m/>
    <s v="DROG MILENA"/>
    <s v="CAMPO GRANDE"/>
    <x v="1"/>
    <s v="ASSOCIADAS"/>
    <s v="SELL IN"/>
    <s v="847010602 - WELLINGTON DE MORAIS DO NASCIMENTO"/>
    <n v="4800.7774457733076"/>
    <n v="2775.1599999999994"/>
    <n v="0.57806470542459765"/>
    <n v="1192.8499999999999"/>
    <n v="0.24847017248221054"/>
    <s v="TERMO DEVOLVIDO"/>
    <s v="Não"/>
    <s v="NÃO"/>
    <s v="Comprou Marcas"/>
    <s v="NÃO"/>
    <m/>
    <m/>
    <m/>
  </r>
  <r>
    <n v="10341045001074"/>
    <x v="15"/>
    <m/>
    <s v="DROGARIA ULTRAPOPULAR"/>
    <s v="VARZEA GRANDE"/>
    <x v="0"/>
    <s v="FARMARCAS"/>
    <s v="SELL OUT"/>
    <s v="847010603 - ERIVALDO DA SILVA MACIEL"/>
    <n v="16374.664267664062"/>
    <n v="10809.170000000004"/>
    <n v="0.66011551890840647"/>
    <n v="7666.7100000000009"/>
    <n v="0.46820563003174781"/>
    <s v="ATIVO"/>
    <s v="Sim"/>
    <s v="NÃO"/>
    <s v="Comprou Marcas e SG"/>
    <s v="SIM"/>
    <m/>
    <m/>
    <m/>
  </r>
  <r>
    <n v="10488667000139"/>
    <x v="1"/>
    <m/>
    <s v="FARMACIA VASCO"/>
    <s v="INOCENCIA"/>
    <x v="1"/>
    <s v="ASSOCIADAS"/>
    <s v="SELL IN"/>
    <s v="847010608 - VALTER PEREIRA DA SILVA JUNIOR"/>
    <n v="3872.6576022265649"/>
    <n v="7930.3799999999992"/>
    <n v="2.047787543995748"/>
    <n v="5176.2900000000009"/>
    <n v="1.3366247501519162"/>
    <s v="FORA SCANN"/>
    <s v="Não"/>
    <s v="SIM"/>
    <s v="Comprou Marcas"/>
    <s v="SIM"/>
    <m/>
    <m/>
    <n v="1"/>
  </r>
  <r>
    <n v="11288508000153"/>
    <x v="1"/>
    <m/>
    <s v="FARMACIA CENTRAL"/>
    <s v="BONITO"/>
    <x v="1"/>
    <s v="MASTERFARMA"/>
    <s v="SELL IN"/>
    <s v="847010601 - RAFAEL DE OLIVEIRA NASCIMENTO"/>
    <n v="8064.9442660038321"/>
    <n v="3654.1699999999996"/>
    <n v="0.45309302575139004"/>
    <n v="0"/>
    <n v="0"/>
    <s v="TERMO DEVOLVIDO"/>
    <s v="Não"/>
    <s v="SIM"/>
    <s v="Não Comprou"/>
    <s v="SIM"/>
    <m/>
    <m/>
    <m/>
  </r>
  <r>
    <n v="12390379000172"/>
    <x v="1"/>
    <m/>
    <s v="DROGARIA SAO LUCAS"/>
    <s v="MARACAJU"/>
    <x v="1"/>
    <s v="HIPER SAUDE"/>
    <s v="SELL IN"/>
    <s v="847010601 - RAFAEL DE OLIVEIRA NASCIMENTO"/>
    <n v="2238.8653523032026"/>
    <n v="922.43999999999994"/>
    <n v="0.41201227177465238"/>
    <n v="0"/>
    <n v="0"/>
    <s v="ATIVO"/>
    <s v="Não"/>
    <s v="NÃO"/>
    <s v="Não Comprou"/>
    <s v="SIM"/>
    <m/>
    <m/>
    <m/>
  </r>
  <r>
    <n v="13304645000160"/>
    <x v="1"/>
    <m/>
    <s v="DROGA CENTER"/>
    <s v="AGUA CLARA"/>
    <x v="1"/>
    <s v="INDEPENDENTES VIN"/>
    <s v="SELL IN"/>
    <s v="847010602 - WELLINGTON DE MORAIS DO NASCIMENTO"/>
    <n v="729.94388309502722"/>
    <n v="757.57000000000016"/>
    <n v="1.0378469051454144"/>
    <n v="391.96000000000004"/>
    <n v="0.53697278527501957"/>
    <s v="FORA SCANN"/>
    <s v="Não"/>
    <s v="NÃO"/>
    <s v="Comprou Marcas"/>
    <s v="NÃO"/>
    <m/>
    <m/>
    <m/>
  </r>
  <r>
    <n v="13367286000190"/>
    <x v="1"/>
    <m/>
    <s v="DROGARIA PARANA"/>
    <s v="QUERENCIA"/>
    <x v="0"/>
    <s v="HIPER SAUDE"/>
    <s v="SELL IN"/>
    <s v="847010606 - PRICILA MOREIRA DOS SANTOS"/>
    <n v="1092.6690567190531"/>
    <n v="99.179999999999993"/>
    <n v="9.076856289662566E-2"/>
    <n v="0"/>
    <n v="0"/>
    <s v="ATIVO"/>
    <s v="Não"/>
    <s v="NÃO"/>
    <s v="Não Comprou"/>
    <s v="SIM"/>
    <m/>
    <m/>
    <m/>
  </r>
  <r>
    <n v="13445025000140"/>
    <x v="1"/>
    <m/>
    <s v="DROGARIA DO POVO"/>
    <s v="RIO VERDE DE MATO GROSSO"/>
    <x v="1"/>
    <s v="FARMA &amp; FARMA"/>
    <s v="SELL IN"/>
    <s v="847010602 - WELLINGTON DE MORAIS DO NASCIMENTO"/>
    <n v="10442.752231427368"/>
    <n v="2637.0200000000009"/>
    <n v="0.2525215519395273"/>
    <n v="0"/>
    <n v="0"/>
    <s v="ATIVO"/>
    <s v="Sim"/>
    <s v="NÃO"/>
    <s v="Não Comprou"/>
    <s v="SIM"/>
    <m/>
    <m/>
    <m/>
  </r>
  <r>
    <n v="29301968000130"/>
    <x v="1"/>
    <m/>
    <s v="FARMAZIL"/>
    <s v="CUIABA"/>
    <x v="0"/>
    <s v="INDEPENDENTES VIN"/>
    <s v="SELL IN"/>
    <s v="847010603 - ERIVALDO DA SILVA MACIEL"/>
    <n v="16740.418674275486"/>
    <n v="7454.2399999999989"/>
    <n v="0.44528396481831795"/>
    <n v="2940.67"/>
    <n v="0.17566287063768854"/>
    <s v="FORA SCANN"/>
    <s v="Não"/>
    <s v="NÃO"/>
    <s v="Comprou Marcas"/>
    <s v="SIM"/>
    <m/>
    <m/>
    <n v="1"/>
  </r>
  <r>
    <n v="31525761000190"/>
    <x v="1"/>
    <m/>
    <s v="DROGARIA DO POVO"/>
    <s v="NOVA MUTUM"/>
    <x v="0"/>
    <s v="INDEPENDENTES VIN"/>
    <s v="SELL IN"/>
    <s v="847010604 - LEONARDO MAZZUCO"/>
    <n v="8814.1302693135731"/>
    <n v="9043.8399999999983"/>
    <n v="1.0260615311627694"/>
    <n v="3626.7200000000003"/>
    <n v="0.41146657573537793"/>
    <s v="FORA SCANN"/>
    <s v="Não"/>
    <s v="NÃO"/>
    <s v="Comprou Marcas"/>
    <s v="SIM"/>
    <m/>
    <n v="8"/>
    <n v="8"/>
  </r>
  <r>
    <n v="16735647000100"/>
    <x v="1"/>
    <m/>
    <s v="DROGARIA SANTA MARIA"/>
    <s v="TANGARA DA SERRA"/>
    <x v="0"/>
    <s v="INDEPENDENTES VIN"/>
    <s v="SELL IN"/>
    <s v="847010604 - LEONARDO MAZZUCO"/>
    <n v="1223.8693784934212"/>
    <n v="306.88"/>
    <n v="0.25074571305784948"/>
    <n v="0"/>
    <n v="0"/>
    <s v="ATIVO"/>
    <s v="Não"/>
    <s v="NÃO"/>
    <s v="Não Comprou"/>
    <s v="NÃO"/>
    <m/>
    <m/>
    <m/>
  </r>
  <r>
    <n v="8476603000176"/>
    <x v="1"/>
    <m/>
    <s v="FARMA VIDA"/>
    <s v="TRES LAGOAS"/>
    <x v="1"/>
    <s v="INDEPENDENTES VIN"/>
    <s v="SELL IN"/>
    <s v="847010608 - VALTER PEREIRA DA SILVA JUNIOR"/>
    <n v="11272.422595241453"/>
    <n v="6781.1900000000005"/>
    <n v="0.60157343665084173"/>
    <n v="4089.5099999999984"/>
    <n v="0.36278891830460175"/>
    <s v="ATIVO"/>
    <s v="Sim"/>
    <s v="NÃO"/>
    <s v="Comprou Marcas"/>
    <s v="NÃO"/>
    <n v="6"/>
    <m/>
    <m/>
  </r>
  <r>
    <n v="8986750000196"/>
    <x v="1"/>
    <m/>
    <s v="DROGARIA FARMALIMA"/>
    <s v="CAMPO GRANDE"/>
    <x v="1"/>
    <s v="ASSOCIADAS"/>
    <s v="SELL IN"/>
    <s v="847010602 - WELLINGTON DE MORAIS DO NASCIMENTO"/>
    <n v="1807.2592429206625"/>
    <n v="214.73000000000002"/>
    <n v="0.11881527281773958"/>
    <n v="0"/>
    <n v="0"/>
    <s v="FORA SCANN"/>
    <s v="Não"/>
    <s v="SIM"/>
    <s v="Não Comprou"/>
    <s v="NÃO"/>
    <m/>
    <m/>
    <m/>
  </r>
  <r>
    <n v="9146590000130"/>
    <x v="1"/>
    <m/>
    <s v="DROGA VIVA"/>
    <s v="CUIABA"/>
    <x v="0"/>
    <s v="ECONOMIZE RONDONOPOLIS"/>
    <s v="SELL IN"/>
    <s v="847010603 - ERIVALDO DA SILVA MACIEL"/>
    <n v="4506.1936338502919"/>
    <n v="2048.5"/>
    <n v="0.45459653233979441"/>
    <n v="137.85"/>
    <n v="3.0591228695650799E-2"/>
    <s v="TERMO DEVOLVIDO"/>
    <s v="Não"/>
    <s v="SIM"/>
    <s v="Comprou Marcas"/>
    <s v="NÃO"/>
    <m/>
    <m/>
    <m/>
  </r>
  <r>
    <n v="10341045001155"/>
    <x v="15"/>
    <m/>
    <s v="DROGARIA ULTRAPOPULAR"/>
    <s v="CUIABA"/>
    <x v="0"/>
    <s v="FARMARCAS"/>
    <s v="SELL OUT"/>
    <s v="847010603 - ERIVALDO DA SILVA MACIEL"/>
    <n v="38445.230886293866"/>
    <n v="23259.020000000004"/>
    <n v="0.60499103435719237"/>
    <n v="17623.71000000001"/>
    <n v="0.45841082479447537"/>
    <s v="ATIVO"/>
    <s v="Sim"/>
    <s v="NÃO"/>
    <s v="Comprou Marcas e SG"/>
    <s v="SIM"/>
    <n v="1"/>
    <n v="2"/>
    <m/>
  </r>
  <r>
    <n v="10341045000264"/>
    <x v="15"/>
    <m/>
    <s v="DROGARIA ULTRAPOPULAR"/>
    <s v="CAMPO NOVO DO PARECIS"/>
    <x v="0"/>
    <s v="FARMARCAS"/>
    <s v="SELL OUT"/>
    <s v="847010604 - LEONARDO MAZZUCO"/>
    <n v="8215.0849210865708"/>
    <n v="4145.2999999999993"/>
    <n v="0.50459612284223587"/>
    <n v="1800.2700000000002"/>
    <n v="0.21914198298535506"/>
    <s v="ATIVO"/>
    <s v="Sim"/>
    <s v="NÃO"/>
    <s v="Comprou Marcas e SG"/>
    <s v="SIM"/>
    <m/>
    <m/>
    <m/>
  </r>
  <r>
    <n v="10588126000182"/>
    <x v="1"/>
    <m/>
    <s v="DROGARIA POUPE JA"/>
    <s v="QUERENCIA"/>
    <x v="0"/>
    <s v="INDEPENDENTES VIN"/>
    <s v="SELL IN"/>
    <s v="847010606 - PRICILA MOREIRA DOS SANTOS"/>
    <n v="23026.989228323757"/>
    <n v="10725.470000000003"/>
    <n v="0.46577821762331889"/>
    <n v="10836.049999999997"/>
    <n v="0.47058040860467298"/>
    <s v="TERMO DEVOLVIDO"/>
    <s v="Não"/>
    <s v="SIM"/>
    <s v="Comprou Marcas"/>
    <s v="SIM"/>
    <m/>
    <m/>
    <m/>
  </r>
  <r>
    <n v="11453021000189"/>
    <x v="1"/>
    <m/>
    <s v="DROGARIA ATIVA"/>
    <s v="BARRA DO GARCAS"/>
    <x v="0"/>
    <s v="INDEPENDENTES VIN"/>
    <s v="SELL IN"/>
    <s v="847010606 - PRICILA MOREIRA DOS SANTOS"/>
    <n v="1911.6050004139458"/>
    <n v="1342.77"/>
    <n v="0.70243067982623597"/>
    <n v="0"/>
    <n v="0"/>
    <s v="NÃO HOMOLOGADO"/>
    <s v="Não"/>
    <s v="NÃO"/>
    <s v="Não Comprou"/>
    <s v="SIM"/>
    <m/>
    <m/>
    <n v="1"/>
  </r>
  <r>
    <n v="12090789000106"/>
    <x v="1"/>
    <m/>
    <s v="MEGA FARMA"/>
    <s v="CULTURAMA (FATIMA DO SUL)"/>
    <x v="1"/>
    <s v="INDEPENDENTES VIN"/>
    <s v="SELL IN"/>
    <s v="847010601 - RAFAEL DE OLIVEIRA NASCIMENTO"/>
    <n v="1161.5071475045229"/>
    <n v="364.16"/>
    <n v="0.31352368410507953"/>
    <n v="0"/>
    <n v="0"/>
    <s v="FORA SCANN"/>
    <s v="Não"/>
    <s v="NÃO"/>
    <s v="Não Comprou"/>
    <s v="NÃO"/>
    <m/>
    <m/>
    <m/>
  </r>
  <r>
    <n v="12625289000113"/>
    <x v="1"/>
    <m/>
    <s v="DROGARIA ATIVA SAUDE"/>
    <s v="CAMPO GRANDE"/>
    <x v="1"/>
    <s v="ECONOMIZE RONDONOPOLIS"/>
    <s v="SELL IN"/>
    <s v="847010602 - WELLINGTON DE MORAIS DO NASCIMENTO"/>
    <n v="3975.2923578916889"/>
    <n v="1557.5800000000002"/>
    <n v="0.39181520747975085"/>
    <n v="0"/>
    <n v="0"/>
    <s v="ATIVO"/>
    <s v="Sim"/>
    <s v="NÃO"/>
    <s v="Não Comprou"/>
    <s v="NÃO"/>
    <m/>
    <m/>
    <n v="1"/>
  </r>
  <r>
    <n v="27377243000442"/>
    <x v="5"/>
    <m/>
    <s v="DROGARIAS MOURA"/>
    <s v="CACERES"/>
    <x v="0"/>
    <s v="INDEPENDENTES VIN"/>
    <s v="SELL IN"/>
    <s v="847010603 - ERIVALDO DA SILVA MACIEL"/>
    <n v="544.15783682372"/>
    <n v="173.53"/>
    <n v="0.31889644558443631"/>
    <n v="0"/>
    <n v="0"/>
    <s v="FORA SCANN"/>
    <s v="Não"/>
    <s v="NÃO"/>
    <s v="Não Comprou"/>
    <s v="NÃO"/>
    <m/>
    <m/>
    <m/>
  </r>
  <r>
    <n v="28800059000183"/>
    <x v="6"/>
    <n v="155483"/>
    <s v="FARMACIA MAIS ECONOMICA"/>
    <s v="CORUMBA"/>
    <x v="1"/>
    <s v="INDEPENDENTES VIN"/>
    <s v="SELL IN"/>
    <s v="847010602 - WELLINGTON DE MORAIS DO NASCIMENTO"/>
    <n v="6244.6449098466119"/>
    <n v="1800.6599999999999"/>
    <n v="0.28835266472248938"/>
    <n v="1494.46"/>
    <n v="0.23931865167281524"/>
    <s v="ATIVO"/>
    <s v="Sim"/>
    <s v="NÃO"/>
    <s v="Comprou Marcas e SG"/>
    <s v="SIM"/>
    <m/>
    <m/>
    <m/>
  </r>
  <r>
    <n v="29809750000190"/>
    <x v="1"/>
    <m/>
    <s v="FARMACIA E DROGARIA DROGACERTA"/>
    <s v="ALTO ARAGUAIA"/>
    <x v="0"/>
    <s v="INDEPENDENTES VIN"/>
    <s v="SELL IN"/>
    <s v="847010606 - PRICILA MOREIRA DOS SANTOS"/>
    <n v="626.37354799574632"/>
    <n v="279.51"/>
    <n v="0.4462353189951408"/>
    <n v="0"/>
    <n v="0"/>
    <s v="FORA SCANN"/>
    <s v="Não"/>
    <s v="NÃO"/>
    <s v="Não Comprou"/>
    <s v="NÃO"/>
    <m/>
    <m/>
    <m/>
  </r>
  <r>
    <n v="7211143000191"/>
    <x v="1"/>
    <m/>
    <s v="TRI FARMA"/>
    <s v="ALTO ARAGUAIA"/>
    <x v="0"/>
    <s v="DSG FARMA"/>
    <s v="SELL IN"/>
    <s v="847010606 - PRICILA MOREIRA DOS SANTOS"/>
    <n v="716.15628979180769"/>
    <n v="546.48000000000013"/>
    <n v="0.7630736583474903"/>
    <n v="789.78"/>
    <n v="1.1028039706662289"/>
    <s v="NÃO HOMOLOGADO"/>
    <s v="Não"/>
    <s v="NÃO"/>
    <s v="Comprou Marcas"/>
    <s v="NÃO"/>
    <m/>
    <m/>
    <m/>
  </r>
  <r>
    <n v="55292481000148"/>
    <x v="1"/>
    <m/>
    <s v="TIAGO DE JESUS MOREIRA"/>
    <s v="ARAPUTANGA"/>
    <x v="0"/>
    <s v="INDEPENDENTES VIN"/>
    <s v="SELL IN"/>
    <s v="847010603 - ERIVALDO DA SILVA MACIEL"/>
    <n v="3856.8761169064405"/>
    <n v="1949.3600000000004"/>
    <n v="0.505424582203994"/>
    <n v="903"/>
    <n v="0.2341273021556852"/>
    <m/>
    <m/>
    <m/>
    <s v="Comprou Marcas"/>
    <m/>
    <m/>
    <m/>
    <m/>
  </r>
  <r>
    <n v="7243216000127"/>
    <x v="1"/>
    <m/>
    <s v="DROGA VIDA"/>
    <s v="NOVA XAVANTINA"/>
    <x v="0"/>
    <s v="DSG FARMA"/>
    <s v="SELL IN"/>
    <s v="847010606 - PRICILA MOREIRA DOS SANTOS"/>
    <n v="4057.9332747512713"/>
    <n v="1632.8900000000003"/>
    <n v="0.40239449232937113"/>
    <n v="1593.5600000000004"/>
    <n v="0.39270236647685558"/>
    <m/>
    <m/>
    <m/>
    <s v="Comprou Marcas"/>
    <m/>
    <m/>
    <m/>
    <m/>
  </r>
  <r>
    <n v="53772681000172"/>
    <x v="1"/>
    <m/>
    <s v="DROGARIA MAIS AMERICA"/>
    <s v="CUIABA"/>
    <x v="0"/>
    <s v="ASSOCIADAS"/>
    <s v="SELL IN"/>
    <s v="847010603 - ERIVALDO DA SILVA MACIEL"/>
    <n v="3050.0502534067919"/>
    <n v="0"/>
    <n v="0"/>
    <n v="0"/>
    <n v="0"/>
    <s v="ATIVO"/>
    <s v="Sim"/>
    <s v="NÃO"/>
    <s v="Não Comprou"/>
    <s v="SIM"/>
    <m/>
    <m/>
    <m/>
  </r>
  <r>
    <n v="4077499000196"/>
    <x v="1"/>
    <m/>
    <s v="DROG NEIDE M S P CAMARGO"/>
    <s v="BARRA DO BUGRES"/>
    <x v="0"/>
    <s v="INDEPENDENTES VIN"/>
    <s v="SELL IN"/>
    <s v="847010604 - LEONARDO MAZZUCO"/>
    <n v="3720.5273147585904"/>
    <n v="125.2"/>
    <n v="3.3651143885802572E-2"/>
    <n v="0"/>
    <n v="0"/>
    <s v="FORA SCANN"/>
    <s v="Não"/>
    <s v="NÃO"/>
    <s v="Não Comprou"/>
    <s v="NÃO"/>
    <m/>
    <m/>
    <m/>
  </r>
  <r>
    <n v="4834843002350"/>
    <x v="4"/>
    <m/>
    <s v="FARMACIA SANTA CATARINA DE PRESIDENTE PRUDENTE"/>
    <s v="PRESIDENTE PRUDENTE"/>
    <x v="2"/>
    <s v="REDE SANTA CATARINA"/>
    <s v="SELL IN"/>
    <s v="847010607 - MANUEL ARIEDE ARTERO"/>
    <n v="11143.578068045184"/>
    <n v="9248.89"/>
    <n v="0.82997489168417948"/>
    <n v="7671.2599999999984"/>
    <n v="0.68840187174689904"/>
    <s v="ATIVO"/>
    <s v="Sim"/>
    <s v="NÃO"/>
    <s v="Comprou Marcas"/>
    <s v="SIM"/>
    <n v="3"/>
    <m/>
    <n v="1"/>
  </r>
  <r>
    <n v="4834843003321"/>
    <x v="4"/>
    <m/>
    <s v="FARMACIA SANTA CATARINA DE PRESIDENTE PRUDENTE LTD"/>
    <s v="NARANDIBA"/>
    <x v="2"/>
    <s v="REDE SANTA CATARINA"/>
    <s v="SELL IN"/>
    <s v="847010607 - MANUEL ARIEDE ARTERO"/>
    <n v="1226.2779095757796"/>
    <n v="3294.7499999999995"/>
    <n v="2.6867890013119378"/>
    <n v="1977.3400000000001"/>
    <n v="1.6124729839454126"/>
    <m/>
    <m/>
    <m/>
    <s v="Comprou Marcas"/>
    <m/>
    <m/>
    <m/>
    <m/>
  </r>
  <r>
    <n v="5112326000396"/>
    <x v="20"/>
    <m/>
    <s v="FARMACIA ROMANA"/>
    <s v="JUTI"/>
    <x v="1"/>
    <s v="ASSOCIADAS"/>
    <s v="SELL IN"/>
    <s v="847010601 - RAFAEL DE OLIVEIRA NASCIMENTO"/>
    <n v="3063.3113318577653"/>
    <n v="1746.3600000000001"/>
    <n v="0.57008896935751829"/>
    <n v="0"/>
    <n v="0"/>
    <s v="TERMO DEVOLVIDO"/>
    <s v="Não"/>
    <s v="SIM"/>
    <s v="Não Comprou"/>
    <s v="NÃO"/>
    <m/>
    <m/>
    <m/>
  </r>
  <r>
    <n v="5528457000197"/>
    <x v="1"/>
    <m/>
    <s v="DROG SOLUCAO"/>
    <s v="ALTO GARCAS"/>
    <x v="0"/>
    <s v="INDEPENDENTES VIN"/>
    <s v="SELL IN"/>
    <s v="847010606 - PRICILA MOREIRA DOS SANTOS"/>
    <n v="1675.0776460600928"/>
    <n v="1165.1500000000001"/>
    <n v="0.69557969610574144"/>
    <n v="0"/>
    <n v="0"/>
    <s v="FORA SCANN"/>
    <s v="Não"/>
    <s v="NÃO"/>
    <s v="Não Comprou"/>
    <s v="SIM"/>
    <m/>
    <m/>
    <m/>
  </r>
  <r>
    <n v="597452000100"/>
    <x v="1"/>
    <m/>
    <s v="FARMACIA CENTRO AMERICA"/>
    <s v="CUIABA"/>
    <x v="0"/>
    <s v="HIPER SAUDE"/>
    <s v="SELL IN"/>
    <s v="847010603 - ERIVALDO DA SILVA MACIEL"/>
    <n v="4861.2450704404919"/>
    <n v="1726.93"/>
    <n v="0.35524438183560203"/>
    <n v="0"/>
    <n v="0"/>
    <s v="FORA SCANN"/>
    <s v="Não"/>
    <s v="NÃO"/>
    <s v="Não Comprou"/>
    <s v="SIM"/>
    <m/>
    <m/>
    <m/>
  </r>
  <r>
    <n v="1017753000172"/>
    <x v="1"/>
    <m/>
    <s v="DROGARIA SAO LUIZ"/>
    <s v="BENTO DE ABREU"/>
    <x v="2"/>
    <s v="MULTIDROGAS"/>
    <s v="SELL IN"/>
    <s v="847010608 - VALTER PEREIRA DA SILVA JUNIOR"/>
    <n v="2801.5612462288127"/>
    <n v="1391.3999999999999"/>
    <n v="0.49665164446180365"/>
    <n v="773.13000000000011"/>
    <n v="0.27596398295440155"/>
    <s v="TERMO DEVOLVIDO"/>
    <s v="Não"/>
    <s v="NÃO"/>
    <s v="Comprou Marcas"/>
    <s v="SIM"/>
    <m/>
    <m/>
    <m/>
  </r>
  <r>
    <n v="1053206000142"/>
    <x v="1"/>
    <m/>
    <s v="DROGARIA BRASNORTE"/>
    <s v="BRASNORTE"/>
    <x v="0"/>
    <s v="INDEPENDENTES VIN"/>
    <s v="SELL IN"/>
    <s v="847010604 - LEONARDO MAZZUCO"/>
    <n v="7103.971283841046"/>
    <n v="1916.8400000000001"/>
    <n v="0.26982654115735444"/>
    <n v="1286.3899999999999"/>
    <n v="0.18108040539607329"/>
    <s v="FORA SCANN"/>
    <s v="Não"/>
    <s v="NÃO"/>
    <s v="Comprou Marcas"/>
    <s v="NÃO"/>
    <m/>
    <m/>
    <m/>
  </r>
  <r>
    <n v="1357742000131"/>
    <x v="7"/>
    <m/>
    <s v="FARMASUL"/>
    <s v="SINOP"/>
    <x v="0"/>
    <s v="REDE MADEIRA"/>
    <s v="SELL IN"/>
    <s v="847010605 - ISABELA CAMILA CRUCCITTI"/>
    <n v="43476.116456058342"/>
    <n v="36217.429999999986"/>
    <n v="0.83304197688874149"/>
    <n v="18981.23"/>
    <n v="0.43658982326962159"/>
    <s v="FORA SCANN"/>
    <s v="Não"/>
    <s v="SIM"/>
    <s v="Comprou Marcas e SG"/>
    <s v="SIM"/>
    <n v="6"/>
    <n v="3"/>
    <n v="11"/>
  </r>
  <r>
    <n v="10341045002046"/>
    <x v="15"/>
    <m/>
    <s v="DROGARIA ULTRAPOPULAR"/>
    <s v="NOVA MUTUM"/>
    <x v="0"/>
    <s v="FARMARCAS"/>
    <s v="SELL OUT"/>
    <s v="847010604 - LEONARDO MAZZUCO"/>
    <n v="19217.693121101485"/>
    <n v="11981.67"/>
    <n v="0.62347077375503723"/>
    <n v="10032.280000000002"/>
    <n v="0.52203352071348874"/>
    <s v="ATIVO"/>
    <s v="Sim"/>
    <s v="NÃO"/>
    <s v="Comprou Marcas e SG"/>
    <s v="SIM"/>
    <m/>
    <n v="3"/>
    <m/>
  </r>
  <r>
    <n v="21082444000193"/>
    <x v="1"/>
    <n v="153615"/>
    <s v="DROGARIA MAIS VIDA"/>
    <s v="AQUIDAUANA"/>
    <x v="1"/>
    <s v="ASSOCIADAS"/>
    <s v="SELL IN"/>
    <s v="847010602 - WELLINGTON DE MORAIS DO NASCIMENTO"/>
    <n v="4477.8773215552028"/>
    <n v="10643.360000000002"/>
    <n v="2.3768761928259967"/>
    <n v="10315.460000000001"/>
    <n v="2.3036495328588766"/>
    <s v="ATIVO"/>
    <s v="Sim"/>
    <s v="NÃO"/>
    <s v="Comprou Marcas"/>
    <s v="SIM"/>
    <m/>
    <m/>
    <m/>
  </r>
  <r>
    <n v="199752000395"/>
    <x v="22"/>
    <n v="134672"/>
    <s v="FARMACIA ODEON"/>
    <s v="TRES LAGOAS"/>
    <x v="1"/>
    <s v="ODEON"/>
    <s v="SELL IN"/>
    <s v="847010608 - VALTER PEREIRA DA SILVA JUNIOR"/>
    <n v="96288.274983816489"/>
    <n v="70866.190000000017"/>
    <n v="0.73597943271816579"/>
    <n v="42224.919999999984"/>
    <n v="0.43852608229918832"/>
    <s v="ATIVO"/>
    <s v="Sim"/>
    <s v="NÃO"/>
    <s v="Comprou Marcas e SG"/>
    <s v="SIM"/>
    <n v="12"/>
    <m/>
    <n v="2"/>
  </r>
  <r>
    <n v="938969000108"/>
    <x v="1"/>
    <m/>
    <s v="DROGARIA LIBERAL"/>
    <s v="JUARA"/>
    <x v="0"/>
    <s v="INDEPENDENTES VIN"/>
    <s v="SELL IN"/>
    <s v="847010604 - LEONARDO MAZZUCO"/>
    <n v="6160.3352540828964"/>
    <n v="3729.8899999999994"/>
    <n v="0.60546867112921066"/>
    <n v="1898.7699999999998"/>
    <n v="0.30822510816136972"/>
    <s v="FORA SCANN"/>
    <s v="Não"/>
    <s v="SIM"/>
    <s v="Comprou Marcas"/>
    <s v="NÃO"/>
    <m/>
    <m/>
    <m/>
  </r>
  <r>
    <n v="2330943000108"/>
    <x v="1"/>
    <m/>
    <s v="FCIA SAO MARCOS"/>
    <s v="AMAMBAI"/>
    <x v="1"/>
    <s v="ASSOCIADAS"/>
    <s v="SELL IN"/>
    <s v="847010601 - RAFAEL DE OLIVEIRA NASCIMENTO"/>
    <n v="5957.7762043805924"/>
    <n v="3759.85"/>
    <n v="0.63108278508942373"/>
    <n v="2009.4199999999998"/>
    <n v="0.33727685147396563"/>
    <s v="FORA SCANN"/>
    <s v="Não"/>
    <s v="SIM"/>
    <s v="Comprou Marcas"/>
    <s v="SIM"/>
    <m/>
    <m/>
    <m/>
  </r>
  <r>
    <n v="2486244000151"/>
    <x v="1"/>
    <m/>
    <s v="DROGA MERY"/>
    <s v="SINOP"/>
    <x v="0"/>
    <s v="INDEPENDENTES VIN"/>
    <s v="SELL IN"/>
    <s v="847010605 - ISABELA CAMILA CRUCCITTI"/>
    <n v="1264.3495935857127"/>
    <n v="1070"/>
    <n v="0.84628492422373891"/>
    <n v="0"/>
    <n v="0"/>
    <s v="FORA SCANN"/>
    <s v="Não"/>
    <s v="SIM"/>
    <s v="Não Comprou"/>
    <s v="NÃO"/>
    <m/>
    <m/>
    <m/>
  </r>
  <r>
    <n v="9583797000171"/>
    <x v="1"/>
    <m/>
    <s v="DROGARIA SEIS IRMAOS"/>
    <s v="PONTAL DO ARAGUAIA"/>
    <x v="0"/>
    <s v="INDEPENDENTES VIN"/>
    <s v="SELL IN"/>
    <s v="847010606 - PRICILA MOREIRA DOS SANTOS"/>
    <n v="1812.9252878222344"/>
    <n v="678.68999999999994"/>
    <n v="0.37436181433338173"/>
    <n v="0"/>
    <n v="0"/>
    <s v="FORA SCANN"/>
    <s v="Não"/>
    <s v="NÃO"/>
    <s v="Não Comprou"/>
    <s v="NÃO"/>
    <m/>
    <m/>
    <m/>
  </r>
  <r>
    <n v="10601751000117"/>
    <x v="1"/>
    <m/>
    <s v="DROGAFARMA"/>
    <s v="BARRA DO GARCAS"/>
    <x v="0"/>
    <s v="MASTERFARMA"/>
    <s v="SELL IN"/>
    <s v="847010606 - PRICILA MOREIRA DOS SANTOS"/>
    <n v="1128.9536104933238"/>
    <n v="780.78"/>
    <n v="0.6915961760898387"/>
    <n v="415.42"/>
    <n v="0.36796906103030408"/>
    <s v="ATIVO"/>
    <s v="Sim"/>
    <s v="NÃO"/>
    <s v="Comprou Marcas"/>
    <s v="NÃO"/>
    <m/>
    <m/>
    <m/>
  </r>
  <r>
    <n v="7629833000165"/>
    <x v="1"/>
    <n v="1187"/>
    <s v="DROGAVIDA CENTRO"/>
    <s v="LUCAS DO RIO VERDE"/>
    <x v="0"/>
    <s v="HIPER SAUDE"/>
    <s v="SELL IN"/>
    <s v="847010605 - ISABELA CAMILA CRUCCITTI"/>
    <n v="19851.46687880898"/>
    <n v="13927.799999999997"/>
    <n v="0.70160054594593357"/>
    <n v="9905.9399999999969"/>
    <n v="0.49900292308244371"/>
    <s v="ATIVO"/>
    <s v="Não"/>
    <s v="NÃO"/>
    <s v="Comprou Marcas"/>
    <s v="SIM"/>
    <n v="7"/>
    <m/>
    <n v="3"/>
  </r>
  <r>
    <n v="8856967000262"/>
    <x v="1"/>
    <m/>
    <s v="FARMACIA ECONOMIZE SINOP"/>
    <s v="SINOP"/>
    <x v="0"/>
    <s v="ECONOMIZE RONDONOPOLIS"/>
    <s v="SELL IN"/>
    <s v="847010605 - ISABELA CAMILA CRUCCITTI"/>
    <n v="12190.035751001749"/>
    <n v="5291.68"/>
    <n v="0.43409880890342278"/>
    <n v="0"/>
    <n v="0"/>
    <s v="FORA SCANN"/>
    <s v="Não"/>
    <s v="SIM"/>
    <s v="Não Comprou"/>
    <s v="SIM"/>
    <m/>
    <m/>
    <m/>
  </r>
  <r>
    <n v="10341045000850"/>
    <x v="15"/>
    <m/>
    <s v="DROGARIA ULTRAPOPULAR"/>
    <s v="CUIABA"/>
    <x v="0"/>
    <s v="FARMARCAS"/>
    <s v="SELL OUT"/>
    <s v="847010603 - ERIVALDO DA SILVA MACIEL"/>
    <n v="29258.711510638375"/>
    <n v="19494.889999999996"/>
    <n v="0.66629352399580943"/>
    <n v="14582.940000000002"/>
    <n v="0.49841360904418813"/>
    <s v="ATIVO"/>
    <s v="Sim"/>
    <s v="NÃO"/>
    <s v="Comprou Marcas e SG"/>
    <s v="SIM"/>
    <m/>
    <m/>
    <m/>
  </r>
  <r>
    <n v="9516908000127"/>
    <x v="1"/>
    <m/>
    <s v="FARMACIA DO ZENILDO"/>
    <s v="SETE QUEDAS"/>
    <x v="1"/>
    <s v="MASTERFARMA"/>
    <s v="SELL IN"/>
    <s v="847010601 - RAFAEL DE OLIVEIRA NASCIMENTO"/>
    <n v="7418.8857044239403"/>
    <n v="4588.32"/>
    <n v="0.61846484536942636"/>
    <n v="394.44"/>
    <n v="5.3167013984969778E-2"/>
    <s v="TERMO DEVOLVIDO"/>
    <s v="Não"/>
    <s v="SIM"/>
    <s v="Comprou Marcas"/>
    <s v="SIM"/>
    <m/>
    <m/>
    <m/>
  </r>
  <r>
    <n v="9642282000103"/>
    <x v="1"/>
    <m/>
    <s v="DROGA LUZ"/>
    <s v="VARZEA GRANDE"/>
    <x v="0"/>
    <s v="INDEPENDENTES VIN"/>
    <s v="SELL IN"/>
    <s v="847010603 - ERIVALDO DA SILVA MACIEL"/>
    <n v="2142.6724237211588"/>
    <n v="1300"/>
    <n v="0.60671896721492424"/>
    <n v="715.55"/>
    <n v="0.33395212076203001"/>
    <s v="FORA SCANN"/>
    <s v="Não"/>
    <s v="NÃO"/>
    <s v="Comprou Marcas"/>
    <s v="NÃO"/>
    <m/>
    <m/>
    <m/>
  </r>
  <r>
    <n v="28800059000426"/>
    <x v="6"/>
    <m/>
    <s v="SZOCHALEWICZ, VALESSI &amp; CIA"/>
    <s v="CAMPO GRANDE"/>
    <x v="1"/>
    <s v="INDEPENDENTES VIN"/>
    <s v="SELL IN"/>
    <s v="847010602 - WELLINGTON DE MORAIS DO NASCIMENTO"/>
    <n v="6149.503866121624"/>
    <n v="1978.8600000000006"/>
    <n v="0.32179181330412437"/>
    <n v="1518.3500000000004"/>
    <n v="0.24690609731376509"/>
    <s v="ATIVO"/>
    <s v="Sim"/>
    <s v="NÃO"/>
    <s v="Comprou Marcas e SG"/>
    <s v="SIM"/>
    <n v="1"/>
    <m/>
    <n v="1"/>
  </r>
  <r>
    <n v="30539610000129"/>
    <x v="1"/>
    <m/>
    <s v="FARMACIA POUP AQUI"/>
    <s v="ADAMANTINA"/>
    <x v="2"/>
    <s v="REDE POUPE AQUI"/>
    <s v="SELL IN"/>
    <s v="847010607 - MANUEL ARIEDE ARTERO"/>
    <n v="1994.5967163091721"/>
    <n v="1054.49"/>
    <n v="0.5286732858716634"/>
    <n v="0"/>
    <n v="0"/>
    <m/>
    <m/>
    <m/>
    <s v="Comprou SG"/>
    <m/>
    <m/>
    <m/>
    <m/>
  </r>
  <r>
    <n v="50372246000162"/>
    <x v="1"/>
    <m/>
    <s v="FARMACIA + SAUDE"/>
    <s v="TRES LAGOAS"/>
    <x v="1"/>
    <s v="INDEPENDENTES VIN"/>
    <s v="SELL IN"/>
    <s v="847010608 - VALTER PEREIRA DA SILVA JUNIOR"/>
    <n v="9645.7729785457304"/>
    <n v="4772.1099999999997"/>
    <n v="0.49473588178098288"/>
    <n v="0"/>
    <n v="0"/>
    <s v="FORA SCANN"/>
    <s v="Não"/>
    <s v="NÃO"/>
    <s v="Não Comprou"/>
    <s v="NÃO"/>
    <m/>
    <m/>
    <m/>
  </r>
  <r>
    <n v="52390785000150"/>
    <x v="1"/>
    <m/>
    <s v="DROGARIAS FL DO LUIZINHO"/>
    <s v="CAMPO GRANDE"/>
    <x v="1"/>
    <s v="ASSOCIADAS"/>
    <s v="SELL IN"/>
    <s v="847010602 - WELLINGTON DE MORAIS DO NASCIMENTO"/>
    <n v="2727.78428409252"/>
    <n v="464.29999999999995"/>
    <n v="0.17021140663784687"/>
    <n v="0"/>
    <n v="0"/>
    <s v="TERMO DEVOLVIDO"/>
    <s v="Não"/>
    <s v="SIM"/>
    <s v="Não Comprou"/>
    <s v="NÃO"/>
    <m/>
    <m/>
    <m/>
  </r>
  <r>
    <n v="7504369000180"/>
    <x v="1"/>
    <m/>
    <s v="EDU FARMA"/>
    <s v="TANGARA DA SERRA"/>
    <x v="0"/>
    <s v="MASTERFARMA"/>
    <s v="SELL IN"/>
    <s v="847010604 - LEONARDO MAZZUCO"/>
    <n v="1466.3422098845192"/>
    <n v="819.47999999999979"/>
    <n v="0.55885999494247485"/>
    <n v="685.03000000000009"/>
    <n v="0.46716925652297031"/>
    <s v="TERMO DEVOLVIDO"/>
    <s v="Não"/>
    <s v="SIM"/>
    <s v="Comprou Marcas"/>
    <s v="NÃO"/>
    <m/>
    <m/>
    <m/>
  </r>
  <r>
    <n v="42390075000176"/>
    <x v="1"/>
    <m/>
    <s v="DROGARIAS BEM POPULAR BRASIL"/>
    <s v="SINOP"/>
    <x v="0"/>
    <s v="INDEPENDENTES VIN"/>
    <s v="SELL IN"/>
    <s v="847010605 - ISABELA CAMILA CRUCCITTI"/>
    <n v="4245.0260144285321"/>
    <n v="2494.56"/>
    <n v="0.58764304188506111"/>
    <n v="3609.13"/>
    <n v="0.85020209245663791"/>
    <s v="TERMO DEVOLVIDO"/>
    <s v="Não"/>
    <s v="SIM"/>
    <s v="Comprou Marcas e SG"/>
    <s v="NÃO"/>
    <m/>
    <m/>
    <m/>
  </r>
  <r>
    <n v="23350836000111"/>
    <x v="1"/>
    <m/>
    <s v="FARMACIA POPULAR SANTA LUZIA"/>
    <s v="CAMPO GRANDE"/>
    <x v="1"/>
    <s v="MASTERFARMA"/>
    <s v="SELL IN"/>
    <s v="847010602 - WELLINGTON DE MORAIS DO NASCIMENTO"/>
    <n v="2441.9757522904483"/>
    <n v="2631.2799999999993"/>
    <n v="1.0775209366972598"/>
    <n v="2035.4299999999998"/>
    <n v="0.8335176948791857"/>
    <s v="ATIVO"/>
    <s v="Sim"/>
    <s v="NÃO"/>
    <s v="Comprou Marcas"/>
    <s v="SIM"/>
    <m/>
    <m/>
    <m/>
  </r>
  <r>
    <n v="25204663000159"/>
    <x v="1"/>
    <m/>
    <s v="DROGARIA DROGA VIDA"/>
    <s v="PARANATINGA"/>
    <x v="0"/>
    <s v="INDEPENDENTES VIN"/>
    <s v="SELL IN"/>
    <s v="847010606 - PRICILA MOREIRA DOS SANTOS"/>
    <n v="673.67842391553756"/>
    <n v="38.32"/>
    <n v="5.6881738585714853E-2"/>
    <n v="0"/>
    <n v="0"/>
    <s v="FORA SCANN"/>
    <s v="Não"/>
    <s v="NÃO"/>
    <s v="Não Comprou"/>
    <s v="NÃO"/>
    <m/>
    <m/>
    <m/>
  </r>
  <r>
    <n v="64822703000188"/>
    <x v="1"/>
    <m/>
    <s v="DROGAZE"/>
    <s v="DRACENA"/>
    <x v="2"/>
    <s v="HIPER SAUDE"/>
    <s v="SELL IN"/>
    <s v="847010607 - MANUEL ARIEDE ARTERO"/>
    <n v="5136.9330161802745"/>
    <n v="2146.4599999999996"/>
    <n v="0.41784854761374063"/>
    <n v="829.99999999999989"/>
    <n v="0.16157500932670757"/>
    <s v="FORA SCANN"/>
    <s v="Não"/>
    <s v="SIM"/>
    <s v="Comprou Marcas"/>
    <s v="SIM"/>
    <m/>
    <m/>
    <m/>
  </r>
  <r>
    <n v="65892972000183"/>
    <x v="1"/>
    <m/>
    <s v="FARMACIAS MAIS ECONOMICA"/>
    <s v="BARRA DO BUGRES                                   "/>
    <x v="0"/>
    <s v="INDEPENDENTES VIN"/>
    <s v="SELL IN"/>
    <s v="847010604 - LEONARDO MAZZUCO"/>
    <n v="0"/>
    <n v="1887.3600000000001"/>
    <e v="#DIV/0!"/>
    <n v="1724.0500000000002"/>
    <e v="#DIV/0!"/>
    <m/>
    <m/>
    <m/>
    <s v="Comprou Marcas"/>
    <m/>
    <m/>
    <m/>
    <m/>
  </r>
  <r>
    <n v="4834843000497"/>
    <x v="4"/>
    <m/>
    <s v="FARMACIA SANTA CATARINA DE PRESIDENTE PRUDENTE"/>
    <s v="PRESIDENTE BERNARDES"/>
    <x v="2"/>
    <s v="REDE SANTA CATARINA"/>
    <s v="SELL IN"/>
    <s v="847010607 - MANUEL ARIEDE ARTERO"/>
    <n v="22395.194126538547"/>
    <n v="8422.39"/>
    <n v="0.37608024080574398"/>
    <n v="7984.1200000000008"/>
    <n v="0.35651041714073523"/>
    <s v="ATIVO"/>
    <s v="Sim"/>
    <s v="NÃO"/>
    <s v="Comprou Marcas e SG"/>
    <s v="SIM"/>
    <n v="4"/>
    <m/>
    <m/>
  </r>
  <r>
    <n v="1335144000161"/>
    <x v="1"/>
    <m/>
    <s v="DROGARIA BEM POPULAR"/>
    <s v="ARENAPOLIS"/>
    <x v="0"/>
    <s v="INDEPENDENTES VIN"/>
    <s v="SELL IN"/>
    <s v="847010604 - LEONARDO MAZZUCO"/>
    <n v="1091.6200079728317"/>
    <n v="1106.99"/>
    <n v="1.0140799837992258"/>
    <n v="0"/>
    <n v="0"/>
    <s v="FORA SCANN"/>
    <s v="Não"/>
    <s v="NÃO"/>
    <s v="Não Comprou"/>
    <s v="NÃO"/>
    <m/>
    <m/>
    <m/>
  </r>
  <r>
    <n v="1617468000192"/>
    <x v="1"/>
    <m/>
    <s v="DROG OPERARIA"/>
    <s v="RONDONOPOLIS"/>
    <x v="0"/>
    <s v="ASSOCIADAS"/>
    <s v="SELL IN"/>
    <s v="847010603 - ERIVALDO DA SILVA MACIEL"/>
    <n v="2918.8877112051346"/>
    <n v="749.62999999999988"/>
    <n v="0.25682043098893198"/>
    <n v="137.85"/>
    <n v="4.7226893816715285E-2"/>
    <s v="FORA SCANN"/>
    <s v="Não"/>
    <s v="SIM"/>
    <s v="Comprou Marcas"/>
    <s v="NÃO"/>
    <m/>
    <m/>
    <m/>
  </r>
  <r>
    <n v="1897271000154"/>
    <x v="1"/>
    <m/>
    <s v="DROG SAO LUCAS"/>
    <s v="ALTO GARCAS"/>
    <x v="0"/>
    <s v="INDEPENDENTES VIN"/>
    <s v="SELL IN"/>
    <s v="847010606 - PRICILA MOREIRA DOS SANTOS"/>
    <n v="3915.5795682360081"/>
    <n v="1258.5700000000002"/>
    <n v="0.32142623539303877"/>
    <n v="0"/>
    <n v="0"/>
    <s v="FORA SCANN"/>
    <s v="Não"/>
    <s v="SIM"/>
    <s v="Não Comprou"/>
    <s v="NÃO"/>
    <m/>
    <m/>
    <m/>
  </r>
  <r>
    <n v="3381216000132"/>
    <x v="1"/>
    <m/>
    <s v="DROGARIA E CIRURGICA SANTA CECILIA"/>
    <s v="PRESIDENTE VENCESLAU"/>
    <x v="2"/>
    <s v="INDEPENDENTES VIN"/>
    <s v="SELL IN"/>
    <s v="847010607 - MANUEL ARIEDE ARTERO"/>
    <n v="22238.169681854495"/>
    <n v="7658.2699999999995"/>
    <n v="0.34437501420131972"/>
    <n v="955.43"/>
    <n v="4.2963517846506705E-2"/>
    <s v="FORA SCANN"/>
    <s v="Não"/>
    <s v="NÃO"/>
    <s v="Comprou Marcas"/>
    <s v="SIM"/>
    <m/>
    <m/>
    <n v="1"/>
  </r>
  <r>
    <n v="13701031000111"/>
    <x v="1"/>
    <m/>
    <s v="FARMA LIVIA"/>
    <s v="MIRANTE DO PARANAPANEMA"/>
    <x v="2"/>
    <s v="MULTIDROGAS"/>
    <s v="SELL IN"/>
    <s v="847010607 - MANUEL ARIEDE ARTERO"/>
    <n v="5286.2245388239335"/>
    <n v="2151.2799999999997"/>
    <n v="0.40695963332624752"/>
    <n v="1977.07"/>
    <n v="0.37400416601294306"/>
    <s v="TERMO DEVOLVIDO"/>
    <s v="Não"/>
    <s v="NÃO"/>
    <s v="Comprou Marcas"/>
    <s v="NÃO"/>
    <m/>
    <m/>
    <m/>
  </r>
  <r>
    <n v="15487866000146"/>
    <x v="1"/>
    <m/>
    <s v="DROGARIAS BEM POPULAR BRASIL"/>
    <s v="MARACAJU"/>
    <x v="1"/>
    <s v="COMPRE BEM"/>
    <s v="SELL IN"/>
    <s v="847010601 - RAFAEL DE OLIVEIRA NASCIMENTO"/>
    <n v="1097.1536036417885"/>
    <n v="0"/>
    <n v="0"/>
    <n v="0"/>
    <n v="0"/>
    <s v="FILA DE ATIVAÇÃO"/>
    <s v="Não"/>
    <s v="NÃO"/>
    <s v="Não Comprou"/>
    <s v="SIM"/>
    <m/>
    <m/>
    <m/>
  </r>
  <r>
    <n v="17334086000191"/>
    <x v="1"/>
    <m/>
    <s v="DROGARIA VITORIA"/>
    <s v="COMODORO"/>
    <x v="0"/>
    <s v="INDEPENDENTES VIN"/>
    <s v="SELL IN"/>
    <s v="847010604 - LEONARDO MAZZUCO"/>
    <n v="2783.0571639598447"/>
    <n v="585.99"/>
    <n v="0.2105562212621713"/>
    <n v="312.08"/>
    <n v="0.11213567728373934"/>
    <s v="FORA SCANN"/>
    <s v="Não"/>
    <s v="NÃO"/>
    <s v="Comprou Marcas"/>
    <s v="NÃO"/>
    <m/>
    <m/>
    <m/>
  </r>
  <r>
    <n v="9039622000106"/>
    <x v="18"/>
    <n v="1167"/>
    <s v="DROGARIA NEBRASCA 24H"/>
    <s v="SORRISO"/>
    <x v="0"/>
    <s v="HIPER SAUDE"/>
    <s v="SELL IN"/>
    <s v="847010605 - ISABELA CAMILA CRUCCITTI"/>
    <n v="25029.998455836201"/>
    <n v="8103.6799999999976"/>
    <n v="0.32375870954600383"/>
    <n v="14929.930000000004"/>
    <n v="0.59648145909169314"/>
    <s v="ATIVO"/>
    <s v="Não"/>
    <s v="NÃO"/>
    <s v="Comprou Marcas e SG"/>
    <s v="SIM"/>
    <n v="4"/>
    <m/>
    <m/>
  </r>
  <r>
    <n v="10341045001740"/>
    <x v="15"/>
    <m/>
    <s v="DROGARIA ULTRAPOPULAR"/>
    <s v="SORRISO"/>
    <x v="0"/>
    <s v="FARMARCAS"/>
    <s v="SELL OUT"/>
    <s v="847010605 - ISABELA CAMILA CRUCCITTI"/>
    <n v="6053.7827090981837"/>
    <n v="2496.46"/>
    <n v="0.41238017946169253"/>
    <n v="1915.5700000000002"/>
    <n v="0.3164252983710672"/>
    <s v="ATIVO"/>
    <s v="Sim"/>
    <s v="NÃO"/>
    <s v="Comprou Marcas e SG"/>
    <s v="SIM"/>
    <m/>
    <m/>
    <m/>
  </r>
  <r>
    <n v="14913432000106"/>
    <x v="1"/>
    <m/>
    <s v="DROGARIA BOM PASTOR"/>
    <s v="JUINA"/>
    <x v="0"/>
    <s v="MASTERFARMA"/>
    <s v="SELL IN"/>
    <s v="847010604 - LEONARDO MAZZUCO"/>
    <n v="5000.8761288276373"/>
    <n v="2031.9799999999996"/>
    <n v="0.40632480142561733"/>
    <n v="1055.32"/>
    <n v="0.21102702262841294"/>
    <s v="NÃO HOMOLOGADO"/>
    <s v="Não"/>
    <s v="NÃO"/>
    <s v="Comprou Marcas"/>
    <s v="NÃO"/>
    <m/>
    <m/>
    <m/>
  </r>
  <r>
    <n v="15247037000196"/>
    <x v="1"/>
    <m/>
    <s v="DROGARIA LOCATELLI"/>
    <s v="TRES LAGOAS"/>
    <x v="1"/>
    <s v="INDEPENDENTES VIN"/>
    <s v="SELL IN"/>
    <s v="847010608 - VALTER PEREIRA DA SILVA JUNIOR"/>
    <n v="4346.4745345577521"/>
    <n v="2478.0099999999998"/>
    <n v="0.57011952567487756"/>
    <n v="1009.88"/>
    <n v="0.23234462596540989"/>
    <s v="FORA SCANN"/>
    <s v="Não"/>
    <s v="NÃO"/>
    <s v="Comprou Marcas"/>
    <s v="NÃO"/>
    <m/>
    <m/>
    <m/>
  </r>
  <r>
    <n v="15558177000347"/>
    <x v="1"/>
    <m/>
    <s v="FARMACIA DO POLACO"/>
    <s v="COLIDER"/>
    <x v="0"/>
    <s v="INDEPENDENTES VIN"/>
    <s v="SELL IN"/>
    <s v="847010605 - ISABELA CAMILA CRUCCITTI"/>
    <n v="3416.2383220327847"/>
    <n v="1402.65"/>
    <n v="0.41058318178615033"/>
    <n v="2037.4900000000002"/>
    <n v="0.59641330842153317"/>
    <s v="FORA SCANN"/>
    <s v="Não"/>
    <s v="NÃO"/>
    <s v="Comprou Marcas"/>
    <s v="SIM"/>
    <n v="2"/>
    <m/>
    <m/>
  </r>
  <r>
    <n v="17684597000214"/>
    <x v="1"/>
    <m/>
    <s v="PRAMYM DROGARIAS"/>
    <s v="CUIABA"/>
    <x v="0"/>
    <s v="ASSOCIADAS"/>
    <s v="SELL IN"/>
    <s v="847010603 - ERIVALDO DA SILVA MACIEL"/>
    <n v="2129.2709976619831"/>
    <n v="1878.63"/>
    <n v="0.88228788259587632"/>
    <n v="1584.66"/>
    <n v="0.74422654595869397"/>
    <s v="ATIVO"/>
    <s v="Não"/>
    <s v="NÃO"/>
    <s v="Comprou Marcas"/>
    <s v="NÃO"/>
    <m/>
    <m/>
    <m/>
  </r>
  <r>
    <n v="17858710000150"/>
    <x v="1"/>
    <m/>
    <s v="DROGARIA NOVAPHARMA"/>
    <s v="CUIABA"/>
    <x v="0"/>
    <s v="MASTERFARMA"/>
    <s v="SELL IN"/>
    <s v="847010603 - ERIVALDO DA SILVA MACIEL"/>
    <n v="6937.1967415605977"/>
    <n v="75.180000000000007"/>
    <n v="1.0837230483834807E-2"/>
    <n v="0"/>
    <n v="0"/>
    <m/>
    <m/>
    <m/>
    <s v="Não Comprou"/>
    <m/>
    <m/>
    <m/>
    <m/>
  </r>
  <r>
    <n v="18346337000110"/>
    <x v="1"/>
    <m/>
    <s v="DROGARIA SANTA LUZIA"/>
    <s v="JUINA"/>
    <x v="0"/>
    <s v="ECONOMIZE RONDONOPOLIS"/>
    <s v="SELL IN"/>
    <s v="847010604 - LEONARDO MAZZUCO"/>
    <n v="2198.2507449607606"/>
    <n v="1168.47"/>
    <n v="0.53154536746027925"/>
    <n v="936.12999999999988"/>
    <n v="0.42585223826079499"/>
    <s v="FORA SCANN"/>
    <s v="Não"/>
    <s v="SIM"/>
    <s v="Comprou Marcas"/>
    <s v="SIM"/>
    <n v="1"/>
    <m/>
    <m/>
  </r>
  <r>
    <n v="10341045002470"/>
    <x v="15"/>
    <m/>
    <s v="DROGARIA DMD"/>
    <s v="CUIABA"/>
    <x v="0"/>
    <s v="FARMARCAS"/>
    <s v="SELL OUT"/>
    <s v="847010603 - ERIVALDO DA SILVA MACIEL"/>
    <n v="18736.063477131851"/>
    <n v="12918.280000000008"/>
    <n v="0.68948741638110422"/>
    <n v="7078.25"/>
    <n v="0.37778746899738574"/>
    <s v="ATIVO"/>
    <s v="Sim"/>
    <s v="NÃO"/>
    <s v="Comprou Marcas e SG"/>
    <s v="SIM"/>
    <m/>
    <m/>
    <m/>
  </r>
  <r>
    <n v="20947414000130"/>
    <x v="1"/>
    <n v="148175"/>
    <s v="ESPACO FARMACIA SAUDE"/>
    <s v="DOURADOS"/>
    <x v="1"/>
    <s v="FARMA &amp; FARMA"/>
    <s v="SELL IN"/>
    <s v="847010601 - RAFAEL DE OLIVEIRA NASCIMENTO"/>
    <n v="8351.0089165443624"/>
    <n v="2196.0700000000006"/>
    <n v="0.26297062090896817"/>
    <n v="1489.8"/>
    <n v="0.17839760619205247"/>
    <s v="ATIVO"/>
    <s v="Sim"/>
    <s v="NÃO"/>
    <s v="Comprou Marcas"/>
    <s v="SIM"/>
    <n v="4"/>
    <m/>
    <m/>
  </r>
  <r>
    <n v="44692168001403"/>
    <x v="23"/>
    <m/>
    <s v="CAASP"/>
    <s v="PRESIDENTE PRUDENTE"/>
    <x v="2"/>
    <s v="CAASP"/>
    <s v="SELL IN"/>
    <s v="847010607 - MANUEL ARIEDE ARTERO"/>
    <n v="17515.255346633861"/>
    <n v="6531.97"/>
    <n v="0.37293033248615104"/>
    <n v="2962.66"/>
    <n v="0.1691474055826068"/>
    <s v="FORA SCANN"/>
    <s v="Não"/>
    <s v="NÃO"/>
    <s v="Comprou Marcas"/>
    <s v="SIM"/>
    <m/>
    <m/>
    <m/>
  </r>
  <r>
    <n v="46197707000130"/>
    <x v="1"/>
    <m/>
    <s v="J.F MEDICAMENTOS E PERFUMARIA"/>
    <s v="VARZEA GRANDE"/>
    <x v="0"/>
    <s v="HIPER SAUDE"/>
    <s v="SELL IN"/>
    <s v="847010603 - ERIVALDO DA SILVA MACIEL"/>
    <n v="5683.4407202683742"/>
    <n v="1749.15"/>
    <n v="0.30776251325401432"/>
    <n v="137.85"/>
    <n v="2.4254673671249387E-2"/>
    <s v="FORA SCANN"/>
    <s v="Não"/>
    <s v="NÃO"/>
    <s v="Comprou Marcas"/>
    <s v="NÃO"/>
    <m/>
    <m/>
    <m/>
  </r>
  <r>
    <n v="49133299000141"/>
    <x v="1"/>
    <m/>
    <s v="DROGARIAS BEM POPULAR BRASIL"/>
    <s v="ALTO GARCAS"/>
    <x v="0"/>
    <s v="COMPRE BEM"/>
    <s v="SELL IN"/>
    <s v="847010606 - PRICILA MOREIRA DOS SANTOS"/>
    <n v="2682.9687791279889"/>
    <n v="1271.8900000000001"/>
    <n v="0.47406067856420836"/>
    <n v="0"/>
    <n v="0"/>
    <s v="TERMO DEVOLVIDO"/>
    <s v="Não"/>
    <s v="NÃO"/>
    <s v="Não Comprou"/>
    <s v="SIM"/>
    <m/>
    <m/>
    <m/>
  </r>
  <r>
    <n v="49685257000113"/>
    <x v="1"/>
    <m/>
    <s v="FARMACIA MAIS VIDA"/>
    <s v="CANARANA"/>
    <x v="0"/>
    <s v="INDEPENDENTES VIN"/>
    <s v="SELL IN"/>
    <s v="847010606 - PRICILA MOREIRA DOS SANTOS"/>
    <n v="309.03346224229517"/>
    <n v="198.17000000000002"/>
    <n v="0.64125741776347323"/>
    <n v="0"/>
    <n v="0"/>
    <s v="FORA SCANN"/>
    <s v="Não"/>
    <s v="SIM"/>
    <s v="Não Comprou"/>
    <s v="NÃO"/>
    <m/>
    <m/>
    <m/>
  </r>
  <r>
    <n v="35447691000150"/>
    <x v="1"/>
    <m/>
    <s v="NOVA FARMA"/>
    <s v="TANGARA DA SERRA"/>
    <x v="0"/>
    <s v="INDEPENDENTES VIN"/>
    <s v="SELL IN"/>
    <s v="847010604 - LEONARDO MAZZUCO"/>
    <n v="1134.8618099263647"/>
    <n v="1216.3900000000003"/>
    <n v="1.0718397512018891"/>
    <n v="883.64999999999975"/>
    <n v="0.77864105767849856"/>
    <s v="FORA SCANN"/>
    <s v="Não"/>
    <s v="NÃO"/>
    <s v="Comprou Marcas"/>
    <s v="NÃO"/>
    <m/>
    <m/>
    <m/>
  </r>
  <r>
    <n v="37629799000190"/>
    <x v="1"/>
    <m/>
    <s v="FARMACIA MACHADO"/>
    <s v="ALTA FLORESTA"/>
    <x v="0"/>
    <s v="INDEPENDENTES VIN"/>
    <s v="SELL IN"/>
    <s v="847010605 - ISABELA CAMILA CRUCCITTI"/>
    <n v="7123.2360387340677"/>
    <n v="2894.2700000000004"/>
    <n v="0.40631392589853954"/>
    <n v="1267.42"/>
    <n v="0.17792755892239734"/>
    <s v="FORA SCANN"/>
    <s v="Não"/>
    <s v="NÃO"/>
    <s v="Comprou Marcas"/>
    <s v="SIM"/>
    <m/>
    <m/>
    <m/>
  </r>
  <r>
    <n v="40214024000168"/>
    <x v="1"/>
    <m/>
    <s v="DROGA VITA"/>
    <s v="RIO VERDE DE MATO GROSSO"/>
    <x v="1"/>
    <s v="MASTERFARMA"/>
    <s v="SELL IN"/>
    <s v="847010602 - WELLINGTON DE MORAIS DO NASCIMENTO"/>
    <n v="3692.2095670054127"/>
    <n v="1410.27"/>
    <n v="0.38195827577138514"/>
    <n v="0"/>
    <n v="0"/>
    <s v="TERMO DEVOLVIDO"/>
    <s v="Não"/>
    <s v="SIM"/>
    <s v="Não Comprou"/>
    <s v="NÃO"/>
    <m/>
    <m/>
    <m/>
  </r>
  <r>
    <n v="41677342000128"/>
    <x v="1"/>
    <m/>
    <s v="BIG FARMA POPULAR"/>
    <s v="VARZEA GRANDE"/>
    <x v="0"/>
    <s v="INDEPENDENTES VIN"/>
    <s v="SELL IN"/>
    <s v="847010603 - ERIVALDO DA SILVA MACIEL"/>
    <n v="2990.1799347728629"/>
    <n v="759.51999999999987"/>
    <n v="0.25400478117304126"/>
    <n v="137.85"/>
    <n v="4.6100904630166084E-2"/>
    <s v="FORA SCANN"/>
    <s v="Não"/>
    <s v="NÃO"/>
    <s v="Comprou Marcas"/>
    <s v="NÃO"/>
    <m/>
    <m/>
    <m/>
  </r>
  <r>
    <n v="17373000175"/>
    <x v="1"/>
    <n v="11472"/>
    <s v="FARMACIA SANTA LUCIA"/>
    <s v="DRACENA"/>
    <x v="2"/>
    <s v="INDEPENDENTES VIN"/>
    <s v="SELL IN"/>
    <s v="847010607 - MANUEL ARIEDE ARTERO"/>
    <n v="30464.387678318995"/>
    <n v="15598.259999999998"/>
    <n v="0.51201619952798272"/>
    <n v="13120.169999999993"/>
    <n v="0.43067236862066993"/>
    <s v="FORA SCANN"/>
    <s v="Não"/>
    <s v="NÃO"/>
    <s v="Comprou Marcas"/>
    <s v="SIM"/>
    <n v="4"/>
    <n v="3"/>
    <n v="4"/>
  </r>
  <r>
    <n v="199752000638"/>
    <x v="22"/>
    <m/>
    <s v="FARMACIA ODEON"/>
    <s v="TRES LAGOAS"/>
    <x v="1"/>
    <s v="ODEON"/>
    <s v="SELL IN"/>
    <s v="847010608 - VALTER PEREIRA DA SILVA JUNIOR"/>
    <n v="47675.809770392734"/>
    <n v="26935.769999999997"/>
    <n v="0.56497771363974691"/>
    <n v="17408.429999999997"/>
    <n v="0.36514177910850809"/>
    <s v="ATIVO"/>
    <s v="Sim"/>
    <s v="NÃO"/>
    <s v="Comprou Marcas"/>
    <s v="SIM"/>
    <n v="7"/>
    <m/>
    <m/>
  </r>
  <r>
    <n v="2560437000105"/>
    <x v="1"/>
    <m/>
    <s v="GRUPO MULTIFARMA - UNIDADE PRACA"/>
    <s v="PIRAPOZINHO"/>
    <x v="2"/>
    <s v="GRUPO MF"/>
    <s v="SELL IN"/>
    <s v="847010607 - MANUEL ARIEDE ARTERO"/>
    <n v="7212.0801502890054"/>
    <n v="1947.9100000000003"/>
    <n v="0.27008989908715075"/>
    <n v="922.76"/>
    <n v="0.12794644274204617"/>
    <s v="FORA SCANN"/>
    <s v="Não"/>
    <s v="SIM"/>
    <s v="Comprou Marcas"/>
    <s v="SIM"/>
    <m/>
    <m/>
    <m/>
  </r>
  <r>
    <n v="4201690000106"/>
    <x v="1"/>
    <m/>
    <s v="REDE MARIA S - FARMACIA GLOBO"/>
    <s v="SINOP"/>
    <x v="0"/>
    <s v="INDEPENDENTES VIN"/>
    <s v="SELL IN"/>
    <s v="847010605 - ISABELA CAMILA CRUCCITTI"/>
    <n v="6320.8106042976315"/>
    <n v="2703.6199999999994"/>
    <n v="0.42773311356011207"/>
    <n v="0"/>
    <n v="0"/>
    <s v="FORA SCANN"/>
    <s v="Não"/>
    <s v="NÃO"/>
    <s v="Não Comprou"/>
    <s v="SIM"/>
    <n v="4"/>
    <m/>
    <m/>
  </r>
  <r>
    <n v="1856884000143"/>
    <x v="1"/>
    <m/>
    <s v="DROGARIA CENTRAL"/>
    <s v="RANCHARIA"/>
    <x v="2"/>
    <s v="INDEPENDENTES VIN"/>
    <s v="SELL IN"/>
    <s v="847010607 - MANUEL ARIEDE ARTERO"/>
    <n v="3960.629903817819"/>
    <n v="2416.6799999999998"/>
    <n v="0.61017566869109874"/>
    <n v="920.79000000000008"/>
    <n v="0.23248574655067153"/>
    <s v="TERMO DEVOLVIDO"/>
    <s v="Não"/>
    <s v="SIM"/>
    <s v="Não Comprou"/>
    <s v="SIM"/>
    <m/>
    <m/>
    <m/>
  </r>
  <r>
    <n v="2100833000230"/>
    <x v="1"/>
    <m/>
    <s v="DROGATOP"/>
    <s v="CORUMBA"/>
    <x v="1"/>
    <s v="FARMARCAS"/>
    <s v="SELL OUT"/>
    <s v="847010602 - WELLINGTON DE MORAIS DO NASCIMENTO"/>
    <n v="46280.055044974317"/>
    <n v="34979.749999999985"/>
    <n v="0.75582775271133862"/>
    <n v="12738.140000000005"/>
    <n v="0.27524038136128526"/>
    <s v="ATIVO"/>
    <s v="Sim"/>
    <s v="NÃO"/>
    <s v="Comprou Marcas e SG"/>
    <s v="SIM"/>
    <m/>
    <m/>
    <m/>
  </r>
  <r>
    <n v="10341045002399"/>
    <x v="15"/>
    <m/>
    <s v="DROGARIA ULTRAPOPULAR"/>
    <s v="NOVA MUTUM"/>
    <x v="0"/>
    <s v="FARMARCAS"/>
    <s v="SELL OUT"/>
    <s v="847010604 - LEONARDO MAZZUCO"/>
    <n v="25826.733267431606"/>
    <n v="16119.629999999996"/>
    <n v="0.62414513802747951"/>
    <n v="11295.97"/>
    <n v="0.43737509823763132"/>
    <s v="ATIVO"/>
    <s v="Sim"/>
    <s v="NÃO"/>
    <s v="Comprou Marcas e SG"/>
    <s v="SIM"/>
    <m/>
    <n v="4"/>
    <n v="4"/>
  </r>
  <r>
    <n v="4834843002783"/>
    <x v="4"/>
    <m/>
    <s v="FARMACIA SANTA CATARINA DE PRESIDENTE PRUDENTE"/>
    <s v="PRESIDENTE PRUDENTE"/>
    <x v="2"/>
    <s v="REDE SANTA CATARINA"/>
    <s v="SELL IN"/>
    <s v="847010607 - MANUEL ARIEDE ARTERO"/>
    <n v="3511.8275288576097"/>
    <n v="2218.89"/>
    <n v="0.63183342056715419"/>
    <n v="2665.04"/>
    <n v="0.75887553648368722"/>
    <s v="ATIVO"/>
    <s v="Sim"/>
    <s v="NÃO"/>
    <s v="Comprou Marcas"/>
    <s v="SIM"/>
    <m/>
    <m/>
    <m/>
  </r>
  <r>
    <n v="4834843003240"/>
    <x v="4"/>
    <m/>
    <s v="FARMACIA SANTA CATARINA DE PRESIDENTE PRUDENTE"/>
    <s v="ROSANA"/>
    <x v="2"/>
    <s v="REDE SANTA CATARINA"/>
    <s v="SELL IN"/>
    <s v="847010607 - MANUEL ARIEDE ARTERO"/>
    <n v="3079.9245745104172"/>
    <n v="3698.2500000000009"/>
    <n v="1.2007599246445417"/>
    <n v="2320.84"/>
    <n v="0.75353793375570544"/>
    <s v="ATIVO"/>
    <s v="Sim"/>
    <s v="NÃO"/>
    <s v="Comprou Marcas"/>
    <s v="SIM"/>
    <m/>
    <m/>
    <m/>
  </r>
  <r>
    <n v="4972853000227"/>
    <x v="7"/>
    <m/>
    <s v="FARMACIA MADEIRA"/>
    <s v="SINOP"/>
    <x v="0"/>
    <s v="REDE MADEIRA"/>
    <s v="SELL IN"/>
    <s v="847010605 - ISABELA CAMILA CRUCCITTI"/>
    <n v="16505.7836943976"/>
    <n v="15563.989999999998"/>
    <n v="0.94294159478672523"/>
    <n v="13984.070000000003"/>
    <n v="0.84722241966290168"/>
    <s v="FORA SCANN"/>
    <s v="Não"/>
    <s v="SIM"/>
    <s v="Comprou Marcas e SG"/>
    <s v="SIM"/>
    <n v="4"/>
    <m/>
    <m/>
  </r>
  <r>
    <n v="5112326000205"/>
    <x v="20"/>
    <m/>
    <s v="FARMACIA ROMANA"/>
    <s v="CAARAPO"/>
    <x v="1"/>
    <s v="ASSOCIADAS"/>
    <s v="SELL IN"/>
    <s v="847010601 - RAFAEL DE OLIVEIRA NASCIMENTO"/>
    <n v="1270.6820360678298"/>
    <n v="464.84000000000003"/>
    <n v="0.36581928980318612"/>
    <n v="0"/>
    <n v="0"/>
    <s v="FORA SCANN"/>
    <s v="Não"/>
    <s v="SIM"/>
    <s v="Não Comprou"/>
    <s v="SIM"/>
    <m/>
    <m/>
    <m/>
  </r>
  <r>
    <n v="8087667000428"/>
    <x v="13"/>
    <m/>
    <s v="REDE DE FARMACIAS ECONOMIZAR"/>
    <s v="ALTA FLORESTA"/>
    <x v="0"/>
    <s v="ASSOCIADAS"/>
    <s v="SELL IN"/>
    <s v="847010605 - ISABELA CAMILA CRUCCITTI"/>
    <n v="7820.412843129624"/>
    <n v="2716.0999999999995"/>
    <n v="0.34730903016023545"/>
    <n v="2917.78"/>
    <n v="0.37309795000954754"/>
    <s v="FORA SCANN"/>
    <s v="Não"/>
    <s v="NÃO"/>
    <s v="Comprou Marcas"/>
    <s v="SIM"/>
    <n v="4"/>
    <m/>
    <m/>
  </r>
  <r>
    <n v="8087667000690"/>
    <x v="13"/>
    <m/>
    <s v="REDE DE FARMACIAS ECONOMIZAR"/>
    <s v="SINOP"/>
    <x v="0"/>
    <s v="ASSOCIADAS"/>
    <s v="SELL IN"/>
    <s v="847010605 - ISABELA CAMILA CRUCCITTI"/>
    <n v="10213.031860593921"/>
    <n v="9201.24"/>
    <n v="0.90093129303768937"/>
    <n v="8386.0600000000031"/>
    <n v="0.82111366286409748"/>
    <s v="FORA SCANN"/>
    <s v="Não"/>
    <s v="NÃO"/>
    <s v="Comprou Marcas"/>
    <s v="SIM"/>
    <n v="4"/>
    <m/>
    <m/>
  </r>
  <r>
    <n v="8793169000158"/>
    <x v="1"/>
    <m/>
    <s v="FARMACIA LUZ E VIDA"/>
    <s v="SINOP"/>
    <x v="0"/>
    <s v="MASTERFARMA"/>
    <s v="SELL IN"/>
    <s v="847010605 - ISABELA CAMILA CRUCCITTI"/>
    <n v="1088.5340733600146"/>
    <n v="299"/>
    <n v="0.27468134192351618"/>
    <n v="0"/>
    <n v="0"/>
    <s v="ATIVO"/>
    <s v="Sim"/>
    <s v="NÃO"/>
    <s v="Não Comprou"/>
    <s v="SIM"/>
    <m/>
    <m/>
    <m/>
  </r>
  <r>
    <n v="8984188000161"/>
    <x v="1"/>
    <m/>
    <s v="FCIA FARMASSIST"/>
    <s v="GUIA LOPES DA LAGUNA"/>
    <x v="1"/>
    <s v="HIPER SAUDE"/>
    <s v="SELL IN"/>
    <s v="847010601 - RAFAEL DE OLIVEIRA NASCIMENTO"/>
    <n v="7095.2950331920083"/>
    <n v="4369.1599999999989"/>
    <n v="0.6157827094660524"/>
    <n v="1118.1199999999999"/>
    <n v="0.15758611795131847"/>
    <s v="ATIVO"/>
    <s v="Não"/>
    <s v="NÃO"/>
    <s v="Comprou Marcas e SG"/>
    <s v="SIM"/>
    <m/>
    <m/>
    <m/>
  </r>
  <r>
    <n v="10341045001236"/>
    <x v="15"/>
    <m/>
    <s v="DROGARIA ULTRAPOPULAR"/>
    <s v="CAMPO NOVO DO PARECIS"/>
    <x v="0"/>
    <s v="FARMARCAS"/>
    <s v="SELL OUT"/>
    <s v="847010604 - LEONARDO MAZZUCO"/>
    <n v="11715.237979006672"/>
    <n v="7442.050000000002"/>
    <n v="0.63524531156225039"/>
    <n v="5848.4400000000005"/>
    <n v="0.49921649141743568"/>
    <s v="ATIVO"/>
    <s v="Sim"/>
    <s v="NÃO"/>
    <s v="Comprou Marcas e SG"/>
    <s v="SIM"/>
    <n v="3"/>
    <n v="1"/>
    <m/>
  </r>
  <r>
    <n v="9539583000106"/>
    <x v="1"/>
    <n v="148178"/>
    <s v="FARMACIA FLOR DE MAIO"/>
    <s v="SINOP"/>
    <x v="0"/>
    <s v="INDEPENDENTES VIN"/>
    <s v="SELL IN"/>
    <s v="847010605 - ISABELA CAMILA CRUCCITTI"/>
    <n v="10190.486830563277"/>
    <n v="760.54"/>
    <n v="7.4632351981358799E-2"/>
    <n v="0"/>
    <n v="0"/>
    <s v="ATIVO"/>
    <s v="Sim"/>
    <s v="NÃO"/>
    <s v="Não Comprou"/>
    <s v="SIM"/>
    <m/>
    <m/>
    <m/>
  </r>
  <r>
    <n v="9652569000106"/>
    <x v="1"/>
    <m/>
    <s v="FARMACIA FARMAVIDA"/>
    <s v="MUNDO NOVO"/>
    <x v="1"/>
    <s v="HIPER SAUDE"/>
    <s v="SELL IN"/>
    <s v="847010601 - RAFAEL DE OLIVEIRA NASCIMENTO"/>
    <n v="3203.6849446255328"/>
    <n v="4934.6899999999996"/>
    <n v="1.5403168804967486"/>
    <n v="2893.6899999999996"/>
    <n v="0.90323800561426071"/>
    <s v="ATIVO"/>
    <s v="Não"/>
    <s v="NÃO"/>
    <s v="Comprou Marcas"/>
    <s v="SIM"/>
    <m/>
    <m/>
    <m/>
  </r>
  <r>
    <n v="10299122000184"/>
    <x v="1"/>
    <m/>
    <s v="FARMACIA UNIVERSAL"/>
    <s v="COXIM"/>
    <x v="1"/>
    <s v="INDEPENDENTES VIN"/>
    <s v="SELL IN"/>
    <s v="847010602 - WELLINGTON DE MORAIS DO NASCIMENTO"/>
    <n v="8040.6225288025962"/>
    <n v="4965.68"/>
    <n v="0.61757407243186258"/>
    <n v="548.76"/>
    <n v="6.8248446937319532E-2"/>
    <s v="FORA SCANN"/>
    <s v="Não"/>
    <s v="NÃO"/>
    <s v="Comprou Marcas"/>
    <s v="SIM"/>
    <n v="4"/>
    <m/>
    <n v="2"/>
  </r>
  <r>
    <n v="10322682000102"/>
    <x v="1"/>
    <m/>
    <s v="DROGARIA SAO JOAO"/>
    <s v="DOURADOS"/>
    <x v="1"/>
    <s v="ASSOCIADAS"/>
    <s v="SELL IN"/>
    <s v="847010601 - RAFAEL DE OLIVEIRA NASCIMENTO"/>
    <n v="2180.574859813878"/>
    <n v="1531.2600000000002"/>
    <n v="0.7022276685931802"/>
    <n v="819.7700000000001"/>
    <n v="0.37594214952563987"/>
    <s v="FORA SCANN"/>
    <s v="Não"/>
    <s v="NÃO"/>
    <s v="Comprou Marcas"/>
    <s v="NÃO"/>
    <m/>
    <m/>
    <m/>
  </r>
  <r>
    <n v="10341045001589"/>
    <x v="15"/>
    <m/>
    <s v="DROGARIA ULTRAPOPULAR"/>
    <s v="JUINA"/>
    <x v="0"/>
    <s v="FARMARCAS"/>
    <s v="SELL OUT"/>
    <s v="847010604 - LEONARDO MAZZUCO"/>
    <n v="2960.1982748918272"/>
    <n v="1680.3700000000003"/>
    <n v="0.5676545433637904"/>
    <n v="1996.3400000000001"/>
    <n v="0.67439401506743712"/>
    <s v="ATIVO"/>
    <s v="Sim"/>
    <s v="NÃO"/>
    <s v="Comprou Marcas e SG"/>
    <s v="SIM"/>
    <m/>
    <m/>
    <m/>
  </r>
  <r>
    <n v="11210256000140"/>
    <x v="1"/>
    <m/>
    <s v="DROGA MASTER"/>
    <s v="COMODORO"/>
    <x v="0"/>
    <s v="HIPER SAUDE"/>
    <s v="SELL IN"/>
    <s v="847010604 - LEONARDO MAZZUCO"/>
    <n v="2766.1220977640387"/>
    <n v="2008.8900000000003"/>
    <n v="0.72624776817475345"/>
    <n v="1143.3500000000004"/>
    <n v="0.4133403948163436"/>
    <s v="ATIVO"/>
    <s v="Não"/>
    <s v="NÃO"/>
    <s v="Comprou Marcas"/>
    <s v="SIM"/>
    <m/>
    <m/>
    <m/>
  </r>
  <r>
    <n v="11740637000130"/>
    <x v="1"/>
    <m/>
    <s v="MOREIRA FARMA"/>
    <s v="JUINA"/>
    <x v="0"/>
    <s v="ASFAR FARMACIAS"/>
    <s v="SELL IN"/>
    <s v="847010604 - LEONARDO MAZZUCO"/>
    <n v="5702.1742904174935"/>
    <n v="2925.4999999999995"/>
    <n v="0.51304990885955615"/>
    <n v="1637.7"/>
    <n v="0.28720623337525047"/>
    <s v="ATIVO"/>
    <s v="Sim"/>
    <s v="NÃO"/>
    <s v="Comprou Marcas"/>
    <s v="SIM"/>
    <m/>
    <m/>
    <m/>
  </r>
  <r>
    <n v="11751725000138"/>
    <x v="1"/>
    <m/>
    <s v="FARMA VIDA"/>
    <s v="INDIANA"/>
    <x v="2"/>
    <s v="BIODROGAS"/>
    <s v="SELL IN"/>
    <s v="847010607 - MANUEL ARIEDE ARTERO"/>
    <n v="1548.3511081432562"/>
    <n v="940.03999999999985"/>
    <n v="0.60712327782506148"/>
    <n v="80.010000000000005"/>
    <n v="5.167432604866088E-2"/>
    <s v="FORA SCANN"/>
    <s v="Não"/>
    <s v="SIM"/>
    <s v="Comprou Marcas"/>
    <s v="SIM"/>
    <m/>
    <m/>
    <m/>
  </r>
  <r>
    <n v="5778971000180"/>
    <x v="1"/>
    <m/>
    <s v="FARMACIA UNIFARMA"/>
    <s v="IVINHEMA"/>
    <x v="1"/>
    <s v="MULTIDROGAS"/>
    <s v="SELL IN"/>
    <s v="847010601 - RAFAEL DE OLIVEIRA NASCIMENTO"/>
    <n v="5359.3023038463252"/>
    <n v="3602.64"/>
    <n v="0.6722218295867386"/>
    <n v="1530.0300000000002"/>
    <n v="0.28549051970849093"/>
    <m/>
    <m/>
    <m/>
    <s v="Comprou Marcas"/>
    <m/>
    <m/>
    <m/>
    <m/>
  </r>
  <r>
    <n v="24920461000221"/>
    <x v="1"/>
    <m/>
    <s v="FARMACIAS POPULAR BAIRRO"/>
    <s v="NOVA MUTUM"/>
    <x v="0"/>
    <s v="ECONOMIZE RONDONOPOLIS"/>
    <s v="SELL IN"/>
    <s v="847010604 - LEONARDO MAZZUCO"/>
    <n v="3494.1720957151979"/>
    <n v="3182.74"/>
    <n v="0.91087099112917236"/>
    <n v="3129.3400000000006"/>
    <n v="0.89558840099416392"/>
    <s v="TERMO DEVOLVIDO"/>
    <s v="Não"/>
    <s v="SIM"/>
    <s v="Comprou Marcas"/>
    <s v="SIM"/>
    <m/>
    <m/>
    <m/>
  </r>
  <r>
    <n v="27127481000157"/>
    <x v="1"/>
    <m/>
    <s v="INOVA FARMA"/>
    <s v="TANGARA DA SERRA"/>
    <x v="0"/>
    <s v="INDEPENDENTES VIN"/>
    <s v="SELL IN"/>
    <s v="847010604 - LEONARDO MAZZUCO"/>
    <n v="1547.4911264007335"/>
    <n v="1131"/>
    <n v="0.73086041057344309"/>
    <n v="679.21"/>
    <n v="0.43891043277240344"/>
    <s v="ATIVO"/>
    <s v="Sim"/>
    <s v="NÃO"/>
    <s v="Comprou Marcas"/>
    <s v="SIM"/>
    <m/>
    <m/>
    <m/>
  </r>
  <r>
    <n v="29303719000183"/>
    <x v="1"/>
    <m/>
    <s v="DROGARIA PLANALTO"/>
    <s v="AGUA BOA"/>
    <x v="0"/>
    <s v="COMPRE BEM"/>
    <s v="SELL IN"/>
    <s v="847010606 - PRICILA MOREIRA DOS SANTOS"/>
    <n v="11465.885875812684"/>
    <n v="5866.6599999999962"/>
    <n v="0.51166216579703894"/>
    <n v="0"/>
    <n v="0"/>
    <s v="ATIVO"/>
    <s v="Não"/>
    <s v="NÃO"/>
    <s v="Não Comprou"/>
    <s v="SIM"/>
    <m/>
    <m/>
    <m/>
  </r>
  <r>
    <n v="30425108000278"/>
    <x v="1"/>
    <m/>
    <s v="IORI FARMA"/>
    <s v="SINOP"/>
    <x v="0"/>
    <s v="INDEPENDENTES VIN"/>
    <s v="SELL IN"/>
    <s v="847010605 - ISABELA CAMILA CRUCCITTI"/>
    <n v="1859.0493759993726"/>
    <n v="366.51"/>
    <n v="0.19714914769435563"/>
    <n v="0"/>
    <n v="0"/>
    <s v="FORA SCANN"/>
    <s v="Não"/>
    <s v="NÃO"/>
    <s v="Não Comprou"/>
    <s v="NÃO"/>
    <m/>
    <m/>
    <m/>
  </r>
  <r>
    <n v="30879844000115"/>
    <x v="1"/>
    <m/>
    <s v="FARMACIA PRO SAUDE"/>
    <s v="CAARAPO"/>
    <x v="1"/>
    <s v="ECONOMIZE RONDONOPOLIS"/>
    <s v="SELL IN"/>
    <s v="847010601 - RAFAEL DE OLIVEIRA NASCIMENTO"/>
    <n v="6184.4495874559698"/>
    <n v="5912.5199999999995"/>
    <n v="0.9560301068655277"/>
    <n v="0"/>
    <n v="0"/>
    <s v="TERMO DEVOLVIDO"/>
    <s v="Não"/>
    <s v="SIM"/>
    <s v="Não Comprou"/>
    <s v="SIM"/>
    <m/>
    <m/>
    <m/>
  </r>
  <r>
    <n v="18666741000171"/>
    <x v="1"/>
    <m/>
    <s v="DROGARIA ULTRA POPULAR PENAPOLIS"/>
    <s v="PENAPOLIS"/>
    <x v="2"/>
    <s v="FARMARCAS"/>
    <s v="SELL OUT"/>
    <s v="847010608 - VALTER PEREIRA DA SILVA JUNIOR"/>
    <n v="45417.124825951039"/>
    <n v="28272.699999999993"/>
    <n v="0.62251188529321355"/>
    <n v="4746.67"/>
    <n v="0.10451278054677263"/>
    <s v="ATIVO"/>
    <s v="Sim"/>
    <s v="NÃO"/>
    <s v="Comprou Marcas e SG"/>
    <s v="SIM"/>
    <m/>
    <m/>
    <n v="4"/>
  </r>
  <r>
    <n v="20103913000140"/>
    <x v="24"/>
    <m/>
    <s v="DROGARIA ULTRA NACIONAL"/>
    <s v="PONTES E LACERDA"/>
    <x v="0"/>
    <s v="ASSOCIADAS"/>
    <s v="SELL IN"/>
    <s v="847010603 - ERIVALDO DA SILVA MACIEL"/>
    <n v="14437.915320429169"/>
    <n v="8529.6499999999978"/>
    <n v="0.59078127352158849"/>
    <n v="8600.1500000000015"/>
    <n v="0.59566424993718281"/>
    <s v="TERMO DEVOLVIDO"/>
    <s v="Não"/>
    <s v="SIM"/>
    <s v="Comprou Marcas"/>
    <s v="SIM"/>
    <m/>
    <m/>
    <m/>
  </r>
  <r>
    <n v="21996240000168"/>
    <x v="1"/>
    <m/>
    <s v="DROGARIA DROGAGIL"/>
    <s v="MARACAJU"/>
    <x v="1"/>
    <s v="ASSOCIADAS"/>
    <s v="SELL IN"/>
    <s v="847010601 - RAFAEL DE OLIVEIRA NASCIMENTO"/>
    <n v="3856.6040082856225"/>
    <n v="1954.5999999999997"/>
    <n v="0.50681895154407586"/>
    <n v="0"/>
    <n v="0"/>
    <s v="FORA SCANN"/>
    <s v="Não"/>
    <s v="NÃO"/>
    <s v="Não Comprou"/>
    <s v="NÃO"/>
    <m/>
    <m/>
    <m/>
  </r>
  <r>
    <n v="23202523000116"/>
    <x v="1"/>
    <m/>
    <s v="FARMACIA DO ADILSON"/>
    <s v="ITIQUIRA"/>
    <x v="0"/>
    <s v="ASSOCIADAS"/>
    <s v="SELL IN"/>
    <s v="847010603 - ERIVALDO DA SILVA MACIEL"/>
    <n v="5262.1658100713994"/>
    <n v="8845.2700000000023"/>
    <n v="1.6809181464922303"/>
    <n v="397.6"/>
    <n v="7.555824243299647E-2"/>
    <s v="FORA SCANN"/>
    <s v="Não"/>
    <s v="SIM"/>
    <s v="Comprou Marcas"/>
    <s v="SIM"/>
    <m/>
    <m/>
    <m/>
  </r>
  <r>
    <n v="6316789000170"/>
    <x v="1"/>
    <n v="144383"/>
    <s v="FCIA SAO JOAO"/>
    <s v="BATAGUASSU"/>
    <x v="1"/>
    <s v="INDEPENDENTES VIN"/>
    <s v="SELL IN"/>
    <s v="847010608 - VALTER PEREIRA DA SILVA JUNIOR"/>
    <n v="8403.1212350498627"/>
    <n v="4716.6499999999996"/>
    <n v="0.56129738796658124"/>
    <n v="2586.3700000000003"/>
    <n v="0.30778682440187993"/>
    <s v="TERMO DEVOLVIDO"/>
    <s v="Não"/>
    <s v="NÃO"/>
    <s v="Não Comprou"/>
    <s v="NÃO"/>
    <n v="1"/>
    <m/>
    <m/>
  </r>
  <r>
    <n v="18768425000100"/>
    <x v="1"/>
    <m/>
    <s v="FARMACIA SAO JOSE"/>
    <s v="COSTA RICA"/>
    <x v="1"/>
    <s v="ASSOCIADAS"/>
    <s v="SELL IN"/>
    <s v="847010608 - VALTER PEREIRA DA SILVA JUNIOR"/>
    <n v="6342.2397267567158"/>
    <n v="3338.6499999999996"/>
    <n v="0.52641498017094235"/>
    <n v="347.36"/>
    <n v="5.4769295227765288E-2"/>
    <s v="FORA SCANN"/>
    <s v="Não"/>
    <s v="SIM"/>
    <s v="Comprou Marcas"/>
    <s v="NÃO"/>
    <m/>
    <m/>
    <m/>
  </r>
  <r>
    <n v="18806193000804"/>
    <x v="25"/>
    <m/>
    <s v="FARMACIA ULTRA POPULAR"/>
    <s v="BARRA DO BUGRES"/>
    <x v="0"/>
    <s v="FARMARCAS"/>
    <s v="SELL OUT"/>
    <s v="847010604 - LEONARDO MAZZUCO"/>
    <n v="3431.4690837549947"/>
    <n v="2299.3299999999995"/>
    <n v="0.67007160603174787"/>
    <n v="2604.7999999999993"/>
    <n v="0.75909178734305061"/>
    <s v="ATIVO"/>
    <s v="Sim"/>
    <s v="SIM"/>
    <s v="Comprou Marcas"/>
    <s v="SIM"/>
    <m/>
    <m/>
    <m/>
  </r>
  <r>
    <n v="72834815000187"/>
    <x v="1"/>
    <m/>
    <s v="FARMACIA SANTA LUCIA"/>
    <s v="VALPARAISO"/>
    <x v="2"/>
    <s v="DROGARIA TOTAL"/>
    <s v="SELL IN"/>
    <s v="847010608 - VALTER PEREIRA DA SILVA JUNIOR"/>
    <n v="10827.032305813114"/>
    <n v="6229.87"/>
    <n v="0.57539959464747659"/>
    <n v="735.53"/>
    <n v="6.7934589943459245E-2"/>
    <s v="ATIVO"/>
    <s v="Sim"/>
    <s v="NÃO"/>
    <s v="Comprou Marcas"/>
    <s v="SIM"/>
    <m/>
    <m/>
    <m/>
  </r>
  <r>
    <n v="24415425000120"/>
    <x v="1"/>
    <m/>
    <s v="FARMACIA MEGA POPULAR"/>
    <s v="DOURADOS"/>
    <x v="1"/>
    <s v="MASTERFARMA"/>
    <s v="SELL IN"/>
    <s v="847010601 - RAFAEL DE OLIVEIRA NASCIMENTO"/>
    <n v="2887.6871051180997"/>
    <n v="1308.0899999999999"/>
    <n v="0.4529888289079374"/>
    <n v="206.86"/>
    <n v="7.1635185000952492E-2"/>
    <s v="TERMO DEVOLVIDO"/>
    <s v="Não"/>
    <s v="NÃO"/>
    <s v="Comprou Marcas"/>
    <s v="NÃO"/>
    <m/>
    <m/>
    <m/>
  </r>
  <r>
    <n v="18806193000561"/>
    <x v="25"/>
    <m/>
    <s v="FARMACIA ULTRA POPULAR"/>
    <s v="TANGARA DA SERRA"/>
    <x v="0"/>
    <s v="FARMARCAS"/>
    <s v="SELL OUT"/>
    <s v="847010604 - LEONARDO MAZZUCO"/>
    <n v="13050.194415897502"/>
    <n v="7001.76"/>
    <n v="0.5365253403022554"/>
    <n v="7637.2500000000018"/>
    <n v="0.58522116656717749"/>
    <s v="ATIVO"/>
    <s v="Sim"/>
    <s v="SIM"/>
    <s v="Comprou Marcas"/>
    <m/>
    <m/>
    <m/>
    <m/>
  </r>
  <r>
    <n v="18806193000308"/>
    <x v="25"/>
    <m/>
    <s v="FARMACIA ULTRA POPULAR"/>
    <s v="NOVA OLIMPIA"/>
    <x v="0"/>
    <s v="FARMARCAS"/>
    <s v="SELL OUT"/>
    <s v="847010604 - LEONARDO MAZZUCO"/>
    <n v="9580.2576781711359"/>
    <n v="5392.8499999999976"/>
    <n v="0.5629128339927375"/>
    <n v="6967.4499999999989"/>
    <n v="0.7272716699338384"/>
    <s v="ATIVO"/>
    <s v="Sim"/>
    <s v="SIM"/>
    <s v="Comprou Marcas"/>
    <s v="SIM"/>
    <m/>
    <m/>
    <n v="1"/>
  </r>
  <r>
    <n v="27377243000361"/>
    <x v="5"/>
    <m/>
    <s v="DROGARIA TALHAMARES III"/>
    <s v="CACERES"/>
    <x v="0"/>
    <s v="INDEPENDENTES VIN"/>
    <s v="SELL IN"/>
    <s v="847010603 - ERIVALDO DA SILVA MACIEL"/>
    <n v="430.10867727657848"/>
    <n v="415.63"/>
    <n v="0.96633716536886316"/>
    <n v="319.91999999999996"/>
    <n v="0.74381201054978385"/>
    <s v="FORA SCANN"/>
    <s v="Não"/>
    <s v="SIM"/>
    <s v="Comprou Marcas"/>
    <s v="NÃO"/>
    <m/>
    <m/>
    <m/>
  </r>
  <r>
    <n v="59472205000112"/>
    <x v="1"/>
    <m/>
    <s v="FARMACIA SUPER POPULAR"/>
    <s v="SINOP"/>
    <x v="0"/>
    <s v="MASTERFARMA"/>
    <s v="SELL IN"/>
    <s v="847010605 - ISABELA CAMILA CRUCCITTI"/>
    <n v="561.94186596884856"/>
    <n v="368.10999999999996"/>
    <n v="0.6550677610847494"/>
    <n v="0"/>
    <n v="0"/>
    <s v="FORA SCANN"/>
    <s v="Não"/>
    <s v="NÃO"/>
    <s v="Não Comprou"/>
    <s v="NÃO"/>
    <m/>
    <m/>
    <m/>
  </r>
  <r>
    <n v="59824286000172"/>
    <x v="1"/>
    <m/>
    <s v="FARMACIA SAO JOSE"/>
    <s v="DOURADOS"/>
    <x v="1"/>
    <s v="ASSOCIADAS"/>
    <s v="SELL IN"/>
    <s v="847010601 - RAFAEL DE OLIVEIRA NASCIMENTO"/>
    <n v="2465.809779733886"/>
    <n v="1014.03"/>
    <n v="0.41123610115190462"/>
    <n v="195.85000000000002"/>
    <n v="7.9426240259756156E-2"/>
    <s v="TERMO DEVOLVIDO"/>
    <s v="Não"/>
    <s v="SIM"/>
    <s v="Comprou Marcas e SG"/>
    <s v="NÃO"/>
    <m/>
    <m/>
    <m/>
  </r>
  <r>
    <n v="3997842000158"/>
    <x v="1"/>
    <m/>
    <s v="DROGARIA FARMELHOR"/>
    <s v="QUERENCIA"/>
    <x v="0"/>
    <s v="FARMELHOR"/>
    <s v="SELL IN"/>
    <s v="847010606 - PRICILA MOREIRA DOS SANTOS"/>
    <n v="2526.7028194891222"/>
    <n v="2807.2899999999995"/>
    <n v="1.1110487463530079"/>
    <n v="2367.4300000000003"/>
    <n v="0.93696416600297872"/>
    <s v="TERMO DEVOLVIDO"/>
    <s v="Não"/>
    <s v="NÃO"/>
    <s v="Comprou Marcas"/>
    <s v="SIM"/>
    <m/>
    <m/>
    <m/>
  </r>
  <r>
    <n v="4834843002198"/>
    <x v="4"/>
    <m/>
    <s v="FARMACIA SANTA CATARINA DE PRESIDENTE PRUDENTE"/>
    <s v="RINOPOLIS"/>
    <x v="2"/>
    <s v="REDE SANTA CATARINA"/>
    <s v="SELL IN"/>
    <s v="847010607 - MANUEL ARIEDE ARTERO"/>
    <n v="9001.7860464774058"/>
    <n v="5809.4400000000014"/>
    <n v="0.64536526084991341"/>
    <n v="4885.59"/>
    <n v="0.54273562766045047"/>
    <s v="ATIVO"/>
    <s v="Sim"/>
    <s v="NÃO"/>
    <s v="Comprou Marcas"/>
    <s v="SIM"/>
    <m/>
    <m/>
    <m/>
  </r>
  <r>
    <n v="4965393000129"/>
    <x v="1"/>
    <m/>
    <s v="FARMACIA BIOFARMA"/>
    <s v="PRIMAVERA DO LESTE"/>
    <x v="0"/>
    <s v="COMPRE BEM"/>
    <s v="SELL IN"/>
    <s v="847010606 - PRICILA MOREIRA DOS SANTOS"/>
    <n v="15463.061109481445"/>
    <n v="6134.25"/>
    <n v="0.3967034700676878"/>
    <n v="3998.57"/>
    <n v="0.25858851437560493"/>
    <s v="ATIVO"/>
    <s v="Não"/>
    <s v="NÃO"/>
    <s v="Comprou Marcas"/>
    <s v="SIM"/>
    <m/>
    <m/>
    <m/>
  </r>
  <r>
    <n v="3921201000110"/>
    <x v="1"/>
    <m/>
    <s v="FARMAIS TEODORO SAMPAIO"/>
    <s v="TEODORO SAMPAIO"/>
    <x v="2"/>
    <s v="FARMAIS"/>
    <s v="SELL IN"/>
    <s v="847010607 - MANUEL ARIEDE ARTERO"/>
    <n v="25717.510491813617"/>
    <n v="12207.59"/>
    <n v="0.4746800824242266"/>
    <n v="2583.2200000000003"/>
    <n v="0.10044595882724688"/>
    <s v="ATIVO"/>
    <s v="Sim"/>
    <s v="NÃO"/>
    <s v="Comprou Marcas e SG"/>
    <s v="SIM"/>
    <m/>
    <m/>
    <m/>
  </r>
  <r>
    <n v="4276276000158"/>
    <x v="1"/>
    <m/>
    <s v="FARMACIA FLORAL"/>
    <s v="MIRASSOL D'OESTE"/>
    <x v="0"/>
    <s v="INDEPENDENTES VIN"/>
    <s v="SELL IN"/>
    <s v="847010603 - ERIVALDO DA SILVA MACIEL"/>
    <n v="923.02973075871114"/>
    <n v="1218.0600000000002"/>
    <n v="1.3196324662248748"/>
    <n v="0"/>
    <n v="0"/>
    <s v="FORA SCANN"/>
    <s v="Não"/>
    <s v="NÃO"/>
    <s v="Não Comprou"/>
    <s v="SIM"/>
    <m/>
    <m/>
    <m/>
  </r>
  <r>
    <n v="4621137000114"/>
    <x v="1"/>
    <m/>
    <s v="FCIA SANTA ISABEL"/>
    <s v="CAMPO GRANDE"/>
    <x v="1"/>
    <s v="INDEPENDENTES VIN"/>
    <s v="SELL IN"/>
    <s v="847010602 - WELLINGTON DE MORAIS DO NASCIMENTO"/>
    <n v="5700.9677718862386"/>
    <n v="3828.4700000000012"/>
    <n v="0.67154738514392665"/>
    <n v="3266.6400000000003"/>
    <n v="0.57299745073268327"/>
    <s v="FORA SCANN"/>
    <s v="Não"/>
    <s v="SIM"/>
    <s v="Comprou Marcas"/>
    <s v="NÃO"/>
    <m/>
    <m/>
    <m/>
  </r>
  <r>
    <n v="4834843000225"/>
    <x v="4"/>
    <m/>
    <s v="FARMACIA SANTA CATARINA DE PRESIDENTE PRUDENTE"/>
    <s v="PIRAPOZINHO"/>
    <x v="2"/>
    <s v="REDE SANTA CATARINA"/>
    <s v="SELL IN"/>
    <s v="847010607 - MANUEL ARIEDE ARTERO"/>
    <n v="20490.174640322879"/>
    <n v="17292.809999999994"/>
    <n v="0.8439562035732604"/>
    <n v="6625.0800000000017"/>
    <n v="0.32332960144529083"/>
    <s v="ATIVO"/>
    <s v="Sim"/>
    <s v="NÃO"/>
    <s v="Comprou Marcas e SG"/>
    <s v="SIM"/>
    <n v="7"/>
    <m/>
    <n v="12"/>
  </r>
  <r>
    <n v="4834843001892"/>
    <x v="4"/>
    <m/>
    <s v="FARMACIA SANTA CATARINA DE PRESIDENTE PRUDENTE"/>
    <s v="TARUMA"/>
    <x v="2"/>
    <s v="REDE SANTA CATARINA"/>
    <s v="SELL IN"/>
    <s v="847010607 - MANUEL ARIEDE ARTERO"/>
    <n v="9162.9330138946443"/>
    <n v="5818.7700000000013"/>
    <n v="0.63503356307160996"/>
    <n v="4926.92"/>
    <n v="0.5377011915866714"/>
    <s v="ATIVO"/>
    <s v="Sim"/>
    <s v="NÃO"/>
    <s v="Comprou Marcas e SG"/>
    <s v="SIM"/>
    <m/>
    <m/>
    <m/>
  </r>
  <r>
    <n v="7110508000191"/>
    <x v="1"/>
    <m/>
    <s v="FCIA SANTO ANTONIO"/>
    <s v="ITAPORA"/>
    <x v="1"/>
    <s v="INDEPENDENTES VIN"/>
    <s v="SELL IN"/>
    <s v="847010601 - RAFAEL DE OLIVEIRA NASCIMENTO"/>
    <n v="8901.0504926284611"/>
    <n v="2452.48"/>
    <n v="0.27552702931311962"/>
    <n v="197.26999999999998"/>
    <n v="2.216255262941965E-2"/>
    <s v="FORA SCANN"/>
    <s v="Não"/>
    <s v="NÃO"/>
    <s v="Comprou Marcas"/>
    <s v="SIM"/>
    <m/>
    <m/>
    <m/>
  </r>
  <r>
    <n v="7113333000176"/>
    <x v="1"/>
    <m/>
    <s v="DROG SAO LUCAS"/>
    <s v="QUERENCIA"/>
    <x v="0"/>
    <s v="REDE COMPRE CERTO"/>
    <s v="SELL IN"/>
    <s v="847010606 - PRICILA MOREIRA DOS SANTOS"/>
    <n v="2837.2925198814141"/>
    <n v="744.47"/>
    <n v="0.26238746790588779"/>
    <n v="0"/>
    <n v="0"/>
    <s v="FORA SCANN"/>
    <s v="Não"/>
    <s v="NÃO"/>
    <s v="Não Comprou"/>
    <s v="NÃO"/>
    <m/>
    <m/>
    <m/>
  </r>
  <r>
    <n v="18806193000219"/>
    <x v="25"/>
    <m/>
    <s v="FARMACIA ULTRA POPULAR"/>
    <s v="TANGARA DA SERRA"/>
    <x v="0"/>
    <s v="FARMARCAS"/>
    <s v="SELL OUT"/>
    <s v="847010604 - LEONARDO MAZZUCO"/>
    <n v="7056.7358933211126"/>
    <n v="2859.32"/>
    <n v="0.4051901676958351"/>
    <n v="3208.2200000000007"/>
    <n v="0.45463229012671974"/>
    <s v="ATIVO"/>
    <s v="Sim"/>
    <s v="SIM"/>
    <s v="Comprou Marcas"/>
    <s v="SIM"/>
    <m/>
    <m/>
    <m/>
  </r>
  <r>
    <n v="18806193000138"/>
    <x v="25"/>
    <m/>
    <s v="FARMACIA ULTRA POPULAR"/>
    <s v="TANGARA DA SERRA"/>
    <x v="0"/>
    <s v="FARMARCAS"/>
    <s v="SELL OUT"/>
    <s v="847010604 - LEONARDO MAZZUCO"/>
    <n v="14360.382873471581"/>
    <n v="8694.0899999999983"/>
    <n v="0.6054218802244391"/>
    <n v="4271.13"/>
    <n v="0.29742452117277474"/>
    <s v="ATIVO"/>
    <s v="Sim"/>
    <s v="NÃO"/>
    <s v="Comprou Marcas"/>
    <s v="SIM"/>
    <m/>
    <m/>
    <m/>
  </r>
  <r>
    <n v="18806193000995"/>
    <x v="25"/>
    <m/>
    <s v="FARMACIA ULTRA POPULAR"/>
    <s v="BARRA DO BUGRES"/>
    <x v="0"/>
    <s v="FARMARCAS"/>
    <s v="SELL OUT"/>
    <s v="847010604 - LEONARDO MAZZUCO"/>
    <n v="3560.6147015222559"/>
    <n v="2717.3399999999997"/>
    <n v="0.76316597772802142"/>
    <n v="3313.2899999999991"/>
    <n v="0.93053876303534921"/>
    <s v="ATIVO"/>
    <s v="Sim"/>
    <s v="NÃO"/>
    <s v="Comprou Marcas"/>
    <s v="SIM"/>
    <m/>
    <m/>
    <m/>
  </r>
  <r>
    <n v="11109080000134"/>
    <x v="1"/>
    <m/>
    <s v="DROGARIA IGUATEMI"/>
    <s v="IGUATEMI"/>
    <x v="1"/>
    <s v="ASSOCIADAS"/>
    <s v="SELL IN"/>
    <s v="847010601 - RAFAEL DE OLIVEIRA NASCIMENTO"/>
    <n v="7062.1304273527403"/>
    <n v="3976.4899999999993"/>
    <n v="0.56307229679565662"/>
    <n v="2278.8600000000006"/>
    <n v="0.3226873283412634"/>
    <s v="FORA SCANN"/>
    <s v="Não"/>
    <s v="SIM"/>
    <s v="Comprou Marcas e SG"/>
    <s v="SIM"/>
    <m/>
    <m/>
    <m/>
  </r>
  <r>
    <n v="12040504000114"/>
    <x v="4"/>
    <m/>
    <s v="DROGARIA COHAB LTDA ME"/>
    <s v="PRESIDENTE PRUDENTE"/>
    <x v="2"/>
    <s v="REDE SANTA CATARINA"/>
    <s v="SELL IN"/>
    <s v="847010607 - MANUEL ARIEDE ARTERO"/>
    <n v="7697.7983986724203"/>
    <n v="2437.2199999999998"/>
    <n v="0.31661260451044398"/>
    <n v="3057.52"/>
    <n v="0.39719408610743906"/>
    <s v="ATIVO"/>
    <s v="Sim"/>
    <s v="NÃO"/>
    <s v="Comprou Marcas e SG"/>
    <s v="SIM"/>
    <m/>
    <m/>
    <m/>
  </r>
  <r>
    <n v="22155730000102"/>
    <x v="1"/>
    <m/>
    <s v="DROGARIA SANTOS TORRES E OLIVEIRA"/>
    <s v="PRESIDENTE PRUDENTE"/>
    <x v="2"/>
    <s v="INDEPENDENTES VIN"/>
    <s v="SELL IN"/>
    <s v="847010607 - MANUEL ARIEDE ARTERO"/>
    <n v="2306.626504482922"/>
    <n v="2839.2599999999993"/>
    <n v="1.230914495468558"/>
    <n v="2265.6999999999998"/>
    <n v="0.98225698681456164"/>
    <s v="FORA SCANN"/>
    <s v="Não"/>
    <s v="NÃO"/>
    <s v="Comprou Marcas e SG"/>
    <s v="SIM"/>
    <m/>
    <m/>
    <m/>
  </r>
  <r>
    <n v="22646643000140"/>
    <x v="1"/>
    <m/>
    <s v="CENTROFARMA"/>
    <s v="FATIMA DO SUL"/>
    <x v="1"/>
    <s v="INDEPENDENTES VIN"/>
    <s v="SELL IN"/>
    <s v="847010601 - RAFAEL DE OLIVEIRA NASCIMENTO"/>
    <n v="6980.0671972334358"/>
    <n v="4271.3500000000004"/>
    <n v="0.61193536957537586"/>
    <n v="471.01"/>
    <n v="6.7479293062778223E-2"/>
    <s v="FORA SCANN"/>
    <s v="Não"/>
    <s v="NÃO"/>
    <s v="Comprou Marcas"/>
    <s v="SIM"/>
    <m/>
    <m/>
    <m/>
  </r>
  <r>
    <n v="17222004000117"/>
    <x v="1"/>
    <m/>
    <s v="DROGARIA MARE MANSA"/>
    <s v="PRESIDENTE PRUDENTE"/>
    <x v="2"/>
    <s v="DSG FARMA"/>
    <s v="SELL IN"/>
    <s v="847010607 - MANUEL ARIEDE ARTERO"/>
    <n v="2690.5534653886107"/>
    <n v="1213.4000000000001"/>
    <n v="0.45098527704772534"/>
    <n v="0"/>
    <n v="0"/>
    <s v="ATIVO"/>
    <s v="Sim"/>
    <s v="NÃO"/>
    <s v="Não Comprou"/>
    <s v="NÃO"/>
    <m/>
    <m/>
    <m/>
  </r>
  <r>
    <n v="4822740000164"/>
    <x v="1"/>
    <m/>
    <s v="FCIA EDMILSON N SANTOS"/>
    <s v="CAIABU"/>
    <x v="2"/>
    <s v="DSG FARMA"/>
    <s v="SELL IN"/>
    <s v="847010607 - MANUEL ARIEDE ARTERO"/>
    <n v="8404.9924108994819"/>
    <n v="4928.46"/>
    <n v="0.58637292683439413"/>
    <n v="0"/>
    <n v="0"/>
    <s v="FILA DE ATIVAÇÃO"/>
    <s v="Não"/>
    <s v="NÃO"/>
    <s v="Comprou SG"/>
    <s v="SIM"/>
    <m/>
    <m/>
    <m/>
  </r>
  <r>
    <n v="55994018000148"/>
    <x v="1"/>
    <m/>
    <s v="DROGARIA PALMIER"/>
    <s v="SINOP"/>
    <x v="0"/>
    <s v="INDEPENDENTES VIN"/>
    <s v="SELL IN"/>
    <s v="847010605 - ISABELA CAMILA CRUCCITTI"/>
    <n v="2007.8721199121453"/>
    <n v="664.04"/>
    <n v="0.33071827304871143"/>
    <n v="0"/>
    <n v="0"/>
    <s v="FORA SCANN"/>
    <s v="Não"/>
    <s v="NÃO"/>
    <s v="Não Comprou"/>
    <s v="NÃO"/>
    <m/>
    <m/>
    <m/>
  </r>
  <r>
    <n v="56089146000100"/>
    <x v="1"/>
    <m/>
    <s v="DROGARIA VIDA E SAUDE TOTAL UNIDADE LEONOR"/>
    <s v="PRESIDENTE PRUDENTE"/>
    <x v="2"/>
    <s v="DROGARIA TOTAL"/>
    <s v="SELL IN"/>
    <s v="847010607 - MANUEL ARIEDE ARTERO"/>
    <n v="5356.898403668004"/>
    <n v="2264.1500000000005"/>
    <n v="0.42266061989334719"/>
    <n v="0"/>
    <n v="0"/>
    <s v="FORA SCANN"/>
    <s v="Não"/>
    <s v="SIM"/>
    <s v="Comprou SG"/>
    <s v="SIM"/>
    <m/>
    <m/>
    <m/>
  </r>
  <r>
    <n v="51905753000187"/>
    <x v="1"/>
    <m/>
    <s v="FARMACIA POPULAR EM CASA"/>
    <s v="CUIABA"/>
    <x v="0"/>
    <s v="INDEPENDENTES VIN"/>
    <s v="SELL IN"/>
    <s v="847010603 - ERIVALDO DA SILVA MACIEL"/>
    <n v="12611.390676123952"/>
    <n v="6846.1999999999989"/>
    <n v="0.542858450413507"/>
    <n v="0"/>
    <n v="0"/>
    <s v="NÃO HOMOLOGADO"/>
    <s v="Não"/>
    <s v="NÃO"/>
    <s v="Não Comprou"/>
    <s v="SIM"/>
    <n v="3"/>
    <m/>
    <m/>
  </r>
  <r>
    <n v="52950355000226"/>
    <x v="1"/>
    <m/>
    <s v="SUPREMA FARMA SORRISO"/>
    <s v="SORRISO"/>
    <x v="0"/>
    <s v="COMPRE BEM"/>
    <s v="SELL IN"/>
    <s v="847010605 - ISABELA CAMILA CRUCCITTI"/>
    <n v="5282.5820237035086"/>
    <n v="4005.4700000000012"/>
    <n v="0.75824094770834227"/>
    <n v="0"/>
    <n v="0"/>
    <s v="FORA SCANN"/>
    <s v="Não"/>
    <s v="NÃO"/>
    <s v="Não Comprou"/>
    <s v="SIM"/>
    <m/>
    <m/>
    <m/>
  </r>
  <r>
    <n v="64621083000119"/>
    <x v="1"/>
    <m/>
    <s v="FARMACIA MODERNA + POPULAR DOIS"/>
    <s v="CAMPO NOVO DO PARECIS"/>
    <x v="0"/>
    <s v="INDEPENDENTES VIN"/>
    <s v="SELL IN"/>
    <s v="847010604 - LEONARDO MAZZUCO"/>
    <n v="1126.5760623733865"/>
    <n v="1187.6899999999996"/>
    <n v="1.0542475023815638"/>
    <n v="0"/>
    <n v="0"/>
    <s v="FORA SCANN"/>
    <s v="Não"/>
    <s v="NÃO"/>
    <s v="Não Comprou"/>
    <s v="NÃO"/>
    <m/>
    <m/>
    <m/>
  </r>
  <r>
    <n v="52189626000191"/>
    <x v="1"/>
    <m/>
    <s v="FARMABEM"/>
    <s v="CUIABA"/>
    <x v="0"/>
    <s v="INDEPENDENTES VIN"/>
    <s v="SELL IN"/>
    <s v="847010603 - ERIVALDO DA SILVA MACIEL"/>
    <n v="2878.2248885629883"/>
    <n v="1390.59"/>
    <n v="0.48314153821881511"/>
    <n v="0"/>
    <n v="0"/>
    <s v="FORA SCANN"/>
    <s v="Não"/>
    <s v="NÃO"/>
    <s v="Não Comprou"/>
    <s v="SIM"/>
    <n v="4"/>
    <m/>
    <m/>
  </r>
  <r>
    <n v="49560389000119"/>
    <x v="1"/>
    <m/>
    <s v="DROGARIA SAUDE POPULAR"/>
    <s v="CAMPO GRANDE"/>
    <x v="1"/>
    <s v="ASSOCIADAS"/>
    <s v="SELL IN"/>
    <s v="847010602 - WELLINGTON DE MORAIS DO NASCIMENTO"/>
    <n v="2501.0830845813425"/>
    <n v="3277.7400000000002"/>
    <n v="1.3105282348301766"/>
    <n v="2455.46"/>
    <n v="0.98175866892923336"/>
    <s v="FORA SCANN"/>
    <s v="Não"/>
    <s v="NÃO"/>
    <s v="Comprou Marcas"/>
    <s v="NÃO"/>
    <m/>
    <m/>
    <m/>
  </r>
  <r>
    <n v="54593917000176"/>
    <x v="1"/>
    <m/>
    <s v="FARMACIA FAR MED"/>
    <s v="CAMPO GRANDE"/>
    <x v="1"/>
    <s v="INDEPENDENTES VIN"/>
    <s v="SELL IN"/>
    <s v="847010602 - WELLINGTON DE MORAIS DO NASCIMENTO"/>
    <n v="2817.7071009326314"/>
    <n v="1548.2700000000004"/>
    <n v="0.54947868764909569"/>
    <n v="0"/>
    <n v="0"/>
    <s v="FORA SCANN"/>
    <s v="Não"/>
    <s v="NÃO"/>
    <s v="Não Comprou"/>
    <s v="NÃO"/>
    <m/>
    <m/>
    <m/>
  </r>
  <r>
    <n v="36752663000100"/>
    <x v="1"/>
    <m/>
    <s v="W M S DROGARIA"/>
    <s v="PRIMAVERA DO LESTE"/>
    <x v="0"/>
    <s v="MASTERFARMA"/>
    <s v="SELL IN"/>
    <s v="847010606 - PRICILA MOREIRA DOS SANTOS"/>
    <n v="5781.152473963004"/>
    <n v="7072.23"/>
    <n v="1.2233252853737582"/>
    <n v="5893.3099999999977"/>
    <n v="1.0194005479949069"/>
    <m/>
    <m/>
    <m/>
    <s v="Comprou Marcas"/>
    <m/>
    <m/>
    <n v="3"/>
    <n v="6"/>
  </r>
  <r>
    <n v="96619283000123"/>
    <x v="1"/>
    <m/>
    <s v="DROGARIA NOSSA SENHORA DAS GRACAS"/>
    <s v="TEODORO SAMPAIO"/>
    <x v="2"/>
    <s v="INDEPENDENTES VIN"/>
    <s v="SELL IN"/>
    <s v="847010607 - MANUEL ARIEDE ARTERO"/>
    <n v="2088.0580216779567"/>
    <n v="1210.1199999999999"/>
    <n v="0.57954328253175236"/>
    <n v="0"/>
    <n v="0"/>
    <s v="FORA SCANN"/>
    <s v="Não"/>
    <s v="NÃO"/>
    <s v="Não Comprou"/>
    <s v="NÃO"/>
    <m/>
    <m/>
    <m/>
  </r>
  <r>
    <n v="60042541000104"/>
    <x v="1"/>
    <m/>
    <s v="PHARMA VIDA III"/>
    <s v="TRES LAGOAS"/>
    <x v="1"/>
    <s v="INDEPENDENTES VIN"/>
    <s v="SELL IN"/>
    <s v="847010608 - VALTER PEREIRA DA SILVA JUNIOR"/>
    <n v="1043.3438006282786"/>
    <n v="1353.8300000000002"/>
    <n v="1.2975876208635673"/>
    <n v="905.07"/>
    <n v="0.86747053028444399"/>
    <s v="FORA SCANN"/>
    <s v="Não"/>
    <s v="NÃO"/>
    <s v="Comprou Marcas"/>
    <s v="NÃO"/>
    <m/>
    <m/>
    <m/>
  </r>
  <r>
    <n v="62464432000100"/>
    <x v="1"/>
    <m/>
    <s v="FARMARCIA GERIZIM"/>
    <s v="RIBAS DO RIO PARDO"/>
    <x v="1"/>
    <s v="ASSOCIADAS"/>
    <s v="SELL IN"/>
    <s v="847010602 - WELLINGTON DE MORAIS DO NASCIMENTO"/>
    <n v="5152.5426936792219"/>
    <n v="2434.2500000000005"/>
    <n v="0.47243664821762033"/>
    <n v="0"/>
    <n v="0"/>
    <s v="FORA SCANN"/>
    <s v="Não"/>
    <s v="NÃO"/>
    <s v="Não Comprou"/>
    <s v="SIM"/>
    <n v="4"/>
    <m/>
    <m/>
  </r>
  <r>
    <n v="63937486000109"/>
    <x v="1"/>
    <m/>
    <s v="MEDEIROS &amp; GALINDO"/>
    <s v="PRESIDENTE PRUDENTE"/>
    <x v="2"/>
    <s v="DROGARIA TOTAL"/>
    <s v="SELL IN"/>
    <s v="847010607 - MANUEL ARIEDE ARTERO"/>
    <n v="14212.191520025044"/>
    <n v="3919.1499999999992"/>
    <n v="0.27575972322621028"/>
    <n v="0"/>
    <n v="0"/>
    <s v="ATIVO"/>
    <s v="Sim"/>
    <s v="NÃO"/>
    <s v="Comprou SG"/>
    <s v="SIM"/>
    <m/>
    <m/>
    <m/>
  </r>
  <r>
    <n v="67096438000196"/>
    <x v="1"/>
    <n v="11744"/>
    <s v="DROGARIA DO LAR"/>
    <s v="MURUTINGA DO SUL"/>
    <x v="2"/>
    <s v="MULTIDROGAS"/>
    <s v="SELL IN"/>
    <s v="847010608 - VALTER PEREIRA DA SILVA JUNIOR"/>
    <n v="3748.0639305731934"/>
    <n v="1840.8800000000003"/>
    <n v="0.49115490933434364"/>
    <n v="633.44000000000005"/>
    <n v="0.16900458789749825"/>
    <s v="ATIVO"/>
    <s v="Não"/>
    <s v="NÃO"/>
    <s v="Comprou Marcas e SG"/>
    <s v="SIM"/>
    <m/>
    <m/>
    <m/>
  </r>
  <r>
    <n v="1374296000173"/>
    <x v="1"/>
    <m/>
    <s v="LABOR/FARMACIA ANA JACINTA"/>
    <s v="PRESIDENTE PRUDENTE"/>
    <x v="2"/>
    <s v="BIODROGAS"/>
    <s v="SELL IN"/>
    <s v="847010607 - MANUEL ARIEDE ARTERO"/>
    <n v="4822.5258651296444"/>
    <n v="1205.81"/>
    <n v="0.25003702079005524"/>
    <n v="766.36"/>
    <n v="0.15891257432984196"/>
    <s v="TERMO DEVOLVIDO"/>
    <s v="Não"/>
    <s v="NÃO"/>
    <s v="Comprou Marcas"/>
    <s v="SIM"/>
    <m/>
    <m/>
    <m/>
  </r>
  <r>
    <n v="1996877000147"/>
    <x v="1"/>
    <m/>
    <s v="DROG DROGA NOVA"/>
    <s v="SAO GABRIEL DO OESTE"/>
    <x v="1"/>
    <s v="INDEPENDENTES VIN"/>
    <s v="SELL IN"/>
    <s v="847010602 - WELLINGTON DE MORAIS DO NASCIMENTO"/>
    <n v="1332.8522979641857"/>
    <n v="330.65999999999997"/>
    <n v="0.24808450306538388"/>
    <n v="0"/>
    <n v="0"/>
    <s v="FORA SCANN"/>
    <s v="Não"/>
    <s v="NÃO"/>
    <s v="Não Comprou"/>
    <s v="NÃO"/>
    <m/>
    <m/>
    <m/>
  </r>
  <r>
    <n v="3141355000199"/>
    <x v="1"/>
    <m/>
    <s v="DROG SANTA EFIGENIA"/>
    <s v="ALTO GARCAS"/>
    <x v="0"/>
    <s v="INDEPENDENTES VIN"/>
    <s v="SELL IN"/>
    <s v="847010606 - PRICILA MOREIRA DOS SANTOS"/>
    <n v="938.51789230651866"/>
    <n v="1077.31"/>
    <n v="1.1478843491756809"/>
    <n v="0"/>
    <n v="0"/>
    <s v="FORA SCANN"/>
    <s v="Não"/>
    <s v="NÃO"/>
    <s v="Não Comprou"/>
    <s v="NÃO"/>
    <m/>
    <m/>
    <m/>
  </r>
  <r>
    <n v="18806193000723"/>
    <x v="25"/>
    <m/>
    <s v="FARMACIA ULTRA POPULAR"/>
    <s v="TANGARA DA SERRA"/>
    <x v="0"/>
    <s v="FARMARCAS"/>
    <s v="SELL OUT"/>
    <s v="847010604 - LEONARDO MAZZUCO"/>
    <n v="5900.8226506732117"/>
    <n v="4394.1100000000006"/>
    <n v="0.74466057702965982"/>
    <n v="5207.1599999999989"/>
    <n v="0.88244644997184007"/>
    <s v="ATIVO"/>
    <s v="Sim"/>
    <s v="SIM"/>
    <s v="Comprou Marcas"/>
    <s v="SIM"/>
    <m/>
    <m/>
    <n v="1"/>
  </r>
  <r>
    <n v="4050862000694"/>
    <x v="10"/>
    <m/>
    <s v="ULTRA POPULAR"/>
    <s v="CAMPO GRANDE"/>
    <x v="1"/>
    <s v="FARMARCAS"/>
    <s v="SELL OUT"/>
    <s v="847010602 - WELLINGTON DE MORAIS DO NASCIMENTO"/>
    <n v="4887.3768799351101"/>
    <n v="1820.7099999999996"/>
    <n v="0.37253316957708676"/>
    <n v="817.56000000000017"/>
    <n v="0.16727991724077046"/>
    <s v="ATIVO"/>
    <s v="Sim"/>
    <s v="NÃO"/>
    <s v="Comprou Marcas"/>
    <s v="SIM"/>
    <m/>
    <m/>
    <m/>
  </r>
  <r>
    <n v="4834843002007"/>
    <x v="4"/>
    <m/>
    <s v="FARMACIA SANTA CATARINA DE PRESIDENTE PRUDENTE"/>
    <s v="LUCELIA"/>
    <x v="2"/>
    <s v="REDE SANTA CATARINA"/>
    <s v="SELL IN"/>
    <s v="847010607 - MANUEL ARIEDE ARTERO"/>
    <n v="4514.8315353889247"/>
    <n v="2573.48"/>
    <n v="0.57000576429665406"/>
    <n v="2125.8700000000003"/>
    <n v="0.47086363762116978"/>
    <s v="ATIVO"/>
    <s v="Sim"/>
    <s v="NÃO"/>
    <s v="Comprou Marcas"/>
    <s v="SIM"/>
    <m/>
    <m/>
    <m/>
  </r>
  <r>
    <n v="4834843002430"/>
    <x v="4"/>
    <m/>
    <s v="FARMACIA SANTA CATARINA DE PRESIDENTE PRUDENTE"/>
    <s v="MIRANTE DO PARANAPANEMA"/>
    <x v="2"/>
    <s v="REDE SANTA CATARINA"/>
    <s v="SELL IN"/>
    <s v="847010607 - MANUEL ARIEDE ARTERO"/>
    <n v="12360.582361648758"/>
    <n v="13005.410000000003"/>
    <n v="1.0521680629184558"/>
    <n v="8589.1799999999985"/>
    <n v="0.694884735095467"/>
    <s v="ATIVO"/>
    <s v="Sim"/>
    <s v="NÃO"/>
    <s v="Comprou Marcas"/>
    <s v="SIM"/>
    <m/>
    <m/>
    <n v="3"/>
  </r>
  <r>
    <n v="65824591000167"/>
    <x v="1"/>
    <m/>
    <s v="SEVEN PHARMA"/>
    <s v="MARTINOPOLIS"/>
    <x v="2"/>
    <s v="DSG FARMA"/>
    <s v="SELL IN"/>
    <s v="847010607 - MANUEL ARIEDE ARTERO"/>
    <n v="3704.5584216858729"/>
    <n v="4385.0599999999995"/>
    <n v="1.18369303459505"/>
    <n v="1503.7099999999998"/>
    <n v="0.40590802703974915"/>
    <s v="ATIVO"/>
    <s v="Sim"/>
    <s v="NÃO"/>
    <s v="Comprou Marcas"/>
    <s v="SIM"/>
    <m/>
    <m/>
    <m/>
  </r>
  <r>
    <n v="5638726000178"/>
    <x v="1"/>
    <m/>
    <s v="DROG LIVRAMENTO"/>
    <s v="NOSSA SENHORA DO LIVRAMENTO"/>
    <x v="0"/>
    <s v="ASSOCIADAS"/>
    <s v="SELL IN"/>
    <s v="847010603 - ERIVALDO DA SILVA MACIEL"/>
    <n v="3529.1278887131743"/>
    <n v="2385.3900000000008"/>
    <n v="0.67591486486758778"/>
    <n v="1869.2899999999997"/>
    <n v="0.52967476921942858"/>
    <s v="FORA SCANN"/>
    <s v="Não"/>
    <s v="NÃO"/>
    <s v="Comprou Marcas"/>
    <s v="NÃO"/>
    <m/>
    <m/>
    <m/>
  </r>
  <r>
    <n v="18806193000642"/>
    <x v="25"/>
    <m/>
    <s v="FARMACIA ULTRA POPULAR"/>
    <s v="TANGARA DA SERRA"/>
    <x v="0"/>
    <s v="FARMARCAS"/>
    <s v="SELL OUT"/>
    <s v="847010604 - LEONARDO MAZZUCO"/>
    <n v="4284.223224518294"/>
    <n v="2150.7799999999997"/>
    <n v="0.50202332775081471"/>
    <n v="2762.74"/>
    <n v="0.64486369061935012"/>
    <s v="ATIVO"/>
    <s v="Sim"/>
    <s v="SIM"/>
    <s v="Comprou Marcas"/>
    <s v="SIM"/>
    <m/>
    <m/>
    <m/>
  </r>
  <r>
    <n v="1913782000112"/>
    <x v="1"/>
    <m/>
    <s v="DROG PRUDENFARMA"/>
    <s v="PRESIDENTE PRUDENTE"/>
    <x v="2"/>
    <s v="DROG PRUDENFARMA"/>
    <s v="SELL IN"/>
    <s v="847010607 - MANUEL ARIEDE ARTERO"/>
    <n v="11052.544630361763"/>
    <n v="3687.5499999999997"/>
    <n v="0.33363810084694512"/>
    <n v="0"/>
    <n v="0"/>
    <s v="ATIVO"/>
    <s v="Sim"/>
    <s v="NÃO"/>
    <s v="Comprou SG"/>
    <s v="SIM"/>
    <m/>
    <m/>
    <m/>
  </r>
  <r>
    <n v="13667030000106"/>
    <x v="1"/>
    <m/>
    <s v="FARMACIA PLURI PHARMA"/>
    <s v="PRESIDENTE EPITACIO"/>
    <x v="2"/>
    <s v="DSG FARMA"/>
    <s v="SELL IN"/>
    <s v="847010607 - MANUEL ARIEDE ARTERO"/>
    <n v="6554.552964213025"/>
    <n v="5861.6400000000012"/>
    <n v="0.89428524447109736"/>
    <n v="6799.4900000000016"/>
    <n v="1.0373689917717195"/>
    <s v="ATIVO"/>
    <s v="Sim"/>
    <s v="NÃO"/>
    <s v="Comprou Marcas e SG"/>
    <s v="SIM"/>
    <m/>
    <m/>
    <m/>
  </r>
  <r>
    <n v="46726427000172"/>
    <x v="1"/>
    <m/>
    <s v="DROGARIA VIOLETAS"/>
    <s v="SINOP"/>
    <x v="0"/>
    <s v="INDEPENDENTES VIN"/>
    <s v="SELL IN"/>
    <s v="847010605 - ISABELA CAMILA CRUCCITTI"/>
    <n v="461.86377396897592"/>
    <n v="739.33"/>
    <n v="1.6007533858883289"/>
    <n v="0"/>
    <n v="0"/>
    <s v="FORA SCANN"/>
    <s v="Não"/>
    <s v="SIM"/>
    <s v="Não Comprou"/>
    <s v="NÃO"/>
    <m/>
    <m/>
    <n v="1"/>
  </r>
  <r>
    <n v="44556106000141"/>
    <x v="1"/>
    <m/>
    <s v="DROGARIA I&amp;E KROLING"/>
    <s v="DIAMANTINO"/>
    <x v="0"/>
    <s v="FARMELHOR"/>
    <s v="SELL IN"/>
    <s v="847010604 - LEONARDO MAZZUCO"/>
    <n v="4579.2165797816488"/>
    <n v="1936.21"/>
    <n v="0.42282560046380785"/>
    <n v="1776.6300000000003"/>
    <n v="0.38797684473895655"/>
    <s v="TERMO DEVOLVIDO"/>
    <s v="Não"/>
    <s v="SIM"/>
    <s v="Comprou Marcas"/>
    <s v="SIM"/>
    <m/>
    <m/>
    <m/>
  </r>
  <r>
    <n v="46943757000110"/>
    <x v="1"/>
    <m/>
    <s v="COMERCIAL DE MEDICAMENTOS E PERFUMARIA CANAZUE"/>
    <s v="CUIABA"/>
    <x v="0"/>
    <s v="ASSOCIADAS"/>
    <s v="SELL IN"/>
    <s v="847010603 - ERIVALDO DA SILVA MACIEL"/>
    <n v="1020.1706752159773"/>
    <n v="111.91999999999999"/>
    <n v="0.10970713305036506"/>
    <n v="306.70000000000005"/>
    <n v="0.30063596950095578"/>
    <s v="FORA SCANN"/>
    <s v="Não"/>
    <s v="NÃO"/>
    <s v="Comprou Marcas"/>
    <s v="SIM"/>
    <m/>
    <m/>
    <m/>
  </r>
  <r>
    <n v="49007687000186"/>
    <x v="1"/>
    <m/>
    <s v="FARMA DELTA"/>
    <s v="CAMPOS DE JULIO"/>
    <x v="0"/>
    <s v="ASSOCIADAS"/>
    <s v="SELL IN"/>
    <s v="847010604 - LEONARDO MAZZUCO"/>
    <n v="6176.7487480665777"/>
    <n v="8362.23"/>
    <n v="1.3538238871408705"/>
    <n v="6333.83"/>
    <n v="1.0254310573961085"/>
    <s v="ATIVO"/>
    <s v="Sim"/>
    <s v="NÃO"/>
    <s v="Comprou Marcas"/>
    <s v="SIM"/>
    <m/>
    <m/>
    <m/>
  </r>
  <r>
    <n v="59535889000154"/>
    <x v="1"/>
    <m/>
    <s v="HIPER SAUDE"/>
    <s v="NOVA XAVANTINA"/>
    <x v="0"/>
    <s v="HIPER SAUDE"/>
    <s v="SELL IN"/>
    <s v="847010606 - PRICILA MOREIRA DOS SANTOS"/>
    <n v="1826.7675638873327"/>
    <n v="2624.5199999999995"/>
    <n v="1.4367016646688548"/>
    <n v="0"/>
    <n v="0"/>
    <m/>
    <m/>
    <m/>
    <s v="Não Comprou"/>
    <m/>
    <m/>
    <m/>
    <m/>
  </r>
  <r>
    <n v="49841927000143"/>
    <x v="1"/>
    <m/>
    <s v="FARMACIA BRASIL"/>
    <s v="REGENTE FEIJO"/>
    <x v="2"/>
    <s v="DROGARIA TOTAL"/>
    <s v="SELL IN"/>
    <s v="847010607 - MANUEL ARIEDE ARTERO"/>
    <n v="3766.027108977823"/>
    <n v="2961.5899999999997"/>
    <n v="0.7863963573018028"/>
    <n v="0"/>
    <n v="0"/>
    <s v="ATIVO"/>
    <s v="Sim"/>
    <s v="NÃO"/>
    <s v="Não Comprou"/>
    <s v="SIM"/>
    <m/>
    <m/>
    <m/>
  </r>
  <r>
    <n v="53091979000117"/>
    <x v="1"/>
    <m/>
    <s v="7 PHARMA"/>
    <s v="TRES LAGOAS"/>
    <x v="1"/>
    <s v="ASSOCIADAS"/>
    <s v="SELL IN"/>
    <s v="847010608 - VALTER PEREIRA DA SILVA JUNIOR"/>
    <n v="4323.23269541012"/>
    <n v="5571.67"/>
    <n v="1.2887740245662276"/>
    <n v="0"/>
    <n v="0"/>
    <s v="FORA SCANN"/>
    <s v="Não"/>
    <s v="NÃO"/>
    <s v="Não Comprou"/>
    <s v="NÃO"/>
    <n v="4"/>
    <m/>
    <m/>
  </r>
  <r>
    <n v="96252382000110"/>
    <x v="1"/>
    <m/>
    <s v="FARMASUSI"/>
    <s v="ALVARES MACHADO"/>
    <x v="2"/>
    <s v="INDEPENDENTES VIN"/>
    <s v="SELL IN"/>
    <s v="847010607 - MANUEL ARIEDE ARTERO"/>
    <n v="3524.7399300630627"/>
    <n v="1245.6099999999999"/>
    <n v="0.35339061170896491"/>
    <n v="1182.75"/>
    <n v="0.33555667183049132"/>
    <s v="FORA SCANN"/>
    <s v="Não"/>
    <s v="NÃO"/>
    <s v="Comprou Marcas"/>
    <s v="NÃO"/>
    <m/>
    <m/>
    <m/>
  </r>
  <r>
    <n v="53039511000183"/>
    <x v="1"/>
    <m/>
    <s v="G S C TREIS"/>
    <s v="PRESIDENTE PRUDENTE"/>
    <x v="2"/>
    <s v="INDEPENDENTES VIN"/>
    <s v="SELL IN"/>
    <s v="847010607 - MANUEL ARIEDE ARTERO"/>
    <n v="3000.09026962398"/>
    <n v="2010.2299999999998"/>
    <n v="0.67005650475042355"/>
    <n v="1503.0399999999997"/>
    <n v="0.5009982583585344"/>
    <s v="ATIVO"/>
    <s v="Sim"/>
    <s v="NÃO"/>
    <s v="Comprou Marcas"/>
    <s v="NÃO"/>
    <m/>
    <m/>
    <m/>
  </r>
  <r>
    <n v="54288141000180"/>
    <x v="1"/>
    <m/>
    <s v="DROGARIA BRASIL SUL"/>
    <s v="CAMPO GRANDE"/>
    <x v="1"/>
    <s v="INDEPENDENTES VIN"/>
    <s v="SELL IN"/>
    <s v="847010602 - WELLINGTON DE MORAIS DO NASCIMENTO"/>
    <n v="6187.3721267756782"/>
    <n v="2424.8300000000008"/>
    <n v="0.39189981632212123"/>
    <n v="911.49"/>
    <n v="0.14731455961013767"/>
    <s v="FORA SCANN"/>
    <s v="Não"/>
    <s v="NÃO"/>
    <s v="Comprou Marcas"/>
    <s v="NÃO"/>
    <n v="1"/>
    <m/>
    <n v="1"/>
  </r>
  <r>
    <n v="55133314000154"/>
    <x v="1"/>
    <m/>
    <s v="FARMACIA ECONOMIZE"/>
    <s v="SINOP"/>
    <x v="0"/>
    <s v="ECONOMIZE RONDONOPOLIS"/>
    <s v="SELL IN"/>
    <s v="847010605 - ISABELA CAMILA CRUCCITTI"/>
    <n v="418.25669277876096"/>
    <n v="0"/>
    <n v="0"/>
    <n v="0"/>
    <n v="0"/>
    <s v="TERMO DEVOLVIDO"/>
    <s v="Não"/>
    <s v="SIM"/>
    <s v="Não Comprou"/>
    <s v="NÃO"/>
    <m/>
    <m/>
    <m/>
  </r>
  <r>
    <n v="57629502000101"/>
    <x v="1"/>
    <m/>
    <s v="FARMACIA ESSENCIAL"/>
    <s v="PEDRO GOMES"/>
    <x v="1"/>
    <s v="INDEPENDENTES VIN"/>
    <s v="SELL IN"/>
    <s v="847010602 - WELLINGTON DE MORAIS DO NASCIMENTO"/>
    <n v="1187.2943977847278"/>
    <n v="559.16"/>
    <n v="0.47095311916175914"/>
    <n v="0"/>
    <n v="0"/>
    <m/>
    <m/>
    <m/>
    <s v="Não Comprou"/>
    <m/>
    <m/>
    <m/>
    <m/>
  </r>
  <r>
    <n v="4716183000105"/>
    <x v="1"/>
    <m/>
    <s v="FARMACIA PROGRESSO"/>
    <s v="PRESIDENTE EPITACIO"/>
    <x v="2"/>
    <s v="BIODROGAS"/>
    <s v="SELL IN"/>
    <s v="847010607 - MANUEL ARIEDE ARTERO"/>
    <n v="11827.582212232277"/>
    <n v="6012.88"/>
    <n v="0.50837778102961584"/>
    <n v="3597.8300000000004"/>
    <n v="0.30418981119227106"/>
    <s v="FORA SCANN"/>
    <s v="Não"/>
    <s v="SIM"/>
    <s v="Comprou Marcas e SG"/>
    <s v="SIM"/>
    <m/>
    <m/>
    <m/>
  </r>
  <r>
    <n v="5052802000169"/>
    <x v="1"/>
    <m/>
    <s v="FCIA RANGDORF"/>
    <s v="FATIMA DO SUL"/>
    <x v="1"/>
    <s v="MASTERFARMA"/>
    <s v="SELL IN"/>
    <s v="847010601 - RAFAEL DE OLIVEIRA NASCIMENTO"/>
    <n v="5731.7178487538658"/>
    <n v="2324.6200000000003"/>
    <n v="0.40557125478627609"/>
    <n v="0"/>
    <n v="0"/>
    <s v="TERMO DEVOLVIDO"/>
    <s v="Não"/>
    <s v="SIM"/>
    <s v="Não Comprou"/>
    <s v="SIM"/>
    <m/>
    <m/>
    <m/>
  </r>
  <r>
    <n v="27545412000163"/>
    <x v="26"/>
    <m/>
    <s v="ULTRA POPULAR BRASNORTE"/>
    <s v="BRASNORTE"/>
    <x v="0"/>
    <s v="FARMARCAS"/>
    <s v="SELL OUT"/>
    <s v="847010604 - LEONARDO MAZZUCO"/>
    <n v="9578.2109870873373"/>
    <n v="3905.79"/>
    <n v="0.40777865566602239"/>
    <n v="2447.2999999999993"/>
    <n v="0.25550700473181004"/>
    <s v="ATIVO"/>
    <s v="Sim"/>
    <s v="NÃO"/>
    <s v="Comprou Marcas"/>
    <m/>
    <m/>
    <m/>
    <m/>
  </r>
  <r>
    <n v="34607195000154"/>
    <x v="1"/>
    <m/>
    <s v="DR DIELGUE FARMA"/>
    <s v="AGUA CLARA"/>
    <x v="1"/>
    <s v="INDEPENDENTES VIN"/>
    <s v="SELL IN"/>
    <s v="847010602 - WELLINGTON DE MORAIS DO NASCIMENTO"/>
    <n v="405.60370259641059"/>
    <n v="224.92999999999998"/>
    <n v="0.55455608161401071"/>
    <n v="0"/>
    <n v="0"/>
    <s v="FORA SCANN"/>
    <s v="Não"/>
    <s v="NÃO"/>
    <s v="Não Comprou"/>
    <s v="NÃO"/>
    <m/>
    <m/>
    <m/>
  </r>
  <r>
    <n v="34738410000156"/>
    <x v="1"/>
    <m/>
    <s v="VGFARMA"/>
    <s v="VARZEA GRANDE"/>
    <x v="0"/>
    <s v="INDEPENDENTES VIN"/>
    <s v="SELL IN"/>
    <s v="847010603 - ERIVALDO DA SILVA MACIEL"/>
    <n v="2969.9861114232208"/>
    <n v="1850.2000000000003"/>
    <n v="0.62296587613111165"/>
    <n v="137.85"/>
    <n v="4.6414358461071094E-2"/>
    <s v="ATIVO"/>
    <s v="Sim"/>
    <s v="NÃO"/>
    <s v="Comprou Marcas"/>
    <s v="NÃO"/>
    <m/>
    <m/>
    <m/>
  </r>
  <r>
    <n v="36014287000156"/>
    <x v="1"/>
    <m/>
    <s v="HIPER POPULAR"/>
    <s v="PARAGUACU PAULISTA"/>
    <x v="2"/>
    <s v="HIPER SAUDE"/>
    <s v="SELL IN"/>
    <s v="847010607 - MANUEL ARIEDE ARTERO"/>
    <n v="15629.505037231791"/>
    <n v="20173.009999999995"/>
    <n v="1.2907005021556923"/>
    <n v="18154.129999999997"/>
    <n v="1.1615294250684316"/>
    <s v="ATIVO"/>
    <s v="Não"/>
    <s v="NÃO"/>
    <s v="Comprou Marcas e SG"/>
    <s v="SIM"/>
    <n v="4"/>
    <m/>
    <m/>
  </r>
  <r>
    <n v="38872460000425"/>
    <x v="19"/>
    <m/>
    <s v="DROGARIA POUPE MAIS"/>
    <s v="PARANATINGA"/>
    <x v="0"/>
    <s v="COMPRE BEM"/>
    <s v="SELL IN"/>
    <s v="847010606 - PRICILA MOREIRA DOS SANTOS"/>
    <n v="8516.5057857969387"/>
    <n v="8428.3499999999985"/>
    <n v="0.98964883157316019"/>
    <n v="8944.779999999997"/>
    <n v="1.0502875504314568"/>
    <s v="TERMO DEVOLVIDO"/>
    <s v="Não"/>
    <s v="SIM"/>
    <s v="Comprou Marcas e SG"/>
    <s v="SIM"/>
    <m/>
    <m/>
    <m/>
  </r>
  <r>
    <n v="43162536000116"/>
    <x v="1"/>
    <m/>
    <s v="FCIA MARCONDENSE"/>
    <s v="ALFREDO MARCONDES"/>
    <x v="2"/>
    <s v="INDEPENDENTES VIN"/>
    <s v="SELL IN"/>
    <s v="847010607 - MANUEL ARIEDE ARTERO"/>
    <n v="2918.532855852221"/>
    <n v="1961.3500000000004"/>
    <n v="0.67203286612556568"/>
    <n v="0"/>
    <n v="0"/>
    <s v="FORA SCANN"/>
    <s v="Não"/>
    <s v="NÃO"/>
    <s v="Comprou SG"/>
    <s v="SIM"/>
    <m/>
    <m/>
    <m/>
  </r>
  <r>
    <n v="46018910000100"/>
    <x v="1"/>
    <m/>
    <s v="7 PHARMA"/>
    <s v="TRES LAGOAS"/>
    <x v="1"/>
    <s v="ASSOCIADAS"/>
    <s v="SELL IN"/>
    <s v="847010608 - VALTER PEREIRA DA SILVA JUNIOR"/>
    <n v="8516.0721692022671"/>
    <n v="1540.31"/>
    <n v="0.18087094254208119"/>
    <n v="0"/>
    <n v="0"/>
    <s v="FORA SCANN"/>
    <s v="Não"/>
    <s v="NÃO"/>
    <s v="Não Comprou"/>
    <s v="NÃO"/>
    <n v="4"/>
    <m/>
    <m/>
  </r>
  <r>
    <n v="47216701000126"/>
    <x v="1"/>
    <m/>
    <s v="DROGACERTA"/>
    <s v="BARRA DO GARCAS"/>
    <x v="0"/>
    <s v="ASSOCIADAS"/>
    <s v="SELL IN"/>
    <s v="847010606 - PRICILA MOREIRA DOS SANTOS"/>
    <n v="2778.7720746563391"/>
    <n v="1228.1200000000001"/>
    <n v="0.44196500000882089"/>
    <n v="205.9"/>
    <n v="7.4097477039553314E-2"/>
    <s v="FORA SCANN"/>
    <s v="Não"/>
    <s v="NÃO"/>
    <s v="Comprou Marcas"/>
    <s v="NÃO"/>
    <m/>
    <m/>
    <m/>
  </r>
  <r>
    <n v="55248561000104"/>
    <x v="1"/>
    <m/>
    <s v="DROGARIA CORACAO DE JESUS"/>
    <s v="PRESIDENTE BERNARDES"/>
    <x v="2"/>
    <s v="BIODROGAS"/>
    <s v="SELL IN"/>
    <s v="847010607 - MANUEL ARIEDE ARTERO"/>
    <n v="3424.2501926250843"/>
    <n v="1445.6300000000003"/>
    <n v="0.42217417498099269"/>
    <n v="1463.4800000000002"/>
    <n v="0.42738699501337352"/>
    <s v="NÃO HOMOLOGADO"/>
    <s v="Não"/>
    <s v="NÃO"/>
    <s v="Comprou Marcas"/>
    <s v="SIM"/>
    <m/>
    <m/>
    <m/>
  </r>
  <r>
    <n v="55323943000147"/>
    <x v="1"/>
    <m/>
    <s v="DROG SANTA RITA"/>
    <s v="PRESIDENTE PRUDENTE"/>
    <x v="2"/>
    <s v="INDEPENDENTES VIN"/>
    <s v="SELL IN"/>
    <s v="847010607 - MANUEL ARIEDE ARTERO"/>
    <n v="3266.3943942087544"/>
    <n v="1433.9200000000003"/>
    <n v="0.438991691432703"/>
    <n v="283.24"/>
    <n v="8.6713349894972369E-2"/>
    <s v="FORA SCANN"/>
    <s v="Não"/>
    <s v="NÃO"/>
    <s v="Não Comprou"/>
    <s v="SIM"/>
    <m/>
    <m/>
    <m/>
  </r>
  <r>
    <n v="18715418000140"/>
    <x v="1"/>
    <m/>
    <s v="FCIA CITELI &amp; CIA"/>
    <s v="LUCELIA"/>
    <x v="2"/>
    <s v="DSG FARMA"/>
    <s v="SELL IN"/>
    <s v="847010607 - MANUEL ARIEDE ARTERO"/>
    <n v="7090.0321745616129"/>
    <n v="3810.0899999999992"/>
    <n v="0.53738684200478715"/>
    <n v="2439.8300000000004"/>
    <n v="0.34412114641085656"/>
    <s v="ATIVO"/>
    <s v="Sim"/>
    <s v="NÃO"/>
    <s v="Comprou Marcas e SG"/>
    <s v="SIM"/>
    <m/>
    <m/>
    <m/>
  </r>
  <r>
    <n v="58080762000125"/>
    <x v="1"/>
    <m/>
    <s v="FARMACIA POPULAR BOA SAUDE"/>
    <s v="TANGARA DA SERRA"/>
    <x v="0"/>
    <s v="ASSOCIADAS"/>
    <s v="SELL IN"/>
    <s v="847010604 - LEONARDO MAZZUCO"/>
    <n v="2022.8655795559625"/>
    <n v="1021.8899999999999"/>
    <n v="0.50516950326690224"/>
    <n v="317.86"/>
    <n v="0.15713352543661016"/>
    <s v="FORA SCANN"/>
    <s v="Não"/>
    <s v="NÃO"/>
    <s v="Comprou Marcas"/>
    <s v="NÃO"/>
    <m/>
    <m/>
    <n v="1"/>
  </r>
  <r>
    <n v="58694365000143"/>
    <x v="1"/>
    <m/>
    <s v="LIDER FARMA"/>
    <s v="ANDRADINA"/>
    <x v="2"/>
    <s v="SISFARMA"/>
    <s v="SELL IN"/>
    <s v="847010608 - VALTER PEREIRA DA SILVA JUNIOR"/>
    <n v="3876.5100431236701"/>
    <n v="2915.5299999999993"/>
    <n v="0.75210175326946438"/>
    <n v="1743.8000000000002"/>
    <n v="0.44983760666201084"/>
    <s v="TERMO DEVOLVIDO"/>
    <s v="Não"/>
    <s v="SIM"/>
    <s v="Comprou Marcas e SG"/>
    <s v="SIM"/>
    <m/>
    <m/>
    <m/>
  </r>
  <r>
    <n v="54858819000113"/>
    <x v="1"/>
    <m/>
    <s v="FARMA 10"/>
    <s v="CORUMBA"/>
    <x v="1"/>
    <s v="ASSOCIADAS"/>
    <s v="SELL IN"/>
    <s v="847010602 - WELLINGTON DE MORAIS DO NASCIMENTO"/>
    <n v="8108.3938402961958"/>
    <n v="1221.6599999999999"/>
    <n v="0.15066609048128984"/>
    <n v="480.21999999999997"/>
    <n v="5.9225046224747488E-2"/>
    <s v="FORA SCANN"/>
    <s v="Não"/>
    <s v="NÃO"/>
    <s v="Comprou Marcas"/>
    <s v="NÃO"/>
    <m/>
    <m/>
    <m/>
  </r>
  <r>
    <n v="43054517000176"/>
    <x v="1"/>
    <m/>
    <s v="HIPER POPULAR"/>
    <s v="FATIMA DO SUL"/>
    <x v="1"/>
    <s v="HIPER SAUDE"/>
    <s v="SELL IN"/>
    <s v="847010601 - RAFAEL DE OLIVEIRA NASCIMENTO"/>
    <n v="13453.053394235025"/>
    <n v="9370.6700000000019"/>
    <n v="0.69654596063787066"/>
    <n v="7825.06"/>
    <n v="0.58165680092767913"/>
    <s v="ATIVO"/>
    <s v="Não"/>
    <s v="NÃO"/>
    <s v="Comprou Marcas"/>
    <s v="SIM"/>
    <n v="2"/>
    <m/>
    <n v="2"/>
  </r>
  <r>
    <n v="43491146000190"/>
    <x v="1"/>
    <m/>
    <s v="DROGARIA MAIS SAUDE"/>
    <s v="CUIABA"/>
    <x v="0"/>
    <s v="MASTERFARMA"/>
    <s v="SELL IN"/>
    <s v="847010603 - ERIVALDO DA SILVA MACIEL"/>
    <n v="3771.6636636850012"/>
    <n v="1697.97"/>
    <n v="0.45019125547929817"/>
    <n v="0"/>
    <n v="0"/>
    <s v="TERMO DEVOLVIDO"/>
    <s v="Não"/>
    <s v="NÃO"/>
    <s v="Não Comprou"/>
    <s v="NÃO"/>
    <m/>
    <m/>
    <m/>
  </r>
  <r>
    <n v="43963049000152"/>
    <x v="1"/>
    <m/>
    <s v="DROGARIA BEM MAIS POPULAR"/>
    <s v="ANDRADINA"/>
    <x v="2"/>
    <s v="INDEPENDENTES VIN"/>
    <s v="SELL IN"/>
    <s v="847010608 - VALTER PEREIRA DA SILVA JUNIOR"/>
    <n v="3123.8607713471265"/>
    <n v="999"/>
    <n v="0.31979658285769041"/>
    <n v="1253.6899999999998"/>
    <n v="0.40132710506792574"/>
    <s v="FORA SCANN"/>
    <s v="Não"/>
    <s v="NÃO"/>
    <s v="Comprou SG"/>
    <s v="NÃO"/>
    <m/>
    <m/>
    <m/>
  </r>
  <r>
    <n v="49580979000103"/>
    <x v="1"/>
    <m/>
    <s v="DROGARIA PORTO X LTDA"/>
    <s v="CAMPO GRANDE"/>
    <x v="1"/>
    <s v="INDEPENDENTES VIN"/>
    <s v="SELL IN"/>
    <s v="847010602 - WELLINGTON DE MORAIS DO NASCIMENTO"/>
    <n v="2519.8139368738293"/>
    <n v="1069.01"/>
    <n v="0.42424164116111357"/>
    <n v="1027.25"/>
    <n v="0.40766898895497133"/>
    <s v="FORA SCANN"/>
    <s v="Não"/>
    <s v="NÃO"/>
    <s v="Comprou Marcas"/>
    <s v="NÃO"/>
    <m/>
    <m/>
    <m/>
  </r>
  <r>
    <n v="86309000146"/>
    <x v="1"/>
    <m/>
    <s v="FARMANOVA"/>
    <s v="AGUA CLARA"/>
    <x v="1"/>
    <s v="MASTERFARMA"/>
    <s v="SELL IN"/>
    <s v="847010602 - WELLINGTON DE MORAIS DO NASCIMENTO"/>
    <n v="4068.4806747792054"/>
    <n v="2264.66"/>
    <n v="0.55663530959819585"/>
    <n v="1131.56"/>
    <n v="0.27812839495947939"/>
    <s v="ATIVO"/>
    <s v="Não"/>
    <s v="NÃO"/>
    <s v="Comprou Marcas"/>
    <s v="NÃO"/>
    <m/>
    <m/>
    <m/>
  </r>
  <r>
    <n v="1987999000177"/>
    <x v="1"/>
    <m/>
    <s v="DROGARIA DROGA FACIL"/>
    <s v="PRIMAVERA DO LESTE"/>
    <x v="0"/>
    <s v="REDE SOMA"/>
    <s v="SELL IN"/>
    <s v="847010606 - PRICILA MOREIRA DOS SANTOS"/>
    <n v="3352.1939228006418"/>
    <n v="901.48"/>
    <n v="0.26892238956356224"/>
    <n v="467.65"/>
    <n v="0.13950565234880405"/>
    <s v="FORA SCANN"/>
    <s v="Não"/>
    <s v="SIM"/>
    <s v="Comprou Marcas"/>
    <s v="SIM"/>
    <m/>
    <m/>
    <m/>
  </r>
  <r>
    <n v="17476547000241"/>
    <x v="1"/>
    <m/>
    <s v="DROGARIA MEGA POPULAR"/>
    <s v="AGUA BOA"/>
    <x v="0"/>
    <s v="MASTERFARMA"/>
    <s v="SELL IN"/>
    <s v="847010606 - PRICILA MOREIRA DOS SANTOS"/>
    <n v="10559.56317586548"/>
    <n v="13894.279999999999"/>
    <n v="1.3158006414276886"/>
    <n v="0"/>
    <n v="0"/>
    <s v="ATIVO"/>
    <s v="Sim"/>
    <s v="NÃO"/>
    <s v="Não Comprou"/>
    <s v="SIM"/>
    <m/>
    <m/>
    <m/>
  </r>
  <r>
    <n v="18332251000562"/>
    <x v="11"/>
    <m/>
    <s v="DROGARIA ULTRA POPULAR"/>
    <s v="RIBAS DO RIO PARDO"/>
    <x v="1"/>
    <s v="FARMARCAS"/>
    <s v="SELL OUT"/>
    <s v="847010602 - WELLINGTON DE MORAIS DO NASCIMENTO"/>
    <n v="17205.127692196249"/>
    <n v="11088.579999999998"/>
    <n v="0.64449274648681965"/>
    <n v="14627.920000000004"/>
    <n v="0.85020700001167715"/>
    <s v="ATIVO"/>
    <s v="Sim"/>
    <s v="NÃO"/>
    <s v="Comprou Marcas"/>
    <s v="SIM"/>
    <m/>
    <m/>
    <m/>
  </r>
  <r>
    <n v="13537905000147"/>
    <x v="1"/>
    <n v="13686"/>
    <s v="DROGARIA FAMILIA"/>
    <s v="CAMPO GRANDE"/>
    <x v="1"/>
    <s v="INDEPENDENTES VIN"/>
    <s v="SELL IN"/>
    <s v="847010602 - WELLINGTON DE MORAIS DO NASCIMENTO"/>
    <n v="4755.0318983396919"/>
    <n v="1872.0100000000002"/>
    <n v="0.39369031376080726"/>
    <n v="269.27"/>
    <n v="5.6628431892122667E-2"/>
    <s v="FORA SCANN"/>
    <s v="Não"/>
    <s v="NÃO"/>
    <s v="Comprou Marcas e SG"/>
    <s v="NÃO"/>
    <m/>
    <m/>
    <m/>
  </r>
  <r>
    <n v="35239450000116"/>
    <x v="1"/>
    <m/>
    <s v="DROGARIA POPULAR"/>
    <s v="MONTE CASTELO"/>
    <x v="2"/>
    <s v="DSG FARMA"/>
    <s v="SELL IN"/>
    <s v="847010607 - MANUEL ARIEDE ARTERO"/>
    <n v="3790.5938809702402"/>
    <n v="841.88000000000011"/>
    <n v="0.22209712420696268"/>
    <n v="292.68"/>
    <n v="7.7212175503508604E-2"/>
    <s v="ATIVO"/>
    <s v="Sim"/>
    <s v="NÃO"/>
    <s v="Não Comprou"/>
    <s v="NÃO"/>
    <m/>
    <m/>
    <m/>
  </r>
  <r>
    <n v="14699069000160"/>
    <x v="1"/>
    <m/>
    <s v="DROGALIN"/>
    <s v="JUNQUEIROPOLIS"/>
    <x v="2"/>
    <s v="INDEPENDENTES VIN"/>
    <s v="SELL IN"/>
    <s v="847010607 - MANUEL ARIEDE ARTERO"/>
    <n v="1268.769535352943"/>
    <n v="1286.9899999999998"/>
    <n v="1.0143607362403988"/>
    <n v="1076.44"/>
    <n v="0.8484125524818491"/>
    <m/>
    <m/>
    <m/>
    <s v="Comprou Marcas"/>
    <m/>
    <m/>
    <m/>
    <m/>
  </r>
  <r>
    <n v="15910375000166"/>
    <x v="1"/>
    <m/>
    <s v="FCIA SANRIVAL"/>
    <s v="CHAPADAO DO SUL"/>
    <x v="1"/>
    <s v="HIPER SAUDE"/>
    <s v="SELL IN"/>
    <s v="847010608 - VALTER PEREIRA DA SILVA JUNIOR"/>
    <n v="9431.5649345696165"/>
    <n v="5314.2399999999989"/>
    <n v="0.56345262285388698"/>
    <n v="2280.9"/>
    <n v="0.24183685484047221"/>
    <s v="ATIVO"/>
    <s v="Sim"/>
    <s v="NÃO"/>
    <s v="Comprou Marcas"/>
    <s v="SIM"/>
    <m/>
    <m/>
    <m/>
  </r>
  <r>
    <n v="16825373000131"/>
    <x v="1"/>
    <m/>
    <s v="FARMACIA MAIS"/>
    <s v="RIO BRILHANTE"/>
    <x v="1"/>
    <s v="INDEPENDENTES VIN"/>
    <s v="SELL IN"/>
    <s v="847010601 - RAFAEL DE OLIVEIRA NASCIMENTO"/>
    <n v="32504.206367615086"/>
    <n v="14441.430000000002"/>
    <n v="0.4442941887788539"/>
    <n v="328.75"/>
    <n v="1.0114075584000213E-2"/>
    <s v="FORA SCANN"/>
    <s v="Não"/>
    <s v="NÃO"/>
    <s v="Comprou Marcas"/>
    <s v="SIM"/>
    <n v="2"/>
    <m/>
    <m/>
  </r>
  <r>
    <n v="27545412000406"/>
    <x v="26"/>
    <m/>
    <s v="C. J. DA SILVA &amp; CIA"/>
    <s v="DIAMANTINO"/>
    <x v="0"/>
    <s v="FARMARCAS"/>
    <s v="SELL OUT"/>
    <s v="847010604 - LEONARDO MAZZUCO"/>
    <n v="13334.273715960313"/>
    <n v="9356.7799999999988"/>
    <n v="0.70170900937787883"/>
    <n v="7114.9399999999978"/>
    <n v="0.53358286709562952"/>
    <s v="ATIVO"/>
    <s v="Sim"/>
    <s v="NÃO"/>
    <s v="Comprou Marcas"/>
    <s v="SIM"/>
    <m/>
    <m/>
    <n v="3"/>
  </r>
  <r>
    <n v="49835112000151"/>
    <x v="1"/>
    <m/>
    <s v="FARMACIA ROMA"/>
    <s v="PRIMAVERA DO LESTE"/>
    <x v="0"/>
    <s v="ASSOCIADAS"/>
    <s v="SELL IN"/>
    <s v="847010606 - PRICILA MOREIRA DOS SANTOS"/>
    <n v="4801.7735588080495"/>
    <n v="650.85"/>
    <n v="0.13554366777794524"/>
    <n v="0"/>
    <n v="0"/>
    <s v="FORA SCANN"/>
    <s v="Não"/>
    <s v="NÃO"/>
    <s v="Não Comprou"/>
    <s v="NÃO"/>
    <m/>
    <m/>
    <m/>
  </r>
  <r>
    <n v="51398846000162"/>
    <x v="1"/>
    <m/>
    <s v="DROGARIA MENOR PRECO"/>
    <s v="NOVA XAVANTINA"/>
    <x v="0"/>
    <s v="MASTERFARMA"/>
    <s v="SELL IN"/>
    <s v="847010606 - PRICILA MOREIRA DOS SANTOS"/>
    <n v="2556.8986956733825"/>
    <n v="2464.25"/>
    <n v="0.96376520672087773"/>
    <n v="0"/>
    <n v="0"/>
    <m/>
    <m/>
    <m/>
    <s v="Não Comprou"/>
    <m/>
    <m/>
    <m/>
    <m/>
  </r>
  <r>
    <n v="55354724000125"/>
    <x v="1"/>
    <m/>
    <s v="FCIA ANTONINHO LTDA"/>
    <s v="PRESIDENTE PRUDENTE"/>
    <x v="2"/>
    <s v="INDEPENDENTES VIN"/>
    <s v="SELL IN"/>
    <s v="847010607 - MANUEL ARIEDE ARTERO"/>
    <n v="6020.1422943845446"/>
    <n v="1316.8399999999997"/>
    <n v="0.21873901572531249"/>
    <n v="0"/>
    <n v="0"/>
    <s v="FORA SCANN"/>
    <s v="Não"/>
    <s v="NÃO"/>
    <s v="Não Comprou"/>
    <s v="SIM"/>
    <n v="2"/>
    <m/>
    <n v="1"/>
  </r>
  <r>
    <n v="62028636000107"/>
    <x v="1"/>
    <m/>
    <s v="ANTONIO CLAUDIO TALON"/>
    <s v="BATAGUASSU"/>
    <x v="1"/>
    <s v="ASSOCIADAS"/>
    <s v="SELL IN"/>
    <s v="847010608 - VALTER PEREIRA DA SILVA JUNIOR"/>
    <n v="1429.4493362458838"/>
    <n v="1912.2300000000002"/>
    <n v="1.3377389121198429"/>
    <n v="1575.1799999999998"/>
    <n v="1.1019488134758548"/>
    <s v="FORA SCANN"/>
    <s v="Não"/>
    <s v="NÃO"/>
    <s v="Comprou Marcas"/>
    <s v="NÃO"/>
    <m/>
    <m/>
    <m/>
  </r>
  <r>
    <n v="65675078000402"/>
    <x v="1"/>
    <m/>
    <s v="DROGARIA RODRIGUES"/>
    <s v="CAMPO GRANDE"/>
    <x v="1"/>
    <s v="INDEPENDENTES VIN"/>
    <s v="SELL IN"/>
    <s v="847010602 - WELLINGTON DE MORAIS DO NASCIMENTO"/>
    <n v="471.89040531614927"/>
    <n v="779.37"/>
    <n v="1.6515911135719124"/>
    <n v="748.54"/>
    <n v="1.5862581471613215"/>
    <m/>
    <m/>
    <m/>
    <s v="Comprou Marcas"/>
    <m/>
    <m/>
    <m/>
    <m/>
  </r>
  <r>
    <n v="66160225000113"/>
    <x v="1"/>
    <m/>
    <s v="FARMACIA KASPEICHAKI"/>
    <s v="CAMPO NOVO DO PARECIS"/>
    <x v="0"/>
    <s v="INDEPENDENTES VIN"/>
    <s v="SELL IN"/>
    <s v="847010604 - LEONARDO MAZZUCO"/>
    <n v="257.80909289554575"/>
    <n v="357.32000000000005"/>
    <n v="1.3859868012676042"/>
    <n v="0"/>
    <n v="0"/>
    <m/>
    <m/>
    <m/>
    <s v="Não Comprou"/>
    <m/>
    <m/>
    <m/>
    <n v="1"/>
  </r>
  <r>
    <n v="46365701000125"/>
    <x v="1"/>
    <m/>
    <s v="DROGARIA NOVA AMERICA"/>
    <s v="CUIABA"/>
    <x v="0"/>
    <s v="INDEPENDENTES VIN"/>
    <s v="SELL IN"/>
    <s v="847010603 - ERIVALDO DA SILVA MACIEL"/>
    <n v="2916.419152359801"/>
    <n v="109.45"/>
    <n v="3.7528899064950681E-2"/>
    <n v="0"/>
    <n v="0"/>
    <s v="ATIVO"/>
    <s v="Não"/>
    <s v="NÃO"/>
    <s v="Não Comprou"/>
    <s v="SIM"/>
    <m/>
    <m/>
    <m/>
  </r>
  <r>
    <n v="47541257000114"/>
    <x v="1"/>
    <m/>
    <s v="FARMA TCHE"/>
    <s v="ARAGUAIANA"/>
    <x v="0"/>
    <s v="INDEPENDENTES VIN"/>
    <s v="SELL IN"/>
    <s v="847010606 - PRICILA MOREIRA DOS SANTOS"/>
    <n v="4087.5832484211746"/>
    <n v="2221.46"/>
    <n v="0.54346538406478617"/>
    <n v="0"/>
    <n v="0"/>
    <s v="FORA SCANN"/>
    <s v="Não"/>
    <s v="SIM"/>
    <s v="Não Comprou"/>
    <s v="SIM"/>
    <m/>
    <m/>
    <m/>
  </r>
  <r>
    <n v="48210177000149"/>
    <x v="1"/>
    <m/>
    <s v="DROGASHOP"/>
    <s v="NOVA XAVANTINA"/>
    <x v="0"/>
    <s v="DROGASHOP"/>
    <s v="SELL IN"/>
    <s v="847010606 - PRICILA MOREIRA DOS SANTOS"/>
    <n v="2235.7067890232929"/>
    <n v="2339.0500000000002"/>
    <n v="1.0462239554328385"/>
    <n v="0"/>
    <n v="0"/>
    <m/>
    <m/>
    <m/>
    <s v="Não Comprou"/>
    <m/>
    <m/>
    <m/>
    <m/>
  </r>
  <r>
    <n v="52619699000176"/>
    <x v="1"/>
    <m/>
    <s v="FARMACIA SANTA CRUZ"/>
    <s v="MARACAI"/>
    <x v="2"/>
    <s v="INDEPENDENTES VIN"/>
    <s v="SELL IN"/>
    <s v="847010607 - MANUEL ARIEDE ARTERO"/>
    <n v="3007.8277459002397"/>
    <n v="2760.7500000000005"/>
    <n v="0.91785508786631353"/>
    <n v="2148.1999999999998"/>
    <n v="0.71420313311760009"/>
    <s v="FORA SCANN"/>
    <s v="Não"/>
    <s v="NÃO"/>
    <s v="Não Comprou"/>
    <s v="NÃO"/>
    <m/>
    <m/>
    <m/>
  </r>
  <r>
    <n v="52905500000176"/>
    <x v="1"/>
    <m/>
    <s v="DROGARIA POPULAR"/>
    <s v="AGUA CLARA"/>
    <x v="1"/>
    <s v="COMPRE BEM"/>
    <s v="SELL IN"/>
    <s v="847010602 - WELLINGTON DE MORAIS DO NASCIMENTO"/>
    <n v="4424.9283122645284"/>
    <n v="3132.2099999999996"/>
    <n v="0.70785553549387126"/>
    <n v="0"/>
    <n v="0"/>
    <s v="FORA SCANN"/>
    <s v="Não"/>
    <s v="NÃO"/>
    <s v="Não Comprou"/>
    <s v="SIM"/>
    <m/>
    <m/>
    <m/>
  </r>
  <r>
    <n v="41008901000107"/>
    <x v="1"/>
    <m/>
    <s v="DROGARIA DR. FABIO"/>
    <s v="CUIABA"/>
    <x v="0"/>
    <s v="HIPER SAUDE"/>
    <s v="SELL IN"/>
    <s v="847010603 - ERIVALDO DA SILVA MACIEL"/>
    <n v="4027.5752921329886"/>
    <n v="2785.1400000000003"/>
    <n v="0.69151779867161733"/>
    <n v="0"/>
    <n v="0"/>
    <s v="ATIVO"/>
    <s v="Não"/>
    <s v="NÃO"/>
    <s v="Não Comprou"/>
    <s v="NÃO"/>
    <m/>
    <m/>
    <m/>
  </r>
  <r>
    <n v="5123132000124"/>
    <x v="1"/>
    <m/>
    <s v="DROGAO + INTERIOR"/>
    <s v="VALPARAISO"/>
    <x v="2"/>
    <s v="DSG FARMA"/>
    <s v="SELL IN"/>
    <s v="847010608 - VALTER PEREIRA DA SILVA JUNIOR"/>
    <n v="8189.3517243911665"/>
    <n v="3377.9100000000003"/>
    <n v="0.41247587277747916"/>
    <n v="1819.5500000000002"/>
    <n v="0.22218486410598925"/>
    <s v="ATIVO"/>
    <s v="Sim"/>
    <s v="NÃO"/>
    <s v="Comprou Marcas"/>
    <s v="SIM"/>
    <m/>
    <m/>
    <m/>
  </r>
  <r>
    <n v="51041632000134"/>
    <x v="1"/>
    <m/>
    <s v="REDE MASTER FARMA"/>
    <s v="CUIABA"/>
    <x v="0"/>
    <s v="MASTERFARMA"/>
    <s v="SELL IN"/>
    <s v="847010603 - ERIVALDO DA SILVA MACIEL"/>
    <n v="1736.4930224574789"/>
    <n v="1140.9100000000001"/>
    <n v="0.6570196282075399"/>
    <n v="0"/>
    <n v="0"/>
    <s v="TERMO DEVOLVIDO"/>
    <s v="Não"/>
    <s v="SIM"/>
    <s v="Não Comprou"/>
    <s v="NÃO"/>
    <m/>
    <m/>
    <m/>
  </r>
  <r>
    <n v="51954038000134"/>
    <x v="1"/>
    <m/>
    <s v="DROGARIA ECONOMIZE"/>
    <s v="ITIQUIRA"/>
    <x v="0"/>
    <s v="ECONOMIZE RONDONOPOLIS"/>
    <s v="SELL IN"/>
    <s v="847010603 - ERIVALDO DA SILVA MACIEL"/>
    <n v="6570.2047317071001"/>
    <n v="4114.72"/>
    <n v="0.62626967773816922"/>
    <n v="863.06999999999994"/>
    <n v="0.13136120337847573"/>
    <s v="TERMO DEVOLVIDO"/>
    <s v="Não"/>
    <s v="SIM"/>
    <s v="Comprou Marcas"/>
    <s v="SIM"/>
    <m/>
    <m/>
    <m/>
  </r>
  <r>
    <n v="36886133000154"/>
    <x v="1"/>
    <m/>
    <s v="DISC FARMA"/>
    <s v="MIRASSOL D'OESTE"/>
    <x v="0"/>
    <s v="INDEPENDENTES VIN"/>
    <s v="SELL IN"/>
    <s v="847010603 - ERIVALDO DA SILVA MACIEL"/>
    <n v="6263.439003853583"/>
    <n v="2076.81"/>
    <n v="0.33157663046167479"/>
    <n v="0"/>
    <n v="0"/>
    <s v="TERMO DEVOLVIDO"/>
    <s v="Não"/>
    <s v="NÃO"/>
    <s v="Não Comprou"/>
    <s v="SIM"/>
    <m/>
    <m/>
    <m/>
  </r>
  <r>
    <n v="7217112000490"/>
    <x v="16"/>
    <m/>
    <s v="DROGARIA MEGA POPULAR"/>
    <s v="NOVO DIAMANTINO (DIAMANTINO)"/>
    <x v="0"/>
    <s v="INDEPENDENTES VIN"/>
    <s v="SELL IN"/>
    <s v="847010604 - LEONARDO MAZZUCO"/>
    <n v="8897.6124929663692"/>
    <n v="5017.8300000000017"/>
    <n v="0.56395240902732446"/>
    <n v="3871.4700000000007"/>
    <n v="0.43511335238081311"/>
    <s v="ATIVO"/>
    <s v="Sim"/>
    <s v="NÃO"/>
    <s v="Comprou Marcas"/>
    <s v="SIM"/>
    <m/>
    <m/>
    <m/>
  </r>
  <r>
    <n v="8087667000770"/>
    <x v="13"/>
    <m/>
    <s v="REDE DE FARMACIAS ECONOMIZAR"/>
    <s v="SINOP"/>
    <x v="0"/>
    <s v="ASSOCIADAS"/>
    <s v="SELL IN"/>
    <s v="847010605 - ISABELA CAMILA CRUCCITTI"/>
    <n v="6436.2683542566438"/>
    <n v="2620.71"/>
    <n v="0.40717848538226131"/>
    <n v="2719.7899999999995"/>
    <n v="0.4225724985816135"/>
    <s v="FORA SCANN"/>
    <s v="Não"/>
    <s v="NÃO"/>
    <s v="Comprou Marcas"/>
    <s v="SIM"/>
    <n v="4"/>
    <m/>
    <m/>
  </r>
  <r>
    <n v="11368538000170"/>
    <x v="1"/>
    <m/>
    <s v="FARMACIA INDEPENDENCIA"/>
    <s v="PENAPOLIS"/>
    <x v="2"/>
    <s v="FARMARCAS"/>
    <s v="SELL OUT"/>
    <s v="847010608 - VALTER PEREIRA DA SILVA JUNIOR"/>
    <n v="25182.741858439273"/>
    <n v="19959.179999999993"/>
    <n v="0.79257374404253944"/>
    <n v="0"/>
    <n v="0"/>
    <s v="ATIVO"/>
    <s v="Sim"/>
    <s v="NÃO"/>
    <s v="Comprou SG"/>
    <s v="SIM"/>
    <n v="6"/>
    <m/>
    <n v="7"/>
  </r>
  <r>
    <n v="27545412000325"/>
    <x v="26"/>
    <m/>
    <s v="ULTRA POPULAR BRASNORTE FILIAL LL"/>
    <s v="BRASNORTE"/>
    <x v="0"/>
    <s v="FARMARCAS"/>
    <s v="SELL OUT"/>
    <s v="847010604 - LEONARDO MAZZUCO"/>
    <n v="20886.823246334938"/>
    <n v="13729.8"/>
    <n v="0.65734266231267124"/>
    <n v="12301.610000000002"/>
    <n v="0.58896510277878644"/>
    <s v="ATIVO"/>
    <s v="Sim"/>
    <s v="NÃO"/>
    <s v="Comprou Marcas"/>
    <s v="SIM"/>
    <m/>
    <n v="9"/>
    <n v="6"/>
  </r>
  <r>
    <n v="11628018000159"/>
    <x v="1"/>
    <m/>
    <s v="DROGARIA POPULAR"/>
    <s v="SONORA"/>
    <x v="1"/>
    <s v="INDEPENDENTES VIN"/>
    <s v="SELL IN"/>
    <s v="847010602 - WELLINGTON DE MORAIS DO NASCIMENTO"/>
    <n v="6928.3468504087668"/>
    <n v="2845.53"/>
    <n v="0.41070836397749289"/>
    <n v="0"/>
    <n v="0"/>
    <m/>
    <m/>
    <m/>
    <s v="Não Comprou"/>
    <m/>
    <m/>
    <m/>
    <m/>
  </r>
  <r>
    <n v="7236140000102"/>
    <x v="1"/>
    <m/>
    <s v="DROGARIA BIOFARMA"/>
    <s v="MATUPA"/>
    <x v="0"/>
    <s v="FARMA &amp; FARMA"/>
    <s v="SELL IN"/>
    <s v="847010605 - ISABELA CAMILA CRUCCITTI"/>
    <n v="18449.683547141067"/>
    <n v="5451.4299999999994"/>
    <n v="0.29547552867619481"/>
    <n v="3608.02"/>
    <n v="0.19555999379507477"/>
    <s v="ATIVO"/>
    <s v="Sim"/>
    <s v="NÃO"/>
    <s v="Comprou Marcas"/>
    <s v="SIM"/>
    <n v="1"/>
    <m/>
    <m/>
  </r>
  <r>
    <n v="20884408000261"/>
    <x v="1"/>
    <m/>
    <s v="DROGARIAS ULTRA POPULAR"/>
    <s v="NOVA ANDRADINA"/>
    <x v="1"/>
    <s v="FARMARCAS"/>
    <s v="SELL OUT"/>
    <s v="847010601 - RAFAEL DE OLIVEIRA NASCIMENTO"/>
    <n v="18510.005167711533"/>
    <n v="12090.030000000002"/>
    <n v="0.65316189220139165"/>
    <n v="4342.71"/>
    <n v="0.23461419706004905"/>
    <s v="ATIVO"/>
    <s v="Sim"/>
    <s v="NÃO"/>
    <s v="Comprou Marcas"/>
    <s v="SIM"/>
    <m/>
    <m/>
    <n v="1"/>
  </r>
  <r>
    <n v="7966206000110"/>
    <x v="1"/>
    <m/>
    <s v="DROGARIA MERIDIONAL"/>
    <s v="PRESIDENTE PRUDENTE"/>
    <x v="2"/>
    <s v="DROGARIA TOTAL"/>
    <s v="SELL IN"/>
    <s v="847010607 - MANUEL ARIEDE ARTERO"/>
    <n v="5447.1023643851786"/>
    <n v="3774.7000000000007"/>
    <n v="0.69297394238084153"/>
    <n v="678.92"/>
    <n v="0.12463874452571087"/>
    <s v="ATIVO"/>
    <s v="Sim"/>
    <s v="NÃO"/>
    <s v="Comprou Marcas"/>
    <s v="NÃO"/>
    <m/>
    <m/>
    <m/>
  </r>
  <r>
    <n v="19825473000156"/>
    <x v="1"/>
    <m/>
    <s v="DROGARIA ARARAS"/>
    <s v="NOVA MUTUM"/>
    <x v="0"/>
    <s v="HIPER SAUDE"/>
    <s v="SELL IN"/>
    <s v="847010604 - LEONARDO MAZZUCO"/>
    <n v="2623.7710966149293"/>
    <n v="1217.95"/>
    <n v="0.46419826850419382"/>
    <n v="444.1699999999999"/>
    <n v="0.16928687131779444"/>
    <s v="ATIVO"/>
    <s v="Não"/>
    <s v="NÃO"/>
    <s v="Comprou Marcas"/>
    <s v="SIM"/>
    <m/>
    <m/>
    <m/>
  </r>
  <r>
    <n v="21013882000361"/>
    <x v="27"/>
    <m/>
    <s v="FARMACIA ECONOMIZE"/>
    <s v="LUCAS DO RIO VERDE"/>
    <x v="0"/>
    <s v="ECONOMIZE RONDONOPOLIS"/>
    <s v="SELL IN"/>
    <s v="847010605 - ISABELA CAMILA CRUCCITTI"/>
    <n v="2370.7882437372609"/>
    <n v="4521.71"/>
    <n v="1.9072601747307769"/>
    <n v="4348.9499999999989"/>
    <n v="1.8343898960560077"/>
    <s v="TERMO DEVOLVIDO"/>
    <s v="Não"/>
    <s v="SIM"/>
    <s v="Comprou Marcas"/>
    <s v="SIM"/>
    <n v="4"/>
    <m/>
    <m/>
  </r>
  <r>
    <n v="27545412000244"/>
    <x v="26"/>
    <m/>
    <s v="ULTRA POPULAR SAO JOSE DO RIO CLARO"/>
    <s v="SAO JOSE DO RIO CLARO"/>
    <x v="0"/>
    <s v="FARMARCAS"/>
    <s v="SELL OUT"/>
    <s v="847010604 - LEONARDO MAZZUCO"/>
    <n v="11208.494448730382"/>
    <n v="6468.0699999999988"/>
    <n v="0.57706858218881085"/>
    <n v="3963.0200000000013"/>
    <n v="0.35357291009310388"/>
    <s v="ATIVO"/>
    <s v="Sim"/>
    <s v="NÃO"/>
    <s v="Comprou Marcas"/>
    <m/>
    <m/>
    <m/>
    <m/>
  </r>
  <r>
    <n v="22836127000188"/>
    <x v="1"/>
    <m/>
    <s v="VISTA BELA DROGARIA"/>
    <s v="ARAGARCAS"/>
    <x v="3"/>
    <s v="LUCREMAIS"/>
    <s v="SELL IN"/>
    <s v="847010606 - PRICILA MOREIRA DOS SANTOS"/>
    <n v="974.87370865869946"/>
    <n v="557.80999999999995"/>
    <n v="0.57218693564674605"/>
    <n v="317.21000000000004"/>
    <n v="0.32538573682168542"/>
    <s v="FORA SCANN"/>
    <s v="Não"/>
    <s v="NÃO"/>
    <s v="Comprou Marcas"/>
    <s v="NÃO"/>
    <m/>
    <m/>
    <m/>
  </r>
  <r>
    <n v="27104567000164"/>
    <x v="1"/>
    <m/>
    <s v="FARMACIA CV POPULAR"/>
    <s v="CAMPO GRANDE"/>
    <x v="1"/>
    <s v="ASSOCIADAS"/>
    <s v="SELL IN"/>
    <s v="847010602 - WELLINGTON DE MORAIS DO NASCIMENTO"/>
    <n v="3179.3592097864048"/>
    <n v="1779.5600000000004"/>
    <n v="0.55972285060534399"/>
    <n v="1220.73"/>
    <n v="0.38395472780881873"/>
    <s v="FORA SCANN"/>
    <s v="Não"/>
    <s v="SIM"/>
    <s v="Comprou Marcas"/>
    <s v="NÃO"/>
    <m/>
    <m/>
    <m/>
  </r>
  <r>
    <n v="27855189000150"/>
    <x v="1"/>
    <m/>
    <s v="M. A. GIACOMETTI DROGARIA"/>
    <s v="GUARARAPES"/>
    <x v="2"/>
    <s v="REDE POUPE AQUI"/>
    <s v="SELL IN"/>
    <s v="847010608 - VALTER PEREIRA DA SILVA JUNIOR"/>
    <n v="4782.0080793479692"/>
    <n v="469.30999999999995"/>
    <n v="9.8140779399099376E-2"/>
    <n v="0"/>
    <n v="0"/>
    <s v="ATIVO"/>
    <s v="Sim"/>
    <s v="NÃO"/>
    <s v="Comprou SG"/>
    <s v="NÃO"/>
    <m/>
    <m/>
    <m/>
  </r>
  <r>
    <n v="28031224000180"/>
    <x v="1"/>
    <m/>
    <s v="J FARMA POPULAR"/>
    <s v="BARRA DO GARCAS"/>
    <x v="0"/>
    <s v="MASTERFARMA"/>
    <s v="SELL IN"/>
    <s v="847010606 - PRICILA MOREIRA DOS SANTOS"/>
    <n v="6586.4923201018946"/>
    <n v="4037.8199999999997"/>
    <n v="0.61304557931034431"/>
    <n v="1751.8500000000001"/>
    <n v="0.26597616984284261"/>
    <s v="NÃO HOMOLOGADO"/>
    <s v="Não"/>
    <s v="NÃO"/>
    <s v="Comprou Marcas"/>
    <s v="SIM"/>
    <m/>
    <m/>
    <m/>
  </r>
  <r>
    <n v="17684597000133"/>
    <x v="1"/>
    <m/>
    <s v="PRAMYM DROGARIAS"/>
    <s v="CUIABA"/>
    <x v="0"/>
    <s v="ASSOCIADAS"/>
    <s v="SELL IN"/>
    <s v="847010603 - ERIVALDO DA SILVA MACIEL"/>
    <n v="6061.5963289834626"/>
    <n v="3940.3100000000004"/>
    <n v="0.65004493637417704"/>
    <n v="3393.6800000000003"/>
    <n v="0.55986572114232569"/>
    <s v="FORA SCANN"/>
    <s v="Não"/>
    <s v="NÃO"/>
    <s v="Comprou Marcas"/>
    <s v="NÃO"/>
    <m/>
    <m/>
    <m/>
  </r>
  <r>
    <n v="18919955000293"/>
    <x v="1"/>
    <m/>
    <s v="AMERICANA SAUDE"/>
    <s v="PONTES E LACERDA"/>
    <x v="0"/>
    <s v="INDEPENDENTES VIN"/>
    <s v="SELL IN"/>
    <s v="847010603 - ERIVALDO DA SILVA MACIEL"/>
    <n v="6816.0045420352726"/>
    <n v="1947.8600000000001"/>
    <n v="0.28577739172373928"/>
    <n v="0"/>
    <n v="0"/>
    <s v="FILA DE ATIVAÇÃO"/>
    <s v="Não"/>
    <s v="NÃO"/>
    <s v="Não Comprou"/>
    <s v="SIM"/>
    <n v="4"/>
    <m/>
    <m/>
  </r>
  <r>
    <n v="19023460000163"/>
    <x v="1"/>
    <m/>
    <s v="DROGARIA SAO GERONIMO"/>
    <s v="CUIABA"/>
    <x v="0"/>
    <s v="INDEPENDENTES VIN"/>
    <s v="SELL IN"/>
    <s v="847010603 - ERIVALDO DA SILVA MACIEL"/>
    <n v="3408.5836317369344"/>
    <n v="2277.2899999999995"/>
    <n v="0.66810448152024537"/>
    <n v="1543.6599999999999"/>
    <n v="0.45287432164701996"/>
    <s v="ATIVO"/>
    <s v="Não"/>
    <s v="NÃO"/>
    <s v="Comprou Marcas"/>
    <s v="SIM"/>
    <m/>
    <m/>
    <m/>
  </r>
  <r>
    <n v="19325814000124"/>
    <x v="1"/>
    <m/>
    <s v="DROGA MASTER"/>
    <s v="TANGARA DA SERRA"/>
    <x v="0"/>
    <s v="INDEPENDENTES VIN"/>
    <s v="SELL IN"/>
    <s v="847010604 - LEONARDO MAZZUCO"/>
    <n v="42.23541285331055"/>
    <n v="32.32"/>
    <n v="0.76523461750573729"/>
    <n v="0"/>
    <n v="0"/>
    <m/>
    <m/>
    <m/>
    <s v="Não Comprou"/>
    <m/>
    <m/>
    <m/>
    <m/>
  </r>
  <r>
    <n v="27545412000678"/>
    <x v="26"/>
    <m/>
    <s v="ULTRA POPULAR COLIDER FILIAL 05"/>
    <s v="COLIDER"/>
    <x v="0"/>
    <s v="FARMARCAS"/>
    <s v="SELL OUT"/>
    <s v="847010605 - ISABELA CAMILA CRUCCITTI"/>
    <n v="3328.7114366937776"/>
    <n v="18502.72"/>
    <n v="5.5585232760150927"/>
    <n v="1801.7700000000002"/>
    <n v="0.54128152417729469"/>
    <s v="ATIVO"/>
    <s v="Sim"/>
    <s v="NÃO"/>
    <s v="Comprou Marcas"/>
    <s v="SIM"/>
    <m/>
    <m/>
    <m/>
  </r>
  <r>
    <n v="27545412000597"/>
    <x v="26"/>
    <m/>
    <s v="MAXI POPULAR SINOP"/>
    <s v="SINOP"/>
    <x v="0"/>
    <s v="FARMARCAS"/>
    <s v="SELL OUT"/>
    <s v="847010605 - ISABELA CAMILA CRUCCITTI"/>
    <n v="3160.2269284939739"/>
    <n v="3033.3499999999995"/>
    <n v="0.95985195640540966"/>
    <n v="2202.1200000000003"/>
    <n v="0.69682337687358242"/>
    <s v="ATIVO"/>
    <s v="Sim"/>
    <s v="NÃO"/>
    <s v="Comprou Marcas"/>
    <s v="SIM"/>
    <m/>
    <m/>
    <m/>
  </r>
  <r>
    <n v="19825473000237"/>
    <x v="1"/>
    <m/>
    <s v="DROGARIA ARARAS"/>
    <s v="NOVA MUTUM"/>
    <x v="0"/>
    <s v="HIPER SAUDE"/>
    <s v="SELL IN"/>
    <s v="847010604 - LEONARDO MAZZUCO"/>
    <n v="6199.5663513429708"/>
    <n v="505.35999999999996"/>
    <n v="8.151537887654467E-2"/>
    <n v="174.54000000000002"/>
    <n v="2.8153582058556496E-2"/>
    <s v="ATIVO"/>
    <s v="Não"/>
    <s v="NÃO"/>
    <s v="Comprou Marcas"/>
    <s v="SIM"/>
    <m/>
    <m/>
    <m/>
  </r>
  <r>
    <n v="43080555000101"/>
    <x v="1"/>
    <m/>
    <s v="DROGARIA SAO JORGE"/>
    <s v="TACIBA"/>
    <x v="2"/>
    <s v="BIODROGAS"/>
    <s v="SELL IN"/>
    <s v="847010607 - MANUEL ARIEDE ARTERO"/>
    <n v="5581.3357902594362"/>
    <n v="2914.8400000000006"/>
    <n v="0.52224773952625969"/>
    <n v="866.79"/>
    <n v="0.15530153220896054"/>
    <s v="FORA SCANN"/>
    <s v="Não"/>
    <s v="SIM"/>
    <s v="Comprou Marcas"/>
    <s v="SIM"/>
    <n v="1"/>
    <m/>
    <m/>
  </r>
  <r>
    <n v="44192893000190"/>
    <x v="1"/>
    <m/>
    <s v="FARMACIA SANRIVAL II"/>
    <s v="CHAPADAO DO SUL"/>
    <x v="1"/>
    <s v="HIPER SAUDE"/>
    <s v="SELL IN"/>
    <s v="847010608 - VALTER PEREIRA DA SILVA JUNIOR"/>
    <n v="2879.2510701126857"/>
    <n v="965.58999999999992"/>
    <n v="0.33536151467409525"/>
    <n v="0"/>
    <n v="0"/>
    <s v="ATIVO"/>
    <s v="Sim"/>
    <s v="NÃO"/>
    <s v="Não Comprou"/>
    <s v="SIM"/>
    <m/>
    <m/>
    <m/>
  </r>
  <r>
    <n v="33687112000111"/>
    <x v="1"/>
    <m/>
    <s v="DROGARIA CRISTAL"/>
    <s v="MIRASSOL D'OESTE"/>
    <x v="0"/>
    <s v="MASTERFARMA"/>
    <s v="SELL IN"/>
    <s v="847010603 - ERIVALDO DA SILVA MACIEL"/>
    <n v="4745.9255958807908"/>
    <n v="2599.98"/>
    <n v="0.54783412581449731"/>
    <n v="1757.3800000000003"/>
    <n v="0.37029236225812562"/>
    <s v="FORA SCANN"/>
    <s v="Não"/>
    <s v="NÃO"/>
    <s v="Comprou Marcas"/>
    <s v="SIM"/>
    <m/>
    <m/>
    <m/>
  </r>
  <r>
    <n v="33694076000113"/>
    <x v="1"/>
    <m/>
    <s v="DROGARIA PRIMAVERA"/>
    <s v="PRIMAVERA DO LESTE"/>
    <x v="0"/>
    <s v="INDEPENDENTES VIN"/>
    <s v="SELL IN"/>
    <s v="847010606 - PRICILA MOREIRA DOS SANTOS"/>
    <n v="1816.096334680102"/>
    <n v="673.66"/>
    <n v="0.37093847233531391"/>
    <n v="0"/>
    <n v="0"/>
    <s v="FORA SCANN"/>
    <s v="Não"/>
    <s v="NÃO"/>
    <s v="Não Comprou"/>
    <s v="SIM"/>
    <m/>
    <m/>
    <m/>
  </r>
  <r>
    <n v="36883544000196"/>
    <x v="1"/>
    <m/>
    <s v="DROGARIA AVENIDA LTDA"/>
    <s v="COMODORO"/>
    <x v="0"/>
    <s v="INDEPENDENTES VIN"/>
    <s v="SELL IN"/>
    <s v="847010604 - LEONARDO MAZZUCO"/>
    <n v="8427.9918123484185"/>
    <n v="1843.3799999999999"/>
    <n v="0.21872114271624465"/>
    <n v="0"/>
    <n v="0"/>
    <s v="FORA SCANN"/>
    <s v="Não"/>
    <s v="NÃO"/>
    <s v="Não Comprou"/>
    <s v="SIM"/>
    <m/>
    <m/>
    <m/>
  </r>
  <r>
    <n v="37963302000175"/>
    <x v="1"/>
    <m/>
    <s v="DROGARIA MAIS SAUDE"/>
    <s v="RIBEIRAO CASCALHEIRA"/>
    <x v="0"/>
    <s v="INDEPENDENTES VIN"/>
    <s v="SELL IN"/>
    <s v="847010606 - PRICILA MOREIRA DOS SANTOS"/>
    <n v="1675.4408104986769"/>
    <n v="798.87999999999988"/>
    <n v="0.47681779922874257"/>
    <n v="0"/>
    <n v="0"/>
    <s v="FORA SCANN"/>
    <s v="Não"/>
    <s v="NÃO"/>
    <s v="Não Comprou"/>
    <s v="NÃO"/>
    <n v="2"/>
    <m/>
    <m/>
  </r>
  <r>
    <n v="48669698000169"/>
    <x v="1"/>
    <m/>
    <s v="BEM POPULAR BRASIL"/>
    <s v="BRASNORTE"/>
    <x v="0"/>
    <s v="COMPRE BEM"/>
    <s v="SELL IN"/>
    <s v="847010604 - LEONARDO MAZZUCO"/>
    <n v="4681.0697844560527"/>
    <n v="1990.3600000000004"/>
    <n v="0.42519340485142609"/>
    <n v="0"/>
    <n v="0"/>
    <m/>
    <m/>
    <m/>
    <s v="Não Comprou"/>
    <m/>
    <m/>
    <m/>
    <m/>
  </r>
  <r>
    <n v="49465956000158"/>
    <x v="1"/>
    <m/>
    <s v="DROGARIA SONORA SUPER POPULAR"/>
    <s v="SONORA"/>
    <x v="1"/>
    <s v="MASTERFARMA"/>
    <s v="SELL IN"/>
    <s v="847010602 - WELLINGTON DE MORAIS DO NASCIMENTO"/>
    <n v="2341.7390189694893"/>
    <n v="0"/>
    <n v="0"/>
    <n v="0"/>
    <n v="0"/>
    <s v="TERMO DEVOLVIDO"/>
    <s v="Não"/>
    <s v="SIM"/>
    <s v="Não Comprou"/>
    <s v="SIM"/>
    <m/>
    <m/>
    <m/>
  </r>
  <r>
    <n v="49760647000100"/>
    <x v="1"/>
    <m/>
    <s v="DROGARIA ULTRA ECONOMICA"/>
    <s v="SINOP"/>
    <x v="0"/>
    <s v="HIPER SAUDE"/>
    <s v="SELL IN"/>
    <s v="847010605 - ISABELA CAMILA CRUCCITTI"/>
    <n v="5856.8797575753842"/>
    <n v="1124.8500000000001"/>
    <n v="0.19205618803170763"/>
    <n v="0"/>
    <n v="0"/>
    <s v="ATIVO"/>
    <s v="Não"/>
    <s v="NÃO"/>
    <s v="Não Comprou"/>
    <s v="NÃO"/>
    <m/>
    <m/>
    <m/>
  </r>
  <r>
    <n v="50038493000127"/>
    <x v="1"/>
    <m/>
    <s v="DIVINA FARMA"/>
    <s v="RIO BRILHANTE"/>
    <x v="1"/>
    <s v="INDEPENDENTES VIN"/>
    <s v="SELL IN"/>
    <s v="847010601 - RAFAEL DE OLIVEIRA NASCIMENTO"/>
    <n v="5334.5720511806494"/>
    <n v="2715.7"/>
    <n v="0.50907551232698411"/>
    <n v="2775.36"/>
    <n v="0.52025916481637102"/>
    <s v="ATIVO"/>
    <s v="Sim"/>
    <s v="SIM"/>
    <s v="Comprou Marcas"/>
    <s v="SIM"/>
    <n v="4"/>
    <m/>
    <m/>
  </r>
  <r>
    <n v="33587172000162"/>
    <x v="1"/>
    <m/>
    <s v="VITOR FARMA"/>
    <s v="PARANAIBA"/>
    <x v="1"/>
    <s v="DSG FARMA"/>
    <s v="SELL IN"/>
    <s v="847010608 - VALTER PEREIRA DA SILVA JUNIOR"/>
    <n v="4557.0627623930659"/>
    <n v="3244.5700000000006"/>
    <n v="0.71198712178722956"/>
    <n v="1986.2399999999998"/>
    <n v="0.43585969813524333"/>
    <s v="ATIVO"/>
    <s v="Sim"/>
    <s v="NÃO"/>
    <s v="Comprou Marcas"/>
    <s v="SIM"/>
    <n v="4"/>
    <m/>
    <m/>
  </r>
  <r>
    <n v="430268000163"/>
    <x v="1"/>
    <m/>
    <s v="DROGARIA POLIFARMA"/>
    <s v="SAPEZAL"/>
    <x v="0"/>
    <s v="INDEPENDENTES VIN"/>
    <s v="SELL IN"/>
    <s v="847010604 - LEONARDO MAZZUCO"/>
    <n v="2151.3606046240184"/>
    <n v="1578.69"/>
    <n v="0.73381003473190365"/>
    <n v="1204.7199999999998"/>
    <n v="0.55998050601588578"/>
    <s v="FORA SCANN"/>
    <s v="Não"/>
    <s v="NÃO"/>
    <s v="Comprou Marcas"/>
    <s v="NÃO"/>
    <m/>
    <m/>
    <m/>
  </r>
  <r>
    <n v="1559060000101"/>
    <x v="1"/>
    <m/>
    <s v="DROG AVENIDA"/>
    <s v="IVINHEMA"/>
    <x v="1"/>
    <s v="INDEPENDENTES VIN"/>
    <s v="SELL IN"/>
    <s v="847010601 - RAFAEL DE OLIVEIRA NASCIMENTO"/>
    <n v="2403.0817177274002"/>
    <n v="988.92000000000007"/>
    <n v="0.4115215860970487"/>
    <n v="453.49"/>
    <n v="0.1887118513925804"/>
    <s v="FORA SCANN"/>
    <s v="Não"/>
    <s v="NÃO"/>
    <s v="Comprou Marcas"/>
    <s v="SIM"/>
    <m/>
    <m/>
    <m/>
  </r>
  <r>
    <n v="4114403000384"/>
    <x v="28"/>
    <m/>
    <s v="DROGARIAS ULTRA POPULAR"/>
    <s v="PONTES E LACERDA"/>
    <x v="0"/>
    <s v="FARMARCAS"/>
    <s v="SELL OUT"/>
    <s v="847010603 - ERIVALDO DA SILVA MACIEL"/>
    <n v="14525.135025598309"/>
    <n v="10346.609999999999"/>
    <n v="0.71232453135655505"/>
    <n v="6935"/>
    <n v="0.47744822941598358"/>
    <s v="ATIVO"/>
    <s v="Não"/>
    <s v="NÃO"/>
    <s v="Comprou Marcas"/>
    <s v="SIM"/>
    <m/>
    <m/>
    <n v="1"/>
  </r>
  <r>
    <n v="21987208000116"/>
    <x v="1"/>
    <m/>
    <s v="FARMACIA SANTO ANTONIO"/>
    <s v="GLORIA DE DOURADOS"/>
    <x v="1"/>
    <s v="ASSOCIADAS"/>
    <s v="SELL IN"/>
    <s v="847010601 - RAFAEL DE OLIVEIRA NASCIMENTO"/>
    <n v="11727.191540284417"/>
    <n v="18489.080000000002"/>
    <n v="1.5765991317262642"/>
    <n v="15396.280000000004"/>
    <n v="1.3128701741684523"/>
    <s v="ATIVO"/>
    <s v="Sim"/>
    <s v="NÃO"/>
    <s v="Comprou Marcas"/>
    <s v="SIM"/>
    <m/>
    <m/>
    <m/>
  </r>
  <r>
    <n v="22954090000192"/>
    <x v="1"/>
    <m/>
    <s v="FARMACIA ALMEIDA + POPULAR"/>
    <s v="SAPEZAL"/>
    <x v="0"/>
    <s v="INDEPENDENTES VIN"/>
    <s v="SELL IN"/>
    <s v="847010604 - LEONARDO MAZZUCO"/>
    <n v="3306.4772634320298"/>
    <n v="312.56"/>
    <n v="9.4529608129097359E-2"/>
    <n v="0"/>
    <n v="0"/>
    <s v="FORA SCANN"/>
    <s v="Não"/>
    <s v="NÃO"/>
    <s v="Não Comprou"/>
    <s v="NÃO"/>
    <m/>
    <m/>
    <m/>
  </r>
  <r>
    <n v="7771697000143"/>
    <x v="1"/>
    <m/>
    <s v="DROGARIA UNIFARMA"/>
    <s v="PARAGUACU PAULISTA"/>
    <x v="2"/>
    <s v="INDEPENDENTES VIN"/>
    <s v="SELL IN"/>
    <s v="847010607 - MANUEL ARIEDE ARTERO"/>
    <n v="3190.1768161882815"/>
    <n v="2349.6799999999998"/>
    <n v="0.73653597759119438"/>
    <n v="1061.96"/>
    <n v="0.33288437011114058"/>
    <s v="FORA SCANN"/>
    <s v="Não"/>
    <s v="NÃO"/>
    <s v="Não Comprou"/>
    <s v="SIM"/>
    <m/>
    <m/>
    <m/>
  </r>
  <r>
    <n v="8600885000171"/>
    <x v="1"/>
    <m/>
    <s v="DROG ARENAPOLIS"/>
    <s v="ARENAPOLIS"/>
    <x v="0"/>
    <s v="ASSOCIADAS"/>
    <s v="SELL IN"/>
    <s v="847010604 - LEONARDO MAZZUCO"/>
    <n v="5307.0296745042997"/>
    <n v="2237.38"/>
    <n v="0.42158799502265482"/>
    <n v="1457.3999999999999"/>
    <n v="0.27461689294890318"/>
    <s v="FORA SCANN"/>
    <s v="Não"/>
    <s v="NÃO"/>
    <s v="Comprou Marcas"/>
    <s v="NÃO"/>
    <m/>
    <m/>
    <m/>
  </r>
  <r>
    <n v="8954952000407"/>
    <x v="14"/>
    <m/>
    <s v="CENTRAL FARMA"/>
    <s v="SINOP"/>
    <x v="0"/>
    <s v="MASTERFARMA"/>
    <s v="SELL IN"/>
    <s v="847010605 - ISABELA CAMILA CRUCCITTI"/>
    <n v="10882.499910082217"/>
    <n v="4484.05"/>
    <n v="0.41204227310360009"/>
    <n v="2285.71"/>
    <n v="0.21003537963573771"/>
    <s v="ATIVO"/>
    <s v="Sim"/>
    <s v="NÃO"/>
    <s v="Comprou Marcas e SG"/>
    <s v="SIM"/>
    <m/>
    <m/>
    <m/>
  </r>
  <r>
    <n v="13565587000128"/>
    <x v="1"/>
    <m/>
    <s v="DROGARIA TOTAL"/>
    <s v="ANDRADINA"/>
    <x v="2"/>
    <s v="DROGARIA TOTAL"/>
    <s v="SELL IN"/>
    <s v="847010608 - VALTER PEREIRA DA SILVA JUNIOR"/>
    <n v="10818.855231194351"/>
    <n v="9019.4999999999982"/>
    <n v="0.83368339877529607"/>
    <n v="8640.3499999999985"/>
    <n v="0.7986381012925472"/>
    <s v="ATIVO"/>
    <s v="Sim"/>
    <s v="NÃO"/>
    <s v="Comprou Marcas e SG"/>
    <s v="SIM"/>
    <m/>
    <m/>
    <m/>
  </r>
  <r>
    <n v="17660742000146"/>
    <x v="1"/>
    <m/>
    <s v="FARMA JARDIM"/>
    <s v="CAMPO GRANDE"/>
    <x v="1"/>
    <s v="ASSOCIADAS"/>
    <s v="SELL IN"/>
    <s v="847010602 - WELLINGTON DE MORAIS DO NASCIMENTO"/>
    <n v="4679.4826963835339"/>
    <n v="1649.8200000000002"/>
    <n v="0.35256461174117348"/>
    <n v="2334.5"/>
    <n v="0.49887992999828429"/>
    <s v="FORA SCANN"/>
    <s v="Não"/>
    <s v="SIM"/>
    <s v="Comprou Marcas"/>
    <s v="SIM"/>
    <m/>
    <m/>
    <m/>
  </r>
  <r>
    <n v="13117848000147"/>
    <x v="1"/>
    <m/>
    <s v="DROGARIA RONDONOPOLIS"/>
    <s v="RONDONOPOLIS"/>
    <x v="0"/>
    <s v="INDEPENDENTES VIN"/>
    <s v="SELL IN"/>
    <s v="847010603 - ERIVALDO DA SILVA MACIEL"/>
    <n v="1398.5805511619699"/>
    <n v="875.39"/>
    <n v="0.62591317981127914"/>
    <n v="137.85"/>
    <n v="9.856421919028642E-2"/>
    <s v="FORA SCANN"/>
    <s v="Não"/>
    <s v="NÃO"/>
    <s v="Comprou Marcas"/>
    <s v="SIM"/>
    <m/>
    <m/>
    <m/>
  </r>
  <r>
    <n v="14492828000119"/>
    <x v="1"/>
    <m/>
    <s v="FARMACIA MADEIRA"/>
    <s v="GUARANTA DO NORTE"/>
    <x v="0"/>
    <s v="INDEPENDENTES VIN"/>
    <s v="SELL IN"/>
    <s v="847010605 - ISABELA CAMILA CRUCCITTI"/>
    <n v="2875.5145535776364"/>
    <n v="822.96999999999991"/>
    <n v="0.28619921223354033"/>
    <n v="748.31999999999994"/>
    <n v="0.26023864113953471"/>
    <s v="FORA SCANN"/>
    <s v="Não"/>
    <s v="NÃO"/>
    <s v="Comprou Marcas"/>
    <s v="SIM"/>
    <n v="4"/>
    <m/>
    <m/>
  </r>
  <r>
    <n v="16022063000189"/>
    <x v="1"/>
    <m/>
    <s v="DROGARIA BELA VISTA"/>
    <s v="DOURADOS"/>
    <x v="1"/>
    <s v="INDEPENDENTES VIN"/>
    <s v="SELL IN"/>
    <s v="847010601 - RAFAEL DE OLIVEIRA NASCIMENTO"/>
    <n v="1543.9521425716241"/>
    <n v="1166.6400000000001"/>
    <n v="0.75561927590374101"/>
    <n v="357.24"/>
    <n v="0.23138022879710315"/>
    <s v="FORA SCANN"/>
    <s v="Não"/>
    <s v="NÃO"/>
    <s v="Comprou Marcas"/>
    <s v="NÃO"/>
    <m/>
    <m/>
    <m/>
  </r>
  <r>
    <n v="4114403000201"/>
    <x v="28"/>
    <m/>
    <s v="DROGARIAS ULTRA POPULAR"/>
    <s v="PONTES E LACERDA"/>
    <x v="0"/>
    <s v="FARMARCAS"/>
    <s v="SELL OUT"/>
    <s v="847010603 - ERIVALDO DA SILVA MACIEL"/>
    <n v="16089.111922314993"/>
    <n v="9872.3099999999959"/>
    <n v="0.61360192207423669"/>
    <n v="7732.5900000000011"/>
    <n v="0.48061011927421488"/>
    <s v="ATIVO"/>
    <s v="Sim"/>
    <s v="NÃO"/>
    <s v="Comprou Marcas"/>
    <m/>
    <m/>
    <n v="1"/>
    <n v="1"/>
  </r>
  <r>
    <n v="27785214000339"/>
    <x v="29"/>
    <m/>
    <s v="DROGAO POPULAR"/>
    <s v="PONTA PORA"/>
    <x v="1"/>
    <s v="ASSOCIADAS"/>
    <s v="SELL IN"/>
    <s v="847010601 - RAFAEL DE OLIVEIRA NASCIMENTO"/>
    <n v="10332.478372547856"/>
    <n v="7940.0000000000018"/>
    <n v="0.76845067695429403"/>
    <n v="6625.4000000000024"/>
    <n v="0.6412207953517608"/>
    <s v="ATIVO"/>
    <s v="Sim"/>
    <s v="NÃO"/>
    <s v="Comprou Marcas"/>
    <s v="SIM"/>
    <n v="1"/>
    <m/>
    <m/>
  </r>
  <r>
    <n v="51190802000142"/>
    <x v="1"/>
    <m/>
    <s v="FARMA POP"/>
    <s v="PARAISO DAS AGUAS"/>
    <x v="1"/>
    <s v="HIPER SAUDE"/>
    <s v="SELL IN"/>
    <s v="847010608 - VALTER PEREIRA DA SILVA JUNIOR"/>
    <n v="3519.7957878372426"/>
    <n v="3996.9799999999996"/>
    <n v="1.1355715617967612"/>
    <n v="2618.59"/>
    <n v="0.74396077438600683"/>
    <s v="ATIVO"/>
    <s v="Sim"/>
    <s v="NÃO"/>
    <s v="Comprou Marcas"/>
    <s v="SIM"/>
    <m/>
    <m/>
    <m/>
  </r>
  <r>
    <n v="55299135000191"/>
    <x v="1"/>
    <n v="39952"/>
    <s v="DROGARIA SAO GERALDO"/>
    <s v="PENAPOLIS"/>
    <x v="2"/>
    <s v="DROGARIA TOTAL"/>
    <s v="SELL IN"/>
    <s v="847010608 - VALTER PEREIRA DA SILVA JUNIOR"/>
    <n v="32850.665121876693"/>
    <n v="19931.61"/>
    <n v="0.60673383403511882"/>
    <n v="12265.369999999994"/>
    <n v="0.37336747839032181"/>
    <s v="ATIVO"/>
    <s v="Sim"/>
    <s v="NÃO"/>
    <s v="Comprou Marcas e SG"/>
    <s v="SIM"/>
    <m/>
    <m/>
    <m/>
  </r>
  <r>
    <n v="55312241000168"/>
    <x v="1"/>
    <m/>
    <s v="FARMACIA SUPER POPULAR"/>
    <s v="CORUMBA"/>
    <x v="1"/>
    <s v="MASTERFARMA"/>
    <s v="SELL IN"/>
    <s v="847010602 - WELLINGTON DE MORAIS DO NASCIMENTO"/>
    <n v="6232.8560013422621"/>
    <n v="1126.53"/>
    <n v="0.18074057859790099"/>
    <n v="0"/>
    <n v="0"/>
    <s v="TERMO DEVOLVIDO"/>
    <s v="Não"/>
    <s v="SIM"/>
    <s v="Não Comprou"/>
    <s v="NÃO"/>
    <m/>
    <m/>
    <m/>
  </r>
  <r>
    <n v="42411000000124"/>
    <x v="1"/>
    <m/>
    <s v="DROGARIA POUPA LAR"/>
    <s v="CACERES"/>
    <x v="0"/>
    <s v="INDEPENDENTES VIN"/>
    <s v="SELL IN"/>
    <s v="847010603 - ERIVALDO DA SILVA MACIEL"/>
    <n v="3241.4268099944543"/>
    <n v="2231.1700000000005"/>
    <n v="0.68832959396785454"/>
    <n v="2030.8799999999999"/>
    <n v="0.62653890371304555"/>
    <s v="FORA SCANN"/>
    <s v="Não"/>
    <s v="NÃO"/>
    <s v="Comprou Marcas"/>
    <s v="NÃO"/>
    <m/>
    <m/>
    <m/>
  </r>
  <r>
    <n v="35720208000160"/>
    <x v="1"/>
    <m/>
    <s v="HIPER POPULAR"/>
    <s v="TANGARA DA SERRA"/>
    <x v="0"/>
    <s v="HIPER SAUDE"/>
    <s v="SELL IN"/>
    <s v="847010604 - LEONARDO MAZZUCO"/>
    <n v="1364.4968462293891"/>
    <n v="101.81"/>
    <n v="7.4613583960519064E-2"/>
    <n v="0"/>
    <n v="0"/>
    <s v="ATIVO"/>
    <s v="Não"/>
    <s v="NÃO"/>
    <s v="Não Comprou"/>
    <s v="SIM"/>
    <m/>
    <m/>
    <m/>
  </r>
  <r>
    <n v="39834323000116"/>
    <x v="1"/>
    <m/>
    <s v="POUPE MAIS FARMA"/>
    <s v="SANTA RITA DO PARDO"/>
    <x v="1"/>
    <s v="GRUPO MELHOR COMPRA"/>
    <s v="SELL IN"/>
    <s v="847010608 - VALTER PEREIRA DA SILVA JUNIOR"/>
    <n v="6265.6825807518126"/>
    <n v="4854.6200000000008"/>
    <n v="0.77479507418926741"/>
    <n v="0"/>
    <n v="0"/>
    <s v="ATIVO"/>
    <s v="Não"/>
    <s v="NÃO"/>
    <s v="Não Comprou"/>
    <s v="NÃO"/>
    <m/>
    <m/>
    <m/>
  </r>
  <r>
    <n v="42327542000113"/>
    <x v="1"/>
    <m/>
    <s v="DROGARIA ULTRA ECONOMICA"/>
    <s v="BARRA DO GARCAS"/>
    <x v="0"/>
    <s v="INDEPENDENTES VIN"/>
    <s v="SELL IN"/>
    <s v="847010606 - PRICILA MOREIRA DOS SANTOS"/>
    <n v="1953.9215384038471"/>
    <n v="1231.1699999999998"/>
    <n v="0.63010206694673065"/>
    <n v="0"/>
    <n v="0"/>
    <s v="TERMO DEVOLVIDO"/>
    <s v="Não"/>
    <s v="SIM"/>
    <s v="Não Comprou"/>
    <s v="NÃO"/>
    <m/>
    <m/>
    <m/>
  </r>
  <r>
    <n v="35008629000162"/>
    <x v="1"/>
    <m/>
    <s v="BEC COMERCIO DE MEDICAMENTOS FARMACIA"/>
    <s v="CAMPO GRANDE"/>
    <x v="1"/>
    <s v="MASTERFARMA"/>
    <s v="SELL IN"/>
    <s v="847010602 - WELLINGTON DE MORAIS DO NASCIMENTO"/>
    <n v="3518.1780258312774"/>
    <n v="993.48"/>
    <n v="0.28238480051482329"/>
    <n v="255.14999999999998"/>
    <n v="7.2523333988965197E-2"/>
    <s v="TERMO DEVOLVIDO"/>
    <s v="Não"/>
    <s v="SIM"/>
    <s v="Comprou Marcas"/>
    <s v="NÃO"/>
    <m/>
    <m/>
    <m/>
  </r>
  <r>
    <n v="43000736000172"/>
    <x v="1"/>
    <m/>
    <s v="FARMACIA DROGACITY"/>
    <s v="ADAMANTINA"/>
    <x v="2"/>
    <s v="INDEPENDENTES VIN"/>
    <s v="SELL IN"/>
    <s v="847010607 - MANUEL ARIEDE ARTERO"/>
    <n v="5029.3193575847281"/>
    <n v="5329.01"/>
    <n v="1.0595887079557411"/>
    <n v="1054.18"/>
    <n v="0.20960689211556804"/>
    <s v="FORA SCANN"/>
    <s v="Não"/>
    <s v="NÃO"/>
    <s v="Comprou Marcas"/>
    <s v="SIM"/>
    <m/>
    <m/>
    <n v="3"/>
  </r>
  <r>
    <n v="2917723000185"/>
    <x v="1"/>
    <n v="13683"/>
    <s v="FCIA DROGA CRUZ"/>
    <s v="BONITO"/>
    <x v="1"/>
    <s v="ASSOCIADAS"/>
    <s v="SELL IN"/>
    <s v="847010601 - RAFAEL DE OLIVEIRA NASCIMENTO"/>
    <n v="21972.539655355053"/>
    <n v="30754.979999999996"/>
    <n v="1.3997007393045948"/>
    <n v="27991.37"/>
    <n v="1.2739251101170757"/>
    <s v="ATIVO"/>
    <s v="Sim"/>
    <s v="NÃO"/>
    <s v="Comprou Marcas e SG"/>
    <s v="SIM"/>
    <m/>
    <m/>
    <m/>
  </r>
  <r>
    <n v="3377845000199"/>
    <x v="1"/>
    <m/>
    <s v="DROG SAO JOSE MANIP"/>
    <s v="AMAMBAI"/>
    <x v="1"/>
    <s v="INDEPENDENTES VIN"/>
    <s v="SELL IN"/>
    <s v="847010601 - RAFAEL DE OLIVEIRA NASCIMENTO"/>
    <n v="15131.227902875989"/>
    <n v="7413.49"/>
    <n v="0.48994635779631074"/>
    <n v="518.91000000000008"/>
    <n v="3.4293978210543703E-2"/>
    <s v="FORA SCANN"/>
    <s v="Não"/>
    <s v="NÃO"/>
    <s v="Comprou Marcas"/>
    <s v="SIM"/>
    <m/>
    <m/>
    <m/>
  </r>
  <r>
    <n v="19631038000271"/>
    <x v="1"/>
    <m/>
    <s v="DROGARIA VIDA &amp; SAUDE"/>
    <s v="SANTO EXPEDITO"/>
    <x v="2"/>
    <s v="MULTIDROGAS"/>
    <s v="SELL IN"/>
    <s v="847010607 - MANUEL ARIEDE ARTERO"/>
    <n v="1643.9902043485924"/>
    <n v="1694.8900000000003"/>
    <n v="1.0309611307395692"/>
    <n v="97.62"/>
    <n v="5.9379915854596309E-2"/>
    <m/>
    <m/>
    <m/>
    <s v="Comprou Marcas"/>
    <m/>
    <m/>
    <m/>
    <m/>
  </r>
  <r>
    <n v="16465328000113"/>
    <x v="1"/>
    <m/>
    <s v="DROGARIA DOSE CERTA"/>
    <s v="TANGARA DA SERRA"/>
    <x v="0"/>
    <s v="ASSOCIADAS"/>
    <s v="SELL IN"/>
    <s v="847010604 - LEONARDO MAZZUCO"/>
    <n v="2136.6694745422456"/>
    <n v="1111.52"/>
    <n v="0.52021148485688418"/>
    <n v="825.66"/>
    <n v="0.38642382915911089"/>
    <s v="FORA SCANN"/>
    <s v="Não"/>
    <s v="NÃO"/>
    <s v="Comprou Marcas"/>
    <s v="NÃO"/>
    <m/>
    <m/>
    <m/>
  </r>
  <r>
    <n v="17710409000102"/>
    <x v="1"/>
    <m/>
    <s v="DROGARIA MEIO PRECO"/>
    <s v="VARZEA GRANDE"/>
    <x v="0"/>
    <s v="HIPER SAUDE"/>
    <s v="SELL IN"/>
    <s v="847010603 - ERIVALDO DA SILVA MACIEL"/>
    <n v="5020.8615570718703"/>
    <n v="13248.619999999997"/>
    <n v="2.6387144615328721"/>
    <n v="12073.67"/>
    <n v="2.4047008392402831"/>
    <s v="FORA SCANN"/>
    <s v="Não"/>
    <s v="NÃO"/>
    <s v="Comprou Marcas"/>
    <s v="SIM"/>
    <m/>
    <n v="22"/>
    <n v="22"/>
  </r>
  <r>
    <n v="18332251000210"/>
    <x v="11"/>
    <m/>
    <s v="DROGARIA ULTRAPOPULAR"/>
    <s v="COXIM"/>
    <x v="1"/>
    <s v="FARMARCAS"/>
    <s v="SELL OUT"/>
    <s v="847010602 - WELLINGTON DE MORAIS DO NASCIMENTO"/>
    <n v="16229.818798225615"/>
    <n v="9023.8099999999959"/>
    <n v="0.55600189454897408"/>
    <n v="5742.5199999999995"/>
    <n v="0.35382526887039689"/>
    <s v="ATIVO"/>
    <s v="Sim"/>
    <s v="NÃO"/>
    <s v="Comprou Marcas"/>
    <s v="SIM"/>
    <m/>
    <m/>
    <m/>
  </r>
  <r>
    <n v="4114403000112"/>
    <x v="28"/>
    <m/>
    <s v="DROGARIAS ULTRA POPULAR"/>
    <s v="PONTES E LACERDA"/>
    <x v="0"/>
    <s v="FARMARCAS"/>
    <s v="SELL OUT"/>
    <s v="847010603 - ERIVALDO DA SILVA MACIEL"/>
    <n v="67104.952149285673"/>
    <n v="39454.759999999987"/>
    <n v="0.58795601123783803"/>
    <n v="34074.83"/>
    <n v="0.50778413378784781"/>
    <s v="ATIVO"/>
    <s v="Sim"/>
    <s v="NÃO"/>
    <s v="Comprou Marcas"/>
    <s v="SIM"/>
    <m/>
    <m/>
    <m/>
  </r>
  <r>
    <n v="33792896000148"/>
    <x v="1"/>
    <m/>
    <s v="DROGARIA NIPON"/>
    <s v="CAMPO GRANDE"/>
    <x v="1"/>
    <s v="ASSOCIADAS"/>
    <s v="SELL IN"/>
    <s v="847010602 - WELLINGTON DE MORAIS DO NASCIMENTO"/>
    <n v="5437.3395123134669"/>
    <n v="2216.79"/>
    <n v="0.40769755042513522"/>
    <n v="430.88"/>
    <n v="7.9244637754222219E-2"/>
    <s v="FORA SCANN"/>
    <s v="Não"/>
    <s v="NÃO"/>
    <s v="Comprou Marcas"/>
    <s v="SIM"/>
    <m/>
    <m/>
    <m/>
  </r>
  <r>
    <n v="37830039000146"/>
    <x v="1"/>
    <m/>
    <s v="DROGARIA DESTRO"/>
    <s v="PRESIDENTE PRUDENTE"/>
    <x v="2"/>
    <s v="INDEPENDENTES VIN"/>
    <s v="SELL IN"/>
    <s v="847010607 - MANUEL ARIEDE ARTERO"/>
    <n v="1104.1972939744294"/>
    <n v="544.79999999999995"/>
    <n v="0.49339008796069034"/>
    <n v="0"/>
    <n v="0"/>
    <m/>
    <m/>
    <m/>
    <s v="Não Comprou"/>
    <m/>
    <m/>
    <m/>
    <m/>
  </r>
  <r>
    <n v="41955400000138"/>
    <x v="1"/>
    <m/>
    <s v="FARMACIA DO CLOVIS"/>
    <s v="BONITO"/>
    <x v="1"/>
    <s v="INDEPENDENTES VIN"/>
    <s v="SELL IN"/>
    <s v="847010601 - RAFAEL DE OLIVEIRA NASCIMENTO"/>
    <n v="4001.8294435399021"/>
    <n v="2088.66"/>
    <n v="0.52192629132950552"/>
    <n v="0"/>
    <n v="0"/>
    <s v="FORA SCANN"/>
    <s v="Não"/>
    <s v="NÃO"/>
    <s v="Não Comprou"/>
    <s v="SIM"/>
    <m/>
    <m/>
    <m/>
  </r>
  <r>
    <n v="19713710000278"/>
    <x v="30"/>
    <m/>
    <s v="DROGARIA ULTRA POPULAR"/>
    <s v="ALTA FLORESTA"/>
    <x v="0"/>
    <s v="FARMARCAS"/>
    <s v="SELL OUT"/>
    <s v="847010605 - ISABELA CAMILA CRUCCITTI"/>
    <n v="12822.9704775666"/>
    <n v="6492.9200000000019"/>
    <n v="0.50635069396433297"/>
    <n v="2817.6099999999992"/>
    <n v="0.21973145808370401"/>
    <s v="ATIVO"/>
    <s v="Sim"/>
    <s v="NÃO"/>
    <s v="Comprou Marcas"/>
    <s v="SIM"/>
    <m/>
    <m/>
    <m/>
  </r>
  <r>
    <n v="19713710000359"/>
    <x v="30"/>
    <n v="13471"/>
    <s v="DROGARIA ULTRA POPULAR"/>
    <s v="ALTA FLORESTA"/>
    <x v="0"/>
    <s v="FARMARCAS"/>
    <s v="SELL OUT"/>
    <s v="847010605 - ISABELA CAMILA CRUCCITTI"/>
    <n v="11943.124296136311"/>
    <n v="15045.68"/>
    <n v="1.2597775612925162"/>
    <n v="5536.91"/>
    <n v="0.46360649547884475"/>
    <s v="ATIVO"/>
    <s v="Sim"/>
    <s v="NÃO"/>
    <s v="Comprou Marcas"/>
    <s v="SIM"/>
    <m/>
    <m/>
    <n v="5"/>
  </r>
  <r>
    <n v="19713710000197"/>
    <x v="30"/>
    <m/>
    <s v="DROGARIA ULTRA POPULAR"/>
    <s v="ALTA FLORESTA"/>
    <x v="0"/>
    <s v="FARMARCAS"/>
    <s v="SELL OUT"/>
    <s v="847010605 - ISABELA CAMILA CRUCCITTI"/>
    <n v="63199.571668194993"/>
    <n v="27700.709999999995"/>
    <n v="0.43830534398922677"/>
    <n v="14917.030000000004"/>
    <n v="0.23603055537015544"/>
    <s v="ATIVO"/>
    <s v="Sim"/>
    <s v="NÃO"/>
    <s v="Comprou Marcas"/>
    <s v="SIM"/>
    <m/>
    <m/>
    <n v="1"/>
  </r>
  <r>
    <n v="21013882000280"/>
    <x v="27"/>
    <m/>
    <s v="FARMACIA ECONOMIZE"/>
    <s v="LUCAS DO RIO VERDE"/>
    <x v="0"/>
    <s v="ECONOMIZE RONDONOPOLIS"/>
    <s v="SELL IN"/>
    <s v="847010605 - ISABELA CAMILA CRUCCITTI"/>
    <n v="3849.8733371831945"/>
    <n v="5054.5800000000008"/>
    <n v="1.3129211164381434"/>
    <n v="4514.3799999999974"/>
    <n v="1.1726048117996"/>
    <s v="TERMO DEVOLVIDO"/>
    <s v="Não"/>
    <s v="SIM"/>
    <s v="Comprou Marcas"/>
    <s v="SIM"/>
    <n v="4"/>
    <m/>
    <m/>
  </r>
  <r>
    <n v="37836714000144"/>
    <x v="1"/>
    <m/>
    <s v="DROGAO POPULAR"/>
    <s v="TUPI PAULISTA"/>
    <x v="2"/>
    <s v="INDEPENDENTES VIN"/>
    <s v="SELL IN"/>
    <s v="847010607 - MANUEL ARIEDE ARTERO"/>
    <n v="7131.5040313877262"/>
    <n v="4012.9000000000005"/>
    <n v="0.56270037601298617"/>
    <n v="712.8"/>
    <n v="9.9950865464391456E-2"/>
    <s v="FORA SCANN"/>
    <s v="Não"/>
    <s v="NÃO"/>
    <s v="Não Comprou"/>
    <s v="NÃO"/>
    <n v="16"/>
    <m/>
    <m/>
  </r>
  <r>
    <n v="38662089000124"/>
    <x v="1"/>
    <m/>
    <s v="FARMELHOR"/>
    <s v="QUERENCIA"/>
    <x v="0"/>
    <s v="FARMELHOR"/>
    <s v="SELL IN"/>
    <s v="847010606 - PRICILA MOREIRA DOS SANTOS"/>
    <n v="2297.6050862287948"/>
    <n v="2357.8000000000002"/>
    <n v="1.0261989817710611"/>
    <n v="2018.6100000000001"/>
    <n v="0.87857134896635913"/>
    <s v="ATIVO"/>
    <s v="Não"/>
    <s v="NÃO"/>
    <s v="Comprou Marcas"/>
    <s v="SIM"/>
    <m/>
    <m/>
    <m/>
  </r>
  <r>
    <n v="38872460000344"/>
    <x v="19"/>
    <m/>
    <s v="DROGARIA POUPE MAIS"/>
    <s v="PRIMAVERA DO LESTE"/>
    <x v="0"/>
    <s v="COMPRE BEM"/>
    <s v="SELL IN"/>
    <s v="847010606 - PRICILA MOREIRA DOS SANTOS"/>
    <n v="1903.7938782984263"/>
    <n v="397.19"/>
    <n v="0.20863077906049401"/>
    <n v="529.24"/>
    <n v="0.27799227953869898"/>
    <s v="TERMO DEVOLVIDO"/>
    <s v="Não"/>
    <s v="SIM"/>
    <s v="Comprou Marcas e SG"/>
    <s v="SIM"/>
    <m/>
    <m/>
    <m/>
  </r>
  <r>
    <n v="19713710000430"/>
    <x v="30"/>
    <m/>
    <s v="DROGARIA ULTRA POPULAR"/>
    <s v="CARLINDA"/>
    <x v="0"/>
    <s v="FARMARCAS"/>
    <s v="SELL OUT"/>
    <s v="847010605 - ISABELA CAMILA CRUCCITTI"/>
    <n v="8874.6897094542073"/>
    <n v="7126.3700000000008"/>
    <n v="0.80299934232160008"/>
    <n v="2717.54"/>
    <n v="0.30621239603509792"/>
    <s v="ATIVO"/>
    <s v="Sim"/>
    <s v="NÃO"/>
    <s v="Comprou Marcas"/>
    <s v="SIM"/>
    <m/>
    <m/>
    <m/>
  </r>
  <r>
    <n v="23019388000178"/>
    <x v="1"/>
    <m/>
    <s v="DROGARIAS VIP"/>
    <s v="PARANAIBA"/>
    <x v="1"/>
    <s v="REDE INOVA"/>
    <s v="SELL IN"/>
    <s v="847010608 - VALTER PEREIRA DA SILVA JUNIOR"/>
    <n v="5561.2478892780082"/>
    <n v="3225.5899999999997"/>
    <n v="0.58001190815803816"/>
    <n v="233.3"/>
    <n v="4.1951016146897259E-2"/>
    <s v="FORA SCANN"/>
    <s v="Não"/>
    <s v="SIM"/>
    <s v="Comprou Marcas"/>
    <s v="SIM"/>
    <m/>
    <m/>
    <m/>
  </r>
  <r>
    <n v="23312338000184"/>
    <x v="1"/>
    <m/>
    <s v="DROGARIA POPULAR JD. AEROPORTO"/>
    <s v="CAMPO GRANDE"/>
    <x v="1"/>
    <s v="USIFARMA"/>
    <s v="SELL IN"/>
    <s v="847010602 - WELLINGTON DE MORAIS DO NASCIMENTO"/>
    <n v="2432.3726812038117"/>
    <n v="811.05999999999983"/>
    <n v="0.33344396862679615"/>
    <n v="636.83000000000004"/>
    <n v="0.26181432019900214"/>
    <s v="FORA SCANN"/>
    <s v="Não"/>
    <s v="SIM"/>
    <s v="Comprou Marcas"/>
    <s v="NÃO"/>
    <m/>
    <m/>
    <m/>
  </r>
  <r>
    <n v="55284053000173"/>
    <x v="1"/>
    <n v="112129"/>
    <s v="DROGARIA BARAO"/>
    <s v="RANCHARIA"/>
    <x v="2"/>
    <s v="INDEPENDENTES VIN"/>
    <s v="SELL IN"/>
    <s v="847010607 - MANUEL ARIEDE ARTERO"/>
    <n v="13628.538399186076"/>
    <n v="9237.5700000000015"/>
    <n v="0.67781076219821834"/>
    <n v="6088.81"/>
    <n v="0.44676911211283205"/>
    <s v="FORA SCANN"/>
    <s v="Não"/>
    <s v="NÃO"/>
    <s v="Comprou Marcas"/>
    <s v="SIM"/>
    <m/>
    <m/>
    <m/>
  </r>
  <r>
    <n v="57680804000104"/>
    <x v="1"/>
    <m/>
    <s v="HIPERPOPULAR DROGARIA AF"/>
    <s v="ALTA FLORESTA"/>
    <x v="0"/>
    <s v="HIPER SAUDE"/>
    <s v="SELL IN"/>
    <s v="847010605 - ISABELA CAMILA CRUCCITTI"/>
    <n v="3603.9490685588712"/>
    <n v="1152.07"/>
    <n v="0.31966877946493394"/>
    <n v="0"/>
    <n v="0"/>
    <s v="FORA SCANN"/>
    <s v="Não"/>
    <s v="SIM"/>
    <s v="Não Comprou"/>
    <s v="NÃO"/>
    <m/>
    <m/>
    <m/>
  </r>
  <r>
    <n v="37203809000120"/>
    <x v="1"/>
    <m/>
    <s v="FCIA HILDA F S OLIVEIRA"/>
    <s v="PEDRO GOMES"/>
    <x v="1"/>
    <s v="INDEPENDENTES VIN"/>
    <s v="SELL IN"/>
    <s v="847010602 - WELLINGTON DE MORAIS DO NASCIMENTO"/>
    <n v="755.02905519001763"/>
    <n v="422.72"/>
    <n v="0.55987249377259318"/>
    <n v="0"/>
    <n v="0"/>
    <m/>
    <m/>
    <m/>
    <s v="Não Comprou"/>
    <m/>
    <m/>
    <m/>
    <m/>
  </r>
  <r>
    <n v="38872460000182"/>
    <x v="19"/>
    <n v="153614"/>
    <s v="DROGARIA POUPE MAIS"/>
    <s v="PRIMAVERA DO LESTE"/>
    <x v="0"/>
    <s v="COMPRE BEM"/>
    <s v="SELL IN"/>
    <s v="847010606 - PRICILA MOREIRA DOS SANTOS"/>
    <n v="6207.4491525196836"/>
    <n v="12957.52999999999"/>
    <n v="2.0874162126225975"/>
    <n v="16375.689999999999"/>
    <n v="2.638070743334707"/>
    <s v="TERMO DEVOLVIDO"/>
    <s v="Não"/>
    <s v="SIM"/>
    <s v="Comprou Marcas e SG"/>
    <s v="SIM"/>
    <m/>
    <m/>
    <m/>
  </r>
  <r>
    <n v="41196111000100"/>
    <x v="1"/>
    <m/>
    <s v="DROGARIA MAIS SAUDE"/>
    <s v="COXIM"/>
    <x v="1"/>
    <s v="ASSOCIADAS"/>
    <s v="SELL IN"/>
    <s v="847010602 - WELLINGTON DE MORAIS DO NASCIMENTO"/>
    <n v="3813.6797737231973"/>
    <n v="1474.75"/>
    <n v="0.38670000826006418"/>
    <n v="0"/>
    <n v="0"/>
    <m/>
    <m/>
    <m/>
    <s v="Não Comprou"/>
    <m/>
    <m/>
    <m/>
    <m/>
  </r>
  <r>
    <n v="55283212000115"/>
    <x v="1"/>
    <m/>
    <s v="FARMACIA IRAPURU"/>
    <s v="IRAPURU"/>
    <x v="2"/>
    <s v="FARMAIS"/>
    <s v="SELL IN"/>
    <s v="847010607 - MANUEL ARIEDE ARTERO"/>
    <n v="4184.4284808221219"/>
    <n v="1315.51"/>
    <n v="0.31438224025794304"/>
    <n v="0"/>
    <n v="0"/>
    <m/>
    <m/>
    <m/>
    <s v="Não Comprou"/>
    <m/>
    <m/>
    <m/>
    <m/>
  </r>
  <r>
    <n v="8821476000103"/>
    <x v="1"/>
    <m/>
    <s v="DROGA BEM"/>
    <s v="CAMPO GRANDE"/>
    <x v="1"/>
    <s v="INDEPENDENTES VIN"/>
    <s v="SELL IN"/>
    <s v="847010602 - WELLINGTON DE MORAIS DO NASCIMENTO"/>
    <n v="4152.3570436110804"/>
    <n v="2308.0299999999997"/>
    <n v="0.55583611326275328"/>
    <n v="944.20999999999992"/>
    <n v="0.22739133222004232"/>
    <s v="TERMO DEVOLVIDO"/>
    <s v="Não"/>
    <s v="SIM"/>
    <s v="Comprou Marcas"/>
    <s v="NÃO"/>
    <m/>
    <m/>
    <m/>
  </r>
  <r>
    <n v="9115230000170"/>
    <x v="1"/>
    <m/>
    <s v="DROGARIA FARMACIL II"/>
    <s v="BIRIGUI"/>
    <x v="2"/>
    <s v="DROGARIA TOTAL"/>
    <s v="SELL IN"/>
    <s v="847010608 - VALTER PEREIRA DA SILVA JUNIOR"/>
    <n v="4326.4751219144619"/>
    <n v="2129.79"/>
    <n v="0.49226909666305202"/>
    <n v="0"/>
    <n v="0"/>
    <s v="FORA SCANN"/>
    <s v="Não"/>
    <s v="SIM"/>
    <s v="Não Comprou"/>
    <s v="NÃO"/>
    <m/>
    <m/>
    <m/>
  </r>
  <r>
    <n v="9496232000319"/>
    <x v="1"/>
    <m/>
    <s v="DROGA ASSIS"/>
    <s v="JUARA"/>
    <x v="0"/>
    <s v="ASFAR FARMACIAS"/>
    <s v="SELL IN"/>
    <s v="847010604 - LEONARDO MAZZUCO"/>
    <n v="5322.3223908754544"/>
    <n v="455.03000000000003"/>
    <n v="8.549463309101675E-2"/>
    <n v="359"/>
    <n v="6.7451757641639035E-2"/>
    <s v="TERMO DEVOLVIDO"/>
    <s v="Não"/>
    <s v="SIM"/>
    <s v="Comprou Marcas"/>
    <s v="SIM"/>
    <m/>
    <m/>
    <m/>
  </r>
  <r>
    <n v="9607825000143"/>
    <x v="1"/>
    <m/>
    <s v="DROGARIA NEDER"/>
    <s v="ALTO ARAGUAIA"/>
    <x v="0"/>
    <s v="INDEPENDENTES VIN"/>
    <s v="SELL IN"/>
    <s v="847010606 - PRICILA MOREIRA DOS SANTOS"/>
    <n v="512.20382468211562"/>
    <n v="287.03000000000003"/>
    <n v="0.56038238327903322"/>
    <n v="0"/>
    <n v="0"/>
    <s v="FORA SCANN"/>
    <s v="Não"/>
    <s v="NÃO"/>
    <s v="Não Comprou"/>
    <s v="NÃO"/>
    <m/>
    <m/>
    <m/>
  </r>
  <r>
    <n v="9433797000195"/>
    <x v="1"/>
    <m/>
    <s v="DROGA FARMAKO"/>
    <s v="BRASILANDIA"/>
    <x v="1"/>
    <s v="FARMAIS"/>
    <s v="SELL IN"/>
    <s v="847010608 - VALTER PEREIRA DA SILVA JUNIOR"/>
    <n v="11081.781940135812"/>
    <n v="6246.5599999999977"/>
    <n v="0.56367829955003101"/>
    <n v="5730.2300000000005"/>
    <n v="0.51708561230990746"/>
    <s v="FORA SCANN"/>
    <s v="Não"/>
    <s v="NÃO"/>
    <s v="Comprou Marcas"/>
    <s v="NÃO"/>
    <m/>
    <m/>
    <m/>
  </r>
  <r>
    <n v="9496232000238"/>
    <x v="1"/>
    <m/>
    <s v="DROGA ASSIS"/>
    <s v="JUARA"/>
    <x v="0"/>
    <s v="ASFAR FARMACIAS"/>
    <s v="SELL IN"/>
    <s v="847010604 - LEONARDO MAZZUCO"/>
    <n v="7204.2443582709902"/>
    <n v="4265.37"/>
    <n v="0.59206348200877568"/>
    <n v="3508.09"/>
    <n v="0.48694766939331546"/>
    <s v="TERMO DEVOLVIDO"/>
    <s v="Não"/>
    <s v="SIM"/>
    <s v="Comprou Marcas"/>
    <s v="SIM"/>
    <n v="4"/>
    <n v="4"/>
    <n v="4"/>
  </r>
  <r>
    <n v="1678322000157"/>
    <x v="1"/>
    <m/>
    <s v="DROGARIA ULTRAPOPULAR"/>
    <s v="ARENAPOLIS"/>
    <x v="0"/>
    <s v="FARMARCAS"/>
    <s v="SELL OUT"/>
    <s v="847010604 - LEONARDO MAZZUCO"/>
    <n v="7836.4485258110753"/>
    <n v="3156.66"/>
    <n v="0.40281767813606412"/>
    <n v="4114.67"/>
    <n v="0.52506820997387083"/>
    <s v="ATIVO"/>
    <s v="Sim"/>
    <s v="NÃO"/>
    <s v="Comprou Marcas"/>
    <s v="SIM"/>
    <m/>
    <m/>
    <m/>
  </r>
  <r>
    <n v="32162131000161"/>
    <x v="1"/>
    <m/>
    <s v="FARMACIA ULTRA POPULAR DE ALTO ARAGUAIA"/>
    <s v="ALTO ARAGUAIA"/>
    <x v="0"/>
    <s v="FARMARCAS"/>
    <s v="SELL OUT"/>
    <s v="847010606 - PRICILA MOREIRA DOS SANTOS"/>
    <n v="12946.150585468898"/>
    <n v="6981.1999999999989"/>
    <n v="0.53924909600818971"/>
    <n v="4852.3900000000003"/>
    <n v="0.3748133445509626"/>
    <s v="ATIVO"/>
    <s v="Sim"/>
    <s v="NÃO"/>
    <s v="Comprou Marcas"/>
    <s v="SIM"/>
    <m/>
    <m/>
    <m/>
  </r>
  <r>
    <n v="8856967000343"/>
    <x v="1"/>
    <m/>
    <s v="FARMACIA ECONOMIZE SINOP"/>
    <s v="SINOP"/>
    <x v="0"/>
    <s v="ECONOMIZE RONDONOPOLIS"/>
    <s v="SELL IN"/>
    <s v="847010605 - ISABELA CAMILA CRUCCITTI"/>
    <n v="7354.8853372779768"/>
    <n v="4044.6899999999996"/>
    <n v="0.54993243463628605"/>
    <n v="0"/>
    <n v="0"/>
    <s v="FORA SCANN"/>
    <s v="Não"/>
    <s v="NÃO"/>
    <s v="Não Comprou"/>
    <s v="SIM"/>
    <m/>
    <m/>
    <m/>
  </r>
  <r>
    <n v="9272038000198"/>
    <x v="1"/>
    <m/>
    <s v="FORMULA FARMA"/>
    <s v="LUCAS DO RIO VERDE"/>
    <x v="0"/>
    <s v="MASTERFARMA"/>
    <s v="SELL IN"/>
    <s v="847010605 - ISABELA CAMILA CRUCCITTI"/>
    <n v="5665.5810128856137"/>
    <n v="3025.09"/>
    <n v="0.53394170750004877"/>
    <n v="2348.0599999999995"/>
    <n v="0.41444293085910305"/>
    <s v="NÃO HOMOLOGADO"/>
    <s v="Não"/>
    <s v="NÃO"/>
    <s v="Comprou Marcas"/>
    <s v="SIM"/>
    <m/>
    <m/>
    <m/>
  </r>
  <r>
    <n v="27769234000154"/>
    <x v="1"/>
    <m/>
    <s v="DROGARIA ULTRAPOPULAR"/>
    <s v="CAMPO NOVO DO PARECIS"/>
    <x v="0"/>
    <s v="FARMARCAS"/>
    <s v="SELL OUT"/>
    <s v="847010604 - LEONARDO MAZZUCO"/>
    <n v="10993.015607729561"/>
    <n v="6530.1099999999988"/>
    <n v="0.59402353576287636"/>
    <n v="5265.3400000000011"/>
    <n v="0.47897139309961156"/>
    <s v="ATIVO"/>
    <s v="Sim"/>
    <s v="NÃO"/>
    <s v="Comprou Marcas e SG"/>
    <s v="SIM"/>
    <m/>
    <m/>
    <m/>
  </r>
  <r>
    <n v="9492647000152"/>
    <x v="1"/>
    <m/>
    <s v="DROGARIAS ULTRA POPULAR"/>
    <s v="GUARANTA DO NORTE"/>
    <x v="0"/>
    <s v="FARMARCAS"/>
    <s v="SELL OUT"/>
    <s v="847010605 - ISABELA CAMILA CRUCCITTI"/>
    <n v="23813.550620309437"/>
    <n v="16229.430000000004"/>
    <n v="0.68152079707755553"/>
    <n v="23193.930000000008"/>
    <n v="0.97398033455032174"/>
    <s v="ATIVO"/>
    <s v="Sim"/>
    <s v="NÃO"/>
    <s v="Comprou Marcas"/>
    <s v="SIM"/>
    <m/>
    <m/>
    <m/>
  </r>
  <r>
    <n v="11964668000175"/>
    <x v="1"/>
    <m/>
    <s v="DROGARIA VIVA MAIS"/>
    <s v="COSTA RICA"/>
    <x v="1"/>
    <s v="MASTERFARMA"/>
    <s v="SELL IN"/>
    <s v="847010608 - VALTER PEREIRA DA SILVA JUNIOR"/>
    <n v="1598.3417616929662"/>
    <n v="1031.1699999999998"/>
    <n v="0.64514988265574869"/>
    <n v="711.49"/>
    <n v="0.44514259531477712"/>
    <s v="TERMO DEVOLVIDO"/>
    <s v="Não"/>
    <s v="SIM"/>
    <s v="Comprou Marcas"/>
    <s v="NÃO"/>
    <m/>
    <m/>
    <m/>
  </r>
  <r>
    <n v="13938314000262"/>
    <x v="10"/>
    <m/>
    <s v="FARMATOTAL"/>
    <s v="CAMPO GRANDE"/>
    <x v="1"/>
    <s v="FARMARCAS"/>
    <s v="SELL OUT"/>
    <s v="847010602 - WELLINGTON DE MORAIS DO NASCIMENTO"/>
    <n v="4501.1340202046877"/>
    <n v="2277.809999999999"/>
    <n v="0.50605247250478813"/>
    <n v="1087.56"/>
    <n v="0.24161911089920035"/>
    <s v="ATIVO"/>
    <s v="Sim"/>
    <s v="NÃO"/>
    <s v="Comprou Marcas"/>
    <s v="SIM"/>
    <m/>
    <m/>
    <m/>
  </r>
  <r>
    <n v="29710511000189"/>
    <x v="1"/>
    <m/>
    <s v="DROGARIA MEGA ECONOMICA"/>
    <s v="SINOP"/>
    <x v="0"/>
    <s v="ASFAR FARMACIAS"/>
    <s v="SELL IN"/>
    <s v="847010605 - ISABELA CAMILA CRUCCITTI"/>
    <n v="4856.2176635139458"/>
    <n v="495.70000000000005"/>
    <n v="0.1020753257672789"/>
    <n v="0"/>
    <n v="0"/>
    <s v="FORA SCANN"/>
    <s v="Não"/>
    <s v="NÃO"/>
    <s v="Não Comprou"/>
    <s v="SIM"/>
    <m/>
    <m/>
    <m/>
  </r>
  <r>
    <n v="33184266000271"/>
    <x v="1"/>
    <m/>
    <s v="DROGARIA MAIS VIDA"/>
    <s v="TABAPORA"/>
    <x v="0"/>
    <s v="INDEPENDENTES VIN"/>
    <s v="SELL IN"/>
    <s v="847010605 - ISABELA CAMILA CRUCCITTI"/>
    <n v="5147.1140701712256"/>
    <n v="4941.6000000000022"/>
    <n v="0.96007198065373622"/>
    <n v="4734.9399999999996"/>
    <n v="0.91992132590185349"/>
    <s v="FORA SCANN"/>
    <s v="Não"/>
    <s v="NÃO"/>
    <s v="Comprou Marcas"/>
    <s v="SIM"/>
    <m/>
    <m/>
    <m/>
  </r>
  <r>
    <n v="33964781000193"/>
    <x v="1"/>
    <m/>
    <s v="FARMACIA BEM MAIS POPULAR"/>
    <s v="BIRIGUI"/>
    <x v="2"/>
    <s v="FARMAIS"/>
    <s v="SELL IN"/>
    <s v="847010608 - VALTER PEREIRA DA SILVA JUNIOR"/>
    <n v="7421.1532234245533"/>
    <n v="5143.5099999999993"/>
    <n v="0.69308769744367082"/>
    <n v="0"/>
    <n v="0"/>
    <m/>
    <m/>
    <m/>
    <s v="Comprou SG"/>
    <m/>
    <m/>
    <m/>
    <m/>
  </r>
  <r>
    <n v="35835186000183"/>
    <x v="1"/>
    <m/>
    <s v="HIPER POPULAR"/>
    <s v="AMAMBAI"/>
    <x v="1"/>
    <s v="HIPER SAUDE"/>
    <s v="SELL IN"/>
    <s v="847010601 - RAFAEL DE OLIVEIRA NASCIMENTO"/>
    <n v="2000.3047455715325"/>
    <n v="1505"/>
    <n v="0.75238535694719222"/>
    <n v="0"/>
    <n v="0"/>
    <s v="ATIVO"/>
    <s v="Não"/>
    <s v="NÃO"/>
    <s v="Não Comprou"/>
    <s v="SIM"/>
    <m/>
    <m/>
    <m/>
  </r>
  <r>
    <n v="36199591000115"/>
    <x v="1"/>
    <m/>
    <s v="FARMACIA POPULAR MAIS SAUDE"/>
    <s v="CAMPO GRANDE"/>
    <x v="1"/>
    <s v="INDEPENDENTES VIN"/>
    <s v="SELL IN"/>
    <s v="847010602 - WELLINGTON DE MORAIS DO NASCIMENTO"/>
    <n v="2480.0667032985407"/>
    <n v="1481.0800000000002"/>
    <n v="0.5971936150064564"/>
    <n v="1109.4100000000001"/>
    <n v="0.44733071030890481"/>
    <s v="FORA SCANN"/>
    <s v="Não"/>
    <s v="NÃO"/>
    <s v="Comprou Marcas"/>
    <s v="SIM"/>
    <m/>
    <m/>
    <m/>
  </r>
  <r>
    <n v="21082444000274"/>
    <x v="1"/>
    <m/>
    <s v="NAYARA F. S. BRITTO"/>
    <s v="AQUIDAUANA"/>
    <x v="1"/>
    <s v="ASSOCIADAS"/>
    <s v="SELL IN"/>
    <s v="847010602 - WELLINGTON DE MORAIS DO NASCIMENTO"/>
    <n v="1446.8688066987622"/>
    <n v="477.72999999999996"/>
    <n v="0.33018197488824791"/>
    <n v="462.21999999999997"/>
    <n v="0.31946227457527465"/>
    <s v="FORA SCANN"/>
    <s v="Não"/>
    <s v="SIM"/>
    <s v="Comprou Marcas"/>
    <s v="SIM"/>
    <m/>
    <m/>
    <m/>
  </r>
  <r>
    <n v="21082444000355"/>
    <x v="1"/>
    <m/>
    <s v="DROGARIA MAIS VIDA"/>
    <s v="AQUIDAUANA"/>
    <x v="1"/>
    <s v="ASSOCIADAS"/>
    <s v="SELL IN"/>
    <s v="847010602 - WELLINGTON DE MORAIS DO NASCIMENTO"/>
    <n v="1075.5054574711826"/>
    <n v="1150.5"/>
    <n v="1.0697295787834966"/>
    <n v="917.29"/>
    <n v="0.85289199941096361"/>
    <s v="FORA SCANN"/>
    <s v="Não"/>
    <s v="SIM"/>
    <s v="Comprou Marcas"/>
    <s v="SIM"/>
    <m/>
    <m/>
    <m/>
  </r>
  <r>
    <n v="49674943000199"/>
    <x v="1"/>
    <m/>
    <s v="FARMACIA + POPULAR"/>
    <s v="DOURADOS"/>
    <x v="1"/>
    <s v="INDEPENDENTES VIN"/>
    <s v="SELL IN"/>
    <s v="847010601 - RAFAEL DE OLIVEIRA NASCIMENTO"/>
    <n v="2373.3354204323905"/>
    <n v="782.36"/>
    <n v="0.32964577752666091"/>
    <n v="119.08"/>
    <n v="5.01741131804729E-2"/>
    <s v="FORA SCANN"/>
    <s v="Não"/>
    <s v="NÃO"/>
    <s v="Comprou Marcas"/>
    <s v="NÃO"/>
    <m/>
    <m/>
    <m/>
  </r>
  <r>
    <n v="65675078000232"/>
    <x v="1"/>
    <m/>
    <s v="DROGARIA RODRIGUES"/>
    <s v="CAMPO GRANDE"/>
    <x v="1"/>
    <s v="INDEPENDENTES VIN"/>
    <s v="SELL IN"/>
    <s v="847010602 - WELLINGTON DE MORAIS DO NASCIMENTO"/>
    <n v="489.35469433829871"/>
    <n v="1115.8200000000002"/>
    <n v="2.2801865659198439"/>
    <n v="884.57"/>
    <n v="1.8076254508932588"/>
    <m/>
    <m/>
    <m/>
    <s v="Comprou Marcas"/>
    <m/>
    <m/>
    <m/>
    <m/>
  </r>
  <r>
    <n v="74413980000190"/>
    <x v="1"/>
    <m/>
    <s v="DROGARIA TOTAL JUSSARA"/>
    <s v="ARACATUBA"/>
    <x v="2"/>
    <s v="DROGARIA TOTAL"/>
    <s v="SELL IN"/>
    <s v="847010608 - VALTER PEREIRA DA SILVA JUNIOR"/>
    <n v="7652.5988944354594"/>
    <n v="847.21999999999991"/>
    <n v="0.11071010145534359"/>
    <n v="0"/>
    <n v="0"/>
    <s v="TERMO DEVOLVIDO"/>
    <s v="Não"/>
    <s v="SIM"/>
    <s v="Comprou SG"/>
    <s v="SIM"/>
    <m/>
    <m/>
    <m/>
  </r>
  <r>
    <n v="39999923000134"/>
    <x v="1"/>
    <m/>
    <s v="DROGARIA UNIVERSO"/>
    <s v="BARRA DO GARCAS"/>
    <x v="0"/>
    <s v="MASTERFARMA"/>
    <s v="SELL IN"/>
    <s v="847010606 - PRICILA MOREIRA DOS SANTOS"/>
    <n v="3849.231116944738"/>
    <n v="2324.2900000000004"/>
    <n v="0.6038322795864921"/>
    <n v="0"/>
    <n v="0"/>
    <s v="ATIVO"/>
    <s v="Não"/>
    <s v="NÃO"/>
    <s v="Não Comprou"/>
    <s v="SIM"/>
    <m/>
    <m/>
    <m/>
  </r>
  <r>
    <n v="41195400000187"/>
    <x v="1"/>
    <m/>
    <s v="DROGARIA LIDER II"/>
    <s v="PARANAIBA"/>
    <x v="1"/>
    <s v="MASTERFARMA"/>
    <s v="SELL IN"/>
    <s v="847010608 - VALTER PEREIRA DA SILVA JUNIOR"/>
    <n v="453.68366385390948"/>
    <n v="1022.5299999999999"/>
    <n v="2.2538391427055315"/>
    <n v="625.78"/>
    <n v="1.3793311283994285"/>
    <s v="TERMO DEVOLVIDO"/>
    <s v="Não"/>
    <s v="NÃO"/>
    <s v="Não Comprou"/>
    <s v="NÃO"/>
    <m/>
    <m/>
    <m/>
  </r>
  <r>
    <n v="44692168001071"/>
    <x v="23"/>
    <m/>
    <s v="CAASP"/>
    <s v="ARACATUBA"/>
    <x v="2"/>
    <s v="CAASP"/>
    <s v="SELL IN"/>
    <s v="847010608 - VALTER PEREIRA DA SILVA JUNIOR"/>
    <n v="2871.404575178562"/>
    <n v="1293.69"/>
    <n v="0.45054257111070817"/>
    <n v="692.93999999999994"/>
    <n v="0.24132440478434097"/>
    <s v="FORA SCANN"/>
    <s v="Não"/>
    <s v="NÃO"/>
    <s v="Comprou Marcas"/>
    <s v="SIM"/>
    <m/>
    <m/>
    <m/>
  </r>
  <r>
    <n v="44944266000168"/>
    <x v="1"/>
    <m/>
    <s v="DROGARIAS BEM POPULAR BRASIL"/>
    <s v="AMAMBAI"/>
    <x v="1"/>
    <s v="COMPRE BEM"/>
    <s v="SELL IN"/>
    <s v="847010601 - RAFAEL DE OLIVEIRA NASCIMENTO"/>
    <n v="4203.9350165169089"/>
    <n v="1609.0199999999998"/>
    <n v="0.38274140624873954"/>
    <n v="0"/>
    <n v="0"/>
    <s v="TERMO DEVOLVIDO"/>
    <s v="Não"/>
    <s v="SIM"/>
    <s v="Comprou SG"/>
    <s v="SIM"/>
    <m/>
    <m/>
    <m/>
  </r>
  <r>
    <n v="33202736000100"/>
    <x v="1"/>
    <m/>
    <s v="FARMACIA MOURA E ASSIS"/>
    <s v="CAMPO GRANDE"/>
    <x v="1"/>
    <s v="INDEPENDENTES VIN"/>
    <s v="SELL IN"/>
    <s v="847010602 - WELLINGTON DE MORAIS DO NASCIMENTO"/>
    <n v="4346.0036595198662"/>
    <n v="1024.26"/>
    <n v="0.23567858663817998"/>
    <n v="862.45"/>
    <n v="0.19844668057534057"/>
    <s v="FORA SCANN"/>
    <s v="Não"/>
    <s v="NÃO"/>
    <s v="Comprou Marcas e SG"/>
    <s v="NÃO"/>
    <m/>
    <m/>
    <m/>
  </r>
  <r>
    <n v="53494508000150"/>
    <x v="24"/>
    <m/>
    <s v="DROGARIA ULTRA NACIONAL"/>
    <s v="TANGARA DA SERRA"/>
    <x v="0"/>
    <s v="ASSOCIADAS"/>
    <s v="SELL IN"/>
    <s v="847010604 - LEONARDO MAZZUCO"/>
    <n v="10835.852884797712"/>
    <n v="14556.599999999993"/>
    <n v="1.3433737200716658"/>
    <n v="12228.849999999995"/>
    <n v="1.1285544506751846"/>
    <s v="FORA SCANN"/>
    <s v="Não"/>
    <s v="NÃO"/>
    <s v="Comprou Marcas"/>
    <s v="SIM"/>
    <n v="4"/>
    <m/>
    <n v="2"/>
  </r>
  <r>
    <n v="54172723000105"/>
    <x v="1"/>
    <m/>
    <s v="FDA PRODUTOS FARMACEUTICOS"/>
    <s v="CAMPO GRANDE"/>
    <x v="1"/>
    <s v="MASTERFARMA"/>
    <s v="SELL IN"/>
    <s v="847010602 - WELLINGTON DE MORAIS DO NASCIMENTO"/>
    <n v="1981.2672940028904"/>
    <n v="1208.31"/>
    <n v="0.60986723177505664"/>
    <n v="1147.1199999999999"/>
    <n v="0.57898295877200623"/>
    <s v="ATIVO"/>
    <s v="Sim"/>
    <s v="NÃO"/>
    <s v="Comprou Marcas"/>
    <s v="NÃO"/>
    <n v="4"/>
    <m/>
    <m/>
  </r>
  <r>
    <n v="62343168000157"/>
    <x v="1"/>
    <m/>
    <s v="DROGARIAS MAXI POPULAR"/>
    <s v="CAMPO GRANDE"/>
    <x v="1"/>
    <s v="FARMARCAS"/>
    <s v="SELL OUT"/>
    <s v="847010602 - WELLINGTON DE MORAIS DO NASCIMENTO"/>
    <n v="5523.2603082210771"/>
    <n v="4854.0899999999992"/>
    <n v="0.87884505330573437"/>
    <n v="0"/>
    <n v="0"/>
    <s v="TERMO DEVOLVIDO"/>
    <s v="Não"/>
    <s v="SIM"/>
    <s v="Não Comprou"/>
    <s v="SIM"/>
    <m/>
    <m/>
    <m/>
  </r>
  <r>
    <n v="26437890000197"/>
    <x v="1"/>
    <m/>
    <s v="DROGARIA POUPE MAIS"/>
    <s v="AGUA BOA"/>
    <x v="0"/>
    <s v="HIPER SAUDE"/>
    <s v="SELL IN"/>
    <s v="847010606 - PRICILA MOREIRA DOS SANTOS"/>
    <n v="4955.906999191001"/>
    <n v="2777.7099999999996"/>
    <n v="0.56048469038128257"/>
    <n v="0"/>
    <n v="0"/>
    <s v="FORA SCANN"/>
    <s v="Não"/>
    <s v="NÃO"/>
    <s v="Não Comprou"/>
    <s v="SIM"/>
    <m/>
    <m/>
    <m/>
  </r>
  <r>
    <n v="28059864000106"/>
    <x v="1"/>
    <m/>
    <s v="CARLOS EDUARDO MARCILIO ANHANI &amp; CIA (FARMACIA)"/>
    <s v="VALPARAISO"/>
    <x v="2"/>
    <s v="FARMARCAS"/>
    <s v="SELL OUT"/>
    <s v="847010608 - VALTER PEREIRA DA SILVA JUNIOR"/>
    <n v="2197.3178995416538"/>
    <n v="537.27"/>
    <n v="0.24451172955541436"/>
    <n v="361.69"/>
    <n v="0.16460522170025838"/>
    <s v="ATIVO"/>
    <s v="Sim"/>
    <s v="NÃO"/>
    <s v="Comprou Marcas"/>
    <s v="NÃO"/>
    <m/>
    <m/>
    <m/>
  </r>
  <r>
    <n v="29601304000196"/>
    <x v="1"/>
    <m/>
    <s v="DROGARIA ALVORADA"/>
    <s v="NOVA ALVORADA DO SUL"/>
    <x v="1"/>
    <s v="ASSOCIADAS"/>
    <s v="SELL IN"/>
    <s v="847010601 - RAFAEL DE OLIVEIRA NASCIMENTO"/>
    <n v="3706.73101922767"/>
    <n v="7519.98"/>
    <n v="2.0287363612282969"/>
    <n v="4708.41"/>
    <n v="1.2702324435132708"/>
    <m/>
    <m/>
    <m/>
    <s v="Comprou Marcas"/>
    <m/>
    <m/>
    <m/>
    <m/>
  </r>
  <r>
    <n v="32203543000100"/>
    <x v="1"/>
    <m/>
    <s v="UP 2"/>
    <s v="PONTA PORA"/>
    <x v="1"/>
    <s v="MASTERFARMA"/>
    <s v="SELL IN"/>
    <s v="847010601 - RAFAEL DE OLIVEIRA NASCIMENTO"/>
    <n v="1375.8832666871485"/>
    <n v="34.659999999999997"/>
    <n v="2.5191090581001351E-2"/>
    <n v="0"/>
    <n v="0"/>
    <s v="FORA SCANN"/>
    <s v="Não"/>
    <s v="NÃO"/>
    <s v="Não Comprou"/>
    <s v="NÃO"/>
    <m/>
    <m/>
    <m/>
  </r>
  <r>
    <n v="42038804000120"/>
    <x v="1"/>
    <m/>
    <s v="DROGARIA BIG MAIS"/>
    <s v="VARZEA GRANDE"/>
    <x v="0"/>
    <s v="MASTERFARMA"/>
    <s v="SELL IN"/>
    <s v="847010603 - ERIVALDO DA SILVA MACIEL"/>
    <n v="3616.9622072327206"/>
    <n v="1582.82"/>
    <n v="0.43761032305919223"/>
    <n v="0"/>
    <n v="0"/>
    <s v="TERMO DEVOLVIDO"/>
    <s v="Não"/>
    <s v="SIM"/>
    <s v="Não Comprou"/>
    <s v="NÃO"/>
    <m/>
    <m/>
    <m/>
  </r>
  <r>
    <n v="42070773000194"/>
    <x v="1"/>
    <m/>
    <s v="DROGARIA DAVI PAJU"/>
    <s v="APARECIDA DO TABOADO"/>
    <x v="1"/>
    <s v="FARMA &amp; FARMA"/>
    <s v="SELL IN"/>
    <s v="847010608 - VALTER PEREIRA DA SILVA JUNIOR"/>
    <n v="20810.913353827415"/>
    <n v="13127.669999999995"/>
    <n v="0.63080700864989347"/>
    <n v="6812.7999999999984"/>
    <n v="0.32736669862435569"/>
    <s v="ATIVO"/>
    <s v="Sim"/>
    <s v="NÃO"/>
    <s v="Comprou Marcas"/>
    <s v="SIM"/>
    <m/>
    <m/>
    <m/>
  </r>
  <r>
    <n v="42438050000103"/>
    <x v="1"/>
    <m/>
    <s v="DROGARIA ELDORADO PENAPOLIS"/>
    <s v="PENAPOLIS"/>
    <x v="2"/>
    <s v="DROGARIA TOTAL"/>
    <s v="SELL IN"/>
    <s v="847010608 - VALTER PEREIRA DA SILVA JUNIOR"/>
    <n v="4476.7852247262517"/>
    <n v="2993.6799999999994"/>
    <n v="0.66871199973258899"/>
    <n v="0"/>
    <n v="0"/>
    <s v="ATIVO"/>
    <s v="Sim"/>
    <s v="NÃO"/>
    <s v="Não Comprou"/>
    <s v="SIM"/>
    <m/>
    <m/>
    <m/>
  </r>
  <r>
    <n v="46237162000149"/>
    <x v="1"/>
    <m/>
    <s v="PANTANAL COMERCIO DE MEDICAMENTOS"/>
    <s v="CAMPO GRANDE"/>
    <x v="1"/>
    <s v="MASTERFARMA"/>
    <s v="SELL IN"/>
    <s v="847010602 - WELLINGTON DE MORAIS DO NASCIMENTO"/>
    <n v="2720.1152433028265"/>
    <n v="1109.77"/>
    <n v="0.4079863905517811"/>
    <n v="793.83000000000015"/>
    <n v="0.29183689990873823"/>
    <s v="TERMO DEVOLVIDO"/>
    <s v="Não"/>
    <s v="NÃO"/>
    <s v="Comprou Marcas"/>
    <s v="NÃO"/>
    <m/>
    <m/>
    <m/>
  </r>
  <r>
    <n v="12804850000121"/>
    <x v="1"/>
    <m/>
    <s v="DROGARIA CERTA"/>
    <s v="BARRA DO GARCAS"/>
    <x v="0"/>
    <s v="ASSOCIADAS"/>
    <s v="SELL IN"/>
    <s v="847010606 - PRICILA MOREIRA DOS SANTOS"/>
    <n v="2839.354819262101"/>
    <n v="974.86000000000013"/>
    <n v="0.34333856176994088"/>
    <n v="0"/>
    <n v="0"/>
    <s v="FORA SCANN"/>
    <s v="Não"/>
    <s v="NÃO"/>
    <s v="Não Comprou"/>
    <s v="SIM"/>
    <n v="1"/>
    <m/>
    <m/>
  </r>
  <r>
    <n v="12909312000100"/>
    <x v="1"/>
    <m/>
    <s v="FARMACIA BIOFARMA"/>
    <s v="NOVA MUTUM"/>
    <x v="0"/>
    <s v="ASSOCIADAS"/>
    <s v="SELL IN"/>
    <s v="847010604 - LEONARDO MAZZUCO"/>
    <n v="3807.1865818788751"/>
    <n v="3644.7300000000005"/>
    <n v="0.95732896762871522"/>
    <n v="1446.1299999999997"/>
    <n v="0.37984216662329262"/>
    <s v="FORA SCANN"/>
    <s v="Não"/>
    <s v="SIM"/>
    <s v="Comprou Marcas"/>
    <s v="SIM"/>
    <m/>
    <m/>
    <m/>
  </r>
  <r>
    <n v="13234023000102"/>
    <x v="1"/>
    <m/>
    <s v="DROGARIA NOVA AMERICA"/>
    <s v="CUIABA"/>
    <x v="0"/>
    <s v="HIPER SAUDE"/>
    <s v="SELL IN"/>
    <s v="847010603 - ERIVALDO DA SILVA MACIEL"/>
    <n v="5214.8995321757593"/>
    <n v="4122.24"/>
    <n v="0.79047352198559417"/>
    <n v="3586.1300000000006"/>
    <n v="0.68767000742271178"/>
    <s v="FORA SCANN"/>
    <s v="Não"/>
    <s v="NÃO"/>
    <s v="Comprou Marcas"/>
    <s v="NÃO"/>
    <m/>
    <m/>
    <m/>
  </r>
  <r>
    <n v="13938314000181"/>
    <x v="10"/>
    <m/>
    <s v="ULTRA POPULAR"/>
    <s v="CAMPO GRANDE"/>
    <x v="1"/>
    <s v="FARMARCAS"/>
    <s v="SELL OUT"/>
    <s v="847010602 - WELLINGTON DE MORAIS DO NASCIMENTO"/>
    <n v="5734.4490425187641"/>
    <n v="2903.1400000000003"/>
    <n v="0.50626310888357684"/>
    <n v="1056.74"/>
    <n v="0.18427925545500079"/>
    <s v="ATIVO"/>
    <s v="Sim"/>
    <s v="NÃO"/>
    <s v="Comprou Marcas"/>
    <s v="SIM"/>
    <m/>
    <m/>
    <m/>
  </r>
  <r>
    <n v="38335229000150"/>
    <x v="1"/>
    <m/>
    <s v="F. H. S. MATRICARDI DROGARIA PIRAPOZINHO"/>
    <s v="PIRAPOZINHO"/>
    <x v="2"/>
    <s v="REDE POUPE AQUI"/>
    <s v="SELL IN"/>
    <s v="847010607 - MANUEL ARIEDE ARTERO"/>
    <n v="2607.1299808243411"/>
    <n v="1692.2700000000004"/>
    <n v="0.64909306879472362"/>
    <n v="705.46999999999991"/>
    <n v="0.27059256929604231"/>
    <s v="ATIVO"/>
    <s v="Sim"/>
    <s v="NÃO"/>
    <s v="Comprou Marcas e SG"/>
    <s v="NÃO"/>
    <m/>
    <m/>
    <m/>
  </r>
  <r>
    <n v="41140364000154"/>
    <x v="1"/>
    <m/>
    <s v="DROGARIA NOVA ESPERANCA"/>
    <s v="ARAGARCAS"/>
    <x v="3"/>
    <s v="INDEPENDENTES VIN"/>
    <s v="SELL IN"/>
    <s v="847010606 - PRICILA MOREIRA DOS SANTOS"/>
    <n v="1910.037112839673"/>
    <n v="144.47999999999999"/>
    <n v="7.5642509262660348E-2"/>
    <n v="0"/>
    <n v="0"/>
    <s v="FORA SCANN"/>
    <s v="Não"/>
    <s v="NÃO"/>
    <s v="Não Comprou"/>
    <s v="NÃO"/>
    <m/>
    <m/>
    <m/>
  </r>
  <r>
    <n v="55557060000100"/>
    <x v="1"/>
    <m/>
    <s v="VENCESLAU FARMA"/>
    <s v="PRESIDENTE VENCESLAU"/>
    <x v="2"/>
    <s v="INDEPENDENTES VIN"/>
    <s v="SELL IN"/>
    <s v="847010607 - MANUEL ARIEDE ARTERO"/>
    <n v="9160.8874009266783"/>
    <n v="4448.2199999999993"/>
    <n v="0.4855664964891977"/>
    <n v="2283.5700000000002"/>
    <n v="0.24927388582125826"/>
    <s v="FORA SCANN"/>
    <s v="Não"/>
    <s v="NÃO"/>
    <s v="Comprou Marcas e SG"/>
    <s v="SIM"/>
    <m/>
    <m/>
    <m/>
  </r>
  <r>
    <n v="56129324000189"/>
    <x v="1"/>
    <m/>
    <s v="PFR COMERCIO DE MEDICAMENTOS E PERFUMARIA"/>
    <s v="CAMPO GRANDE"/>
    <x v="1"/>
    <s v="INDEPENDENTES VIN"/>
    <s v="SELL IN"/>
    <s v="847010602 - WELLINGTON DE MORAIS DO NASCIMENTO"/>
    <n v="2928.0320810963517"/>
    <n v="253.66000000000003"/>
    <n v="8.663156446872719E-2"/>
    <n v="0"/>
    <n v="0"/>
    <s v="FORA SCANN"/>
    <s v="Não"/>
    <s v="NÃO"/>
    <s v="Não Comprou"/>
    <s v="NÃO"/>
    <m/>
    <m/>
    <m/>
  </r>
  <r>
    <n v="49672071000120"/>
    <x v="1"/>
    <m/>
    <s v="FARMACIA SUPER POPULAR"/>
    <s v="VICENTINA"/>
    <x v="1"/>
    <s v="MASTERFARMA"/>
    <s v="SELL IN"/>
    <s v="847010601 - RAFAEL DE OLIVEIRA NASCIMENTO"/>
    <n v="6654.2047058566623"/>
    <n v="3360.8599999999997"/>
    <n v="0.50507313023327294"/>
    <n v="0"/>
    <n v="0"/>
    <s v="TERMO DEVOLVIDO"/>
    <s v="Não"/>
    <s v="SIM"/>
    <s v="Não Comprou"/>
    <s v="SIM"/>
    <m/>
    <m/>
    <m/>
  </r>
  <r>
    <n v="51601157000103"/>
    <x v="1"/>
    <m/>
    <s v="MINAS FARMA CARMINDO"/>
    <s v="CUIABA"/>
    <x v="0"/>
    <s v="HIPER SAUDE"/>
    <s v="SELL IN"/>
    <s v="847010603 - ERIVALDO DA SILVA MACIEL"/>
    <n v="6715.2608042558431"/>
    <n v="1158.27"/>
    <n v="0.17248324879145993"/>
    <n v="0"/>
    <n v="0"/>
    <s v="TERMO DEVOLVIDO"/>
    <s v="Não"/>
    <s v="NÃO"/>
    <s v="Não Comprou"/>
    <s v="NÃO"/>
    <m/>
    <m/>
    <m/>
  </r>
  <r>
    <n v="52286494000116"/>
    <x v="1"/>
    <m/>
    <s v="FARMACIA HIPER POPULAR"/>
    <s v="NAVIRAI"/>
    <x v="1"/>
    <s v="HIPER SAUDE"/>
    <s v="SELL IN"/>
    <s v="847010601 - RAFAEL DE OLIVEIRA NASCIMENTO"/>
    <n v="4828.3343698852959"/>
    <n v="2339.0699999999997"/>
    <n v="0.48444656496637117"/>
    <n v="1111.74"/>
    <n v="0.23025331611953193"/>
    <s v="ATIVO"/>
    <s v="Não"/>
    <s v="NÃO"/>
    <s v="Comprou Marcas"/>
    <s v="SIM"/>
    <m/>
    <m/>
    <m/>
  </r>
  <r>
    <n v="54806695000122"/>
    <x v="1"/>
    <m/>
    <s v="DROGARIAS BEM POPULAR BRASIL"/>
    <s v="SINOP"/>
    <x v="0"/>
    <s v="COMPRE BEM"/>
    <s v="SELL IN"/>
    <s v="847010605 - ISABELA CAMILA CRUCCITTI"/>
    <n v="788.48511890421298"/>
    <n v="58.45"/>
    <n v="7.4129490333603429E-2"/>
    <n v="0"/>
    <n v="0"/>
    <s v="TERMO DEVOLVIDO"/>
    <s v="Não"/>
    <s v="SIM"/>
    <s v="Não Comprou"/>
    <s v="NÃO"/>
    <m/>
    <m/>
    <m/>
  </r>
  <r>
    <n v="779082000114"/>
    <x v="1"/>
    <m/>
    <s v="DROGARIA GLOBO"/>
    <s v="MUNDO NOVO"/>
    <x v="1"/>
    <s v="MASTERFARMA"/>
    <s v="SELL IN"/>
    <s v="847010601 - RAFAEL DE OLIVEIRA NASCIMENTO"/>
    <n v="8021.2298793451855"/>
    <n v="2752.65"/>
    <n v="0.34317056628536785"/>
    <n v="0"/>
    <n v="0"/>
    <s v="ATIVO"/>
    <s v="Não"/>
    <s v="NÃO"/>
    <s v="Não Comprou"/>
    <s v="SIM"/>
    <m/>
    <m/>
    <m/>
  </r>
  <r>
    <n v="2351409000188"/>
    <x v="1"/>
    <m/>
    <s v="DROGARIA CLAUDIAFARMA"/>
    <s v="DRACENA"/>
    <x v="2"/>
    <s v="DROGARIA TOTAL"/>
    <s v="SELL IN"/>
    <s v="847010607 - MANUEL ARIEDE ARTERO"/>
    <n v="5965.0356958507109"/>
    <n v="3825.3899999999994"/>
    <n v="0.64130211369245405"/>
    <n v="3262.95"/>
    <n v="0.54701265279430156"/>
    <s v="ATIVO"/>
    <s v="Sim"/>
    <s v="NÃO"/>
    <s v="Comprou Marcas"/>
    <s v="SIM"/>
    <m/>
    <m/>
    <m/>
  </r>
  <r>
    <n v="2703345000137"/>
    <x v="1"/>
    <m/>
    <s v="FARMACIA FLOR DE MAIO"/>
    <s v="SINOP"/>
    <x v="0"/>
    <s v="INDEPENDENTES VIN"/>
    <s v="SELL IN"/>
    <s v="847010605 - ISABELA CAMILA CRUCCITTI"/>
    <n v="5038.3400169693577"/>
    <n v="291.60000000000002"/>
    <n v="5.7876205063151352E-2"/>
    <n v="0"/>
    <n v="0"/>
    <s v="ATIVO"/>
    <s v="Sim"/>
    <s v="NÃO"/>
    <s v="Não Comprou"/>
    <s v="SIM"/>
    <n v="1"/>
    <m/>
    <m/>
  </r>
  <r>
    <n v="3484949000100"/>
    <x v="1"/>
    <m/>
    <s v="FCIA MANIP ALQUIMIA"/>
    <s v="CASSILANDIA"/>
    <x v="1"/>
    <s v="INDEPENDENTES VIN"/>
    <s v="SELL IN"/>
    <s v="847010608 - VALTER PEREIRA DA SILVA JUNIOR"/>
    <n v="6071.8245729347054"/>
    <n v="5171.37"/>
    <n v="0.85169950776435444"/>
    <n v="1491.27"/>
    <n v="0.24560492189569666"/>
    <s v="ATIVO"/>
    <s v="Sim"/>
    <s v="NÃO"/>
    <s v="Comprou Marcas"/>
    <s v="SIM"/>
    <n v="4"/>
    <m/>
    <n v="6"/>
  </r>
  <r>
    <n v="4050862000260"/>
    <x v="10"/>
    <m/>
    <s v="FARMATOTAL"/>
    <s v="CAMPO GRANDE"/>
    <x v="1"/>
    <s v="FARMARCAS"/>
    <s v="SELL OUT"/>
    <s v="847010602 - WELLINGTON DE MORAIS DO NASCIMENTO"/>
    <n v="9696.8797485826071"/>
    <n v="5443.22"/>
    <n v="0.5613372694237686"/>
    <n v="1324.7800000000002"/>
    <n v="0.13661920476982745"/>
    <s v="ATIVO"/>
    <s v="Sim"/>
    <s v="NÃO"/>
    <s v="Comprou Marcas"/>
    <s v="SIM"/>
    <m/>
    <m/>
    <n v="1"/>
  </r>
  <r>
    <n v="4248248000127"/>
    <x v="22"/>
    <n v="11583"/>
    <s v="DROG ODEON II"/>
    <s v="TRES LAGOAS"/>
    <x v="1"/>
    <s v="MULTIDROGAS"/>
    <s v="SELL IN"/>
    <s v="847010608 - VALTER PEREIRA DA SILVA JUNIOR"/>
    <n v="35859.292894229722"/>
    <n v="24698.090000000004"/>
    <n v="0.68875005630616559"/>
    <n v="24120.170000000006"/>
    <n v="0.67263373182356556"/>
    <s v="ATIVO"/>
    <s v="Sim"/>
    <s v="NÃO"/>
    <s v="Comprou Marcas e SG"/>
    <s v="SIM"/>
    <n v="7"/>
    <m/>
    <n v="1"/>
  </r>
  <r>
    <n v="2608021000110"/>
    <x v="17"/>
    <m/>
    <s v="DROGARIA OPERARIA II"/>
    <s v="RONDONOPOLIS"/>
    <x v="0"/>
    <s v="ASSOCIADAS"/>
    <s v="SELL IN"/>
    <s v="847010603 - ERIVALDO DA SILVA MACIEL"/>
    <n v="4180.2552141041706"/>
    <n v="1565.22"/>
    <n v="0.37443168415147277"/>
    <n v="137.85"/>
    <n v="3.297645548886452E-2"/>
    <s v="FORA SCANN"/>
    <s v="Não"/>
    <s v="NÃO"/>
    <s v="Comprou Marcas"/>
    <s v="NÃO"/>
    <m/>
    <m/>
    <m/>
  </r>
  <r>
    <n v="3577994000100"/>
    <x v="1"/>
    <m/>
    <s v="MASTER FARMA"/>
    <s v="MATUPA"/>
    <x v="0"/>
    <s v="MASTERFARMA"/>
    <s v="SELL IN"/>
    <s v="847010605 - ISABELA CAMILA CRUCCITTI"/>
    <n v="4559.649433259111"/>
    <n v="2959.18"/>
    <n v="0.64899287616610912"/>
    <n v="2144.44"/>
    <n v="0.4703080864853274"/>
    <s v="ATIVO"/>
    <s v="Sim"/>
    <s v="NÃO"/>
    <s v="Comprou Marcas"/>
    <s v="SIM"/>
    <m/>
    <m/>
    <m/>
  </r>
  <r>
    <n v="62145174000108"/>
    <x v="1"/>
    <m/>
    <s v="PRIME FARMA"/>
    <s v="PRIMAVERA DO LESTE"/>
    <x v="0"/>
    <s v="INDEPENDENTES VIN"/>
    <s v="SELL IN"/>
    <s v="847010606 - PRICILA MOREIRA DOS SANTOS"/>
    <n v="2067.7488709561685"/>
    <n v="1912.0900000000001"/>
    <n v="0.92472061131669792"/>
    <n v="0"/>
    <n v="0"/>
    <s v="FORA SCANN"/>
    <s v="Não"/>
    <s v="NÃO"/>
    <s v="Não Comprou"/>
    <s v="NÃO"/>
    <m/>
    <m/>
    <m/>
  </r>
  <r>
    <n v="4383728000109"/>
    <x v="1"/>
    <m/>
    <s v="FCIA ANHANI &amp; LISBOA"/>
    <s v="MIRANDOPOLIS"/>
    <x v="2"/>
    <s v="DSG FARMA"/>
    <s v="SELL IN"/>
    <s v="847010608 - VALTER PEREIRA DA SILVA JUNIOR"/>
    <n v="7699.421640208484"/>
    <n v="3465.1099999999997"/>
    <n v="0.45004808957392961"/>
    <n v="3329.9600000000005"/>
    <n v="0.43249482306697418"/>
    <s v="ATIVO"/>
    <s v="Sim"/>
    <s v="NÃO"/>
    <s v="Comprou Marcas e SG"/>
    <s v="SIM"/>
    <m/>
    <m/>
    <m/>
  </r>
  <r>
    <n v="55497176000192"/>
    <x v="1"/>
    <m/>
    <s v="DROGARIA PARAISO"/>
    <s v="PACAEMBU"/>
    <x v="2"/>
    <s v="MULTIDROGAS"/>
    <s v="SELL IN"/>
    <s v="847010607 - MANUEL ARIEDE ARTERO"/>
    <n v="3173.1513959558215"/>
    <n v="2188.77"/>
    <n v="0.68977799256272021"/>
    <n v="2129.12"/>
    <n v="0.67097964588565218"/>
    <s v="ATIVO"/>
    <s v="Não"/>
    <s v="NÃO"/>
    <s v="Comprou Marcas"/>
    <s v="SIM"/>
    <m/>
    <m/>
    <m/>
  </r>
  <r>
    <n v="9492647000829"/>
    <x v="1"/>
    <m/>
    <s v="DROGARIAS ULTRA POPULAR"/>
    <s v="PARANAITA"/>
    <x v="0"/>
    <s v="FARMARCAS"/>
    <s v="SELL OUT"/>
    <s v="847010605 - ISABELA CAMILA CRUCCITTI"/>
    <n v="15368.611101298697"/>
    <n v="9032.6400000000012"/>
    <n v="0.58773300596022726"/>
    <n v="12938.199999999997"/>
    <n v="0.84185876750480582"/>
    <s v="ATIVO"/>
    <s v="Sim"/>
    <s v="NÃO"/>
    <s v="Comprou Marcas"/>
    <s v="SIM"/>
    <m/>
    <m/>
    <m/>
  </r>
  <r>
    <n v="9571632000180"/>
    <x v="1"/>
    <m/>
    <s v="DROGARIAS ULTRA POPULAR"/>
    <s v="COMODORO"/>
    <x v="0"/>
    <s v="FARMARCAS"/>
    <s v="SELL OUT"/>
    <s v="847010604 - LEONARDO MAZZUCO"/>
    <n v="9110.9575967773198"/>
    <n v="5705.3100000000013"/>
    <n v="0.62620311195587752"/>
    <n v="4741.24"/>
    <n v="0.52038876810018808"/>
    <s v="TERMO DEVOLVIDO"/>
    <s v="Não"/>
    <s v="SIM"/>
    <s v="Comprou Marcas"/>
    <s v="SIM"/>
    <m/>
    <m/>
    <m/>
  </r>
  <r>
    <n v="62569939000129"/>
    <x v="1"/>
    <m/>
    <s v="DROGARIA MAIS SAUDE POPULAR"/>
    <s v="PRIMAVERA DO LESTE"/>
    <x v="0"/>
    <s v="REDE POUPE AQUI"/>
    <s v="SELL IN"/>
    <s v="847010606 - PRICILA MOREIRA DOS SANTOS"/>
    <n v="701.75541114768964"/>
    <n v="182.99"/>
    <n v="0.26076036905896888"/>
    <n v="0"/>
    <n v="0"/>
    <m/>
    <m/>
    <m/>
    <s v="Não Comprou"/>
    <m/>
    <m/>
    <m/>
    <m/>
  </r>
  <r>
    <n v="49340554000127"/>
    <x v="1"/>
    <m/>
    <s v="HIPER POPULAR DROGARIA"/>
    <s v="SAPEZAL"/>
    <x v="0"/>
    <s v="HIPER SAUDE"/>
    <s v="SELL IN"/>
    <s v="847010604 - LEONARDO MAZZUCO"/>
    <n v="7047.6976686977341"/>
    <n v="4090.7700000000009"/>
    <n v="0.58044061937689351"/>
    <n v="3446.29"/>
    <n v="0.48899515302801033"/>
    <s v="ATIVO"/>
    <s v="Não"/>
    <s v="NÃO"/>
    <s v="Comprou Marcas"/>
    <s v="SIM"/>
    <m/>
    <m/>
    <m/>
  </r>
  <r>
    <n v="49560389000208"/>
    <x v="1"/>
    <m/>
    <s v="DROGARIA POPULAR SAUDE FARMA FILIAL 2"/>
    <s v="CAMPO GRANDE"/>
    <x v="1"/>
    <s v="ASSOCIADAS"/>
    <s v="SELL IN"/>
    <s v="847010602 - WELLINGTON DE MORAIS DO NASCIMENTO"/>
    <n v="2067.1661373761171"/>
    <n v="580.12999999999988"/>
    <n v="0.28064023955828099"/>
    <n v="0"/>
    <n v="0"/>
    <s v="FORA SCANN"/>
    <s v="Não"/>
    <s v="SIM"/>
    <s v="Não Comprou"/>
    <s v="NÃO"/>
    <m/>
    <m/>
    <m/>
  </r>
  <r>
    <n v="52852354000168"/>
    <x v="1"/>
    <m/>
    <s v="7 PHARMA"/>
    <s v="TRES LAGOAS"/>
    <x v="1"/>
    <s v="ASSOCIADAS"/>
    <s v="SELL IN"/>
    <s v="847010608 - VALTER PEREIRA DA SILVA JUNIOR"/>
    <n v="6412.0350027199138"/>
    <n v="3463.19"/>
    <n v="0.5401077814657832"/>
    <n v="2148.46"/>
    <n v="0.33506679222565805"/>
    <s v="FORA SCANN"/>
    <s v="Não"/>
    <s v="SIM"/>
    <s v="Comprou Marcas"/>
    <s v="NÃO"/>
    <m/>
    <m/>
    <n v="1"/>
  </r>
  <r>
    <n v="50357285000190"/>
    <x v="1"/>
    <m/>
    <s v="DROGARIAS FARMARELA"/>
    <s v="CAMPO GRANDE"/>
    <x v="1"/>
    <s v="ECONOMIZE RONDONOPOLIS"/>
    <s v="SELL IN"/>
    <s v="847010602 - WELLINGTON DE MORAIS DO NASCIMENTO"/>
    <n v="15557.601534356534"/>
    <n v="6942.2799999999988"/>
    <n v="0.44623073708817246"/>
    <n v="0"/>
    <n v="0"/>
    <s v="FORA SCANN"/>
    <s v="Não"/>
    <s v="SIM"/>
    <s v="Não Comprou"/>
    <s v="NÃO"/>
    <m/>
    <m/>
    <m/>
  </r>
  <r>
    <n v="50963555000107"/>
    <x v="1"/>
    <m/>
    <s v="FARMAVOCE"/>
    <s v="COLIDER"/>
    <x v="0"/>
    <s v="INDEPENDENTES VIN"/>
    <s v="SELL IN"/>
    <s v="847010605 - ISABELA CAMILA CRUCCITTI"/>
    <n v="9994.728787519427"/>
    <n v="6935.94"/>
    <n v="0.69395980095638166"/>
    <n v="3669.14"/>
    <n v="0.36710751016893145"/>
    <s v="FORA SCANN"/>
    <s v="Não"/>
    <s v="NÃO"/>
    <s v="Comprou Marcas"/>
    <s v="SIM"/>
    <m/>
    <m/>
    <m/>
  </r>
  <r>
    <n v="52834325000173"/>
    <x v="1"/>
    <m/>
    <s v="DROGARIA BEM MAIS POPULAR BRASIL"/>
    <s v="AGUA BOA"/>
    <x v="0"/>
    <s v="COMPRE BEM"/>
    <s v="SELL IN"/>
    <s v="847010606 - PRICILA MOREIRA DOS SANTOS"/>
    <n v="4776.9568039854239"/>
    <n v="2548.1499999999996"/>
    <n v="0.53342538033295028"/>
    <n v="0"/>
    <n v="0"/>
    <s v="ATIVO"/>
    <s v="Não"/>
    <s v="NÃO"/>
    <s v="Não Comprou"/>
    <s v="SIM"/>
    <n v="4"/>
    <m/>
    <m/>
  </r>
  <r>
    <n v="56193995000109"/>
    <x v="1"/>
    <m/>
    <s v="INOVEFARMA"/>
    <s v="PEDRO GOMES"/>
    <x v="1"/>
    <s v="INDEPENDENTES VIN"/>
    <s v="SELL IN"/>
    <s v="847010602 - WELLINGTON DE MORAIS DO NASCIMENTO"/>
    <n v="2202.0601050805026"/>
    <n v="980.11"/>
    <n v="0.44508776020179036"/>
    <n v="0"/>
    <n v="0"/>
    <m/>
    <m/>
    <m/>
    <s v="Não Comprou"/>
    <m/>
    <m/>
    <m/>
    <m/>
  </r>
  <r>
    <n v="73706830000102"/>
    <x v="1"/>
    <n v="1372"/>
    <s v="DROGARIA SAO LOURENCO"/>
    <s v="MIRANDA"/>
    <x v="1"/>
    <s v="INDEPENDENTES VIN"/>
    <s v="SELL IN"/>
    <s v="847010602 - WELLINGTON DE MORAIS DO NASCIMENTO"/>
    <n v="24891.470686369972"/>
    <n v="13015.46"/>
    <n v="0.52288834854290001"/>
    <n v="10215.18"/>
    <n v="0.41038876845447347"/>
    <s v="FORA SCANN"/>
    <s v="Não"/>
    <s v="NÃO"/>
    <s v="Comprou Marcas e SG"/>
    <s v="SIM"/>
    <m/>
    <m/>
    <m/>
  </r>
  <r>
    <n v="7542034000157"/>
    <x v="1"/>
    <m/>
    <s v="DROGARIA PROGRESSO"/>
    <s v="PRESIDENTE VENCESLAU"/>
    <x v="2"/>
    <s v="BIODROGAS"/>
    <s v="SELL IN"/>
    <s v="847010607 - MANUEL ARIEDE ARTERO"/>
    <n v="10514.823674811154"/>
    <n v="6587.68"/>
    <n v="0.62651359677872254"/>
    <n v="919.55"/>
    <n v="8.7452726592347263E-2"/>
    <s v="FORA SCANN"/>
    <s v="Não"/>
    <s v="SIM"/>
    <s v="Comprou Marcas e SG"/>
    <s v="SIM"/>
    <m/>
    <m/>
    <m/>
  </r>
  <r>
    <n v="7863592000114"/>
    <x v="1"/>
    <m/>
    <s v="DROGARIA MONTALVAO"/>
    <s v="PRESIDENTE PRUDENTE"/>
    <x v="2"/>
    <s v="INDEPENDENTES VIN"/>
    <s v="SELL IN"/>
    <s v="847010607 - MANUEL ARIEDE ARTERO"/>
    <n v="3440.700983933461"/>
    <n v="1466.3600000000001"/>
    <n v="0.42618059716530071"/>
    <n v="0"/>
    <n v="0"/>
    <s v="FORA SCANN"/>
    <s v="Não"/>
    <s v="NÃO"/>
    <s v="Não Comprou"/>
    <s v="NÃO"/>
    <m/>
    <m/>
    <m/>
  </r>
  <r>
    <n v="8986750000358"/>
    <x v="1"/>
    <m/>
    <s v="DROGARIA FARMALIMA"/>
    <s v="CAMPO GRANDE"/>
    <x v="1"/>
    <s v="ASSOCIADAS"/>
    <s v="SELL IN"/>
    <s v="847010602 - WELLINGTON DE MORAIS DO NASCIMENTO"/>
    <n v="2338.3007894439406"/>
    <n v="1075.94"/>
    <n v="0.46013755153196689"/>
    <n v="0"/>
    <n v="0"/>
    <s v="FORA SCANN"/>
    <s v="Não"/>
    <s v="SIM"/>
    <s v="Não Comprou"/>
    <s v="NÃO"/>
    <m/>
    <m/>
    <m/>
  </r>
  <r>
    <n v="9267822000108"/>
    <x v="1"/>
    <m/>
    <s v="DROGARIA PRO VIDA"/>
    <s v="CUIABA"/>
    <x v="0"/>
    <s v="MASTERFARMA"/>
    <s v="SELL IN"/>
    <s v="847010603 - ERIVALDO DA SILVA MACIEL"/>
    <n v="3512.7989134551322"/>
    <n v="1566.1400000000003"/>
    <n v="0.44583821578889365"/>
    <n v="0"/>
    <n v="0"/>
    <m/>
    <m/>
    <m/>
    <s v="Não Comprou"/>
    <m/>
    <m/>
    <m/>
    <m/>
  </r>
  <r>
    <n v="10272710000124"/>
    <x v="1"/>
    <m/>
    <s v="CRIS FARMA"/>
    <s v="RIO BRILHANTE"/>
    <x v="1"/>
    <s v="INDEPENDENTES VIN"/>
    <s v="SELL IN"/>
    <s v="847010601 - RAFAEL DE OLIVEIRA NASCIMENTO"/>
    <n v="2327.5496009490444"/>
    <n v="1221.08"/>
    <n v="0.52462039885298761"/>
    <n v="557.9"/>
    <n v="0.23969414004003162"/>
    <s v="ATIVO"/>
    <s v="Não"/>
    <s v="NÃO"/>
    <s v="Comprou Marcas"/>
    <s v="NÃO"/>
    <m/>
    <m/>
    <m/>
  </r>
  <r>
    <n v="48798235000105"/>
    <x v="1"/>
    <m/>
    <s v="REDE ANAFARMA - UNIDADE PRESIDENTE"/>
    <s v="PRESIDENTE PRUDENTE"/>
    <x v="2"/>
    <s v="MULTIDROGAS"/>
    <s v="SELL IN"/>
    <s v="847010607 - MANUEL ARIEDE ARTERO"/>
    <n v="9864.7310076469003"/>
    <n v="4158.09"/>
    <n v="0.42151073321479821"/>
    <n v="0"/>
    <n v="0"/>
    <s v="FORA SCANN"/>
    <s v="Não"/>
    <s v="NÃO"/>
    <s v="Não Comprou"/>
    <s v="NÃO"/>
    <m/>
    <m/>
    <m/>
  </r>
  <r>
    <n v="49581378000115"/>
    <x v="1"/>
    <m/>
    <s v="DROGARIA ULTRA + VIDA"/>
    <s v="CUIABA"/>
    <x v="0"/>
    <s v="INDEPENDENTES VIN"/>
    <s v="SELL IN"/>
    <s v="847010603 - ERIVALDO DA SILVA MACIEL"/>
    <n v="782.59317317021282"/>
    <n v="1002.12"/>
    <n v="1.2805120647047101"/>
    <n v="0"/>
    <n v="0"/>
    <s v="ATIVO"/>
    <s v="Sim"/>
    <s v="NÃO"/>
    <s v="Não Comprou"/>
    <s v="NÃO"/>
    <m/>
    <m/>
    <m/>
  </r>
  <r>
    <n v="52330020000124"/>
    <x v="1"/>
    <m/>
    <s v="HIPER POPULAR"/>
    <s v="VARZEA GRANDE"/>
    <x v="0"/>
    <s v="HIPER SAUDE"/>
    <s v="SELL IN"/>
    <s v="847010603 - ERIVALDO DA SILVA MACIEL"/>
    <n v="4948.2955009265588"/>
    <n v="5002.0299999999988"/>
    <n v="1.0108591936482731"/>
    <n v="4516.9799999999996"/>
    <n v="0.91283554087548002"/>
    <s v="ATIVO"/>
    <s v="Não"/>
    <s v="NÃO"/>
    <s v="Comprou Marcas"/>
    <s v="SIM"/>
    <m/>
    <n v="4"/>
    <n v="4"/>
  </r>
  <r>
    <n v="52331882000171"/>
    <x v="21"/>
    <m/>
    <s v="FARMA FACIL"/>
    <s v="CUIABA"/>
    <x v="0"/>
    <s v="ASSOCIADAS"/>
    <s v="SELL IN"/>
    <s v="847010603 - ERIVALDO DA SILVA MACIEL"/>
    <n v="1506.2253021473475"/>
    <n v="1754.46"/>
    <n v="1.1648058212133052"/>
    <n v="137.85"/>
    <n v="9.1520172847630685E-2"/>
    <s v="FORA SCANN"/>
    <s v="Não"/>
    <s v="NÃO"/>
    <s v="Comprou Marcas"/>
    <s v="NÃO"/>
    <m/>
    <m/>
    <m/>
  </r>
  <r>
    <n v="7033833000106"/>
    <x v="1"/>
    <m/>
    <s v="DROGARIAS MATOS"/>
    <s v="CAMPO GRANDE"/>
    <x v="1"/>
    <s v="INDEPENDENTES VIN"/>
    <s v="SELL IN"/>
    <s v="847010602 - WELLINGTON DE MORAIS DO NASCIMENTO"/>
    <n v="3666.5582426664973"/>
    <n v="800.53"/>
    <n v="0.21833281977755142"/>
    <n v="0"/>
    <n v="0"/>
    <s v="FORA SCANN"/>
    <s v="Não"/>
    <s v="NÃO"/>
    <s v="Não Comprou"/>
    <s v="NÃO"/>
    <m/>
    <m/>
    <m/>
  </r>
  <r>
    <n v="7311428000102"/>
    <x v="1"/>
    <m/>
    <s v="DROGARIA DINAMICA"/>
    <s v="DOURADOS"/>
    <x v="1"/>
    <s v="ASSOCIADAS"/>
    <s v="SELL IN"/>
    <s v="847010601 - RAFAEL DE OLIVEIRA NASCIMENTO"/>
    <n v="1981.6285802143368"/>
    <n v="1438.29"/>
    <n v="0.72581209938162661"/>
    <n v="683.71"/>
    <n v="0.34502429306204729"/>
    <s v="FORA SCANN"/>
    <s v="Não"/>
    <s v="SIM"/>
    <s v="Comprou Marcas"/>
    <s v="SIM"/>
    <m/>
    <m/>
    <m/>
  </r>
  <r>
    <n v="7460103000183"/>
    <x v="1"/>
    <m/>
    <s v="DROGARIA UNIAO"/>
    <s v="CAMPO GRANDE"/>
    <x v="1"/>
    <s v="MASTERFARMA"/>
    <s v="SELL IN"/>
    <s v="847010602 - WELLINGTON DE MORAIS DO NASCIMENTO"/>
    <n v="2248.9830118032014"/>
    <n v="1493.8300000000002"/>
    <n v="0.66422467051108103"/>
    <n v="0"/>
    <n v="0"/>
    <s v="ATIVO"/>
    <s v="Sim"/>
    <s v="NÃO"/>
    <s v="Não Comprou"/>
    <s v="NÃO"/>
    <m/>
    <m/>
    <m/>
  </r>
  <r>
    <n v="7865786000159"/>
    <x v="1"/>
    <m/>
    <s v="FARMAVIDA"/>
    <s v="MIRANDA"/>
    <x v="1"/>
    <s v="INDEPENDENTES VIN"/>
    <s v="SELL IN"/>
    <s v="847010602 - WELLINGTON DE MORAIS DO NASCIMENTO"/>
    <n v="8022.5215159045001"/>
    <n v="4439.59"/>
    <n v="0.55339084989658116"/>
    <n v="2760.01"/>
    <n v="0.34403273266744522"/>
    <s v="FORA SCANN"/>
    <s v="Não"/>
    <s v="NÃO"/>
    <s v="Comprou Marcas"/>
    <s v="NÃO"/>
    <m/>
    <m/>
    <m/>
  </r>
  <r>
    <n v="8107186000194"/>
    <x v="9"/>
    <n v="1433"/>
    <s v="DROGARIA ULTRA POPULAR"/>
    <s v="AMAMBAI"/>
    <x v="1"/>
    <s v="FARMARCAS"/>
    <s v="SELL OUT"/>
    <s v="847010601 - RAFAEL DE OLIVEIRA NASCIMENTO"/>
    <n v="30501.846608770356"/>
    <n v="20349.150000000005"/>
    <n v="0.66714485391677592"/>
    <n v="16946.659999999996"/>
    <n v="0.55559455849886918"/>
    <s v="ATIVO"/>
    <s v="Sim"/>
    <s v="NÃO"/>
    <s v="Comprou Marcas e SG"/>
    <s v="SIM"/>
    <m/>
    <m/>
    <m/>
  </r>
  <r>
    <n v="8617745000106"/>
    <x v="1"/>
    <n v="11997"/>
    <s v="DROGARIA RODOVIARIA"/>
    <s v="ANDRADINA"/>
    <x v="2"/>
    <s v="DROGARIA TOTAL"/>
    <s v="SELL IN"/>
    <s v="847010608 - VALTER PEREIRA DA SILVA JUNIOR"/>
    <n v="8515.6646234475684"/>
    <n v="11655.91"/>
    <n v="1.3687610439596085"/>
    <n v="8185.38"/>
    <n v="0.9612144632213272"/>
    <s v="ATIVO"/>
    <s v="Sim"/>
    <s v="NÃO"/>
    <s v="Comprou Marcas"/>
    <s v="SIM"/>
    <m/>
    <m/>
    <m/>
  </r>
  <r>
    <n v="8776885000127"/>
    <x v="1"/>
    <m/>
    <s v="DROGARIA UNIVERSO"/>
    <s v="GUARANTA DO NORTE"/>
    <x v="0"/>
    <s v="HIPER SAUDE"/>
    <s v="SELL IN"/>
    <s v="847010605 - ISABELA CAMILA CRUCCITTI"/>
    <n v="4442.0777107483073"/>
    <n v="2177.52"/>
    <n v="0.49020304051213404"/>
    <n v="607.07000000000005"/>
    <n v="0.13666352538837817"/>
    <s v="ATIVO"/>
    <s v="Não"/>
    <s v="NÃO"/>
    <s v="Comprou Marcas e SG"/>
    <s v="SIM"/>
    <m/>
    <m/>
    <m/>
  </r>
  <r>
    <n v="9039622000289"/>
    <x v="18"/>
    <m/>
    <s v="DRUGSTORE NEBRASCA 24H"/>
    <s v="SORRISO"/>
    <x v="0"/>
    <s v="HIPER SAUDE"/>
    <s v="SELL IN"/>
    <s v="847010605 - ISABELA CAMILA CRUCCITTI"/>
    <n v="112437.07453859654"/>
    <n v="40684.41000000004"/>
    <n v="0.36184159154758339"/>
    <n v="65710.530000000013"/>
    <n v="0.58442048825668624"/>
    <s v="ATIVO"/>
    <s v="Não"/>
    <s v="NÃO"/>
    <s v="Comprou Marcas e SG"/>
    <s v="SIM"/>
    <n v="4"/>
    <m/>
    <m/>
  </r>
  <r>
    <n v="63882511000102"/>
    <x v="1"/>
    <m/>
    <s v="DROGARIA SANTO ANTONIO"/>
    <s v="TANGARA DA SERRA"/>
    <x v="0"/>
    <s v="INDEPENDENTES VIN"/>
    <s v="SELL IN"/>
    <s v="847010604 - LEONARDO MAZZUCO"/>
    <n v="593.9738062236944"/>
    <n v="0"/>
    <n v="0"/>
    <n v="0"/>
    <n v="0"/>
    <s v="FORA SCANN"/>
    <s v="Não"/>
    <s v="NÃO"/>
    <s v="Não Comprou"/>
    <s v="NÃO"/>
    <m/>
    <m/>
    <m/>
  </r>
  <r>
    <n v="32844150000178"/>
    <x v="1"/>
    <m/>
    <s v="CLAUDINEI SARTORI DROGARIA"/>
    <s v="ARACATUBA"/>
    <x v="2"/>
    <s v="DSG FARMA"/>
    <s v="SELL IN"/>
    <s v="847010608 - VALTER PEREIRA DA SILVA JUNIOR"/>
    <n v="1192.9270984790221"/>
    <n v="259.38"/>
    <n v="0.21743156000958364"/>
    <n v="0"/>
    <n v="0"/>
    <s v="TERMO DEVOLVIDO"/>
    <s v="Não"/>
    <s v="SIM"/>
    <s v="Comprou SG"/>
    <s v="NÃO"/>
    <m/>
    <m/>
    <m/>
  </r>
  <r>
    <n v="65675078000151"/>
    <x v="1"/>
    <m/>
    <s v="DROGARIA RODRIGUES"/>
    <s v="CAMPO GRANDE"/>
    <x v="1"/>
    <s v="INDEPENDENTES VIN"/>
    <s v="SELL IN"/>
    <s v="847010602 - WELLINGTON DE MORAIS DO NASCIMENTO"/>
    <n v="791.31348744278432"/>
    <n v="3340.3399999999992"/>
    <n v="4.2212600353807588"/>
    <n v="3248.4699999999993"/>
    <n v="4.1051619257720269"/>
    <s v="FORA SCANN"/>
    <s v="Não"/>
    <s v="NÃO"/>
    <s v="Comprou Marcas"/>
    <s v="NÃO"/>
    <m/>
    <m/>
    <m/>
  </r>
  <r>
    <n v="66807884000107"/>
    <x v="1"/>
    <m/>
    <s v="DROGARIA MAXIMO"/>
    <s v="MARACAI"/>
    <x v="2"/>
    <s v="INDEPENDENTES VIN"/>
    <s v="SELL IN"/>
    <s v="847010607 - MANUEL ARIEDE ARTERO"/>
    <n v="2475.0204759213184"/>
    <n v="1637.21"/>
    <n v="0.66149351729728778"/>
    <n v="0"/>
    <n v="0"/>
    <s v="FORA SCANN"/>
    <s v="Não"/>
    <s v="NÃO"/>
    <s v="Não Comprou"/>
    <s v="NÃO"/>
    <m/>
    <m/>
    <m/>
  </r>
  <r>
    <n v="67778728000110"/>
    <x v="1"/>
    <m/>
    <s v="FLEXXI FARMA E BENEFICIOS"/>
    <s v="CAMPO NOVO DO PARECIS"/>
    <x v="0"/>
    <s v="MASTERFARMA"/>
    <s v="SELL IN"/>
    <s v="847010604 - LEONARDO MAZZUCO"/>
    <n v="56.958510199256573"/>
    <n v="310.23999999999995"/>
    <n v="5.4467716749383879"/>
    <n v="304.85000000000002"/>
    <n v="5.3521413908747029"/>
    <m/>
    <m/>
    <m/>
    <s v="Comprou Marcas"/>
    <m/>
    <m/>
    <m/>
    <m/>
  </r>
  <r>
    <n v="4641689000194"/>
    <x v="1"/>
    <m/>
    <s v="FCIA VICENTE L LENTE"/>
    <s v="NOVA OLIMPIA"/>
    <x v="0"/>
    <s v="MASTERFARMA"/>
    <s v="SELL IN"/>
    <s v="847010604 - LEONARDO MAZZUCO"/>
    <n v="3578.3567679215903"/>
    <n v="636.4"/>
    <n v="0.17784699549945629"/>
    <n v="0"/>
    <n v="0"/>
    <s v="TERMO DEVOLVIDO"/>
    <s v="Não"/>
    <s v="SIM"/>
    <s v="Não Comprou"/>
    <s v="NÃO"/>
    <m/>
    <m/>
    <m/>
  </r>
  <r>
    <n v="4834843002864"/>
    <x v="4"/>
    <m/>
    <s v="FARMACIA SANTA CATARINA"/>
    <s v="PARAGUACU PAULISTA"/>
    <x v="2"/>
    <s v="REDE SANTA CATARINA"/>
    <s v="SELL IN"/>
    <s v="847010607 - MANUEL ARIEDE ARTERO"/>
    <n v="6079.3335109697273"/>
    <n v="2614.0300000000007"/>
    <n v="0.42998627979254117"/>
    <n v="3139.4000000000005"/>
    <n v="0.51640529251030154"/>
    <s v="ATIVO"/>
    <s v="Sim"/>
    <s v="NÃO"/>
    <s v="Comprou Marcas"/>
    <s v="SIM"/>
    <m/>
    <m/>
    <m/>
  </r>
  <r>
    <n v="4994525000140"/>
    <x v="1"/>
    <m/>
    <s v="FCIA VALDIR JACINTO"/>
    <s v="INDAPOLIS (DOURADOS)"/>
    <x v="1"/>
    <s v="INDEPENDENTES VIN"/>
    <s v="SELL IN"/>
    <s v="847010601 - RAFAEL DE OLIVEIRA NASCIMENTO"/>
    <n v="4569.02498835809"/>
    <n v="2068.6799999999998"/>
    <n v="0.45276180482072476"/>
    <n v="0"/>
    <n v="0"/>
    <s v="FORA SCANN"/>
    <s v="Não"/>
    <s v="NÃO"/>
    <s v="Não Comprou"/>
    <s v="SIM"/>
    <m/>
    <m/>
    <m/>
  </r>
  <r>
    <n v="5328012000163"/>
    <x v="1"/>
    <m/>
    <s v="DROGALAR"/>
    <s v="TANGARA DA SERRA"/>
    <x v="0"/>
    <s v="MASTERFARMA"/>
    <s v="SELL IN"/>
    <s v="847010604 - LEONARDO MAZZUCO"/>
    <n v="3941.3471058333976"/>
    <n v="4273.59"/>
    <n v="1.0842967861609718"/>
    <n v="3387.92"/>
    <n v="0.85958427639770763"/>
    <s v="TERMO DEVOLVIDO"/>
    <s v="Não"/>
    <s v="SIM"/>
    <s v="Comprou Marcas"/>
    <s v="SIM"/>
    <m/>
    <m/>
    <m/>
  </r>
  <r>
    <n v="5558461000106"/>
    <x v="1"/>
    <m/>
    <s v="FCIA POPULAR"/>
    <s v="SINOP"/>
    <x v="0"/>
    <s v="INDEPENDENTES VIN"/>
    <s v="SELL IN"/>
    <s v="847010605 - ISABELA CAMILA CRUCCITTI"/>
    <n v="596.41617281977778"/>
    <n v="318"/>
    <n v="0.5331847365850888"/>
    <n v="0"/>
    <n v="0"/>
    <s v="FORA SCANN"/>
    <s v="Não"/>
    <s v="NÃO"/>
    <s v="Não Comprou"/>
    <s v="NÃO"/>
    <m/>
    <m/>
    <m/>
  </r>
  <r>
    <n v="50031125000157"/>
    <x v="1"/>
    <m/>
    <s v="DROGARIA TARUMA"/>
    <s v="TANGARA DA SERRA"/>
    <x v="0"/>
    <s v="INDEPENDENTES VIN"/>
    <s v="SELL IN"/>
    <s v="847010604 - LEONARDO MAZZUCO"/>
    <n v="770.04282987026397"/>
    <n v="699.70999999999992"/>
    <n v="0.90866374292178831"/>
    <n v="653.06999999999994"/>
    <n v="0.84809568334014418"/>
    <s v="FORA SCANN"/>
    <s v="Não"/>
    <s v="NÃO"/>
    <s v="Comprou Marcas"/>
    <s v="NÃO"/>
    <m/>
    <m/>
    <m/>
  </r>
  <r>
    <n v="47614350000101"/>
    <x v="1"/>
    <m/>
    <s v="DROGARIA UNIFARMA"/>
    <s v="BARRA DO GARCAS"/>
    <x v="0"/>
    <s v="INDEPENDENTES VIN"/>
    <s v="SELL IN"/>
    <s v="847010606 - PRICILA MOREIRA DOS SANTOS"/>
    <n v="612.81022770656102"/>
    <n v="0"/>
    <n v="0"/>
    <n v="0"/>
    <n v="0"/>
    <s v="FORA SCANN"/>
    <s v="Não"/>
    <s v="NÃO"/>
    <s v="Não Comprou"/>
    <s v="NÃO"/>
    <m/>
    <m/>
    <m/>
  </r>
  <r>
    <n v="49845019000128"/>
    <x v="1"/>
    <m/>
    <s v="DROGARIA POPULAR II"/>
    <s v="JUNQUEIROPOLIS"/>
    <x v="2"/>
    <s v="MASTERFARMA"/>
    <s v="SELL IN"/>
    <s v="847010607 - MANUEL ARIEDE ARTERO"/>
    <n v="6583.1210521893072"/>
    <n v="4988.5600000000004"/>
    <n v="0.75778038417522131"/>
    <n v="7782.0300000000007"/>
    <n v="1.1821186240243873"/>
    <s v="ATIVO"/>
    <s v="Sim"/>
    <s v="NÃO"/>
    <s v="Comprou Marcas"/>
    <s v="SIM"/>
    <m/>
    <m/>
    <n v="3"/>
  </r>
  <r>
    <n v="50970969000163"/>
    <x v="1"/>
    <m/>
    <s v="DROGARIA OPCAO"/>
    <s v="DENISE"/>
    <x v="0"/>
    <s v="INDEPENDENTES VIN"/>
    <s v="SELL IN"/>
    <s v="847010604 - LEONARDO MAZZUCO"/>
    <n v="1888.8266988044186"/>
    <n v="1357.6499999999999"/>
    <n v="0.71877954756747098"/>
    <n v="977.21"/>
    <n v="0.51736350434825507"/>
    <s v="FORA SCANN"/>
    <s v="Não"/>
    <s v="NÃO"/>
    <s v="Comprou Marcas"/>
    <s v="NÃO"/>
    <m/>
    <m/>
    <m/>
  </r>
  <r>
    <n v="15059340000165"/>
    <x v="1"/>
    <m/>
    <s v="DROGARIA DROGA TEM"/>
    <s v="AGUA BOA"/>
    <x v="0"/>
    <s v="MASTERFARMA"/>
    <s v="SELL IN"/>
    <s v="847010606 - PRICILA MOREIRA DOS SANTOS"/>
    <n v="4077.8921164164449"/>
    <n v="2220.8000000000006"/>
    <n v="0.54459508407779733"/>
    <n v="0"/>
    <n v="0"/>
    <s v="TERMO DEVOLVIDO"/>
    <s v="Não"/>
    <s v="SIM"/>
    <s v="Não Comprou"/>
    <s v="NÃO"/>
    <m/>
    <m/>
    <m/>
  </r>
  <r>
    <n v="17176661000256"/>
    <x v="1"/>
    <m/>
    <s v="FARMAIVI"/>
    <s v="IVINHEMA"/>
    <x v="1"/>
    <s v="ASSOCIADAS"/>
    <s v="SELL IN"/>
    <s v="847010601 - RAFAEL DE OLIVEIRA NASCIMENTO"/>
    <n v="1052.0197137956823"/>
    <n v="944.1099999999999"/>
    <n v="0.89742614859721148"/>
    <n v="0"/>
    <n v="0"/>
    <s v="ATIVO"/>
    <s v="Sim"/>
    <s v="NÃO"/>
    <s v="Não Comprou"/>
    <s v="SIM"/>
    <m/>
    <m/>
    <m/>
  </r>
  <r>
    <n v="18429327000149"/>
    <x v="1"/>
    <m/>
    <s v="FARMACIA REZENFARMA"/>
    <s v="CAMPO GRANDE"/>
    <x v="1"/>
    <s v="INDEPENDENTES VIN"/>
    <s v="SELL IN"/>
    <s v="847010602 - WELLINGTON DE MORAIS DO NASCIMENTO"/>
    <n v="2703.3489830113981"/>
    <n v="851.83999999999992"/>
    <n v="0.31510545081423114"/>
    <n v="454.46000000000004"/>
    <n v="0.16811000091218481"/>
    <s v="FORA SCANN"/>
    <s v="Não"/>
    <s v="NÃO"/>
    <s v="Comprou Marcas e SG"/>
    <s v="NÃO"/>
    <m/>
    <m/>
    <m/>
  </r>
  <r>
    <n v="5244921000113"/>
    <x v="1"/>
    <m/>
    <s v="DROG JANINI"/>
    <s v="CASTILHO"/>
    <x v="2"/>
    <s v="DSG FARMA"/>
    <s v="SELL IN"/>
    <s v="847010608 - VALTER PEREIRA DA SILVA JUNIOR"/>
    <n v="4086.8118753025301"/>
    <n v="746.09"/>
    <n v="0.18256039738672092"/>
    <n v="0"/>
    <n v="0"/>
    <s v="TERMO DEVOLVIDO"/>
    <s v="Não"/>
    <s v="SIM"/>
    <s v="Não Comprou"/>
    <s v="NÃO"/>
    <m/>
    <m/>
    <m/>
  </r>
  <r>
    <n v="22166562000223"/>
    <x v="1"/>
    <m/>
    <s v="DROGARIA ULTRA POPULAR"/>
    <s v="CUIABA"/>
    <x v="0"/>
    <s v="FARMARCAS"/>
    <s v="SELL OUT"/>
    <s v="847010603 - ERIVALDO DA SILVA MACIEL"/>
    <n v="9926.3852037543365"/>
    <n v="4663.170000000001"/>
    <n v="0.46977524086374428"/>
    <n v="2774.5800000000004"/>
    <n v="0.27951564875304302"/>
    <m/>
    <m/>
    <m/>
    <s v="Comprou Marcas"/>
    <s v="SIM"/>
    <m/>
    <m/>
    <m/>
  </r>
  <r>
    <n v="18919955000102"/>
    <x v="1"/>
    <n v="155489"/>
    <s v="AMERICANA SAUDE"/>
    <s v="PONTES E LACERDA"/>
    <x v="0"/>
    <s v="INDEPENDENTES VIN"/>
    <s v="SELL IN"/>
    <s v="847010603 - ERIVALDO DA SILVA MACIEL"/>
    <n v="23533.860781039039"/>
    <n v="11902.380000000001"/>
    <n v="0.50575552013079006"/>
    <n v="4401.51"/>
    <n v="0.18702881099501728"/>
    <s v="FILA DE ATIVAÇÃO"/>
    <s v="Não"/>
    <s v="NÃO"/>
    <s v="Comprou Marcas"/>
    <s v="SIM"/>
    <n v="4"/>
    <m/>
    <m/>
  </r>
  <r>
    <n v="35282298000154"/>
    <x v="1"/>
    <m/>
    <s v="DROGARIAS MAXI POPULAR"/>
    <s v="VARZEA GRANDE"/>
    <x v="0"/>
    <s v="FARMARCAS"/>
    <s v="SELL OUT"/>
    <s v="847010603 - ERIVALDO DA SILVA MACIEL"/>
    <n v="17628.221795035613"/>
    <n v="10069.08"/>
    <n v="0.57119090723237964"/>
    <n v="6137.0899999999983"/>
    <n v="0.34814004902799101"/>
    <s v="ATIVO"/>
    <s v="Sim"/>
    <s v="NÃO"/>
    <s v="Comprou Marcas"/>
    <s v="SIM"/>
    <m/>
    <m/>
    <m/>
  </r>
  <r>
    <n v="21769166000309"/>
    <x v="1"/>
    <m/>
    <s v="BIOFARMA"/>
    <s v="NOVA OLIMPIA"/>
    <x v="0"/>
    <s v="MASTERFARMA"/>
    <s v="SELL IN"/>
    <s v="847010604 - LEONARDO MAZZUCO"/>
    <n v="1908.1128348930476"/>
    <n v="909.64"/>
    <n v="0.47672233180643458"/>
    <n v="0"/>
    <n v="0"/>
    <s v="TERMO DEVOLVIDO"/>
    <s v="Não"/>
    <s v="SIM"/>
    <s v="Não Comprou"/>
    <s v="NÃO"/>
    <m/>
    <m/>
    <m/>
  </r>
  <r>
    <n v="55913843000170"/>
    <x v="1"/>
    <m/>
    <s v="FARMARELA"/>
    <s v="CUIABA"/>
    <x v="0"/>
    <s v="ECONOMIZE RONDONOPOLIS"/>
    <s v="SELL IN"/>
    <s v="847010603 - ERIVALDO DA SILVA MACIEL"/>
    <n v="1210.2403337558164"/>
    <n v="104.39"/>
    <n v="8.6255594932983126E-2"/>
    <n v="0"/>
    <n v="0"/>
    <s v="FORA SCANN"/>
    <s v="Não"/>
    <s v="SIM"/>
    <s v="Não Comprou"/>
    <s v="NÃO"/>
    <m/>
    <m/>
    <m/>
  </r>
  <r>
    <n v="60706953000100"/>
    <x v="1"/>
    <m/>
    <s v="CONSULTE FARMA"/>
    <s v="TRES LAGOAS"/>
    <x v="1"/>
    <s v="MASTERFARMA"/>
    <s v="SELL IN"/>
    <s v="847010608 - VALTER PEREIRA DA SILVA JUNIOR"/>
    <n v="1087.5907056473905"/>
    <n v="1427.92"/>
    <n v="1.3129203776617675"/>
    <n v="0"/>
    <n v="0"/>
    <s v="TERMO DEVOLVIDO"/>
    <s v="Não"/>
    <s v="SIM"/>
    <s v="Não Comprou"/>
    <s v="NÃO"/>
    <m/>
    <m/>
    <m/>
  </r>
  <r>
    <n v="4336468000102"/>
    <x v="1"/>
    <m/>
    <s v="DROG LEITE BARBOSA"/>
    <s v="CUIABA"/>
    <x v="0"/>
    <s v="INDEPENDENTES VIN"/>
    <s v="SELL IN"/>
    <s v="847010603 - ERIVALDO DA SILVA MACIEL"/>
    <n v="3881.6137178240961"/>
    <n v="1649.6700000000003"/>
    <n v="0.42499592177985979"/>
    <n v="968.1400000000001"/>
    <n v="0.24941688441443041"/>
    <s v="TERMO DEVOLVIDO"/>
    <s v="Não"/>
    <s v="SIM"/>
    <s v="Comprou Marcas"/>
    <s v="SIM"/>
    <m/>
    <n v="2"/>
    <n v="2"/>
  </r>
  <r>
    <n v="4834843000306"/>
    <x v="4"/>
    <m/>
    <s v="FARMACIA SANTA CATARINA DE PRESIDENTE PRUDENTE"/>
    <s v="ALVARES MACHADO"/>
    <x v="2"/>
    <s v="REDE SANTA CATARINA"/>
    <s v="SELL IN"/>
    <s v="847010607 - MANUEL ARIEDE ARTERO"/>
    <n v="22293.434257244946"/>
    <n v="12811.279999999995"/>
    <n v="0.57466605872249454"/>
    <n v="11643.099999999999"/>
    <n v="0.52226587728251028"/>
    <s v="ATIVO"/>
    <s v="Sim"/>
    <s v="NÃO"/>
    <s v="Comprou Marcas e SG"/>
    <s v="SIM"/>
    <n v="7"/>
    <m/>
    <n v="1"/>
  </r>
  <r>
    <n v="5072221000199"/>
    <x v="1"/>
    <m/>
    <s v="DROGARIA DO PAULINHO"/>
    <s v="ALTA FLORESTA"/>
    <x v="0"/>
    <s v="MASTERFARMA"/>
    <s v="SELL IN"/>
    <s v="847010605 - ISABELA CAMILA CRUCCITTI"/>
    <n v="3210.843129144841"/>
    <n v="747.43999999999994"/>
    <n v="0.23278620908492317"/>
    <n v="96.67"/>
    <n v="3.0107356887829825E-2"/>
    <s v="TERMO DEVOLVIDO"/>
    <s v="Não"/>
    <s v="NÃO"/>
    <s v="Comprou Marcas"/>
    <s v="SIM"/>
    <m/>
    <m/>
    <m/>
  </r>
  <r>
    <n v="5592488000107"/>
    <x v="1"/>
    <m/>
    <s v="DROGARIA IBIRAPUERA"/>
    <s v="ARACATUBA"/>
    <x v="2"/>
    <s v="MASTERFARMA"/>
    <s v="SELL IN"/>
    <s v="847010608 - VALTER PEREIRA DA SILVA JUNIOR"/>
    <n v="5127.0548245799519"/>
    <n v="599.41999999999985"/>
    <n v="0.11691312469027654"/>
    <n v="321.03999999999996"/>
    <n v="6.2616845534961108E-2"/>
    <s v="TERMO DEVOLVIDO"/>
    <s v="Não"/>
    <s v="SIM"/>
    <s v="Comprou Marcas e SG"/>
    <s v="NÃO"/>
    <m/>
    <m/>
    <m/>
  </r>
  <r>
    <n v="260180000140"/>
    <x v="1"/>
    <m/>
    <s v="FCIA BRASIL"/>
    <s v="JUINA"/>
    <x v="0"/>
    <s v="ASSOCIADAS"/>
    <s v="SELL IN"/>
    <s v="847010604 - LEONARDO MAZZUCO"/>
    <n v="5234.2294909505381"/>
    <n v="2770.67"/>
    <n v="0.52933674474728565"/>
    <n v="2745.21"/>
    <n v="0.52447260953043706"/>
    <s v="FORA SCANN"/>
    <s v="Não"/>
    <s v="NÃO"/>
    <s v="Comprou Marcas"/>
    <s v="SIM"/>
    <m/>
    <m/>
    <m/>
  </r>
  <r>
    <n v="531367000212"/>
    <x v="1"/>
    <m/>
    <s v="FARMAVIDA"/>
    <s v="NOVA ALVORADA DO SUL"/>
    <x v="1"/>
    <s v="FARMARCAS"/>
    <s v="SELL OUT"/>
    <s v="847010601 - RAFAEL DE OLIVEIRA NASCIMENTO"/>
    <n v="5180.7091991741681"/>
    <n v="3704.6699999999987"/>
    <n v="0.71508935506176308"/>
    <n v="3726.400000000001"/>
    <n v="0.71928376149620754"/>
    <s v="ATIVO"/>
    <s v="Sim"/>
    <s v="NÃO"/>
    <s v="Comprou Marcas"/>
    <s v="SIM"/>
    <m/>
    <m/>
    <m/>
  </r>
  <r>
    <n v="4050862000775"/>
    <x v="10"/>
    <m/>
    <s v="ULTRA POPULAR"/>
    <s v="AGUA CLARA"/>
    <x v="1"/>
    <s v="FARMARCAS"/>
    <s v="SELL OUT"/>
    <s v="847010602 - WELLINGTON DE MORAIS DO NASCIMENTO"/>
    <n v="8209.556809482212"/>
    <n v="6557.0600000000013"/>
    <n v="0.79871059451424442"/>
    <n v="2379.7600000000002"/>
    <n v="0.289876793014128"/>
    <s v="TERMO DEVOLVIDO"/>
    <s v="Não"/>
    <s v="SIM"/>
    <s v="Comprou Marcas"/>
    <s v="SIM"/>
    <n v="1"/>
    <m/>
    <m/>
  </r>
  <r>
    <n v="7625132000158"/>
    <x v="21"/>
    <n v="12834"/>
    <s v="FCIA FARMA FACIL"/>
    <s v="CUIABA"/>
    <x v="0"/>
    <s v="ASSOCIADAS"/>
    <s v="SELL IN"/>
    <s v="847010603 - ERIVALDO DA SILVA MACIEL"/>
    <n v="12019.260241419184"/>
    <n v="5523.7800000000007"/>
    <n v="0.45957736907673241"/>
    <n v="137.85"/>
    <n v="1.1469091876799502E-2"/>
    <s v="FORA SCANN"/>
    <s v="Não"/>
    <s v="NÃO"/>
    <s v="Comprou Marcas"/>
    <s v="SIM"/>
    <m/>
    <m/>
    <m/>
  </r>
  <r>
    <n v="8856967000181"/>
    <x v="1"/>
    <m/>
    <s v="FARMACIA ECONOMIZE SINOP"/>
    <s v="SINOP"/>
    <x v="0"/>
    <s v="ECONOMIZE RONDONOPOLIS"/>
    <s v="SELL IN"/>
    <s v="847010605 - ISABELA CAMILA CRUCCITTI"/>
    <n v="14840.927581630733"/>
    <n v="6974.7299999999968"/>
    <n v="0.46996590756449252"/>
    <n v="3718.26"/>
    <n v="0.2505409435864544"/>
    <s v="FORA SCANN"/>
    <s v="Não"/>
    <s v="SIM"/>
    <s v="Comprou Marcas"/>
    <s v="SIM"/>
    <m/>
    <m/>
    <m/>
  </r>
  <r>
    <n v="10673419000168"/>
    <x v="1"/>
    <m/>
    <s v="FARMAJULIA"/>
    <s v="SINOP"/>
    <x v="0"/>
    <s v="INDEPENDENTES VIN"/>
    <s v="SELL IN"/>
    <s v="847010605 - ISABELA CAMILA CRUCCITTI"/>
    <n v="841.43957390655248"/>
    <n v="797.32"/>
    <n v="0.94756655703544057"/>
    <n v="0"/>
    <n v="0"/>
    <s v="FORA SCANN"/>
    <s v="Não"/>
    <s v="NÃO"/>
    <s v="Não Comprou"/>
    <s v="NÃO"/>
    <m/>
    <m/>
    <n v="1"/>
  </r>
  <r>
    <n v="10680159000158"/>
    <x v="1"/>
    <m/>
    <s v="MULTI FARMA"/>
    <s v="DEODAPOLIS"/>
    <x v="1"/>
    <s v="ASSOCIADAS"/>
    <s v="SELL IN"/>
    <s v="847010601 - RAFAEL DE OLIVEIRA NASCIMENTO"/>
    <n v="4384.7422492381857"/>
    <n v="7513.3100000000013"/>
    <n v="1.7135123509951764"/>
    <n v="6413.170000000001"/>
    <n v="1.4626104877918966"/>
    <s v="FORA SCANN"/>
    <s v="Não"/>
    <s v="SIM"/>
    <s v="Comprou Marcas"/>
    <s v="SIM"/>
    <m/>
    <m/>
    <m/>
  </r>
  <r>
    <n v="13090874000129"/>
    <x v="1"/>
    <m/>
    <s v="DROGARIA POPULAR"/>
    <s v="IRAPURU"/>
    <x v="2"/>
    <s v="MULTIDROGAS"/>
    <s v="SELL IN"/>
    <s v="847010607 - MANUEL ARIEDE ARTERO"/>
    <n v="1861.7092243436334"/>
    <n v="1136.5200000000002"/>
    <n v="0.61047127292431669"/>
    <n v="0"/>
    <n v="0"/>
    <m/>
    <m/>
    <m/>
    <s v="Não Comprou"/>
    <m/>
    <m/>
    <m/>
    <m/>
  </r>
  <r>
    <n v="13470278000174"/>
    <x v="1"/>
    <m/>
    <s v="DROGARIA ESTRELA GUIA"/>
    <s v="ARAGARCAS"/>
    <x v="3"/>
    <s v="INDEPENDENTES VIN"/>
    <s v="SELL IN"/>
    <s v="847010606 - PRICILA MOREIRA DOS SANTOS"/>
    <n v="2595.5836172091535"/>
    <n v="482.30999999999995"/>
    <n v="0.18581948075269236"/>
    <n v="0"/>
    <n v="0"/>
    <s v="FORA SCANN"/>
    <s v="Não"/>
    <s v="NÃO"/>
    <s v="Não Comprou"/>
    <s v="NÃO"/>
    <m/>
    <m/>
    <m/>
  </r>
  <r>
    <n v="22166562000142"/>
    <x v="1"/>
    <m/>
    <s v="DROGARIA ULTRA POPULAR"/>
    <s v="POCONE"/>
    <x v="0"/>
    <s v="FARMARCAS"/>
    <s v="SELL OUT"/>
    <s v="847010603 - ERIVALDO DA SILVA MACIEL"/>
    <n v="27886.609508138969"/>
    <n v="18163.129999999994"/>
    <n v="0.65132084252475775"/>
    <n v="12182.469999999994"/>
    <n v="0.43685733815881866"/>
    <m/>
    <m/>
    <m/>
    <s v="Comprou Marcas"/>
    <s v="SIM"/>
    <m/>
    <m/>
    <m/>
  </r>
  <r>
    <n v="19436506000176"/>
    <x v="1"/>
    <m/>
    <s v="FAMARCIA CENTRAL"/>
    <s v="SANTOPOLIS DO AGUAPEI"/>
    <x v="2"/>
    <s v="DROGARIA TOTAL"/>
    <s v="SELL IN"/>
    <s v="847010608 - VALTER PEREIRA DA SILVA JUNIOR"/>
    <n v="4391.2552098207098"/>
    <n v="2425.579999999999"/>
    <n v="0.55236598286871896"/>
    <n v="3004.0899999999997"/>
    <n v="0.6841073580240975"/>
    <s v="TERMO DEVOLVIDO"/>
    <s v="Não"/>
    <s v="SIM"/>
    <s v="Comprou Marcas"/>
    <s v="SIM"/>
    <m/>
    <m/>
    <m/>
  </r>
  <r>
    <n v="62392356000175"/>
    <x v="1"/>
    <m/>
    <s v="ALVORADA FARMA"/>
    <s v="DOURADOS"/>
    <x v="1"/>
    <s v="ASSOCIADAS"/>
    <s v="SELL IN"/>
    <s v="847010601 - RAFAEL DE OLIVEIRA NASCIMENTO"/>
    <n v="4422.0704063328385"/>
    <n v="8023.8000000000011"/>
    <n v="1.8144894275109533"/>
    <n v="6530.1100000000015"/>
    <n v="1.4767087359460047"/>
    <s v="TERMO DEVOLVIDO"/>
    <s v="Não"/>
    <s v="NÃO"/>
    <s v="Comprou Marcas"/>
    <s v="SIM"/>
    <m/>
    <m/>
    <m/>
  </r>
  <r>
    <n v="24248641000128"/>
    <x v="1"/>
    <m/>
    <s v="AMPLA FARMA"/>
    <s v="TRES LAGOAS"/>
    <x v="1"/>
    <s v="INDEPENDENTES VIN"/>
    <s v="SELL IN"/>
    <s v="847010608 - VALTER PEREIRA DA SILVA JUNIOR"/>
    <n v="6079.9058437088743"/>
    <n v="2513.96"/>
    <n v="0.41348666650837967"/>
    <n v="745.04"/>
    <n v="0.12254137138832884"/>
    <s v="FORA SCANN"/>
    <s v="Não"/>
    <s v="NÃO"/>
    <s v="Comprou Marcas"/>
    <s v="NÃO"/>
    <m/>
    <m/>
    <m/>
  </r>
  <r>
    <n v="24415425000200"/>
    <x v="1"/>
    <m/>
    <s v="L. I. MEGA POPULAR"/>
    <s v="DOURADOS"/>
    <x v="1"/>
    <s v="MASTERFARMA"/>
    <s v="SELL IN"/>
    <s v="847010601 - RAFAEL DE OLIVEIRA NASCIMENTO"/>
    <n v="2297.1540031019208"/>
    <n v="1447.63"/>
    <n v="0.63018413134044071"/>
    <n v="0"/>
    <n v="0"/>
    <s v="FORA SCANN"/>
    <s v="Não"/>
    <s v="NÃO"/>
    <s v="Não Comprou"/>
    <s v="NÃO"/>
    <m/>
    <m/>
    <m/>
  </r>
  <r>
    <n v="9492647000900"/>
    <x v="1"/>
    <m/>
    <s v="DROGARIAS ULTRA POPULAR"/>
    <s v="NOVA MONTE VERDE"/>
    <x v="0"/>
    <s v="FARMARCAS"/>
    <s v="SELL OUT"/>
    <s v="847010605 - ISABELA CAMILA CRUCCITTI"/>
    <n v="10775.493731341578"/>
    <n v="6080.1799999999994"/>
    <n v="0.56425999138352256"/>
    <n v="8327.14"/>
    <n v="0.77278500712962206"/>
    <s v="ATIVO"/>
    <s v="Sim"/>
    <s v="NÃO"/>
    <s v="Comprou Marcas"/>
    <s v="SIM"/>
    <m/>
    <m/>
    <m/>
  </r>
  <r>
    <n v="9492647001205"/>
    <x v="1"/>
    <m/>
    <s v="DROGARIAS ULTRA POPULAR"/>
    <s v="GUARANTA DO NORTE"/>
    <x v="0"/>
    <s v="FARMARCAS"/>
    <s v="SELL OUT"/>
    <s v="847010605 - ISABELA CAMILA CRUCCITTI"/>
    <n v="9108.1684646652229"/>
    <n v="4961.7299999999996"/>
    <n v="0.54475606366404328"/>
    <n v="6608.83"/>
    <n v="0.7255937377134265"/>
    <s v="ATIVO"/>
    <s v="Sim"/>
    <s v="NÃO"/>
    <s v="Comprou Marcas"/>
    <s v="SIM"/>
    <n v="3"/>
    <m/>
    <m/>
  </r>
  <r>
    <n v="48143588000169"/>
    <x v="1"/>
    <m/>
    <s v="RM FARMA RONDONOPOLIS"/>
    <s v="RONDONOPOLIS"/>
    <x v="0"/>
    <s v="HIPER SAUDE"/>
    <s v="SELL IN"/>
    <s v="847010603 - ERIVALDO DA SILVA MACIEL"/>
    <n v="8391.275913640764"/>
    <n v="5225.7500000000009"/>
    <n v="0.6227598822611804"/>
    <n v="3881.48"/>
    <n v="0.4625613601490936"/>
    <s v="ATIVO"/>
    <s v="Não"/>
    <s v="NÃO"/>
    <s v="Comprou Marcas e SG"/>
    <s v="SIM"/>
    <m/>
    <m/>
    <m/>
  </r>
  <r>
    <n v="52950355000145"/>
    <x v="1"/>
    <m/>
    <s v="SUPREMA FARMA SORRISO"/>
    <s v="SORRISO"/>
    <x v="0"/>
    <s v="COMPRE BEM"/>
    <s v="SELL IN"/>
    <s v="847010605 - ISABELA CAMILA CRUCCITTI"/>
    <n v="11909.250423435176"/>
    <n v="3357.9799999999996"/>
    <n v="0.2819640095393513"/>
    <n v="439.1"/>
    <n v="3.687049851063115E-2"/>
    <s v="TERMO DEVOLVIDO"/>
    <s v="Não"/>
    <s v="NÃO"/>
    <s v="Comprou Marcas"/>
    <s v="SIM"/>
    <n v="4"/>
    <m/>
    <m/>
  </r>
  <r>
    <n v="34700354000160"/>
    <x v="1"/>
    <m/>
    <s v="DROGARIA+SAUDE"/>
    <s v="CUIABA"/>
    <x v="0"/>
    <s v="INDEPENDENTES VIN"/>
    <s v="SELL IN"/>
    <s v="847010603 - ERIVALDO DA SILVA MACIEL"/>
    <n v="1753.7679817751271"/>
    <n v="0"/>
    <n v="0"/>
    <n v="0"/>
    <n v="0"/>
    <s v="FORA SCANN"/>
    <s v="Não"/>
    <s v="NÃO"/>
    <s v="Não Comprou"/>
    <s v="NÃO"/>
    <m/>
    <m/>
    <m/>
  </r>
  <r>
    <n v="3838252000182"/>
    <x v="1"/>
    <m/>
    <s v="DROG DROGA BOM JESUS"/>
    <s v="ARACATUBA"/>
    <x v="2"/>
    <s v="DSG FARMA"/>
    <s v="SELL IN"/>
    <s v="847010608 - VALTER PEREIRA DA SILVA JUNIOR"/>
    <n v="2311.3478912497453"/>
    <n v="1422.4600000000003"/>
    <n v="0.61542444795312767"/>
    <n v="1383.7000000000003"/>
    <n v="0.59865501218504757"/>
    <s v="ATIVO"/>
    <s v="Sim"/>
    <s v="NÃO"/>
    <s v="Comprou Marcas"/>
    <s v="NÃO"/>
    <m/>
    <n v="1"/>
    <m/>
  </r>
  <r>
    <n v="35633493000181"/>
    <x v="1"/>
    <m/>
    <s v="FARMACIA DOM ORIONE"/>
    <s v="GUARARAPES"/>
    <x v="2"/>
    <s v="HIPER SAUDE"/>
    <s v="SELL IN"/>
    <s v="847010608 - VALTER PEREIRA DA SILVA JUNIOR"/>
    <n v="1143.6638754053124"/>
    <n v="704.81000000000006"/>
    <n v="0.61627372793445689"/>
    <n v="484.19"/>
    <n v="0.42336739877212959"/>
    <m/>
    <m/>
    <m/>
    <s v="Comprou Marcas"/>
    <m/>
    <m/>
    <m/>
    <m/>
  </r>
  <r>
    <n v="40627707000147"/>
    <x v="1"/>
    <m/>
    <s v="FARMAMIL"/>
    <s v="PONTA PORA"/>
    <x v="1"/>
    <s v="MASTERFARMA"/>
    <s v="SELL IN"/>
    <s v="847010601 - RAFAEL DE OLIVEIRA NASCIMENTO"/>
    <n v="2253.3845207413415"/>
    <n v="1464.1100000000004"/>
    <n v="0.64973819892857099"/>
    <n v="0"/>
    <n v="0"/>
    <s v="FORA SCANN"/>
    <s v="Não"/>
    <s v="NÃO"/>
    <s v="Não Comprou"/>
    <s v="NÃO"/>
    <m/>
    <m/>
    <m/>
  </r>
  <r>
    <n v="40883240000104"/>
    <x v="1"/>
    <m/>
    <s v="MEGA DESCONTAO FARMA"/>
    <s v="SINOP"/>
    <x v="0"/>
    <s v="INDEPENDENTES VIN"/>
    <s v="SELL IN"/>
    <s v="847010605 - ISABELA CAMILA CRUCCITTI"/>
    <n v="4113.0457582437821"/>
    <n v="2216.64"/>
    <n v="0.53892908814767881"/>
    <n v="0"/>
    <n v="0"/>
    <s v="FORA SCANN"/>
    <s v="Não"/>
    <s v="NÃO"/>
    <s v="Não Comprou"/>
    <s v="SIM"/>
    <m/>
    <m/>
    <m/>
  </r>
  <r>
    <n v="4344448000183"/>
    <x v="1"/>
    <m/>
    <s v="DROG RODOFARMA"/>
    <s v="TRES LAGOAS"/>
    <x v="1"/>
    <s v="INDEPENDENTES VIN"/>
    <s v="SELL IN"/>
    <s v="847010608 - VALTER PEREIRA DA SILVA JUNIOR"/>
    <n v="11528.186705701577"/>
    <n v="4193.0600000000004"/>
    <n v="0.36372242287906464"/>
    <n v="0"/>
    <n v="0"/>
    <s v="FORA SCANN"/>
    <s v="Não"/>
    <s v="NÃO"/>
    <s v="Não Comprou"/>
    <s v="NÃO"/>
    <m/>
    <m/>
    <n v="1"/>
  </r>
  <r>
    <n v="4834843001540"/>
    <x v="4"/>
    <m/>
    <s v="FARMACIA SANTA CATARINA"/>
    <s v="TUPA"/>
    <x v="2"/>
    <s v="REDE SANTA CATARINA"/>
    <s v="SELL IN"/>
    <s v="847010607 - MANUEL ARIEDE ARTERO"/>
    <n v="14599.658423313305"/>
    <n v="12079.769999999997"/>
    <n v="0.82740086444149596"/>
    <n v="10215.370000000001"/>
    <n v="0.69969924664043504"/>
    <s v="ATIVO"/>
    <s v="Sim"/>
    <s v="NÃO"/>
    <s v="Comprou Marcas e SG"/>
    <s v="SIM"/>
    <n v="4"/>
    <m/>
    <m/>
  </r>
  <r>
    <n v="6935814000102"/>
    <x v="1"/>
    <m/>
    <s v="DROG ATUAL"/>
    <s v="NAVIRAI"/>
    <x v="1"/>
    <s v="ASSOCIADAS"/>
    <s v="SELL IN"/>
    <s v="847010601 - RAFAEL DE OLIVEIRA NASCIMENTO"/>
    <n v="3607.008723838881"/>
    <n v="2412.58"/>
    <n v="0.66885893123993612"/>
    <n v="1969.3599999999997"/>
    <n v="0.54598149069737811"/>
    <s v="FORA SCANN"/>
    <s v="Não"/>
    <s v="NÃO"/>
    <s v="Comprou Marcas"/>
    <s v="NÃO"/>
    <m/>
    <m/>
    <m/>
  </r>
  <r>
    <n v="7434377000106"/>
    <x v="1"/>
    <m/>
    <s v="DROG SILVA"/>
    <s v="PAULICEIA"/>
    <x v="2"/>
    <s v="INDEPENDENTES VIN"/>
    <s v="SELL IN"/>
    <s v="847010607 - MANUEL ARIEDE ARTERO"/>
    <n v="8112.6960349424635"/>
    <n v="3536.2599999999998"/>
    <n v="0.43589208627672682"/>
    <n v="2365.4899999999993"/>
    <n v="0.29157877847407548"/>
    <s v="FILA DE ATIVAÇÃO"/>
    <s v="Não"/>
    <s v="SIM"/>
    <s v="Comprou Marcas"/>
    <s v="NÃO"/>
    <n v="4"/>
    <m/>
    <m/>
  </r>
  <r>
    <n v="3480787000124"/>
    <x v="1"/>
    <n v="13684"/>
    <s v="SAO JOSE I"/>
    <s v="APARECIDA DO TABOADO"/>
    <x v="1"/>
    <s v="INDEPENDENTES VIN"/>
    <s v="SELL IN"/>
    <s v="847010608 - VALTER PEREIRA DA SILVA JUNIOR"/>
    <n v="19260.196953381143"/>
    <n v="7050.2300000000005"/>
    <n v="0.36605181229791772"/>
    <n v="3538.64"/>
    <n v="0.1837281315744172"/>
    <s v="TERMO DEVOLVIDO"/>
    <s v="Não"/>
    <s v="NÃO"/>
    <s v="Não Comprou"/>
    <s v="SIM"/>
    <m/>
    <m/>
    <m/>
  </r>
  <r>
    <n v="4050862000341"/>
    <x v="10"/>
    <m/>
    <s v="FARMATOTAL"/>
    <s v="CAMPO GRANDE"/>
    <x v="1"/>
    <s v="FARMARCAS"/>
    <s v="SELL OUT"/>
    <s v="847010602 - WELLINGTON DE MORAIS DO NASCIMENTO"/>
    <n v="8197.8690569270912"/>
    <n v="4509.7"/>
    <n v="0.55010637138554475"/>
    <n v="2756.5499999999997"/>
    <n v="0.33625201632987189"/>
    <s v="ATIVO"/>
    <s v="Sim"/>
    <s v="NÃO"/>
    <s v="Comprou Marcas"/>
    <s v="SIM"/>
    <m/>
    <m/>
    <m/>
  </r>
  <r>
    <n v="4834843000730"/>
    <x v="4"/>
    <m/>
    <s v="FARMACIA SANTA CATARINA DE PRESIDENTE PRUDENTE"/>
    <s v="MIRANTE DO PARANAPANEMA"/>
    <x v="2"/>
    <s v="REDE SANTA CATARINA"/>
    <s v="SELL IN"/>
    <s v="847010607 - MANUEL ARIEDE ARTERO"/>
    <n v="10907.616514440379"/>
    <n v="6850.340000000002"/>
    <n v="0.62803271374007075"/>
    <n v="6250.3500000000013"/>
    <n v="0.57302619611949923"/>
    <s v="ATIVO"/>
    <s v="Sim"/>
    <s v="NÃO"/>
    <s v="Comprou Marcas e SG"/>
    <s v="SIM"/>
    <m/>
    <m/>
    <m/>
  </r>
  <r>
    <n v="5233140000123"/>
    <x v="1"/>
    <m/>
    <s v="DROG BOA ESPERANCA"/>
    <s v="MIRASSOL D'OESTE"/>
    <x v="0"/>
    <s v="INDEPENDENTES VIN"/>
    <s v="SELL IN"/>
    <s v="847010603 - ERIVALDO DA SILVA MACIEL"/>
    <n v="4857.7798578892225"/>
    <n v="597.16000000000008"/>
    <n v="0.12292858414120787"/>
    <n v="0"/>
    <n v="0"/>
    <s v="TERMO DEVOLVIDO"/>
    <s v="Não"/>
    <s v="SIM"/>
    <s v="Não Comprou"/>
    <s v="SIM"/>
    <m/>
    <m/>
    <m/>
  </r>
  <r>
    <n v="9492647000403"/>
    <x v="1"/>
    <m/>
    <s v="DROGARIAS ULTRA POPULAR"/>
    <s v="GUARANTA DO NORTE"/>
    <x v="0"/>
    <s v="FARMARCAS"/>
    <s v="SELL OUT"/>
    <s v="847010605 - ISABELA CAMILA CRUCCITTI"/>
    <n v="10171.660730105721"/>
    <n v="6139.1500000000005"/>
    <n v="0.60355434209770309"/>
    <n v="10350.869999999995"/>
    <n v="1.01761848675938"/>
    <s v="ATIVO"/>
    <s v="Sim"/>
    <s v="NÃO"/>
    <s v="Comprou Marcas"/>
    <s v="SIM"/>
    <m/>
    <m/>
    <m/>
  </r>
  <r>
    <n v="26291944000159"/>
    <x v="1"/>
    <m/>
    <s v="DROGARIA ULTRA POPULAR"/>
    <s v="VILA BELA DA SANTISSIMA TRINDADE"/>
    <x v="0"/>
    <s v="FARMARCAS"/>
    <s v="SELL OUT"/>
    <s v="847010603 - ERIVALDO DA SILVA MACIEL"/>
    <n v="7088.5555835718314"/>
    <n v="3985.35"/>
    <n v="0.56222314306687482"/>
    <n v="450.46999999999997"/>
    <n v="6.3548912707123609E-2"/>
    <m/>
    <m/>
    <m/>
    <s v="Comprou Marcas e SG"/>
    <s v="SIM"/>
    <m/>
    <m/>
    <m/>
  </r>
  <r>
    <n v="12026397000170"/>
    <x v="1"/>
    <m/>
    <s v="OLIVEIRA FARMA"/>
    <s v="CAMPO GRANDE"/>
    <x v="1"/>
    <s v="ASSOCIADAS"/>
    <s v="SELL IN"/>
    <s v="847010602 - WELLINGTON DE MORAIS DO NASCIMENTO"/>
    <n v="414.52835469912793"/>
    <n v="0"/>
    <n v="0"/>
    <n v="0"/>
    <n v="0"/>
    <s v="FORA SCANN"/>
    <s v="Não"/>
    <s v="SIM"/>
    <s v="Não Comprou"/>
    <s v="NÃO"/>
    <m/>
    <m/>
    <m/>
  </r>
  <r>
    <n v="18110799000134"/>
    <x v="1"/>
    <m/>
    <s v="DROGARIA ESTRELA"/>
    <s v="PRESIDENTE PRUDENTE"/>
    <x v="2"/>
    <s v="INDEPENDENTES VIN"/>
    <s v="SELL IN"/>
    <s v="847010607 - MANUEL ARIEDE ARTERO"/>
    <n v="6162.9651646907023"/>
    <n v="2894.0499999999997"/>
    <n v="0.46958727214309054"/>
    <n v="2625.5100000000007"/>
    <n v="0.42601409059429041"/>
    <s v="FORA SCANN"/>
    <s v="Não"/>
    <s v="NÃO"/>
    <s v="Comprou Marcas e SG"/>
    <s v="NÃO"/>
    <m/>
    <m/>
    <m/>
  </r>
  <r>
    <n v="26476385000151"/>
    <x v="1"/>
    <m/>
    <s v="FARMA POPULAR"/>
    <s v="CLAUDIA"/>
    <x v="0"/>
    <s v="FARMARCAS"/>
    <s v="SELL OUT"/>
    <s v="847010605 - ISABELA CAMILA CRUCCITTI"/>
    <n v="9814.8148371923489"/>
    <n v="5023.7099999999991"/>
    <n v="0.51184969694620286"/>
    <n v="2995.5400000000004"/>
    <n v="0.305205961568289"/>
    <s v="ATIVO"/>
    <s v="Sim"/>
    <s v="NÃO"/>
    <s v="Comprou Marcas"/>
    <s v="SIM"/>
    <m/>
    <m/>
    <m/>
  </r>
  <r>
    <n v="11051538000141"/>
    <x v="1"/>
    <m/>
    <s v="ULTRA POPULAR"/>
    <s v="CANARANA"/>
    <x v="0"/>
    <s v="FARMARCAS"/>
    <s v="SELL OUT"/>
    <s v="847010606 - PRICILA MOREIRA DOS SANTOS"/>
    <n v="11881.141380625259"/>
    <n v="6944.4599999999973"/>
    <n v="0.58449434928233612"/>
    <n v="6721.93"/>
    <n v="0.56576466727022912"/>
    <s v="ATIVO"/>
    <s v="Sim"/>
    <s v="NÃO"/>
    <s v="Comprou Marcas"/>
    <s v="SIM"/>
    <m/>
    <m/>
    <m/>
  </r>
  <r>
    <n v="3142759000105"/>
    <x v="1"/>
    <m/>
    <s v="DROGARIA ULTRA POPULAR"/>
    <s v="PEIXOTO DE AZEVEDO"/>
    <x v="0"/>
    <s v="FARMARCAS"/>
    <s v="SELL OUT"/>
    <s v="847010605 - ISABELA CAMILA CRUCCITTI"/>
    <n v="25965.561052598852"/>
    <n v="17542.249999999993"/>
    <n v="0.67559680164292912"/>
    <n v="17507.429999999997"/>
    <n v="0.67425579460944118"/>
    <s v="ATIVO"/>
    <s v="Sim"/>
    <s v="NÃO"/>
    <s v="Comprou Marcas"/>
    <s v="SIM"/>
    <m/>
    <m/>
    <n v="2"/>
  </r>
  <r>
    <n v="20119949000201"/>
    <x v="1"/>
    <m/>
    <s v="FARMA POPULAR"/>
    <s v="CAMPO GRANDE"/>
    <x v="1"/>
    <s v="ASSOCIADAS"/>
    <s v="SELL IN"/>
    <s v="847010602 - WELLINGTON DE MORAIS DO NASCIMENTO"/>
    <n v="9423.1254584489707"/>
    <n v="7067.8000000000011"/>
    <n v="0.7500483816293525"/>
    <n v="4754.4500000000007"/>
    <n v="0.50455127876251094"/>
    <s v="TERMO DEVOLVIDO"/>
    <s v="Não"/>
    <s v="SIM"/>
    <s v="Comprou Marcas e SG"/>
    <s v="SIM"/>
    <m/>
    <m/>
    <m/>
  </r>
  <r>
    <n v="23952661000112"/>
    <x v="1"/>
    <m/>
    <s v="FARMACIA PIONEIRA"/>
    <s v="SINOP"/>
    <x v="0"/>
    <s v="INDEPENDENTES VIN"/>
    <s v="SELL IN"/>
    <s v="847010605 - ISABELA CAMILA CRUCCITTI"/>
    <n v="5483.9753735528429"/>
    <n v="1141.2399999999998"/>
    <n v="0.20810450854753512"/>
    <n v="1099.26"/>
    <n v="0.20044947781883171"/>
    <s v="TERMO DEVOLVIDO"/>
    <s v="Não"/>
    <s v="SIM"/>
    <s v="Comprou Marcas"/>
    <s v="NÃO"/>
    <m/>
    <m/>
    <m/>
  </r>
  <r>
    <n v="24437271000177"/>
    <x v="1"/>
    <m/>
    <s v="DROGARIA ULTRAPOPULAR"/>
    <s v="FATIMA DO SUL"/>
    <x v="1"/>
    <s v="FARMARCAS"/>
    <s v="SELL OUT"/>
    <s v="847010601 - RAFAEL DE OLIVEIRA NASCIMENTO"/>
    <n v="13342.556361536537"/>
    <n v="6720.090000000002"/>
    <n v="0.50365835585843555"/>
    <n v="3559.4500000000003"/>
    <n v="0.26677421504180865"/>
    <s v="ATIVO"/>
    <s v="Sim"/>
    <s v="NÃO"/>
    <s v="Comprou Marcas"/>
    <s v="SIM"/>
    <m/>
    <m/>
    <m/>
  </r>
  <r>
    <n v="27785214000410"/>
    <x v="29"/>
    <m/>
    <s v="DROGAO POPULAR"/>
    <s v="MARACAJU"/>
    <x v="1"/>
    <s v="ASSOCIADAS"/>
    <s v="SELL IN"/>
    <s v="847010601 - RAFAEL DE OLIVEIRA NASCIMENTO"/>
    <n v="9415.044518852379"/>
    <n v="9860.7099999999973"/>
    <n v="1.047335461904108"/>
    <n v="9026.42"/>
    <n v="0.95872302907604845"/>
    <s v="ATIVO"/>
    <s v="Sim"/>
    <s v="NÃO"/>
    <s v="Comprou Marcas"/>
    <s v="SIM"/>
    <n v="1"/>
    <m/>
    <m/>
  </r>
  <r>
    <n v="28032369000103"/>
    <x v="1"/>
    <m/>
    <s v="FARMACIA MEDICAMENTO BARATO"/>
    <s v="SAPEZAL"/>
    <x v="0"/>
    <s v="COMPRE BEM"/>
    <s v="SELL IN"/>
    <s v="847010604 - LEONARDO MAZZUCO"/>
    <n v="13542.419104018967"/>
    <n v="7888.1899999999978"/>
    <n v="0.58248012702981766"/>
    <n v="7116.0700000000024"/>
    <n v="0.52546520273384356"/>
    <s v="ATIVO"/>
    <s v="Sim"/>
    <s v="NÃO"/>
    <s v="Comprou Marcas"/>
    <s v="SIM"/>
    <m/>
    <m/>
    <m/>
  </r>
  <r>
    <n v="34959930000199"/>
    <x v="1"/>
    <m/>
    <s v="ATUAL FARMA"/>
    <s v="BATAGUASSU"/>
    <x v="1"/>
    <s v="HIPER SAUDE"/>
    <s v="SELL IN"/>
    <s v="847010608 - VALTER PEREIRA DA SILVA JUNIOR"/>
    <n v="4639.0762711353173"/>
    <n v="2689.9700000000003"/>
    <n v="0.57985035010896391"/>
    <n v="1600.14"/>
    <n v="0.34492642640005555"/>
    <s v="TERMO DEVOLVIDO"/>
    <s v="Não"/>
    <s v="NÃO"/>
    <s v="Comprou Marcas"/>
    <s v="SIM"/>
    <m/>
    <m/>
    <m/>
  </r>
  <r>
    <n v="36004691000149"/>
    <x v="1"/>
    <m/>
    <s v="DROGA MAIS SUPER POPULAR"/>
    <s v="NOVA XAVANTINA"/>
    <x v="0"/>
    <s v="HIPER SAUDE"/>
    <s v="SELL IN"/>
    <s v="847010606 - PRICILA MOREIRA DOS SANTOS"/>
    <n v="6047.4291948764439"/>
    <n v="4251.21"/>
    <n v="0.70297805282313142"/>
    <n v="0"/>
    <n v="0"/>
    <m/>
    <m/>
    <m/>
    <s v="Não Comprou"/>
    <m/>
    <m/>
    <m/>
    <m/>
  </r>
  <r>
    <n v="36259468000142"/>
    <x v="1"/>
    <m/>
    <s v="DROGARIAS MATOS"/>
    <s v="CAMPO GRANDE"/>
    <x v="1"/>
    <s v="INDEPENDENTES VIN"/>
    <s v="SELL IN"/>
    <s v="847010602 - WELLINGTON DE MORAIS DO NASCIMENTO"/>
    <n v="2606.6251740330617"/>
    <n v="1172.3400000000001"/>
    <n v="0.44975396220320957"/>
    <n v="0"/>
    <n v="0"/>
    <s v="FORA SCANN"/>
    <s v="Não"/>
    <s v="NÃO"/>
    <s v="Não Comprou"/>
    <s v="NÃO"/>
    <m/>
    <m/>
    <m/>
  </r>
  <r>
    <n v="61144743000120"/>
    <x v="1"/>
    <m/>
    <s v="7 PHARMA"/>
    <s v="TRES LAGOAS"/>
    <x v="1"/>
    <s v="MASTERFARMA"/>
    <s v="SELL IN"/>
    <s v="847010608 - VALTER PEREIRA DA SILVA JUNIOR"/>
    <n v="6734.0141180477258"/>
    <n v="2403.08"/>
    <n v="0.35685698869557503"/>
    <n v="568.84"/>
    <n v="8.4472647373200607E-2"/>
    <s v="FORA SCANN"/>
    <s v="Não"/>
    <s v="NÃO"/>
    <s v="Comprou Marcas"/>
    <s v="SIM"/>
    <n v="4"/>
    <m/>
    <m/>
  </r>
  <r>
    <n v="52464336000109"/>
    <x v="1"/>
    <n v="147"/>
    <s v="IRMAS GONCALVES PENAPOLIS"/>
    <s v="PENAPOLIS"/>
    <x v="2"/>
    <s v="INDEPENDENTES VIN"/>
    <s v="SELL IN"/>
    <s v="847010608 - VALTER PEREIRA DA SILVA JUNIOR"/>
    <n v="7331.6638023028245"/>
    <n v="2936.82"/>
    <n v="0.40056664887955795"/>
    <n v="0"/>
    <n v="0"/>
    <s v="FILA DE ATIVAÇÃO"/>
    <s v="Não"/>
    <s v="NÃO"/>
    <s v="Comprou SG"/>
    <s v="SIM"/>
    <n v="1"/>
    <m/>
    <m/>
  </r>
  <r>
    <n v="53062463000144"/>
    <x v="1"/>
    <m/>
    <s v="FARMACIA ECONOMIZE"/>
    <s v="PONTES E LACERDA"/>
    <x v="0"/>
    <s v="ECONOMIZE RONDONOPOLIS"/>
    <s v="SELL IN"/>
    <s v="847010603 - ERIVALDO DA SILVA MACIEL"/>
    <n v="6268.254825592473"/>
    <n v="3050.7499999999995"/>
    <n v="0.4866984647057076"/>
    <n v="0"/>
    <n v="0"/>
    <s v="FORA SCANN"/>
    <s v="Não"/>
    <s v="SIM"/>
    <s v="Não Comprou"/>
    <s v="SIM"/>
    <n v="4"/>
    <m/>
    <m/>
  </r>
  <r>
    <n v="5006001000167"/>
    <x v="1"/>
    <m/>
    <s v="DROGALAR"/>
    <s v="CANARANA"/>
    <x v="0"/>
    <s v="INDEPENDENTES VIN"/>
    <s v="SELL IN"/>
    <s v="847010606 - PRICILA MOREIRA DOS SANTOS"/>
    <n v="9881.7755677287405"/>
    <n v="5676.27"/>
    <n v="0.57441802448308921"/>
    <n v="0"/>
    <n v="0"/>
    <s v="FORA SCANN"/>
    <s v="Não"/>
    <s v="SIM"/>
    <s v="Não Comprou"/>
    <s v="SIM"/>
    <m/>
    <m/>
    <m/>
  </r>
  <r>
    <n v="5344624000492"/>
    <x v="31"/>
    <m/>
    <s v="DROGARIA ULTRAPOPULAR II"/>
    <s v="PONTA PORA"/>
    <x v="1"/>
    <s v="FARMARCAS"/>
    <s v="SELL OUT"/>
    <s v="847010601 - RAFAEL DE OLIVEIRA NASCIMENTO"/>
    <n v="7073.62541264025"/>
    <n v="3268.0200000000004"/>
    <n v="0.462000715242879"/>
    <n v="1696.6100000000001"/>
    <n v="0.23985013356350968"/>
    <s v="ATIVO"/>
    <s v="Sim"/>
    <s v="NÃO"/>
    <s v="Comprou Marcas"/>
    <s v="SIM"/>
    <m/>
    <m/>
    <m/>
  </r>
  <r>
    <n v="5465757000174"/>
    <x v="1"/>
    <m/>
    <s v="DROGARIA GOIAS"/>
    <s v="TANGARA DA SERRA"/>
    <x v="0"/>
    <s v="ASSOCIADAS"/>
    <s v="SELL IN"/>
    <s v="847010604 - LEONARDO MAZZUCO"/>
    <n v="2270.7764072739442"/>
    <n v="1431.2599999999998"/>
    <n v="0.63029543349810491"/>
    <n v="1135.0299999999997"/>
    <n v="0.49984225499444818"/>
    <s v="FORA SCANN"/>
    <s v="Não"/>
    <s v="SIM"/>
    <s v="Comprou Marcas"/>
    <s v="SIM"/>
    <m/>
    <m/>
    <m/>
  </r>
  <r>
    <n v="193631000174"/>
    <x v="1"/>
    <m/>
    <s v="FARMACIA NAKAYAMA LTDA"/>
    <s v="CAARAPO"/>
    <x v="1"/>
    <s v="INDEPENDENTES VIN"/>
    <s v="SELL IN"/>
    <s v="847010601 - RAFAEL DE OLIVEIRA NASCIMENTO"/>
    <n v="6308.8527134109536"/>
    <n v="1699.99"/>
    <n v="0.26946103788193859"/>
    <n v="0"/>
    <n v="0"/>
    <s v="FORA SCANN"/>
    <s v="Não"/>
    <s v="NÃO"/>
    <s v="Não Comprou"/>
    <s v="NÃO"/>
    <m/>
    <m/>
    <m/>
  </r>
  <r>
    <n v="1394350000142"/>
    <x v="29"/>
    <m/>
    <s v="DROGAO POPULAR"/>
    <s v="MARACAJU"/>
    <x v="1"/>
    <s v="ASSOCIADAS"/>
    <s v="SELL IN"/>
    <s v="847010601 - RAFAEL DE OLIVEIRA NASCIMENTO"/>
    <n v="7456.2914726377157"/>
    <n v="5967.52"/>
    <n v="0.80033351994070423"/>
    <n v="4517.8200000000015"/>
    <n v="0.60590710765251121"/>
    <s v="ATIVO"/>
    <s v="Sim"/>
    <s v="NÃO"/>
    <s v="Comprou Marcas"/>
    <s v="SIM"/>
    <m/>
    <m/>
    <m/>
  </r>
  <r>
    <n v="3328971000153"/>
    <x v="1"/>
    <m/>
    <s v="DROGARELLI"/>
    <s v="NOVA GUATAPORANGA"/>
    <x v="2"/>
    <s v="MULTIDROGAS"/>
    <s v="SELL IN"/>
    <s v="847010607 - MANUEL ARIEDE ARTERO"/>
    <n v="6843.1437652396608"/>
    <n v="4762.4699999999993"/>
    <n v="0.69594767600695118"/>
    <n v="1191.02"/>
    <n v="0.17404573699735623"/>
    <s v="FORA SCANN"/>
    <s v="Não"/>
    <s v="NÃO"/>
    <s v="Comprou Marcas"/>
    <s v="SIM"/>
    <m/>
    <m/>
    <m/>
  </r>
  <r>
    <n v="1134776000167"/>
    <x v="1"/>
    <m/>
    <s v="DROG SAO PAULO"/>
    <s v="ALTA FLORESTA"/>
    <x v="0"/>
    <s v="ASSOCIADAS"/>
    <s v="SELL IN"/>
    <s v="847010605 - ISABELA CAMILA CRUCCITTI"/>
    <n v="13232.185600931924"/>
    <n v="16227.510000000011"/>
    <n v="1.226366564784062"/>
    <n v="6287.79"/>
    <n v="0.47518907228426122"/>
    <s v="FORA SCANN"/>
    <s v="Não"/>
    <s v="NÃO"/>
    <s v="Comprou Marcas"/>
    <s v="SIM"/>
    <n v="3"/>
    <m/>
    <n v="6"/>
  </r>
  <r>
    <n v="1478274000153"/>
    <x v="1"/>
    <m/>
    <s v="MASTER FARMA"/>
    <s v="CASSILANDIA"/>
    <x v="1"/>
    <s v="MASTERFARMA"/>
    <s v="SELL IN"/>
    <s v="847010608 - VALTER PEREIRA DA SILVA JUNIOR"/>
    <n v="2474.3808554077286"/>
    <n v="1557.7299999999996"/>
    <n v="0.62954334479092011"/>
    <n v="0"/>
    <n v="0"/>
    <s v="FORA SCANN"/>
    <s v="Não"/>
    <s v="NÃO"/>
    <s v="Não Comprou"/>
    <s v="SIM"/>
    <m/>
    <m/>
    <m/>
  </r>
  <r>
    <n v="1617371000180"/>
    <x v="1"/>
    <m/>
    <s v="DROG SANTA LUZIA"/>
    <s v="LUCELIA"/>
    <x v="2"/>
    <s v="MULTIDROGAS"/>
    <s v="SELL IN"/>
    <s v="847010607 - MANUEL ARIEDE ARTERO"/>
    <n v="15436.658449557635"/>
    <n v="18486.309999999994"/>
    <n v="1.197559048184405"/>
    <n v="15917.140000000003"/>
    <n v="1.031126007743997"/>
    <s v="ATIVO"/>
    <s v="Não"/>
    <s v="NÃO"/>
    <s v="Comprou Marcas e SG"/>
    <s v="SIM"/>
    <m/>
    <m/>
    <m/>
  </r>
  <r>
    <n v="3476160000108"/>
    <x v="1"/>
    <m/>
    <s v="FCIA SANTA MONICA"/>
    <s v="CHAPADAO DO SUL"/>
    <x v="1"/>
    <s v="ASSOCIADAS"/>
    <s v="SELL IN"/>
    <s v="847010608 - VALTER PEREIRA DA SILVA JUNIOR"/>
    <n v="10159.443663872926"/>
    <n v="9281.57"/>
    <n v="0.91359038024939765"/>
    <n v="7661.7600000000011"/>
    <n v="0.75415153166755478"/>
    <s v="FILA DE ATIVAÇÃO"/>
    <s v="Não"/>
    <s v="SIM"/>
    <s v="Comprou Marcas e SG"/>
    <s v="SIM"/>
    <m/>
    <n v="3"/>
    <m/>
  </r>
  <r>
    <n v="3662213000177"/>
    <x v="1"/>
    <m/>
    <s v="FARMA VIDA II"/>
    <s v="TRES LAGOAS"/>
    <x v="1"/>
    <s v="INDEPENDENTES VIN"/>
    <s v="SELL IN"/>
    <s v="847010608 - VALTER PEREIRA DA SILVA JUNIOR"/>
    <n v="3661.5066933843336"/>
    <n v="1215.8899999999999"/>
    <n v="0.33207367944919741"/>
    <n v="463.82"/>
    <n v="0.12667462846320535"/>
    <s v="FORA SCANN"/>
    <s v="Não"/>
    <s v="NÃO"/>
    <s v="Comprou Marcas"/>
    <s v="NÃO"/>
    <m/>
    <m/>
    <m/>
  </r>
  <r>
    <n v="4837150000105"/>
    <x v="1"/>
    <m/>
    <s v="DROGARIA AVENIDA"/>
    <s v="TANGARA DA SERRA"/>
    <x v="0"/>
    <s v="MASTERFARMA"/>
    <s v="SELL IN"/>
    <s v="847010604 - LEONARDO MAZZUCO"/>
    <n v="3188.6371086327167"/>
    <n v="2098.16"/>
    <n v="0.65801153549884139"/>
    <n v="1025.9100000000001"/>
    <n v="0.32173934036661478"/>
    <s v="TERMO DEVOLVIDO"/>
    <s v="Não"/>
    <s v="SIM"/>
    <s v="Comprou Marcas"/>
    <s v="SIM"/>
    <m/>
    <m/>
    <m/>
  </r>
  <r>
    <n v="4965294000147"/>
    <x v="1"/>
    <m/>
    <s v="DROGAMED"/>
    <s v="PARAISO DAS AGUAS"/>
    <x v="1"/>
    <s v="ASSOCIADAS"/>
    <s v="SELL IN"/>
    <s v="847010608 - VALTER PEREIRA DA SILVA JUNIOR"/>
    <n v="4503.3376013740844"/>
    <n v="3299.5099999999998"/>
    <n v="0.73268102284697334"/>
    <n v="1750.56"/>
    <n v="0.38872502018632998"/>
    <s v="FORA SCANN"/>
    <s v="Não"/>
    <s v="SIM"/>
    <s v="Comprou Marcas"/>
    <s v="SIM"/>
    <m/>
    <m/>
    <m/>
  </r>
  <r>
    <n v="4972853000731"/>
    <x v="7"/>
    <m/>
    <s v="FARMACIA MADEIRA"/>
    <s v="SINOP"/>
    <x v="0"/>
    <s v="REDE MADEIRA"/>
    <s v="SELL IN"/>
    <s v="847010605 - ISABELA CAMILA CRUCCITTI"/>
    <n v="7011.4789383484122"/>
    <n v="6391.5399999999991"/>
    <n v="0.91158228616251924"/>
    <n v="4752.0499999999993"/>
    <n v="0.67775287379232541"/>
    <s v="FORA SCANN"/>
    <s v="Não"/>
    <s v="SIM"/>
    <s v="Comprou Marcas e SG"/>
    <s v="SIM"/>
    <m/>
    <m/>
    <m/>
  </r>
  <r>
    <n v="5340715000107"/>
    <x v="1"/>
    <m/>
    <s v="DROG FABIANA"/>
    <s v="CAMPO GRANDE"/>
    <x v="1"/>
    <s v="INDEPENDENTES VIN"/>
    <s v="SELL IN"/>
    <s v="847010602 - WELLINGTON DE MORAIS DO NASCIMENTO"/>
    <n v="10032.456674580577"/>
    <n v="3639.7400000000002"/>
    <n v="0.36279648326038405"/>
    <n v="2740.8"/>
    <n v="0.2731933053789723"/>
    <s v="FORA SCANN"/>
    <s v="Não"/>
    <s v="NÃO"/>
    <s v="Comprou Marcas"/>
    <s v="NÃO"/>
    <m/>
    <m/>
    <m/>
  </r>
  <r>
    <n v="5639734000139"/>
    <x v="1"/>
    <m/>
    <s v="DROG AVENIDA"/>
    <s v="ALTO ARAGUAIA"/>
    <x v="0"/>
    <s v="HIPER SAUDE"/>
    <s v="SELL IN"/>
    <s v="847010606 - PRICILA MOREIRA DOS SANTOS"/>
    <n v="1442.1908323071148"/>
    <n v="453.46"/>
    <n v="0.31442440892138163"/>
    <n v="0"/>
    <n v="0"/>
    <s v="TERMO DEVOLVIDO"/>
    <s v="Não"/>
    <s v="SIM"/>
    <s v="Não Comprou"/>
    <s v="SIM"/>
    <n v="1"/>
    <m/>
    <m/>
  </r>
  <r>
    <n v="5867754000167"/>
    <x v="2"/>
    <m/>
    <s v="FCIA POPULAR"/>
    <s v="DOURADOS"/>
    <x v="1"/>
    <s v="INDEPENDENTES VIN"/>
    <s v="SELL IN"/>
    <s v="847010601 - RAFAEL DE OLIVEIRA NASCIMENTO"/>
    <n v="5355.8905779711013"/>
    <n v="8095.7799999999988"/>
    <n v="1.5115656083972522"/>
    <n v="5525.4299999999994"/>
    <n v="1.031654758356382"/>
    <s v="ATIVO"/>
    <s v="Sim"/>
    <s v="SIM"/>
    <s v="Comprou Marcas"/>
    <s v="SIM"/>
    <m/>
    <n v="4"/>
    <n v="4"/>
  </r>
  <r>
    <n v="422093000142"/>
    <x v="1"/>
    <m/>
    <s v="EDUFARMA"/>
    <s v="ANDRADINA"/>
    <x v="2"/>
    <s v="INDEPENDENTES VIN"/>
    <s v="SELL IN"/>
    <s v="847010608 - VALTER PEREIRA DA SILVA JUNIOR"/>
    <n v="1696.6693157533832"/>
    <n v="3027.14"/>
    <n v="1.7841661730387568"/>
    <n v="2324.4099999999994"/>
    <n v="1.369984108522571"/>
    <s v="FORA SCANN"/>
    <s v="Não"/>
    <s v="SIM"/>
    <s v="Comprou Marcas"/>
    <s v="NÃO"/>
    <m/>
    <m/>
    <m/>
  </r>
  <r>
    <n v="818504000113"/>
    <x v="1"/>
    <m/>
    <s v="FCIA NAVIRAI"/>
    <s v="NAVIRAI"/>
    <x v="1"/>
    <s v="INDEPENDENTES VIN"/>
    <s v="SELL IN"/>
    <s v="847010601 - RAFAEL DE OLIVEIRA NASCIMENTO"/>
    <n v="2269.1453592374364"/>
    <n v="1199.6499999999999"/>
    <n v="0.52867922062214268"/>
    <n v="0"/>
    <n v="0"/>
    <s v="FORA SCANN"/>
    <s v="Não"/>
    <s v="NÃO"/>
    <s v="Não Comprou"/>
    <s v="SIM"/>
    <m/>
    <m/>
    <m/>
  </r>
  <r>
    <n v="1323294000155"/>
    <x v="1"/>
    <m/>
    <s v="DROGARIA BRASIL"/>
    <s v="BARRA DO GARCAS"/>
    <x v="0"/>
    <s v="INDEPENDENTES VIN"/>
    <s v="SELL IN"/>
    <s v="847010606 - PRICILA MOREIRA DOS SANTOS"/>
    <n v="394.77598910324224"/>
    <n v="0"/>
    <n v="0"/>
    <n v="0"/>
    <n v="0"/>
    <s v="FORA SCANN"/>
    <s v="Não"/>
    <s v="NÃO"/>
    <s v="Não Comprou"/>
    <s v="NÃO"/>
    <m/>
    <m/>
    <m/>
  </r>
  <r>
    <n v="2441488000118"/>
    <x v="1"/>
    <m/>
    <s v="FCIA FARMA E CIA"/>
    <s v="RIO BRILHANTE"/>
    <x v="1"/>
    <s v="ASSOCIADAS"/>
    <s v="SELL IN"/>
    <s v="847010601 - RAFAEL DE OLIVEIRA NASCIMENTO"/>
    <n v="5349.6718401664648"/>
    <n v="1473.0400000000004"/>
    <n v="0.27535146902658691"/>
    <n v="360.46999999999997"/>
    <n v="6.7381703171681517E-2"/>
    <s v="FORA SCANN"/>
    <s v="Não"/>
    <s v="SIM"/>
    <s v="Comprou Marcas"/>
    <s v="SIM"/>
    <m/>
    <m/>
    <m/>
  </r>
  <r>
    <n v="31836867000105"/>
    <x v="1"/>
    <m/>
    <s v="DROGARIA OPCAO POPULAR"/>
    <s v="CUIABA"/>
    <x v="0"/>
    <s v="INDEPENDENTES VIN"/>
    <s v="SELL IN"/>
    <s v="847010603 - ERIVALDO DA SILVA MACIEL"/>
    <n v="5273.8415761985289"/>
    <n v="2411.0500000000002"/>
    <n v="0.45717148783561384"/>
    <n v="0"/>
    <n v="0"/>
    <s v="FORA SCANN"/>
    <s v="Não"/>
    <s v="NÃO"/>
    <s v="Não Comprou"/>
    <s v="NÃO"/>
    <n v="1"/>
    <m/>
    <m/>
  </r>
  <r>
    <n v="14648568000128"/>
    <x v="1"/>
    <m/>
    <s v="DROGARIA FARMA CENTER"/>
    <s v="QUERENCIA"/>
    <x v="0"/>
    <s v="ASSOCIADAS"/>
    <s v="SELL IN"/>
    <s v="847010606 - PRICILA MOREIRA DOS SANTOS"/>
    <n v="6005.2707388470717"/>
    <n v="6303.9300000000012"/>
    <n v="1.0497328553766867"/>
    <n v="0"/>
    <n v="0"/>
    <s v="FORA SCANN"/>
    <s v="Não"/>
    <s v="SIM"/>
    <s v="Não Comprou"/>
    <s v="SIM"/>
    <n v="1"/>
    <m/>
    <n v="4"/>
  </r>
  <r>
    <n v="15303440000195"/>
    <x v="4"/>
    <m/>
    <s v="DROGARIA SANTA CATARINA"/>
    <s v="REGENTE FEIJO"/>
    <x v="2"/>
    <s v="REDE SANTA CATARINA"/>
    <s v="SELL IN"/>
    <s v="847010607 - MANUEL ARIEDE ARTERO"/>
    <n v="22597.464046858346"/>
    <n v="11876.440000000008"/>
    <n v="0.52556516852390578"/>
    <n v="6456.0199999999995"/>
    <n v="0.28569665988239773"/>
    <s v="ATIVO"/>
    <s v="Sim"/>
    <s v="NÃO"/>
    <s v="Comprou Marcas e SG"/>
    <s v="SIM"/>
    <m/>
    <m/>
    <m/>
  </r>
  <r>
    <n v="11190148000233"/>
    <x v="1"/>
    <m/>
    <s v="SUPER PRECO POPULAR"/>
    <s v="LUCAS DO RIO VERDE"/>
    <x v="0"/>
    <s v="HIPER SAUDE"/>
    <s v="SELL IN"/>
    <s v="847010605 - ISABELA CAMILA CRUCCITTI"/>
    <n v="6218.8076179278933"/>
    <n v="5025.880000000001"/>
    <n v="0.80817422065142197"/>
    <n v="3714.02"/>
    <n v="0.5972238133389165"/>
    <s v="ATIVO"/>
    <s v="Não"/>
    <s v="NÃO"/>
    <s v="Comprou Marcas"/>
    <s v="SIM"/>
    <n v="7"/>
    <m/>
    <m/>
  </r>
  <r>
    <n v="11277593000154"/>
    <x v="1"/>
    <m/>
    <s v="FARMA NOSSA"/>
    <s v="IVINHEMA"/>
    <x v="1"/>
    <s v="MASTERFARMA"/>
    <s v="SELL IN"/>
    <s v="847010601 - RAFAEL DE OLIVEIRA NASCIMENTO"/>
    <n v="615.53294652526961"/>
    <n v="637.32999999999993"/>
    <n v="1.0354116763331294"/>
    <n v="219.78000000000003"/>
    <n v="0.35705643579385127"/>
    <s v="TERMO DEVOLVIDO"/>
    <s v="Não"/>
    <s v="NÃO"/>
    <s v="Comprou Marcas"/>
    <s v="SIM"/>
    <m/>
    <m/>
    <m/>
  </r>
  <r>
    <n v="13079901000162"/>
    <x v="1"/>
    <m/>
    <s v="DROGASUPER"/>
    <s v="PARANATINGA"/>
    <x v="0"/>
    <s v="INDEPENDENTES VIN"/>
    <s v="SELL IN"/>
    <s v="847010606 - PRICILA MOREIRA DOS SANTOS"/>
    <n v="1553.5859219060189"/>
    <n v="1048.4000000000001"/>
    <n v="0.6748258884283459"/>
    <n v="1238.5099999999998"/>
    <n v="0.79719440201963987"/>
    <s v="ATIVO"/>
    <s v="Não"/>
    <s v="NÃO"/>
    <s v="Comprou Marcas e SG"/>
    <s v="NÃO"/>
    <m/>
    <m/>
    <m/>
  </r>
  <r>
    <n v="17176661000175"/>
    <x v="1"/>
    <m/>
    <s v="FARMAIVI"/>
    <s v="IVINHEMA"/>
    <x v="1"/>
    <s v="ASSOCIADAS"/>
    <s v="SELL IN"/>
    <s v="847010601 - RAFAEL DE OLIVEIRA NASCIMENTO"/>
    <n v="11353.771623005443"/>
    <n v="12234.999999999998"/>
    <n v="1.0776154749501017"/>
    <n v="7025.12"/>
    <n v="0.61874769312476174"/>
    <s v="ATIVO"/>
    <s v="Sim"/>
    <s v="SIM"/>
    <s v="Comprou Marcas"/>
    <s v="SIM"/>
    <m/>
    <m/>
    <m/>
  </r>
  <r>
    <n v="17581013000102"/>
    <x v="1"/>
    <m/>
    <s v="DROGARIA PAJU"/>
    <s v="PONTES E LACERDA"/>
    <x v="0"/>
    <s v="INDEPENDENTES VIN"/>
    <s v="SELL IN"/>
    <s v="847010603 - ERIVALDO DA SILVA MACIEL"/>
    <n v="4567.9737146424486"/>
    <n v="1403.96"/>
    <n v="0.30734852862652534"/>
    <n v="0"/>
    <n v="0"/>
    <s v="FORA SCANN"/>
    <s v="Não"/>
    <s v="NÃO"/>
    <s v="Não Comprou"/>
    <s v="SIM"/>
    <m/>
    <m/>
    <m/>
  </r>
  <r>
    <n v="36728431000388"/>
    <x v="1"/>
    <m/>
    <s v="ABRE FARMA COMERCIO DE MEDICAMENTOS E PERFUMARIA"/>
    <s v="CAMPO GRANDE"/>
    <x v="1"/>
    <s v="FARMARCAS"/>
    <s v="SELL OUT"/>
    <s v="847010602 - WELLINGTON DE MORAIS DO NASCIMENTO"/>
    <n v="8794.2994094504429"/>
    <n v="5021.0099999999993"/>
    <n v="0.57093916936741673"/>
    <n v="4685.8600000000006"/>
    <n v="0.53282925470612563"/>
    <s v="ATIVO"/>
    <s v="Sim"/>
    <s v="NÃO"/>
    <s v="Comprou Marcas"/>
    <s v="SIM"/>
    <m/>
    <m/>
    <m/>
  </r>
  <r>
    <n v="43011126000174"/>
    <x v="1"/>
    <m/>
    <s v="DROGARIA FL DO LUIZINHO"/>
    <s v="CAMPO GRANDE"/>
    <x v="1"/>
    <s v="ASSOCIADAS"/>
    <s v="SELL IN"/>
    <s v="847010602 - WELLINGTON DE MORAIS DO NASCIMENTO"/>
    <n v="4492.9584413896"/>
    <n v="1416.3899999999999"/>
    <n v="0.31524662835784723"/>
    <n v="0"/>
    <n v="0"/>
    <s v="TERMO DEVOLVIDO"/>
    <s v="Não"/>
    <s v="SIM"/>
    <s v="Não Comprou"/>
    <s v="NÃO"/>
    <m/>
    <m/>
    <m/>
  </r>
  <r>
    <n v="43054517000257"/>
    <x v="1"/>
    <m/>
    <s v="HIPER POPULAR"/>
    <s v="DEODAPOLIS"/>
    <x v="1"/>
    <s v="HIPER SAUDE"/>
    <s v="SELL IN"/>
    <s v="847010601 - RAFAEL DE OLIVEIRA NASCIMENTO"/>
    <n v="16757.638669030941"/>
    <n v="10642.189999999997"/>
    <n v="0.63506501185440656"/>
    <n v="10007.729999999996"/>
    <n v="0.59720406900137091"/>
    <s v="ATIVO"/>
    <s v="Não"/>
    <s v="NÃO"/>
    <s v="Comprou Marcas"/>
    <s v="SIM"/>
    <m/>
    <m/>
    <m/>
  </r>
  <r>
    <n v="48808406000121"/>
    <x v="1"/>
    <m/>
    <s v="FARMAIS"/>
    <s v="TUPI PAULISTA"/>
    <x v="2"/>
    <s v="FARMAIS"/>
    <s v="SELL IN"/>
    <s v="847010607 - MANUEL ARIEDE ARTERO"/>
    <n v="4127.0457447492608"/>
    <n v="2706.92"/>
    <n v="0.65589774560748404"/>
    <n v="139.56"/>
    <n v="3.3815956650724982E-2"/>
    <s v="ATIVO"/>
    <s v="Não"/>
    <s v="NÃO"/>
    <s v="Não Comprou"/>
    <s v="SIM"/>
    <m/>
    <m/>
    <m/>
  </r>
  <r>
    <n v="49852577000110"/>
    <x v="1"/>
    <n v="18999"/>
    <s v="FARMACIA IMPERIAL"/>
    <s v="TEODORO SAMPAIO"/>
    <x v="2"/>
    <s v="INDEPENDENTES VIN"/>
    <s v="SELL IN"/>
    <s v="847010607 - MANUEL ARIEDE ARTERO"/>
    <n v="45417.754879381791"/>
    <n v="34665.929999999993"/>
    <n v="0.76326824370918467"/>
    <n v="21874.02"/>
    <n v="0.4816182582800918"/>
    <s v="ATIVO"/>
    <s v="Sim"/>
    <s v="NÃO"/>
    <s v="Comprou Marcas e SG"/>
    <s v="SIM"/>
    <n v="9"/>
    <m/>
    <n v="16"/>
  </r>
  <r>
    <n v="50413414000110"/>
    <x v="1"/>
    <m/>
    <s v="ULTRAPOPULAR CACHOEIRA"/>
    <s v="CAMPO GRANDE"/>
    <x v="1"/>
    <s v="HIPER SAUDE"/>
    <s v="SELL IN"/>
    <s v="847010602 - WELLINGTON DE MORAIS DO NASCIMENTO"/>
    <n v="7311.4038121281746"/>
    <n v="1522.39"/>
    <n v="0.20822129909917653"/>
    <n v="118.66"/>
    <n v="1.6229441438204588E-2"/>
    <s v="FORA SCANN"/>
    <s v="Não"/>
    <s v="NÃO"/>
    <s v="Comprou Marcas"/>
    <s v="SIM"/>
    <m/>
    <m/>
    <m/>
  </r>
  <r>
    <n v="51996536000140"/>
    <x v="1"/>
    <m/>
    <s v="NERES &amp; NERES LTDA ME"/>
    <s v="ARACATUBA"/>
    <x v="2"/>
    <s v="INDEPENDENTES VIN"/>
    <s v="SELL IN"/>
    <s v="847010608 - VALTER PEREIRA DA SILVA JUNIOR"/>
    <n v="3956.6223883954644"/>
    <n v="2705.7599999999998"/>
    <n v="0.68385601009988495"/>
    <n v="309.18"/>
    <n v="7.8142407753341928E-2"/>
    <s v="FORA SCANN"/>
    <s v="Não"/>
    <s v="NÃO"/>
    <s v="Comprou Marcas"/>
    <s v="NÃO"/>
    <m/>
    <m/>
    <m/>
  </r>
  <r>
    <n v="42286411000135"/>
    <x v="1"/>
    <m/>
    <s v="FSJ COMERCIO DE MEDICAMENTOS"/>
    <s v="JARDIM"/>
    <x v="1"/>
    <s v="COMPRE BEM"/>
    <s v="SELL IN"/>
    <s v="847010601 - RAFAEL DE OLIVEIRA NASCIMENTO"/>
    <n v="4185.3861964869757"/>
    <n v="759.0200000000001"/>
    <n v="0.18135005095517523"/>
    <n v="0"/>
    <n v="0"/>
    <s v="TERMO DEVOLVIDO"/>
    <s v="Não"/>
    <s v="SIM"/>
    <s v="Não Comprou"/>
    <s v="NÃO"/>
    <m/>
    <m/>
    <m/>
  </r>
  <r>
    <n v="42917127000110"/>
    <x v="1"/>
    <m/>
    <s v="CIRURGICA VIANA LTDA"/>
    <s v="PRESIDENTE PRUDENTE"/>
    <x v="2"/>
    <s v="INDEPENDENTES VIN"/>
    <s v="SELL IN"/>
    <s v="847010607 - MANUEL ARIEDE ARTERO"/>
    <n v="992.55735333999985"/>
    <n v="438.11999999999995"/>
    <n v="0.44140522310948238"/>
    <n v="132.08000000000001"/>
    <n v="0.1330703959378719"/>
    <s v="FORA SCANN"/>
    <s v="Não"/>
    <s v="NÃO"/>
    <s v="Comprou Marcas"/>
    <s v="NÃO"/>
    <m/>
    <m/>
    <m/>
  </r>
  <r>
    <n v="44053810000181"/>
    <x v="1"/>
    <m/>
    <s v="ULTRAFARMA"/>
    <s v="CAMPO GRANDE"/>
    <x v="1"/>
    <s v="ULTRAFARMA - FRANQUIA"/>
    <s v="SELL IN"/>
    <s v="847010602 - WELLINGTON DE MORAIS DO NASCIMENTO"/>
    <n v="26982.518715370577"/>
    <n v="15166.91"/>
    <n v="0.56210134272454626"/>
    <n v="12409.219999999998"/>
    <n v="0.45989850432054336"/>
    <s v="FORA SCANN"/>
    <s v="Não"/>
    <s v="SIM"/>
    <s v="Comprou Marcas"/>
    <s v="SIM"/>
    <n v="2"/>
    <n v="2"/>
    <n v="2"/>
  </r>
  <r>
    <n v="531367000301"/>
    <x v="1"/>
    <m/>
    <s v="FARMAVIDA"/>
    <s v="NOVA ALVORADA DO SUL"/>
    <x v="1"/>
    <s v="FARMARCAS"/>
    <s v="SELL OUT"/>
    <s v="847010601 - RAFAEL DE OLIVEIRA NASCIMENTO"/>
    <n v="11526.354095459412"/>
    <n v="5908.3100000000013"/>
    <n v="0.51259140150201243"/>
    <n v="6833.82"/>
    <n v="0.59288652278104603"/>
    <s v="ATIVO"/>
    <s v="Sim"/>
    <s v="NÃO"/>
    <s v="Comprou Marcas"/>
    <s v="SIM"/>
    <m/>
    <m/>
    <m/>
  </r>
  <r>
    <n v="3318604000179"/>
    <x v="1"/>
    <n v="112829"/>
    <s v="FCIA FUTURA"/>
    <s v="BIRIGUI"/>
    <x v="2"/>
    <s v="INDEPENDENTES VIN"/>
    <s v="SELL IN"/>
    <s v="847010608 - VALTER PEREIRA DA SILVA JUNIOR"/>
    <n v="4767.32055524104"/>
    <n v="2209.0800000000004"/>
    <n v="0.46337979047190531"/>
    <n v="1125.04"/>
    <n v="0.2359900046501314"/>
    <s v="FORA SCANN"/>
    <s v="Não"/>
    <s v="NÃO"/>
    <s v="Comprou Marcas"/>
    <s v="SIM"/>
    <m/>
    <m/>
    <m/>
  </r>
  <r>
    <n v="4433837000185"/>
    <x v="1"/>
    <m/>
    <s v="ACAO FARMA"/>
    <s v="PRESIDENTE PRUDENTE"/>
    <x v="2"/>
    <s v="REDE SMALLFARMA"/>
    <s v="SELL IN"/>
    <s v="847010607 - MANUEL ARIEDE ARTERO"/>
    <n v="1456.1492804160741"/>
    <n v="207.06"/>
    <n v="0.14219695932606272"/>
    <n v="0"/>
    <n v="0"/>
    <s v="TERMO DEVOLVIDO"/>
    <s v="Não"/>
    <s v="NÃO"/>
    <s v="Não Comprou"/>
    <s v="NÃO"/>
    <m/>
    <m/>
    <m/>
  </r>
  <r>
    <n v="4597961000186"/>
    <x v="1"/>
    <n v="39947"/>
    <s v="DROG RIZZO"/>
    <s v="PRESIDENTE PRUDENTE"/>
    <x v="2"/>
    <s v="INDEPENDENTES VIN"/>
    <s v="SELL IN"/>
    <s v="847010607 - MANUEL ARIEDE ARTERO"/>
    <n v="9391.6583531733449"/>
    <n v="5930.2699999999986"/>
    <n v="0.63144013304063829"/>
    <n v="3762.8300000000004"/>
    <n v="0.40065661020650084"/>
    <s v="FORA SCANN"/>
    <s v="Não"/>
    <s v="NÃO"/>
    <s v="Comprou Marcas"/>
    <s v="SIM"/>
    <m/>
    <m/>
    <m/>
  </r>
  <r>
    <n v="4834843000578"/>
    <x v="4"/>
    <m/>
    <s v="FARMACIA SANTA CATARINA DE PRESIDENTE PRUDENTE"/>
    <s v="QUATA"/>
    <x v="2"/>
    <s v="REDE SANTA CATARINA"/>
    <s v="SELL IN"/>
    <s v="847010607 - MANUEL ARIEDE ARTERO"/>
    <n v="6227.5562485674054"/>
    <n v="7542.6799999999994"/>
    <n v="1.2111781409818863"/>
    <n v="6404.9299999999976"/>
    <n v="1.0284820793828069"/>
    <s v="ATIVO"/>
    <s v="Sim"/>
    <s v="NÃO"/>
    <s v="Comprou Marcas e SG"/>
    <s v="SIM"/>
    <m/>
    <m/>
    <m/>
  </r>
  <r>
    <n v="4834843002600"/>
    <x v="4"/>
    <m/>
    <s v="FARMACIA SANTA CATARINA DE PRESIDENTE PRUDENTE"/>
    <s v="ANDRADINA"/>
    <x v="2"/>
    <s v="REDE SANTA CATARINA"/>
    <s v="SELL IN"/>
    <s v="847010607 - MANUEL ARIEDE ARTERO"/>
    <n v="7657.0218330299613"/>
    <n v="6791.0800000000027"/>
    <n v="0.88690879405690604"/>
    <n v="9108.16"/>
    <n v="1.1895173082451311"/>
    <s v="ATIVO"/>
    <s v="Sim"/>
    <s v="NÃO"/>
    <s v="Comprou Marcas e SG"/>
    <s v="SIM"/>
    <m/>
    <m/>
    <m/>
  </r>
  <r>
    <n v="7917231000103"/>
    <x v="1"/>
    <m/>
    <s v="DROGARIA DO POVO"/>
    <s v="ARAGUAIANA"/>
    <x v="0"/>
    <s v="INDEPENDENTES VIN"/>
    <s v="SELL IN"/>
    <s v="847010606 - PRICILA MOREIRA DOS SANTOS"/>
    <n v="2622.5774305614586"/>
    <n v="780.09"/>
    <n v="0.29745165611106217"/>
    <n v="0"/>
    <n v="0"/>
    <s v="FORA SCANN"/>
    <s v="Não"/>
    <s v="NÃO"/>
    <s v="Não Comprou"/>
    <s v="NÃO"/>
    <m/>
    <m/>
    <m/>
  </r>
  <r>
    <n v="8705108000191"/>
    <x v="1"/>
    <m/>
    <s v="DROGARIA BARAO"/>
    <s v="BRAUNA"/>
    <x v="2"/>
    <s v="MULTIDROGAS"/>
    <s v="SELL IN"/>
    <s v="847010608 - VALTER PEREIRA DA SILVA JUNIOR"/>
    <n v="22736.865578736808"/>
    <n v="11276.860000000002"/>
    <n v="0.49597249721817244"/>
    <n v="5915.1099999999988"/>
    <n v="0.26015503234235265"/>
    <s v="ATIVO"/>
    <s v="Não"/>
    <s v="NÃO"/>
    <s v="Comprou Marcas"/>
    <s v="SIM"/>
    <m/>
    <m/>
    <m/>
  </r>
  <r>
    <n v="9101173000170"/>
    <x v="1"/>
    <m/>
    <s v="FARMAVIDA"/>
    <s v="BIRIGUI"/>
    <x v="2"/>
    <s v="DROGARIA TOTAL"/>
    <s v="SELL IN"/>
    <s v="847010608 - VALTER PEREIRA DA SILVA JUNIOR"/>
    <n v="933.47152589119617"/>
    <n v="445.1"/>
    <n v="0.47682225719210647"/>
    <n v="0"/>
    <n v="0"/>
    <m/>
    <m/>
    <m/>
    <s v="Não Comprou"/>
    <m/>
    <m/>
    <m/>
    <m/>
  </r>
  <r>
    <n v="1524705000170"/>
    <x v="1"/>
    <m/>
    <s v="DROGA SANTOS"/>
    <s v="PAULICEIA"/>
    <x v="2"/>
    <s v="MULTIDROGAS"/>
    <s v="SELL IN"/>
    <s v="847010607 - MANUEL ARIEDE ARTERO"/>
    <n v="4558.8517602728552"/>
    <n v="824.10000000000014"/>
    <n v="0.18076920315361961"/>
    <n v="752.83"/>
    <n v="0.16513588060931858"/>
    <s v="FILA DE ATIVAÇÃO"/>
    <s v="Não"/>
    <s v="NÃO"/>
    <s v="Comprou Marcas"/>
    <s v="SIM"/>
    <n v="1"/>
    <m/>
    <m/>
  </r>
  <r>
    <n v="2553791000102"/>
    <x v="1"/>
    <m/>
    <s v="DROGACAN"/>
    <s v="CANARANA"/>
    <x v="0"/>
    <s v="INDEPENDENTES VIN"/>
    <s v="SELL IN"/>
    <s v="847010606 - PRICILA MOREIRA DOS SANTOS"/>
    <n v="3241.2793998351722"/>
    <n v="1941.95"/>
    <n v="0.59913070132082824"/>
    <n v="0"/>
    <n v="0"/>
    <s v="FORA SCANN"/>
    <s v="Não"/>
    <s v="NÃO"/>
    <s v="Não Comprou"/>
    <s v="SIM"/>
    <m/>
    <m/>
    <m/>
  </r>
  <r>
    <n v="4834843000810"/>
    <x v="4"/>
    <m/>
    <s v="FARMACIA SANTA CATARINA DE PRESIDENTE PRUDENTE"/>
    <s v="RANCHARIA"/>
    <x v="2"/>
    <s v="REDE SANTA CATARINA"/>
    <s v="SELL IN"/>
    <s v="847010607 - MANUEL ARIEDE ARTERO"/>
    <n v="4688.8071811259551"/>
    <n v="2868.7000000000007"/>
    <n v="0.61181871831870049"/>
    <n v="2704.7799999999993"/>
    <n v="0.57685886740825243"/>
    <s v="ATIVO"/>
    <s v="Sim"/>
    <s v="NÃO"/>
    <s v="Comprou Marcas e SG"/>
    <s v="SIM"/>
    <m/>
    <m/>
    <m/>
  </r>
  <r>
    <n v="4834843001973"/>
    <x v="4"/>
    <m/>
    <s v="FARMACIA SANTA CATARINA DE PRESIDENTE PRUDENTE"/>
    <s v="BASTOS"/>
    <x v="2"/>
    <s v="REDE SANTA CATARINA"/>
    <s v="SELL IN"/>
    <s v="847010607 - MANUEL ARIEDE ARTERO"/>
    <n v="12375.623459339813"/>
    <n v="7396.23"/>
    <n v="0.59764504182761857"/>
    <n v="5701.0499999999993"/>
    <n v="0.46066770039754634"/>
    <s v="ATIVO"/>
    <s v="Sim"/>
    <s v="NÃO"/>
    <s v="Comprou Marcas e SG"/>
    <s v="SIM"/>
    <n v="4"/>
    <m/>
    <n v="3"/>
  </r>
  <r>
    <n v="4877066000115"/>
    <x v="1"/>
    <m/>
    <s v="FCIA GENERICO FARMA"/>
    <s v="COSTA RICA"/>
    <x v="1"/>
    <s v="INDEPENDENTES VIN"/>
    <s v="SELL IN"/>
    <s v="847010608 - VALTER PEREIRA DA SILVA JUNIOR"/>
    <n v="9792.9945086188491"/>
    <n v="3661.11"/>
    <n v="0.37384989818771414"/>
    <n v="0"/>
    <n v="0"/>
    <s v="TERMO DEVOLVIDO"/>
    <s v="Não"/>
    <s v="NÃO"/>
    <s v="Não Comprou"/>
    <s v="SIM"/>
    <m/>
    <m/>
    <m/>
  </r>
  <r>
    <n v="4986853000103"/>
    <x v="1"/>
    <m/>
    <s v="DROG SANTA ANA"/>
    <s v="BARRA DO GARCAS"/>
    <x v="0"/>
    <s v="INDEPENDENTES VIN"/>
    <s v="SELL IN"/>
    <s v="847010606 - PRICILA MOREIRA DOS SANTOS"/>
    <n v="8738.3192874714314"/>
    <n v="5144.8899999999994"/>
    <n v="0.58877340490138508"/>
    <n v="0"/>
    <n v="0"/>
    <s v="FORA SCANN"/>
    <s v="Não"/>
    <s v="NÃO"/>
    <s v="Não Comprou"/>
    <s v="SIM"/>
    <m/>
    <m/>
    <m/>
  </r>
  <r>
    <n v="5255309000146"/>
    <x v="1"/>
    <m/>
    <s v="PRUDEN MEDICAMENTOS"/>
    <s v="BATAGUASSU"/>
    <x v="1"/>
    <s v="MASTERFARMA"/>
    <s v="SELL IN"/>
    <s v="847010608 - VALTER PEREIRA DA SILVA JUNIOR"/>
    <n v="5858.7616927179797"/>
    <n v="2187.3900000000003"/>
    <n v="0.37335363933965243"/>
    <n v="1064.0500000000002"/>
    <n v="0.18161687670664911"/>
    <s v="ATIVO"/>
    <s v="Sim"/>
    <s v="NÃO"/>
    <s v="Comprou Marcas"/>
    <s v="SIM"/>
    <m/>
    <m/>
    <m/>
  </r>
  <r>
    <n v="5398931000103"/>
    <x v="17"/>
    <m/>
    <s v="DROG CERTA"/>
    <s v="RONDONOPOLIS"/>
    <x v="0"/>
    <s v="ASSOCIADAS"/>
    <s v="SELL IN"/>
    <s v="847010603 - ERIVALDO DA SILVA MACIEL"/>
    <n v="3392.3064165975798"/>
    <n v="1540.8300000000002"/>
    <n v="0.45421309598129522"/>
    <n v="137.85"/>
    <n v="4.0636069703355683E-2"/>
    <s v="FORA SCANN"/>
    <s v="Não"/>
    <s v="NÃO"/>
    <s v="Comprou Marcas"/>
    <s v="SIM"/>
    <m/>
    <m/>
    <m/>
  </r>
  <r>
    <n v="1878521000109"/>
    <x v="1"/>
    <m/>
    <s v="QUEIROZ E SANTOS"/>
    <s v="RIBAS DO RIO PARDO"/>
    <x v="1"/>
    <s v="INDEPENDENTES VIN"/>
    <s v="SELL IN"/>
    <s v="847010602 - WELLINGTON DE MORAIS DO NASCIMENTO"/>
    <n v="4939.6646706100128"/>
    <n v="1452.49"/>
    <n v="0.29404627578102949"/>
    <n v="671.55"/>
    <n v="0.13595052392839216"/>
    <s v="FORA SCANN"/>
    <s v="Não"/>
    <s v="SIM"/>
    <s v="Comprou Marcas"/>
    <s v="NÃO"/>
    <m/>
    <m/>
    <m/>
  </r>
  <r>
    <n v="2956282000120"/>
    <x v="1"/>
    <m/>
    <s v="FARMACIA MODERNA"/>
    <s v="ITAPORA"/>
    <x v="1"/>
    <s v="FARMARCAS"/>
    <s v="SELL OUT"/>
    <s v="847010601 - RAFAEL DE OLIVEIRA NASCIMENTO"/>
    <n v="7943.2012681970491"/>
    <n v="5206.0499999999984"/>
    <n v="0.65540955393437605"/>
    <n v="1400.48"/>
    <n v="0.17631178572891451"/>
    <s v="ATIVO"/>
    <s v="Sim"/>
    <s v="NÃO"/>
    <s v="Comprou Marcas"/>
    <s v="SIM"/>
    <n v="1"/>
    <n v="2"/>
    <n v="1"/>
  </r>
  <r>
    <n v="22457961000162"/>
    <x v="1"/>
    <m/>
    <s v="DROGARIA OURO FINO POPULAR"/>
    <s v="BARRA DO GARCAS"/>
    <x v="0"/>
    <s v="INDEPENDENTES VIN"/>
    <s v="SELL IN"/>
    <s v="847010606 - PRICILA MOREIRA DOS SANTOS"/>
    <n v="1501.123163745852"/>
    <n v="444.55999999999995"/>
    <n v="0.29615158218640764"/>
    <n v="0"/>
    <n v="0"/>
    <s v="FORA SCANN"/>
    <s v="Não"/>
    <s v="NÃO"/>
    <s v="Não Comprou"/>
    <s v="NÃO"/>
    <m/>
    <m/>
    <m/>
  </r>
  <r>
    <n v="29668395000187"/>
    <x v="1"/>
    <m/>
    <s v="DROGARIA NOVAPHARMA"/>
    <s v="CUIABA"/>
    <x v="0"/>
    <s v="MASTERFARMA"/>
    <s v="SELL IN"/>
    <s v="847010603 - ERIVALDO DA SILVA MACIEL"/>
    <n v="2779.8967621700172"/>
    <n v="0"/>
    <n v="0"/>
    <n v="0"/>
    <n v="0"/>
    <s v="ATIVO"/>
    <s v="Sim"/>
    <s v="NÃO"/>
    <s v="Não Comprou"/>
    <s v="SIM"/>
    <m/>
    <m/>
    <m/>
  </r>
  <r>
    <n v="13280617000150"/>
    <x v="1"/>
    <m/>
    <s v="FARMACIA CENTRAL"/>
    <s v="IVINHEMA"/>
    <x v="1"/>
    <s v="INDEPENDENTES VIN"/>
    <s v="SELL IN"/>
    <s v="847010601 - RAFAEL DE OLIVEIRA NASCIMENTO"/>
    <n v="8266.3324511316387"/>
    <n v="4134.5199999999995"/>
    <n v="0.5001637696574851"/>
    <n v="3770.1600000000003"/>
    <n v="0.45608618117988659"/>
    <m/>
    <m/>
    <m/>
    <s v="Comprou Marcas"/>
    <m/>
    <m/>
    <m/>
    <m/>
  </r>
  <r>
    <n v="15463847000180"/>
    <x v="1"/>
    <m/>
    <s v="DROGASETE FCIA LTDA"/>
    <s v="SETE QUEDAS"/>
    <x v="1"/>
    <s v="ASSOCIADAS"/>
    <s v="SELL IN"/>
    <s v="847010601 - RAFAEL DE OLIVEIRA NASCIMENTO"/>
    <n v="9124.6937424769421"/>
    <n v="5311.8899999999994"/>
    <n v="0.5821444697121485"/>
    <n v="1231.44"/>
    <n v="0.13495685825239759"/>
    <s v="FORA SCANN"/>
    <s v="Não"/>
    <s v="SIM"/>
    <s v="Comprou Marcas"/>
    <s v="SIM"/>
    <m/>
    <m/>
    <m/>
  </r>
  <r>
    <n v="16926052000123"/>
    <x v="1"/>
    <m/>
    <s v="FARMA KILL"/>
    <s v="SAO GABRIEL DO OESTE"/>
    <x v="1"/>
    <s v="ASSOCIADAS"/>
    <s v="SELL IN"/>
    <s v="847010602 - WELLINGTON DE MORAIS DO NASCIMENTO"/>
    <n v="20021.720314359583"/>
    <n v="2770.41"/>
    <n v="0.1383702277577547"/>
    <n v="0"/>
    <n v="0"/>
    <s v="FORA SCANN"/>
    <s v="Não"/>
    <s v="NÃO"/>
    <s v="Não Comprou"/>
    <s v="SIM"/>
    <m/>
    <m/>
    <m/>
  </r>
  <r>
    <n v="19436791000478"/>
    <x v="9"/>
    <m/>
    <s v="DROGARIA ULTRA POPULAR"/>
    <s v="NAVIRAI"/>
    <x v="1"/>
    <s v="FARMARCAS"/>
    <s v="SELL OUT"/>
    <s v="847010601 - RAFAEL DE OLIVEIRA NASCIMENTO"/>
    <n v="6663.3153051545596"/>
    <n v="3412.76"/>
    <n v="0.51217147076320735"/>
    <n v="2592.0299999999997"/>
    <n v="0.38900005197035714"/>
    <s v="ATIVO"/>
    <s v="Sim"/>
    <s v="NÃO"/>
    <s v="Comprou Marcas e SG"/>
    <s v="SIM"/>
    <m/>
    <m/>
    <m/>
  </r>
  <r>
    <n v="5939112000126"/>
    <x v="1"/>
    <m/>
    <s v="FARMAVIDA FARMACIA"/>
    <s v="SAPEZAL"/>
    <x v="0"/>
    <s v="FARMARCAS"/>
    <s v="SELL OUT"/>
    <s v="847010604 - LEONARDO MAZZUCO"/>
    <n v="13036.984009541349"/>
    <n v="8242.44"/>
    <n v="0.63223518522133826"/>
    <n v="0"/>
    <n v="0"/>
    <s v="ATIVO"/>
    <s v="Sim"/>
    <s v="NÃO"/>
    <s v="Não Comprou"/>
    <s v="SIM"/>
    <m/>
    <m/>
    <m/>
  </r>
  <r>
    <n v="31509807000188"/>
    <x v="1"/>
    <m/>
    <s v="DROGA VIDA POPULAR"/>
    <s v="JUARA"/>
    <x v="0"/>
    <s v="INDEPENDENTES VIN"/>
    <s v="SELL IN"/>
    <s v="847010604 - LEONARDO MAZZUCO"/>
    <n v="1637.7658392065018"/>
    <n v="3275.68"/>
    <n v="2.0000905633659256"/>
    <n v="2144.35"/>
    <n v="1.3093141575348393"/>
    <s v="FORA SCANN"/>
    <s v="Não"/>
    <s v="NÃO"/>
    <s v="Comprou Marcas"/>
    <s v="NÃO"/>
    <m/>
    <m/>
    <m/>
  </r>
  <r>
    <n v="37653234000148"/>
    <x v="1"/>
    <m/>
    <s v="DROGARIA INTERNACIONAL"/>
    <s v="LUCELIA"/>
    <x v="2"/>
    <s v="DROGARIA TOTAL"/>
    <s v="SELL IN"/>
    <s v="847010607 - MANUEL ARIEDE ARTERO"/>
    <n v="3805.6112032228898"/>
    <n v="1178.44"/>
    <n v="0.30965853763569035"/>
    <n v="475.83"/>
    <n v="0.12503379210073531"/>
    <s v="ATIVO"/>
    <s v="Não"/>
    <s v="NÃO"/>
    <s v="Não Comprou"/>
    <s v="NÃO"/>
    <m/>
    <m/>
    <m/>
  </r>
  <r>
    <n v="44864960000175"/>
    <x v="1"/>
    <m/>
    <s v="FARMACIA FAVORITA"/>
    <s v="COXIM"/>
    <x v="1"/>
    <s v="MASTERFARMA"/>
    <s v="SELL IN"/>
    <s v="847010602 - WELLINGTON DE MORAIS DO NASCIMENTO"/>
    <n v="2148.7625362744443"/>
    <n v="1056.6799999999998"/>
    <n v="0.49176211059230723"/>
    <n v="332.4"/>
    <n v="0.15469368736124742"/>
    <m/>
    <m/>
    <m/>
    <s v="Comprou Marcas"/>
    <m/>
    <m/>
    <m/>
    <m/>
  </r>
  <r>
    <n v="64096542000192"/>
    <x v="1"/>
    <m/>
    <s v="FARMUTUM"/>
    <s v="NOVA MUTUM"/>
    <x v="0"/>
    <s v="INDEPENDENTES VIN"/>
    <s v="SELL IN"/>
    <s v="847010604 - LEONARDO MAZZUCO"/>
    <n v="954.37223788209849"/>
    <n v="1008.1"/>
    <n v="1.0562964428189277"/>
    <n v="432.17"/>
    <n v="0.45283169694777892"/>
    <s v="FORA SCANN"/>
    <s v="Não"/>
    <s v="NÃO"/>
    <s v="Comprou Marcas"/>
    <s v="NÃO"/>
    <n v="1"/>
    <m/>
    <m/>
  </r>
  <r>
    <n v="49146937000169"/>
    <x v="1"/>
    <m/>
    <s v="DROGARIA G PHARMA"/>
    <s v="PENAPOLIS"/>
    <x v="2"/>
    <s v="DSG FARMA"/>
    <s v="SELL IN"/>
    <s v="847010608 - VALTER PEREIRA DA SILVA JUNIOR"/>
    <n v="4525.1701381027797"/>
    <n v="4967.7200000000012"/>
    <n v="1.0977973973112898"/>
    <n v="2623.86"/>
    <n v="0.57983676191677469"/>
    <s v="NÃO HOMOLOGADO"/>
    <s v="Não"/>
    <s v="NÃO"/>
    <s v="Comprou Marcas"/>
    <s v="SIM"/>
    <m/>
    <m/>
    <m/>
  </r>
  <r>
    <n v="8087667000347"/>
    <x v="13"/>
    <m/>
    <s v="REDE DE FARMACIAS ECONOMIZAR"/>
    <s v="PEIXOTO DE AZEVEDO"/>
    <x v="0"/>
    <s v="ASSOCIADAS"/>
    <s v="SELL IN"/>
    <s v="847010605 - ISABELA CAMILA CRUCCITTI"/>
    <n v="9557.4635497934196"/>
    <n v="4723.0700000000015"/>
    <n v="0.49417609341571472"/>
    <n v="4655.8000000000011"/>
    <n v="0.48713761509460679"/>
    <s v="FORA SCANN"/>
    <s v="Não"/>
    <s v="NÃO"/>
    <s v="Comprou Marcas"/>
    <s v="SIM"/>
    <m/>
    <m/>
    <m/>
  </r>
  <r>
    <n v="8464650000108"/>
    <x v="1"/>
    <m/>
    <s v="DROG SAUDE"/>
    <s v="ARAGARCAS"/>
    <x v="3"/>
    <s v="ASSOCIADAS"/>
    <s v="SELL IN"/>
    <s v="847010606 - PRICILA MOREIRA DOS SANTOS"/>
    <n v="3097.4057602107332"/>
    <n v="1877.69"/>
    <n v="0.60621376253663672"/>
    <n v="1139.73"/>
    <n v="0.36796276892132401"/>
    <s v="FORA SCANN"/>
    <s v="Não"/>
    <s v="NÃO"/>
    <s v="Comprou Marcas"/>
    <s v="SIM"/>
    <m/>
    <m/>
    <m/>
  </r>
  <r>
    <n v="9179265000173"/>
    <x v="1"/>
    <m/>
    <s v="DROGARIA NOVAFARMA"/>
    <s v="NOVA INDEPENDENCIA"/>
    <x v="2"/>
    <s v="DROGARIA TOTAL"/>
    <s v="SELL IN"/>
    <s v="847010608 - VALTER PEREIRA DA SILVA JUNIOR"/>
    <n v="3888.2627353368412"/>
    <n v="3935.86"/>
    <n v="1.0122412676053476"/>
    <n v="3202.4"/>
    <n v="0.82360689541278531"/>
    <s v="FORA SCANN"/>
    <s v="Não"/>
    <s v="SIM"/>
    <s v="Comprou Marcas"/>
    <s v="NÃO"/>
    <m/>
    <m/>
    <m/>
  </r>
  <r>
    <n v="10440010000100"/>
    <x v="1"/>
    <m/>
    <s v="MAXPHARMA"/>
    <s v="SORRISO"/>
    <x v="0"/>
    <s v="INDEPENDENTES VIN"/>
    <s v="SELL IN"/>
    <s v="847010605 - ISABELA CAMILA CRUCCITTI"/>
    <n v="8510.7104295354948"/>
    <n v="2894.93"/>
    <n v="0.34015139205693806"/>
    <n v="0"/>
    <n v="0"/>
    <s v="FORA SCANN"/>
    <s v="Não"/>
    <s v="NÃO"/>
    <s v="Não Comprou"/>
    <s v="SIM"/>
    <m/>
    <m/>
    <m/>
  </r>
  <r>
    <n v="10695648000183"/>
    <x v="1"/>
    <m/>
    <s v="FARMACIA DROGANOSSA"/>
    <s v="AMAMBAI"/>
    <x v="1"/>
    <s v="HIPER SAUDE"/>
    <s v="SELL IN"/>
    <s v="847010601 - RAFAEL DE OLIVEIRA NASCIMENTO"/>
    <n v="1653.8606286883494"/>
    <n v="4075.8599999999997"/>
    <n v="2.4644519189216685"/>
    <n v="3322.16"/>
    <n v="2.008730326106591"/>
    <s v="TERMO DEVOLVIDO"/>
    <s v="Não"/>
    <s v="NÃO"/>
    <s v="Comprou Marcas"/>
    <s v="SIM"/>
    <m/>
    <m/>
    <m/>
  </r>
  <r>
    <n v="10732561000139"/>
    <x v="1"/>
    <m/>
    <s v="DROGARIA + SINOP"/>
    <s v="SINOP"/>
    <x v="0"/>
    <s v="ASSOCIADAS"/>
    <s v="SELL IN"/>
    <s v="847010605 - ISABELA CAMILA CRUCCITTI"/>
    <n v="7532.1130455758102"/>
    <n v="3568.8599999999992"/>
    <n v="0.47381922953164723"/>
    <n v="3193.2700000000009"/>
    <n v="0.42395407247314937"/>
    <s v="TERMO DEVOLVIDO"/>
    <s v="Não"/>
    <s v="SIM"/>
    <s v="Comprou Marcas"/>
    <s v="NÃO"/>
    <m/>
    <m/>
    <m/>
  </r>
  <r>
    <n v="10737685000107"/>
    <x v="12"/>
    <m/>
    <s v="FARMACIA ECONOMIZE"/>
    <s v="CACERES"/>
    <x v="0"/>
    <s v="ECONOMIZE RONDONOPOLIS"/>
    <s v="SELL IN"/>
    <s v="847010603 - ERIVALDO DA SILVA MACIEL"/>
    <n v="23691.001719984117"/>
    <n v="15818.549999999996"/>
    <n v="0.66770287668573103"/>
    <n v="14440.699999999999"/>
    <n v="0.609543664327997"/>
    <m/>
    <m/>
    <m/>
    <s v="Comprou Marcas"/>
    <m/>
    <m/>
    <m/>
    <m/>
  </r>
  <r>
    <n v="10779654000119"/>
    <x v="1"/>
    <m/>
    <s v="DIFARMA"/>
    <s v="NOVO DIAMANTINO (DIAMANTINO)"/>
    <x v="0"/>
    <s v="INDEPENDENTES VIN"/>
    <s v="SELL IN"/>
    <s v="847010604 - LEONARDO MAZZUCO"/>
    <n v="3812.296547609486"/>
    <n v="1177.4799999999998"/>
    <n v="0.30886369549041059"/>
    <n v="718.26"/>
    <n v="0.18840611978372654"/>
    <s v="FORA SCANN"/>
    <s v="Não"/>
    <s v="NÃO"/>
    <s v="Comprou Marcas"/>
    <s v="SIM"/>
    <m/>
    <m/>
    <m/>
  </r>
  <r>
    <n v="10829445000132"/>
    <x v="1"/>
    <m/>
    <s v="DROGARIA LIDERANCA"/>
    <s v="CUIABA"/>
    <x v="0"/>
    <s v="INDEPENDENTES VIN"/>
    <s v="SELL IN"/>
    <s v="847010603 - ERIVALDO DA SILVA MACIEL"/>
    <n v="2130.2045641041245"/>
    <n v="1092.51"/>
    <n v="0.51286623754815974"/>
    <n v="0"/>
    <n v="0"/>
    <s v="FORA SCANN"/>
    <s v="Não"/>
    <s v="NÃO"/>
    <s v="Não Comprou"/>
    <s v="NÃO"/>
    <m/>
    <m/>
    <m/>
  </r>
  <r>
    <n v="8954076000168"/>
    <x v="1"/>
    <m/>
    <s v="FARMACIA ECONOMIZE"/>
    <s v="PARANATINGA"/>
    <x v="0"/>
    <s v="ECONOMIZE RONDONOPOLIS"/>
    <s v="SELL IN"/>
    <s v="847010606 - PRICILA MOREIRA DOS SANTOS"/>
    <n v="3707.2633277291816"/>
    <n v="2163.8400000000006"/>
    <n v="0.58367583004291801"/>
    <n v="0"/>
    <n v="0"/>
    <s v="TERMO DEVOLVIDO"/>
    <s v="Não"/>
    <s v="SIM"/>
    <s v="Não Comprou"/>
    <s v="SIM"/>
    <m/>
    <m/>
    <m/>
  </r>
  <r>
    <n v="8954076000320"/>
    <x v="1"/>
    <m/>
    <s v="FARMACIA ECONOMIZE"/>
    <s v="PARANATINGA"/>
    <x v="0"/>
    <s v="ECONOMIZE RONDONOPOLIS"/>
    <s v="SELL IN"/>
    <s v="847010606 - PRICILA MOREIRA DOS SANTOS"/>
    <n v="6268.6884742938946"/>
    <n v="4081.67"/>
    <n v="0.65112024895442899"/>
    <n v="0"/>
    <n v="0"/>
    <s v="TERMO DEVOLVIDO"/>
    <s v="Não"/>
    <s v="SIM"/>
    <s v="Não Comprou"/>
    <s v="SIM"/>
    <m/>
    <m/>
    <m/>
  </r>
  <r>
    <n v="35588327000100"/>
    <x v="1"/>
    <m/>
    <s v="7 PHARMA"/>
    <s v="TRES LAGOAS"/>
    <x v="1"/>
    <s v="ASSOCIADAS"/>
    <s v="SELL IN"/>
    <s v="847010608 - VALTER PEREIRA DA SILVA JUNIOR"/>
    <n v="4544.0174516694851"/>
    <n v="906.90000000000009"/>
    <n v="0.19958109968675458"/>
    <n v="0"/>
    <n v="0"/>
    <s v="FORA SCANN"/>
    <s v="Não"/>
    <s v="SIM"/>
    <s v="Não Comprou"/>
    <s v="NÃO"/>
    <m/>
    <m/>
    <m/>
  </r>
  <r>
    <n v="14775673000128"/>
    <x v="1"/>
    <m/>
    <s v="DROGARIA BEM ESTAR"/>
    <s v="GLORIA D'OESTE"/>
    <x v="0"/>
    <s v="MASTERFARMA"/>
    <s v="SELL IN"/>
    <s v="847010603 - ERIVALDO DA SILVA MACIEL"/>
    <n v="6262.2372969530907"/>
    <n v="5593.3599999999988"/>
    <n v="0.89318876541479253"/>
    <n v="2235.67"/>
    <n v="0.3570081895631409"/>
    <s v="ATIVO"/>
    <s v="Sim"/>
    <s v="NÃO"/>
    <s v="Comprou Marcas"/>
    <s v="SIM"/>
    <m/>
    <m/>
    <m/>
  </r>
  <r>
    <n v="18235089000130"/>
    <x v="1"/>
    <m/>
    <s v="DROGARIA BOM PRECO"/>
    <s v="RIO VERDE DE MATO GROSSO"/>
    <x v="1"/>
    <s v="ASSOCIADAS"/>
    <s v="SELL IN"/>
    <s v="847010602 - WELLINGTON DE MORAIS DO NASCIMENTO"/>
    <n v="7723.3013918092302"/>
    <n v="3651.2099999999991"/>
    <n v="0.47275249466144181"/>
    <n v="2694.8500000000004"/>
    <n v="0.34892461957498661"/>
    <s v="ATIVO"/>
    <s v="Sim"/>
    <s v="NÃO"/>
    <s v="Comprou Marcas e SG"/>
    <s v="SIM"/>
    <m/>
    <m/>
    <m/>
  </r>
  <r>
    <n v="18332251000481"/>
    <x v="11"/>
    <m/>
    <s v="DROGARIA ULTRAPOPULAR"/>
    <s v="CAMPO GRANDE"/>
    <x v="1"/>
    <s v="FARMARCAS"/>
    <s v="SELL OUT"/>
    <s v="847010602 - WELLINGTON DE MORAIS DO NASCIMENTO"/>
    <n v="4570.9509190854742"/>
    <n v="2111.87"/>
    <n v="0.46201983731265461"/>
    <n v="3571.6099999999997"/>
    <n v="0.7813713302164671"/>
    <s v="ATIVO"/>
    <s v="Sim"/>
    <s v="NÃO"/>
    <s v="Comprou Marcas"/>
    <s v="SIM"/>
    <m/>
    <m/>
    <m/>
  </r>
  <r>
    <n v="19436791000397"/>
    <x v="9"/>
    <m/>
    <s v="DROGARIA ULTRA POPULAR"/>
    <s v="NAVIRAI"/>
    <x v="1"/>
    <s v="FARMARCAS"/>
    <s v="SELL OUT"/>
    <s v="847010601 - RAFAEL DE OLIVEIRA NASCIMENTO"/>
    <n v="11046.12868899183"/>
    <n v="4599.7400000000007"/>
    <n v="0.41641195114664326"/>
    <n v="5136.8100000000013"/>
    <n v="0.46503260505367455"/>
    <s v="ATIVO"/>
    <s v="Sim"/>
    <s v="NÃO"/>
    <s v="Comprou Marcas e SG"/>
    <s v="SIM"/>
    <m/>
    <m/>
    <m/>
  </r>
  <r>
    <n v="22166562000576"/>
    <x v="1"/>
    <m/>
    <s v="DROGARIA ULTRA POPULAR"/>
    <s v="CUIABA"/>
    <x v="0"/>
    <s v="FARMARCAS"/>
    <s v="SELL OUT"/>
    <s v="847010603 - ERIVALDO DA SILVA MACIEL"/>
    <n v="5828.5849477263728"/>
    <n v="3189.1699999999996"/>
    <n v="0.54716025048996464"/>
    <n v="1513.5100000000002"/>
    <n v="0.25967023103787712"/>
    <m/>
    <m/>
    <m/>
    <s v="Comprou Marcas"/>
    <s v="SIM"/>
    <m/>
    <m/>
    <m/>
  </r>
  <r>
    <n v="7629833000246"/>
    <x v="1"/>
    <m/>
    <s v="DROGAVIDA CIDADE NOVA"/>
    <s v="LUCAS DO RIO VERDE"/>
    <x v="0"/>
    <s v="ASSOCIADAS"/>
    <s v="SELL IN"/>
    <s v="847010605 - ISABELA CAMILA CRUCCITTI"/>
    <n v="7523.43482742988"/>
    <n v="3260.9300000000003"/>
    <n v="0.43343633257922215"/>
    <n v="3780.18"/>
    <n v="0.50245401026373571"/>
    <s v="ATIVO"/>
    <s v="Sim"/>
    <s v="NÃO"/>
    <s v="Comprou Marcas"/>
    <s v="SIM"/>
    <n v="7"/>
    <m/>
    <m/>
  </r>
  <r>
    <n v="8143052000129"/>
    <x v="1"/>
    <m/>
    <s v="FCIA OURO PRETO"/>
    <s v="CASTILHO"/>
    <x v="2"/>
    <s v="REDE COMPRE CERTO"/>
    <s v="SELL IN"/>
    <s v="847010608 - VALTER PEREIRA DA SILVA JUNIOR"/>
    <n v="5467.4143225542421"/>
    <n v="5300.9299999999994"/>
    <n v="0.96954971532567791"/>
    <n v="3663.559999999999"/>
    <n v="0.67007177138323648"/>
    <s v="ATIVO"/>
    <s v="Sim"/>
    <s v="SIM"/>
    <s v="Comprou Marcas"/>
    <s v="NÃO"/>
    <m/>
    <m/>
    <m/>
  </r>
  <r>
    <n v="8596888000189"/>
    <x v="1"/>
    <m/>
    <s v="FCIA SANTA LUZIA II"/>
    <s v="FATIMA DO SUL"/>
    <x v="1"/>
    <s v="MASTERFARMA"/>
    <s v="SELL IN"/>
    <s v="847010601 - RAFAEL DE OLIVEIRA NASCIMENTO"/>
    <n v="7320.3697886984555"/>
    <n v="5141.4400000000005"/>
    <n v="0.70234703278755217"/>
    <n v="0"/>
    <n v="0"/>
    <s v="TERMO DEVOLVIDO"/>
    <s v="Não"/>
    <s v="NÃO"/>
    <s v="Não Comprou"/>
    <s v="SIM"/>
    <m/>
    <m/>
    <m/>
  </r>
  <r>
    <n v="9269723000165"/>
    <x v="1"/>
    <m/>
    <s v="DROGARIA SAO CRISTOVAO"/>
    <s v="NOVA XAVANTINA"/>
    <x v="0"/>
    <s v="ECONOMIZE RONDONOPOLIS"/>
    <s v="SELL IN"/>
    <s v="847010606 - PRICILA MOREIRA DOS SANTOS"/>
    <n v="4388.7910111358005"/>
    <n v="2310.4300000000003"/>
    <n v="0.5264388288568953"/>
    <n v="2343.11"/>
    <n v="0.53388507086684289"/>
    <m/>
    <m/>
    <m/>
    <s v="Comprou Marcas"/>
    <m/>
    <m/>
    <m/>
    <m/>
  </r>
  <r>
    <n v="9496232000157"/>
    <x v="1"/>
    <m/>
    <s v="DROGA ASSIS"/>
    <s v="JUARA"/>
    <x v="0"/>
    <s v="ASFAR FARMACIAS"/>
    <s v="SELL IN"/>
    <s v="847010604 - LEONARDO MAZZUCO"/>
    <n v="28077.890651066613"/>
    <n v="8961.3900000000012"/>
    <n v="0.31916179571201442"/>
    <n v="6990.970000000003"/>
    <n v="0.24898487165147615"/>
    <s v="TERMO DEVOLVIDO"/>
    <s v="Não"/>
    <s v="SIM"/>
    <s v="Comprou Marcas"/>
    <s v="SIM"/>
    <n v="1"/>
    <m/>
    <m/>
  </r>
  <r>
    <n v="21746348000100"/>
    <x v="1"/>
    <m/>
    <s v="DROGARIAS ULTRA POPULAR"/>
    <s v="NOVA XAVANTINA"/>
    <x v="0"/>
    <s v="FARMARCAS"/>
    <s v="SELL OUT"/>
    <s v="847010606 - PRICILA MOREIRA DOS SANTOS"/>
    <n v="16199.930514437534"/>
    <n v="8077.1"/>
    <n v="0.49858855831521076"/>
    <n v="0"/>
    <n v="0"/>
    <m/>
    <m/>
    <m/>
    <s v="Não Comprou"/>
    <s v="SIM"/>
    <n v="1"/>
    <m/>
    <m/>
  </r>
  <r>
    <n v="30461125000180"/>
    <x v="1"/>
    <n v="148176"/>
    <s v="DROGARIA MAIS GERAL"/>
    <s v="VARZEA GRANDE"/>
    <x v="0"/>
    <s v="ASSOCIADAS"/>
    <s v="SELL IN"/>
    <s v="847010603 - ERIVALDO DA SILVA MACIEL"/>
    <n v="7004.0455306411641"/>
    <n v="2012.97"/>
    <n v="0.28740104432412633"/>
    <n v="1903.4899999999998"/>
    <n v="0.27177007797460029"/>
    <s v="FORA SCANN"/>
    <s v="Não"/>
    <s v="NÃO"/>
    <s v="Comprou Marcas"/>
    <s v="NÃO"/>
    <n v="1"/>
    <m/>
    <m/>
  </r>
  <r>
    <n v="3995944000134"/>
    <x v="1"/>
    <m/>
    <s v="DROG E PERF AMERICA"/>
    <s v="PRIMAVERA DO LESTE"/>
    <x v="0"/>
    <s v="ASSOCIADAS"/>
    <s v="SELL IN"/>
    <s v="847010606 - PRICILA MOREIRA DOS SANTOS"/>
    <n v="3425.9442847561004"/>
    <n v="4312.66"/>
    <n v="1.25882374070979"/>
    <n v="4228.13"/>
    <n v="1.2341502513083071"/>
    <s v="ATIVO"/>
    <s v="Sim"/>
    <s v="NÃO"/>
    <s v="Comprou Marcas"/>
    <s v="SIM"/>
    <m/>
    <n v="4"/>
    <n v="4"/>
  </r>
  <r>
    <n v="4256383000114"/>
    <x v="1"/>
    <m/>
    <s v="DROGARIA DO POVO"/>
    <s v="SAO JOSE DO RIO CLARO"/>
    <x v="0"/>
    <s v="COMPRE BEM"/>
    <s v="SELL IN"/>
    <s v="847010603 - ERIVALDO DA SILVA MACIEL"/>
    <n v="6927.9961504421817"/>
    <n v="4454.8300000000008"/>
    <n v="0.64301854436158568"/>
    <n v="3119.9200000000005"/>
    <n v="0.45033512320887631"/>
    <s v="FORA SCANN"/>
    <s v="Não"/>
    <s v="SIM"/>
    <s v="Comprou Marcas"/>
    <s v="SIM"/>
    <n v="3"/>
    <m/>
    <m/>
  </r>
  <r>
    <n v="4538037000129"/>
    <x v="1"/>
    <m/>
    <s v="FARMACIA SAO VICENTE II"/>
    <s v="ARACATUBA"/>
    <x v="2"/>
    <s v="MULTIDROGAS"/>
    <s v="SELL IN"/>
    <s v="847010608 - VALTER PEREIRA DA SILVA JUNIOR"/>
    <n v="6925.0044473623748"/>
    <n v="624.64"/>
    <n v="9.0200664093135069E-2"/>
    <n v="883.7299999999999"/>
    <n v="0.12761435847692471"/>
    <s v="ATIVO"/>
    <s v="Sim"/>
    <s v="NÃO"/>
    <s v="Comprou Marcas"/>
    <s v="SIM"/>
    <m/>
    <m/>
    <m/>
  </r>
  <r>
    <n v="48464291000103"/>
    <x v="1"/>
    <m/>
    <s v="DROG BRASIL"/>
    <s v="GUARARAPES"/>
    <x v="2"/>
    <s v="DSG FARMA"/>
    <s v="SELL IN"/>
    <s v="847010608 - VALTER PEREIRA DA SILVA JUNIOR"/>
    <n v="5415.2168463232056"/>
    <n v="3859.41"/>
    <n v="0.7126972214640751"/>
    <n v="2130.2800000000002"/>
    <n v="0.39338775536687992"/>
    <s v="NÃO HOMOLOGADO"/>
    <s v="Não"/>
    <s v="SIM"/>
    <s v="Comprou Marcas e SG"/>
    <s v="SIM"/>
    <m/>
    <m/>
    <m/>
  </r>
  <r>
    <n v="4592381000104"/>
    <x v="1"/>
    <m/>
    <s v="DROG SAUDE"/>
    <s v="PARANAIBA"/>
    <x v="1"/>
    <s v="HIPER SAUDE"/>
    <s v="SELL IN"/>
    <s v="847010608 - VALTER PEREIRA DA SILVA JUNIOR"/>
    <n v="2731.0965594312765"/>
    <n v="1466.72"/>
    <n v="0.53704435858739086"/>
    <n v="268.96999999999997"/>
    <n v="9.8484251342621981E-2"/>
    <s v="ATIVO"/>
    <s v="Não"/>
    <s v="NÃO"/>
    <s v="Não Comprou"/>
    <s v="SIM"/>
    <m/>
    <m/>
    <m/>
  </r>
  <r>
    <n v="4716183000288"/>
    <x v="1"/>
    <m/>
    <s v="FARMACIA PROGRESSO 2"/>
    <s v="PRESIDENTE EPITACIO"/>
    <x v="2"/>
    <s v="BIODROGAS"/>
    <s v="SELL IN"/>
    <s v="847010607 - MANUEL ARIEDE ARTERO"/>
    <n v="4353.3790898976331"/>
    <n v="1362.6599999999999"/>
    <n v="0.31301202396137801"/>
    <n v="1122.5999999999999"/>
    <n v="0.25786865256119862"/>
    <s v="FORA SCANN"/>
    <s v="Não"/>
    <s v="NÃO"/>
    <s v="Comprou Marcas e SG"/>
    <s v="SIM"/>
    <m/>
    <m/>
    <m/>
  </r>
  <r>
    <n v="4834843003089"/>
    <x v="4"/>
    <m/>
    <s v="FARMACIA SANTA CATARINA DE PRESIDENTE PRUDENTE"/>
    <s v="CASTILHO"/>
    <x v="2"/>
    <s v="REDE SANTA CATARINA"/>
    <s v="SELL IN"/>
    <s v="847010607 - MANUEL ARIEDE ARTERO"/>
    <n v="2893.7230512675956"/>
    <n v="2627.26"/>
    <n v="0.90791687851715075"/>
    <n v="2498.46"/>
    <n v="0.86340674478352364"/>
    <s v="ATIVO"/>
    <s v="Sim"/>
    <s v="NÃO"/>
    <s v="Comprou Marcas"/>
    <s v="SIM"/>
    <m/>
    <m/>
    <m/>
  </r>
  <r>
    <n v="4972853000650"/>
    <x v="7"/>
    <m/>
    <s v="FARMACIA MADEIRA"/>
    <s v="SINOP"/>
    <x v="0"/>
    <s v="REDE MADEIRA"/>
    <s v="SELL IN"/>
    <s v="847010605 - ISABELA CAMILA CRUCCITTI"/>
    <n v="13967.334051092907"/>
    <n v="13345.300000000005"/>
    <n v="0.95546508382934903"/>
    <n v="9501.4900000000016"/>
    <n v="0.680265107517532"/>
    <s v="FORA SCANN"/>
    <s v="Não"/>
    <s v="SIM"/>
    <s v="Comprou Marcas e SG"/>
    <s v="SIM"/>
    <n v="4"/>
    <n v="2"/>
    <n v="7"/>
  </r>
  <r>
    <n v="5344624000140"/>
    <x v="31"/>
    <n v="5119"/>
    <s v="DROGARIA MAXIPOPULAR"/>
    <s v="PONTA PORA"/>
    <x v="1"/>
    <s v="FARMARCAS"/>
    <s v="SELL OUT"/>
    <s v="847010601 - RAFAEL DE OLIVEIRA NASCIMENTO"/>
    <n v="15636.440550698087"/>
    <n v="7955.3999999999987"/>
    <n v="0.50877307877110378"/>
    <n v="6233.1900000000023"/>
    <n v="0.39863228333776529"/>
    <s v="ATIVO"/>
    <s v="Sim"/>
    <s v="NÃO"/>
    <s v="Comprou Marcas"/>
    <s v="SIM"/>
    <m/>
    <m/>
    <m/>
  </r>
  <r>
    <n v="328405000404"/>
    <x v="1"/>
    <m/>
    <s v="DROGARIA DOS AMIGOS FILIAL III"/>
    <s v="INOCENCIA"/>
    <x v="1"/>
    <s v="DSG FARMA"/>
    <s v="SELL IN"/>
    <s v="847010608 - VALTER PEREIRA DA SILVA JUNIOR"/>
    <n v="1393.1375073685949"/>
    <n v="1209.5900000000001"/>
    <n v="0.86824882224635136"/>
    <n v="0"/>
    <n v="0"/>
    <s v="FORA SCANN"/>
    <s v="Não"/>
    <s v="NÃO"/>
    <s v="Não Comprou"/>
    <s v="SIM"/>
    <m/>
    <m/>
    <m/>
  </r>
  <r>
    <n v="4834843001116"/>
    <x v="4"/>
    <m/>
    <s v="FARMACIA SANTA CATARINA DE PRESIDENTE PRUDENTE"/>
    <s v="PARAPUA"/>
    <x v="2"/>
    <s v="REDE SANTA CATARINA"/>
    <s v="SELL IN"/>
    <s v="847010607 - MANUEL ARIEDE ARTERO"/>
    <n v="7156.6243776662568"/>
    <n v="6490.44"/>
    <n v="0.90691360304653901"/>
    <n v="6910.6699999999992"/>
    <n v="0.96563262724339571"/>
    <s v="ATIVO"/>
    <s v="Sim"/>
    <s v="NÃO"/>
    <s v="Comprou Marcas"/>
    <s v="SIM"/>
    <m/>
    <m/>
    <m/>
  </r>
  <r>
    <n v="53532526000189"/>
    <x v="1"/>
    <m/>
    <s v="VITOR FARMA"/>
    <s v="PARANAIBA"/>
    <x v="1"/>
    <s v="DSG FARMA"/>
    <s v="SELL IN"/>
    <s v="847010608 - VALTER PEREIRA DA SILVA JUNIOR"/>
    <n v="1998.8584430002868"/>
    <n v="115.48"/>
    <n v="5.7772975572329431E-2"/>
    <n v="0"/>
    <n v="0"/>
    <s v="ATIVO"/>
    <s v="Sim"/>
    <s v="NÃO"/>
    <s v="Não Comprou"/>
    <s v="NÃO"/>
    <m/>
    <m/>
    <m/>
  </r>
  <r>
    <n v="1727308000104"/>
    <x v="1"/>
    <m/>
    <s v="DROG CONFIANCA"/>
    <s v="PEDRA PRETA"/>
    <x v="0"/>
    <s v="ASSOCIADAS"/>
    <s v="SELL IN"/>
    <s v="847010603 - ERIVALDO DA SILVA MACIEL"/>
    <n v="1299.1753104173183"/>
    <n v="139.56"/>
    <n v="0.1074219921522145"/>
    <n v="137.85"/>
    <n v="0.10610577255791608"/>
    <s v="FORA SCANN"/>
    <s v="Não"/>
    <s v="NÃO"/>
    <s v="Comprou Marcas"/>
    <s v="SIM"/>
    <m/>
    <m/>
    <m/>
  </r>
  <r>
    <n v="2635097000134"/>
    <x v="1"/>
    <m/>
    <s v="DROG FLAVIO ASANO"/>
    <s v="ARACATUBA"/>
    <x v="2"/>
    <s v="INDEPENDENTES VIN"/>
    <s v="SELL IN"/>
    <s v="847010608 - VALTER PEREIRA DA SILVA JUNIOR"/>
    <n v="10914.994289996437"/>
    <n v="4416.4600000000009"/>
    <n v="0.4046232075492403"/>
    <n v="3613.1300000000006"/>
    <n v="0.33102445168582678"/>
    <s v="TERMO DEVOLVIDO"/>
    <s v="Não"/>
    <s v="SIM"/>
    <s v="Comprou Marcas e SG"/>
    <s v="SIM"/>
    <m/>
    <m/>
    <m/>
  </r>
  <r>
    <n v="27785214000681"/>
    <x v="29"/>
    <m/>
    <s v="DROGARIA DROGAO POPULAR"/>
    <s v="BONITO"/>
    <x v="1"/>
    <s v="ASSOCIADAS"/>
    <s v="SELL IN"/>
    <s v="847010601 - RAFAEL DE OLIVEIRA NASCIMENTO"/>
    <n v="5070.5321154154108"/>
    <n v="4014.4699999999984"/>
    <n v="0.79172558394714099"/>
    <n v="3618.2400000000002"/>
    <n v="0.71358191164983298"/>
    <s v="ATIVO"/>
    <s v="Sim"/>
    <s v="NÃO"/>
    <s v="Comprou Marcas"/>
    <s v="SIM"/>
    <m/>
    <m/>
    <m/>
  </r>
  <r>
    <n v="27899501000108"/>
    <x v="1"/>
    <m/>
    <s v="DROGARIA AVIACAO"/>
    <s v="PONTE BRANCA"/>
    <x v="0"/>
    <s v="INDEPENDENTES VIN"/>
    <s v="SELL IN"/>
    <s v="847010606 - PRICILA MOREIRA DOS SANTOS"/>
    <n v="1885.4224946877728"/>
    <n v="1097.47"/>
    <n v="0.58208173663576757"/>
    <n v="0"/>
    <n v="0"/>
    <s v="FORA SCANN"/>
    <s v="Não"/>
    <s v="NÃO"/>
    <s v="Não Comprou"/>
    <s v="NÃO"/>
    <m/>
    <m/>
    <m/>
  </r>
  <r>
    <n v="28800059000345"/>
    <x v="6"/>
    <m/>
    <s v="FARMACIA + ECONOMICA LADARIO"/>
    <s v="LADARIO"/>
    <x v="1"/>
    <s v="INDEPENDENTES VIN"/>
    <s v="SELL IN"/>
    <s v="847010602 - WELLINGTON DE MORAIS DO NASCIMENTO"/>
    <n v="5765.5938191375826"/>
    <n v="1879.91"/>
    <n v="0.32605661428317489"/>
    <n v="1498.4099999999999"/>
    <n v="0.2598882347602024"/>
    <s v="ATIVO"/>
    <s v="Sim"/>
    <s v="NÃO"/>
    <s v="Comprou Marcas e SG"/>
    <s v="SIM"/>
    <m/>
    <m/>
    <m/>
  </r>
  <r>
    <n v="34565893000134"/>
    <x v="10"/>
    <m/>
    <s v="ULTRA MAXI POPULAR"/>
    <s v="CAMPO GRANDE"/>
    <x v="1"/>
    <s v="FARMARCAS"/>
    <s v="SELL OUT"/>
    <s v="847010602 - WELLINGTON DE MORAIS DO NASCIMENTO"/>
    <n v="4303.8246254261139"/>
    <n v="2158.5200000000004"/>
    <n v="0.50153530588767647"/>
    <n v="685.61000000000013"/>
    <n v="0.15930249479719893"/>
    <s v="ATIVO"/>
    <s v="Sim"/>
    <s v="NÃO"/>
    <s v="Comprou Marcas"/>
    <s v="SIM"/>
    <m/>
    <m/>
    <m/>
  </r>
  <r>
    <n v="19713710000510"/>
    <x v="1"/>
    <m/>
    <s v="DROGARIA ULTRA POPULAR"/>
    <s v="ALTA FLORESTA"/>
    <x v="0"/>
    <s v="FARMARCAS"/>
    <s v="SELL OUT"/>
    <s v="847010605 - ISABELA CAMILA CRUCCITTI"/>
    <n v="654.2096800951507"/>
    <n v="1143.0100000000002"/>
    <n v="1.747161551987058"/>
    <n v="0"/>
    <n v="0"/>
    <m/>
    <m/>
    <m/>
    <s v="Não Comprou"/>
    <s v="SIM"/>
    <m/>
    <m/>
    <m/>
  </r>
  <r>
    <n v="4834843001205"/>
    <x v="4"/>
    <m/>
    <s v="FARMACIA SANTA CATARINA DE PRESIDENTE PRUDENTE"/>
    <s v="FLORIDA PAULISTA"/>
    <x v="2"/>
    <s v="REDE SANTA CATARINA"/>
    <s v="SELL IN"/>
    <s v="847010607 - MANUEL ARIEDE ARTERO"/>
    <n v="12314.180224979473"/>
    <n v="8241.1299999999992"/>
    <n v="0.66923902764414323"/>
    <n v="6643.5700000000006"/>
    <n v="0.53950566571402236"/>
    <s v="ATIVO"/>
    <s v="Sim"/>
    <s v="NÃO"/>
    <s v="Comprou Marcas"/>
    <s v="SIM"/>
    <n v="4"/>
    <m/>
    <n v="3"/>
  </r>
  <r>
    <n v="4834843001701"/>
    <x v="4"/>
    <m/>
    <s v="FARMACIA SANTA CATARINA DE PRESIDENTE PRUDENTE"/>
    <s v="MARACAI"/>
    <x v="2"/>
    <s v="REDE SANTA CATARINA"/>
    <s v="SELL IN"/>
    <s v="847010607 - MANUEL ARIEDE ARTERO"/>
    <n v="5774.8768224918858"/>
    <n v="3325.3199999999997"/>
    <n v="0.57582526904272724"/>
    <n v="3591.13"/>
    <n v="0.6218539564364961"/>
    <s v="ATIVO"/>
    <s v="Sim"/>
    <s v="NÃO"/>
    <s v="Comprou Marcas e SG"/>
    <s v="SIM"/>
    <m/>
    <m/>
    <m/>
  </r>
  <r>
    <n v="4834843002511"/>
    <x v="4"/>
    <m/>
    <s v="FARMACIA SANTA CATARINA DE PRESIDENTE PRUDENTE"/>
    <s v="ADAMANTINA"/>
    <x v="2"/>
    <s v="REDE SANTA CATARINA"/>
    <s v="SELL IN"/>
    <s v="847010607 - MANUEL ARIEDE ARTERO"/>
    <n v="13865.005408956404"/>
    <n v="8430.93"/>
    <n v="0.60807260807513686"/>
    <n v="5788.6500000000005"/>
    <n v="0.41750073867700732"/>
    <s v="ATIVO"/>
    <s v="Sim"/>
    <s v="NÃO"/>
    <s v="Comprou Marcas e SG"/>
    <s v="SIM"/>
    <n v="4"/>
    <m/>
    <m/>
  </r>
  <r>
    <n v="27449054000195"/>
    <x v="1"/>
    <m/>
    <s v="FARMACIA POUPE MAIS"/>
    <s v="CUIABA"/>
    <x v="0"/>
    <s v="ASSOCIADAS"/>
    <s v="SELL IN"/>
    <s v="847010603 - ERIVALDO DA SILVA MACIEL"/>
    <n v="6773.9234275427907"/>
    <n v="4734.9700000000012"/>
    <n v="0.69899963450245106"/>
    <n v="2270.12"/>
    <n v="0.33512631553667788"/>
    <s v="FORA SCANN"/>
    <s v="Não"/>
    <s v="NÃO"/>
    <s v="Comprou Marcas"/>
    <s v="NÃO"/>
    <n v="1"/>
    <m/>
    <m/>
  </r>
  <r>
    <n v="29606556000108"/>
    <x v="1"/>
    <m/>
    <s v="POPULAR FARMA"/>
    <s v="SINOP"/>
    <x v="0"/>
    <s v="INDEPENDENTES VIN"/>
    <s v="SELL IN"/>
    <s v="847010605 - ISABELA CAMILA CRUCCITTI"/>
    <n v="1340.7564938722905"/>
    <n v="739.6"/>
    <n v="0.55162887771211366"/>
    <n v="546.78"/>
    <n v="0.40781454536969913"/>
    <s v="FORA SCANN"/>
    <s v="Não"/>
    <s v="NÃO"/>
    <s v="Comprou Marcas"/>
    <s v="SIM"/>
    <m/>
    <m/>
    <m/>
  </r>
  <r>
    <n v="33019679000381"/>
    <x v="1"/>
    <m/>
    <s v="DROGARIAS FARMARELA"/>
    <s v="TANGARA DA SERRA"/>
    <x v="0"/>
    <s v="ECONOMIZE RONDONOPOLIS"/>
    <s v="SELL IN"/>
    <s v="847010604 - LEONARDO MAZZUCO"/>
    <n v="2376.9944632946158"/>
    <n v="2535.5499999999993"/>
    <n v="1.0667042095191164"/>
    <n v="2593.3600000000006"/>
    <n v="1.0910248383185095"/>
    <s v="TERMO DEVOLVIDO"/>
    <s v="Não"/>
    <s v="SIM"/>
    <s v="Comprou Marcas"/>
    <s v="SIM"/>
    <m/>
    <m/>
    <m/>
  </r>
  <r>
    <n v="33586036000158"/>
    <x v="1"/>
    <m/>
    <s v="FARMACIA BEM ESTAR"/>
    <s v="SINOP"/>
    <x v="0"/>
    <s v="INDEPENDENTES VIN"/>
    <s v="SELL IN"/>
    <s v="847010605 - ISABELA CAMILA CRUCCITTI"/>
    <n v="303.26497769199199"/>
    <n v="0"/>
    <n v="0"/>
    <n v="0"/>
    <n v="0"/>
    <s v="FORA SCANN"/>
    <s v="Não"/>
    <s v="NÃO"/>
    <s v="Não Comprou"/>
    <s v="NÃO"/>
    <m/>
    <m/>
    <m/>
  </r>
  <r>
    <n v="34152830000156"/>
    <x v="1"/>
    <m/>
    <s v="FARMACIA SUPER POPULAR"/>
    <s v="CULTURAMA (FATIMA DO SUL)"/>
    <x v="1"/>
    <s v="MASTERFARMA"/>
    <s v="SELL IN"/>
    <s v="847010601 - RAFAEL DE OLIVEIRA NASCIMENTO"/>
    <n v="3358.3124530369082"/>
    <n v="2011.3500000000004"/>
    <n v="0.59891687510527636"/>
    <n v="0"/>
    <n v="0"/>
    <s v="TERMO DEVOLVIDO"/>
    <s v="Não"/>
    <s v="NÃO"/>
    <s v="Não Comprou"/>
    <s v="SIM"/>
    <m/>
    <m/>
    <m/>
  </r>
  <r>
    <n v="34508395000150"/>
    <x v="1"/>
    <m/>
    <s v="DROGA MAIS"/>
    <s v="ALTO ARAGUAIA"/>
    <x v="0"/>
    <s v="INDEPENDENTES VIN"/>
    <s v="SELL IN"/>
    <s v="847010606 - PRICILA MOREIRA DOS SANTOS"/>
    <n v="633.22358096077608"/>
    <n v="314.58999999999997"/>
    <n v="0.4968071459415323"/>
    <n v="0"/>
    <n v="0"/>
    <s v="FORA SCANN"/>
    <s v="Não"/>
    <s v="NÃO"/>
    <s v="Não Comprou"/>
    <s v="NÃO"/>
    <m/>
    <m/>
    <m/>
  </r>
  <r>
    <n v="27785214000258"/>
    <x v="29"/>
    <m/>
    <s v="DROGARIA DROGAO"/>
    <s v="BONITO"/>
    <x v="1"/>
    <s v="ASSOCIADAS"/>
    <s v="SELL IN"/>
    <s v="847010601 - RAFAEL DE OLIVEIRA NASCIMENTO"/>
    <n v="6839.212420912032"/>
    <n v="4270.4399999999996"/>
    <n v="0.62440522931301523"/>
    <n v="3658.5"/>
    <n v="0.53493001457500078"/>
    <s v="ATIVO"/>
    <s v="Sim"/>
    <s v="NÃO"/>
    <s v="Comprou Marcas"/>
    <s v="SIM"/>
    <m/>
    <m/>
    <m/>
  </r>
  <r>
    <n v="32338157000118"/>
    <x v="1"/>
    <m/>
    <s v="DROGA FACIL"/>
    <s v="PARANATINGA"/>
    <x v="0"/>
    <s v="INDEPENDENTES VIN"/>
    <s v="SELL IN"/>
    <s v="847010606 - PRICILA MOREIRA DOS SANTOS"/>
    <n v="1062.2899959688432"/>
    <n v="435.01000000000005"/>
    <n v="0.4095021149128461"/>
    <n v="0"/>
    <n v="0"/>
    <s v="FORA SCANN"/>
    <s v="Não"/>
    <s v="NÃO"/>
    <s v="Não Comprou"/>
    <s v="SIM"/>
    <m/>
    <m/>
    <m/>
  </r>
  <r>
    <n v="33007949000172"/>
    <x v="1"/>
    <m/>
    <s v="DROGARIA GOIAS"/>
    <s v="NOVA XAVANTINA"/>
    <x v="0"/>
    <s v="ASSOCIADAS"/>
    <s v="SELL IN"/>
    <s v="847010606 - PRICILA MOREIRA DOS SANTOS"/>
    <n v="7742.3313115720575"/>
    <n v="8192.5099999999966"/>
    <n v="1.0581451077603823"/>
    <n v="6652.77"/>
    <n v="0.85927219235070107"/>
    <m/>
    <m/>
    <m/>
    <s v="Comprou Marcas"/>
    <m/>
    <m/>
    <m/>
    <m/>
  </r>
  <r>
    <n v="33379672000109"/>
    <x v="1"/>
    <m/>
    <s v="DROGARIA SUL AMERICA"/>
    <s v="CUIABA"/>
    <x v="0"/>
    <s v="ASSOCIADAS"/>
    <s v="SELL IN"/>
    <s v="847010603 - ERIVALDO DA SILVA MACIEL"/>
    <n v="8119.5403341227729"/>
    <n v="8281.18"/>
    <n v="1.0199074897378031"/>
    <n v="6136.53"/>
    <n v="0.7557730791989451"/>
    <s v="FORA SCANN"/>
    <s v="Não"/>
    <s v="NÃO"/>
    <s v="Comprou Marcas"/>
    <s v="SIM"/>
    <m/>
    <m/>
    <m/>
  </r>
  <r>
    <n v="55733059000180"/>
    <x v="1"/>
    <m/>
    <s v="FCIA CENTRAL"/>
    <s v="BRAUNA"/>
    <x v="2"/>
    <s v="DSG FARMA"/>
    <s v="SELL IN"/>
    <s v="847010608 - VALTER PEREIRA DA SILVA JUNIOR"/>
    <n v="1399.7241962443679"/>
    <n v="615.76"/>
    <n v="0.43991523591015985"/>
    <n v="0"/>
    <n v="0"/>
    <m/>
    <m/>
    <m/>
    <s v="Não Comprou"/>
    <m/>
    <m/>
    <m/>
    <m/>
  </r>
  <r>
    <n v="31230095000163"/>
    <x v="1"/>
    <m/>
    <s v="MS PHARMA"/>
    <s v="COSTA RICA"/>
    <x v="1"/>
    <s v="INDEPENDENTES VIN"/>
    <s v="SELL IN"/>
    <s v="847010608 - VALTER PEREIRA DA SILVA JUNIOR"/>
    <n v="11090.1095941814"/>
    <n v="2303.1799999999998"/>
    <n v="0.20767874117388338"/>
    <n v="2753.6299999999997"/>
    <n v="0.24829601336354104"/>
    <s v="ATIVO"/>
    <s v="Sim"/>
    <s v="SIM"/>
    <s v="Comprou Marcas"/>
    <s v="SIM"/>
    <m/>
    <m/>
    <m/>
  </r>
  <r>
    <n v="546706000153"/>
    <x v="1"/>
    <m/>
    <s v="DROGARIA POUPE JA"/>
    <s v="QUERENCIA"/>
    <x v="0"/>
    <s v="INDEPENDENTES VIN"/>
    <s v="SELL IN"/>
    <s v="847010606 - PRICILA MOREIRA DOS SANTOS"/>
    <n v="5028.172482163257"/>
    <n v="2628.5399999999995"/>
    <n v="0.52276249657790774"/>
    <n v="2995.76"/>
    <n v="0.59579499522481427"/>
    <s v="FILA DE ATIVAÇÃO"/>
    <s v="Não"/>
    <s v="NÃO"/>
    <s v="Comprou Marcas"/>
    <s v="SIM"/>
    <m/>
    <m/>
    <m/>
  </r>
  <r>
    <n v="1177047000198"/>
    <x v="1"/>
    <m/>
    <s v="DROGARIA LEVERGER"/>
    <s v="SANTO ANTONIO DO LEVERGER"/>
    <x v="0"/>
    <s v="ASSOCIADAS"/>
    <s v="SELL IN"/>
    <s v="847010603 - ERIVALDO DA SILVA MACIEL"/>
    <n v="11841.622491329699"/>
    <n v="12028.869999999999"/>
    <n v="1.0158126564841432"/>
    <n v="7479.9100000000017"/>
    <n v="0.63166259568540595"/>
    <s v="FORA SCANN"/>
    <s v="Não"/>
    <s v="NÃO"/>
    <s v="Comprou Marcas"/>
    <s v="SIM"/>
    <n v="11"/>
    <m/>
    <m/>
  </r>
  <r>
    <n v="1756694000154"/>
    <x v="1"/>
    <m/>
    <s v="DROGARIA AVENIDA"/>
    <s v="CAARAPO"/>
    <x v="1"/>
    <s v="HIPER SAUDE"/>
    <s v="SELL IN"/>
    <s v="847010601 - RAFAEL DE OLIVEIRA NASCIMENTO"/>
    <n v="3008.8332133980812"/>
    <n v="2039.8400000000001"/>
    <n v="0.67795050616855868"/>
    <n v="0"/>
    <n v="0"/>
    <s v="FORA SCANN"/>
    <s v="Não"/>
    <s v="NÃO"/>
    <s v="Não Comprou"/>
    <s v="SIM"/>
    <m/>
    <m/>
    <n v="1"/>
  </r>
  <r>
    <n v="2736133000156"/>
    <x v="1"/>
    <m/>
    <s v="DROG BIOFARMA"/>
    <s v="CANARANA"/>
    <x v="0"/>
    <s v="FARMA &amp; FARMA"/>
    <s v="SELL IN"/>
    <s v="847010606 - PRICILA MOREIRA DOS SANTOS"/>
    <n v="2216.0874988899027"/>
    <n v="533.0200000000001"/>
    <n v="0.2405229939102152"/>
    <n v="395.31"/>
    <n v="0.17838194574809041"/>
    <s v="FORA SCANN"/>
    <s v="Não"/>
    <s v="NÃO"/>
    <s v="Comprou Marcas"/>
    <s v="SIM"/>
    <m/>
    <m/>
    <m/>
  </r>
  <r>
    <n v="6213559000186"/>
    <x v="1"/>
    <m/>
    <s v="MAX FARMA"/>
    <s v="PRESIDENTE PRUDENTE"/>
    <x v="2"/>
    <s v="REDE SMALLFARMA"/>
    <s v="SELL IN"/>
    <s v="847010607 - MANUEL ARIEDE ARTERO"/>
    <n v="738.4161936111559"/>
    <n v="492.88"/>
    <n v="0.66748265309515498"/>
    <n v="591.65000000000009"/>
    <n v="0.80124190817997998"/>
    <s v="TERMO DEVOLVIDO"/>
    <s v="Não"/>
    <s v="SIM"/>
    <s v="Não Comprou"/>
    <s v="NÃO"/>
    <m/>
    <m/>
    <m/>
  </r>
  <r>
    <n v="20330018000169"/>
    <x v="1"/>
    <n v="13478"/>
    <s v="DROGARIA ULTRA POPULAR"/>
    <s v="PEIXOTO DE AZEVEDO"/>
    <x v="0"/>
    <s v="FARMARCAS"/>
    <s v="SELL OUT"/>
    <s v="847010605 - ISABELA CAMILA CRUCCITTI"/>
    <n v="10033.688578691674"/>
    <n v="7418.069999999997"/>
    <n v="0.73931634830221771"/>
    <n v="7183.41"/>
    <n v="0.71592913649475343"/>
    <s v="ATIVO"/>
    <s v="Sim"/>
    <s v="NÃO"/>
    <s v="Comprou Marcas"/>
    <s v="SIM"/>
    <m/>
    <m/>
    <m/>
  </r>
  <r>
    <n v="1203805000103"/>
    <x v="1"/>
    <m/>
    <s v="FCIA MANIP ANASFARMA"/>
    <s v="SANTO ANASTACIO"/>
    <x v="2"/>
    <s v="INDEPENDENTES VIN"/>
    <s v="SELL IN"/>
    <s v="847010607 - MANUEL ARIEDE ARTERO"/>
    <n v="2933.4970010060806"/>
    <n v="1828.02"/>
    <n v="0.62315386699664499"/>
    <n v="979.68000000000018"/>
    <n v="0.3339631844395976"/>
    <s v="FORA SCANN"/>
    <s v="Não"/>
    <s v="NÃO"/>
    <s v="Comprou Marcas"/>
    <s v="NÃO"/>
    <m/>
    <m/>
    <m/>
  </r>
  <r>
    <n v="1340477000189"/>
    <x v="1"/>
    <m/>
    <s v="DROGARIA MARTINS"/>
    <s v="JUNQUEIROPOLIS"/>
    <x v="2"/>
    <s v="INDEPENDENTES VIN"/>
    <s v="SELL IN"/>
    <s v="847010607 - MANUEL ARIEDE ARTERO"/>
    <n v="3566.074080099409"/>
    <n v="2054.0800000000004"/>
    <n v="0.5760059813291204"/>
    <n v="712.55"/>
    <n v="0.1998135720108587"/>
    <s v="ATIVO"/>
    <s v="Sim"/>
    <s v="NÃO"/>
    <s v="Comprou Marcas"/>
    <s v="SIM"/>
    <m/>
    <m/>
    <m/>
  </r>
  <r>
    <n v="2366173000153"/>
    <x v="1"/>
    <m/>
    <s v="DROGARIA DENIZ FARMA"/>
    <s v="CASTILHO"/>
    <x v="2"/>
    <s v="INDEPENDENTES VIN"/>
    <s v="SELL IN"/>
    <s v="847010608 - VALTER PEREIRA DA SILVA JUNIOR"/>
    <n v="7880.0484539707641"/>
    <n v="4318.8999999999996"/>
    <n v="0.54808038620926269"/>
    <n v="0"/>
    <n v="0"/>
    <s v="FORA SCANN"/>
    <s v="Não"/>
    <s v="NÃO"/>
    <s v="Comprou SG"/>
    <s v="NÃO"/>
    <m/>
    <m/>
    <m/>
  </r>
  <r>
    <n v="3961703000174"/>
    <x v="1"/>
    <m/>
    <s v="FCIA MUNDO NOVO"/>
    <s v="MUNDO NOVO"/>
    <x v="1"/>
    <s v="ASSOCIADAS"/>
    <s v="SELL IN"/>
    <s v="847010601 - RAFAEL DE OLIVEIRA NASCIMENTO"/>
    <n v="4748.6352156567464"/>
    <n v="2929.92"/>
    <n v="0.61700254219143802"/>
    <n v="0"/>
    <n v="0"/>
    <s v="FORA SCANN"/>
    <s v="Não"/>
    <s v="SIM"/>
    <s v="Não Comprou"/>
    <s v="NÃO"/>
    <m/>
    <m/>
    <m/>
  </r>
  <r>
    <n v="12930121000111"/>
    <x v="1"/>
    <m/>
    <s v="DROGARIA SAO JOSE"/>
    <s v="CACERES"/>
    <x v="0"/>
    <s v="ASSOCIADAS"/>
    <s v="SELL IN"/>
    <s v="847010603 - ERIVALDO DA SILVA MACIEL"/>
    <n v="4359.5926476783916"/>
    <n v="3098.26"/>
    <n v="0.71067648984358955"/>
    <n v="2374.7999999999997"/>
    <n v="0.54472979287747192"/>
    <s v="FORA SCANN"/>
    <s v="Não"/>
    <s v="NÃO"/>
    <s v="Comprou Marcas"/>
    <s v="SIM"/>
    <m/>
    <m/>
    <m/>
  </r>
  <r>
    <n v="14314400000186"/>
    <x v="1"/>
    <m/>
    <s v="DROGARIA G FARMA"/>
    <s v="TANGARA DA SERRA"/>
    <x v="0"/>
    <s v="INDEPENDENTES VIN"/>
    <s v="SELL IN"/>
    <s v="847010604 - LEONARDO MAZZUCO"/>
    <n v="4242.8465682843434"/>
    <n v="1890.7"/>
    <n v="0.44562063925034462"/>
    <n v="209.52"/>
    <n v="4.9381941257593591E-2"/>
    <s v="FORA SCANN"/>
    <s v="Não"/>
    <s v="NÃO"/>
    <s v="Comprou Marcas"/>
    <s v="SIM"/>
    <m/>
    <m/>
    <m/>
  </r>
  <r>
    <n v="18387529000175"/>
    <x v="1"/>
    <m/>
    <s v="DROGARIA P. S. OLGEARIO"/>
    <s v="ARACATUBA"/>
    <x v="2"/>
    <s v="INDEPENDENTES VIN"/>
    <s v="SELL IN"/>
    <s v="847010608 - VALTER PEREIRA DA SILVA JUNIOR"/>
    <n v="5736.4625464362507"/>
    <n v="769.0100000000001"/>
    <n v="0.13405648407444826"/>
    <n v="843.14999999999986"/>
    <n v="0.14698082540847454"/>
    <s v="FORA SCANN"/>
    <s v="Não"/>
    <s v="SIM"/>
    <s v="Comprou Marcas e SG"/>
    <s v="NÃO"/>
    <m/>
    <m/>
    <m/>
  </r>
  <r>
    <n v="18208965000130"/>
    <x v="1"/>
    <m/>
    <s v="FARMACIA DO POVO"/>
    <s v="AGUA CLARA"/>
    <x v="1"/>
    <s v="HIPER SAUDE"/>
    <s v="SELL IN"/>
    <s v="847010602 - WELLINGTON DE MORAIS DO NASCIMENTO"/>
    <n v="9579.9180391455411"/>
    <n v="5881.86"/>
    <n v="0.61397811296145688"/>
    <n v="155.74"/>
    <n v="1.6256924053380615E-2"/>
    <s v="FORA SCANN"/>
    <s v="Não"/>
    <s v="NÃO"/>
    <s v="Comprou Marcas"/>
    <s v="NÃO"/>
    <m/>
    <m/>
    <m/>
  </r>
  <r>
    <n v="20103913000221"/>
    <x v="24"/>
    <n v="14154"/>
    <s v="DROGARIA ULTRA NACIONAL"/>
    <s v="TANGARA DA SERRA"/>
    <x v="0"/>
    <s v="ASSOCIADAS"/>
    <s v="SELL IN"/>
    <s v="847010604 - LEONARDO MAZZUCO"/>
    <n v="109379.35507270864"/>
    <n v="84293.840000000011"/>
    <n v="0.77065585131642689"/>
    <n v="67043.740000000034"/>
    <n v="0.61294693093987884"/>
    <s v="TERMO DEVOLVIDO"/>
    <s v="Não"/>
    <s v="SIM"/>
    <s v="Comprou Marcas"/>
    <s v="SIM"/>
    <n v="11"/>
    <n v="5"/>
    <n v="35"/>
  </r>
  <r>
    <n v="20718662000109"/>
    <x v="1"/>
    <n v="13688"/>
    <s v="DROGARIA ULTRAPOPULAR"/>
    <s v="PARANAIBA"/>
    <x v="1"/>
    <s v="FARMARCAS"/>
    <s v="SELL OUT"/>
    <s v="847010608 - VALTER PEREIRA DA SILVA JUNIOR"/>
    <n v="2189.3410962808375"/>
    <n v="1614.9200000000003"/>
    <n v="0.73762832239497078"/>
    <n v="1683.02"/>
    <n v="0.76873357141975052"/>
    <s v="ATIVO"/>
    <s v="Sim"/>
    <s v="NÃO"/>
    <s v="Comprou Marcas"/>
    <s v="SIM"/>
    <m/>
    <m/>
    <m/>
  </r>
  <r>
    <n v="20884408000180"/>
    <x v="1"/>
    <m/>
    <s v="DROGARIAS ULTRA POPULAR"/>
    <s v="NOVA ANDRADINA"/>
    <x v="1"/>
    <s v="FARMARCAS"/>
    <s v="SELL OUT"/>
    <s v="847010601 - RAFAEL DE OLIVEIRA NASCIMENTO"/>
    <n v="37947.634731630613"/>
    <n v="22295.15"/>
    <n v="0.58752410150654932"/>
    <n v="7317.8199999999988"/>
    <n v="0.19283995041462632"/>
    <s v="ATIVO"/>
    <s v="Sim"/>
    <s v="NÃO"/>
    <s v="Comprou Marcas"/>
    <s v="SIM"/>
    <m/>
    <m/>
    <m/>
  </r>
  <r>
    <n v="21013882000108"/>
    <x v="27"/>
    <n v="148177"/>
    <s v="FARMACIA ECONOMIZE"/>
    <s v="LUCAS DO RIO VERDE"/>
    <x v="0"/>
    <s v="ECONOMIZE RONDONOPOLIS"/>
    <s v="SELL IN"/>
    <s v="847010605 - ISABELA CAMILA CRUCCITTI"/>
    <n v="26562.718355517256"/>
    <n v="24146.189999999995"/>
    <n v="0.90902556270129142"/>
    <n v="22659.540000000008"/>
    <n v="0.85305802277926379"/>
    <s v="FORA SCANN"/>
    <s v="Não"/>
    <s v="SIM"/>
    <s v="Comprou Marcas"/>
    <s v="SIM"/>
    <n v="4"/>
    <m/>
    <m/>
  </r>
  <r>
    <n v="21406206000196"/>
    <x v="1"/>
    <m/>
    <s v="DROGARIA SAO JOSE"/>
    <s v="DOURADOS"/>
    <x v="1"/>
    <s v="ASSOCIADAS"/>
    <s v="SELL IN"/>
    <s v="847010601 - RAFAEL DE OLIVEIRA NASCIMENTO"/>
    <n v="3200.8169605041717"/>
    <n v="3280.6799999999989"/>
    <n v="1.0249508298916437"/>
    <n v="2788.5099999999993"/>
    <n v="0.87118696083164082"/>
    <s v="ATIVO"/>
    <s v="Sim"/>
    <s v="NÃO"/>
    <s v="Comprou Marcas"/>
    <s v="SIM"/>
    <n v="1"/>
    <m/>
    <m/>
  </r>
  <r>
    <n v="24920461000140"/>
    <x v="1"/>
    <m/>
    <s v="FARMACIAS POPULAR"/>
    <s v="NOVA MUTUM"/>
    <x v="0"/>
    <s v="ECONOMIZE RONDONOPOLIS"/>
    <s v="SELL IN"/>
    <s v="847010604 - LEONARDO MAZZUCO"/>
    <n v="17861.074267916862"/>
    <n v="13809.349999999997"/>
    <n v="0.77315338332169548"/>
    <n v="13902.970000000005"/>
    <n v="0.77839494934374454"/>
    <s v="TERMO DEVOLVIDO"/>
    <s v="Não"/>
    <s v="SIM"/>
    <s v="Comprou Marcas"/>
    <s v="SIM"/>
    <n v="4"/>
    <m/>
    <m/>
  </r>
  <r>
    <n v="27230522000136"/>
    <x v="1"/>
    <m/>
    <s v="DROGARIA TRES IRMAOS"/>
    <s v="CAMPO GRANDE"/>
    <x v="1"/>
    <s v="INDEPENDENTES VIN"/>
    <s v="SELL IN"/>
    <s v="847010602 - WELLINGTON DE MORAIS DO NASCIMENTO"/>
    <n v="9463.1829572472234"/>
    <n v="3543.1200000000008"/>
    <n v="0.37441102174681729"/>
    <n v="892.56"/>
    <n v="9.4319216275581735E-2"/>
    <s v="FORA SCANN"/>
    <s v="Não"/>
    <s v="NÃO"/>
    <s v="Comprou Marcas"/>
    <s v="SIM"/>
    <m/>
    <m/>
    <m/>
  </r>
  <r>
    <n v="29776784000126"/>
    <x v="1"/>
    <m/>
    <s v="DROGARIA ULTRAMED"/>
    <s v="CAMPO GRANDE"/>
    <x v="1"/>
    <s v="MASTERFARMA"/>
    <s v="SELL IN"/>
    <s v="847010602 - WELLINGTON DE MORAIS DO NASCIMENTO"/>
    <n v="3317.1221200505761"/>
    <n v="1603.4299999999998"/>
    <n v="0.48337985216400547"/>
    <n v="1634.9299999999998"/>
    <n v="0.49287603556032844"/>
    <s v="FORA SCANN"/>
    <s v="Não"/>
    <s v="NÃO"/>
    <s v="Comprou Marcas"/>
    <s v="NÃO"/>
    <m/>
    <m/>
    <m/>
  </r>
  <r>
    <n v="30516011000190"/>
    <x v="1"/>
    <m/>
    <s v="DROGARIA ESPERANCA"/>
    <s v="ALTO GARCAS"/>
    <x v="0"/>
    <s v="INDEPENDENTES VIN"/>
    <s v="SELL IN"/>
    <s v="847010606 - PRICILA MOREIRA DOS SANTOS"/>
    <n v="4262.2052708436677"/>
    <n v="2119.54"/>
    <n v="0.497287170681119"/>
    <n v="0"/>
    <n v="0"/>
    <s v="FORA SCANN"/>
    <s v="Não"/>
    <s v="NÃO"/>
    <s v="Não Comprou"/>
    <s v="SIM"/>
    <m/>
    <m/>
    <m/>
  </r>
  <r>
    <n v="30658717000196"/>
    <x v="1"/>
    <m/>
    <s v="DROGARIA UNIAO POPULAR"/>
    <s v="BARRA DO GARCAS"/>
    <x v="0"/>
    <s v="INDEPENDENTES VIN"/>
    <s v="SELL IN"/>
    <s v="847010606 - PRICILA MOREIRA DOS SANTOS"/>
    <n v="2453.898475895613"/>
    <n v="1325.8100000000002"/>
    <n v="0.54028722582588173"/>
    <n v="0"/>
    <n v="0"/>
    <s v="FORA SCANN"/>
    <s v="Não"/>
    <s v="NÃO"/>
    <s v="Não Comprou"/>
    <s v="SIM"/>
    <m/>
    <m/>
    <m/>
  </r>
  <r>
    <n v="31832914000142"/>
    <x v="1"/>
    <m/>
    <s v="FARMACIA SUPER POPULAR"/>
    <s v="CAMPO GRANDE"/>
    <x v="1"/>
    <s v="MASTERFARMA"/>
    <s v="SELL IN"/>
    <s v="847010602 - WELLINGTON DE MORAIS DO NASCIMENTO"/>
    <n v="2497.6734789300367"/>
    <n v="1682.9099999999996"/>
    <n v="0.67379103561644549"/>
    <n v="1599.83"/>
    <n v="0.64052808083038193"/>
    <s v="TERMO DEVOLVIDO"/>
    <s v="Não"/>
    <s v="NÃO"/>
    <s v="Comprou Marcas"/>
    <s v="NÃO"/>
    <m/>
    <m/>
    <m/>
  </r>
  <r>
    <n v="32666944000199"/>
    <x v="1"/>
    <m/>
    <s v="LARIFARMA"/>
    <s v="PONTA PORA"/>
    <x v="1"/>
    <s v="ASSOCIADAS"/>
    <s v="SELL IN"/>
    <s v="847010601 - RAFAEL DE OLIVEIRA NASCIMENTO"/>
    <n v="4581.2747624686326"/>
    <n v="8654.8100000000013"/>
    <n v="1.8891706891067004"/>
    <n v="5734.8599999999988"/>
    <n v="1.2518044206782641"/>
    <s v="FORA SCANN"/>
    <s v="Não"/>
    <s v="NÃO"/>
    <s v="Comprou Marcas"/>
    <s v="NÃO"/>
    <m/>
    <m/>
    <m/>
  </r>
  <r>
    <n v="21784054000165"/>
    <x v="1"/>
    <m/>
    <s v="DROGARIA BONFIM"/>
    <s v="CAMAPUA"/>
    <x v="1"/>
    <s v="ASSOCIADAS"/>
    <s v="SELL IN"/>
    <s v="847010602 - WELLINGTON DE MORAIS DO NASCIMENTO"/>
    <n v="14956.636530679783"/>
    <n v="15073.070000000002"/>
    <n v="1.0077847361658743"/>
    <n v="10984.750000000002"/>
    <n v="0.73443985734811068"/>
    <s v="FORA SCANN"/>
    <s v="Não"/>
    <s v="SIM"/>
    <s v="Comprou Marcas"/>
    <s v="SIM"/>
    <m/>
    <n v="4"/>
    <m/>
  </r>
  <r>
    <n v="9417126000130"/>
    <x v="1"/>
    <m/>
    <s v="FARMAVIDA"/>
    <s v="GUARACAI"/>
    <x v="2"/>
    <s v="MULTIDROGAS"/>
    <s v="SELL IN"/>
    <s v="847010608 - VALTER PEREIRA DA SILVA JUNIOR"/>
    <n v="6461.2602494081748"/>
    <n v="3939.14"/>
    <n v="0.60965505922173757"/>
    <n v="3489.41"/>
    <n v="0.5400509908759078"/>
    <s v="ATIVO"/>
    <s v="Não"/>
    <s v="NÃO"/>
    <s v="Comprou Marcas e SG"/>
    <s v="SIM"/>
    <m/>
    <m/>
    <m/>
  </r>
  <r>
    <n v="41651815000118"/>
    <x v="1"/>
    <m/>
    <s v="DROGARIAS ULTRA POPULAR"/>
    <s v="MARCELANDIA"/>
    <x v="0"/>
    <s v="FARMARCAS"/>
    <s v="SELL OUT"/>
    <s v="847010605 - ISABELA CAMILA CRUCCITTI"/>
    <n v="7919.1712958777507"/>
    <n v="4265.04"/>
    <n v="0.53857150459924086"/>
    <n v="261.95"/>
    <n v="3.3077956040217939E-2"/>
    <s v="ATIVO"/>
    <s v="Sim"/>
    <s v="NÃO"/>
    <s v="Comprou Marcas"/>
    <s v="SIM"/>
    <m/>
    <m/>
    <m/>
  </r>
  <r>
    <n v="11780832000194"/>
    <x v="1"/>
    <m/>
    <s v="DROGARIA DROGANORTE"/>
    <s v="TAPURAH"/>
    <x v="0"/>
    <s v="FARMARCAS"/>
    <s v="SELL OUT"/>
    <s v="847010605 - ISABELA CAMILA CRUCCITTI"/>
    <n v="17836.010867532237"/>
    <n v="12125.659999999996"/>
    <n v="0.67984147857147403"/>
    <n v="12026.339999999998"/>
    <n v="0.67427296884485155"/>
    <s v="ATIVO"/>
    <s v="Sim"/>
    <s v="NÃO"/>
    <s v="Comprou Marcas"/>
    <s v="SIM"/>
    <n v="1"/>
    <m/>
    <m/>
  </r>
  <r>
    <n v="10392940000127"/>
    <x v="1"/>
    <m/>
    <s v="DROGARIA CONFIANCA"/>
    <s v="QUERENCIA"/>
    <x v="0"/>
    <s v="INDEPENDENTES VIN"/>
    <s v="SELL IN"/>
    <s v="847010606 - PRICILA MOREIRA DOS SANTOS"/>
    <n v="286.46973437519614"/>
    <n v="0"/>
    <n v="0"/>
    <n v="0"/>
    <n v="0"/>
    <s v="FORA SCANN"/>
    <s v="Não"/>
    <s v="NÃO"/>
    <s v="Não Comprou"/>
    <s v="NÃO"/>
    <m/>
    <m/>
    <m/>
  </r>
  <r>
    <n v="10588126000263"/>
    <x v="1"/>
    <m/>
    <s v="DROGARIA POUPE JA"/>
    <s v="QUERENCIA"/>
    <x v="0"/>
    <s v="INDEPENDENTES VIN"/>
    <s v="SELL IN"/>
    <s v="847010606 - PRICILA MOREIRA DOS SANTOS"/>
    <n v="21670.978108473293"/>
    <n v="14137.739999999998"/>
    <n v="0.65238125982288642"/>
    <n v="13631.39"/>
    <n v="0.62901590928515416"/>
    <s v="FORA SCANN"/>
    <s v="Não"/>
    <s v="NÃO"/>
    <s v="Comprou Marcas"/>
    <s v="SIM"/>
    <m/>
    <n v="1"/>
    <n v="1"/>
  </r>
  <r>
    <n v="8087667001076"/>
    <x v="13"/>
    <m/>
    <s v="REDE DE FARMACIAS ECONOMIZAR"/>
    <s v="COLIDER"/>
    <x v="0"/>
    <s v="ASSOCIADAS"/>
    <s v="SELL IN"/>
    <s v="847010605 - ISABELA CAMILA CRUCCITTI"/>
    <n v="9042.4323150841537"/>
    <n v="5168.46"/>
    <n v="0.57157851116875069"/>
    <n v="3725.02"/>
    <n v="0.41194889496558351"/>
    <s v="FORA SCANN"/>
    <s v="Não"/>
    <s v="SIM"/>
    <s v="Comprou Marcas"/>
    <s v="SIM"/>
    <m/>
    <m/>
    <m/>
  </r>
  <r>
    <n v="23585408000178"/>
    <x v="1"/>
    <m/>
    <s v="DROGARIA ULTRA POPULAR"/>
    <s v="MATUPA"/>
    <x v="0"/>
    <s v="FARMARCAS"/>
    <s v="SELL OUT"/>
    <s v="847010605 - ISABELA CAMILA CRUCCITTI"/>
    <n v="22195.27333130085"/>
    <n v="8733.4899999999961"/>
    <n v="0.39348422835972041"/>
    <n v="3262.9000000000005"/>
    <n v="0.14700877755799027"/>
    <s v="ATIVO"/>
    <s v="Sim"/>
    <s v="NÃO"/>
    <s v="Comprou Marcas"/>
    <s v="SIM"/>
    <m/>
    <m/>
    <m/>
  </r>
  <r>
    <n v="19909093000280"/>
    <x v="1"/>
    <m/>
    <s v="DROGARIA ULTRAPOPULAR"/>
    <s v="SAPEZAL"/>
    <x v="0"/>
    <s v="FARMARCAS"/>
    <s v="SELL OUT"/>
    <s v="847010604 - LEONARDO MAZZUCO"/>
    <n v="1204.3150601310394"/>
    <n v="2037.4500000000003"/>
    <n v="1.6917915149033418"/>
    <n v="0"/>
    <n v="0"/>
    <s v="FORA SCANN"/>
    <s v="Não"/>
    <s v="NÃO"/>
    <s v="Não Comprou"/>
    <s v="SIM"/>
    <m/>
    <m/>
    <m/>
  </r>
  <r>
    <n v="10698745000120"/>
    <x v="1"/>
    <m/>
    <s v="DROGARIA BIODROGAS"/>
    <s v="PORTO ESPERIDIAO"/>
    <x v="0"/>
    <s v="INDEPENDENTES VIN"/>
    <s v="SELL IN"/>
    <s v="847010603 - ERIVALDO DA SILVA MACIEL"/>
    <n v="3847.6724072764073"/>
    <n v="1533.19"/>
    <n v="0.39847207290843029"/>
    <n v="0"/>
    <n v="0"/>
    <s v="FORA SCANN"/>
    <s v="Não"/>
    <s v="NÃO"/>
    <s v="Não Comprou"/>
    <s v="NÃO"/>
    <m/>
    <m/>
    <m/>
  </r>
  <r>
    <n v="10737685000530"/>
    <x v="1"/>
    <m/>
    <s v="FARMACIA GALENA MANIPULACAO DE FORMULAS"/>
    <s v="CAMPOS DE JULIO"/>
    <x v="0"/>
    <s v="ECONOMIZE RONDONOPOLIS"/>
    <s v="SELL IN"/>
    <s v="847010604 - LEONARDO MAZZUCO"/>
    <n v="1047.2637277997458"/>
    <n v="1786.8899999999999"/>
    <n v="1.7062464330299836"/>
    <n v="1446.1000000000001"/>
    <n v="1.3808365186467324"/>
    <s v="FORA SCANN"/>
    <s v="Não"/>
    <s v="NÃO"/>
    <s v="Comprou Marcas"/>
    <s v="NÃO"/>
    <m/>
    <m/>
    <m/>
  </r>
  <r>
    <n v="10816100000144"/>
    <x v="1"/>
    <m/>
    <s v="DROGARIA BELLA FARMA"/>
    <s v="MIRANDA"/>
    <x v="1"/>
    <s v="FARMARCAS"/>
    <s v="SELL OUT"/>
    <s v="847010602 - WELLINGTON DE MORAIS DO NASCIMENTO"/>
    <n v="7024.5790748423606"/>
    <n v="4564.9299999999994"/>
    <n v="0.64985103753030804"/>
    <n v="2621.6099999999997"/>
    <n v="0.37320527992758507"/>
    <s v="ATIVO"/>
    <s v="Sim"/>
    <s v="NÃO"/>
    <s v="Comprou Marcas"/>
    <s v="SIM"/>
    <m/>
    <m/>
    <m/>
  </r>
  <r>
    <n v="25043201000105"/>
    <x v="1"/>
    <m/>
    <s v="FARMACIA ECONOMIZE"/>
    <s v="ALTO GARCAS"/>
    <x v="0"/>
    <s v="ECONOMIZE RONDONOPOLIS"/>
    <s v="SELL IN"/>
    <s v="847010606 - PRICILA MOREIRA DOS SANTOS"/>
    <n v="4587.6605217975966"/>
    <n v="2376.2400000000002"/>
    <n v="0.51796334726809978"/>
    <n v="0"/>
    <n v="0"/>
    <s v="TERMO DEVOLVIDO"/>
    <s v="Não"/>
    <s v="SIM"/>
    <s v="Não Comprou"/>
    <s v="SIM"/>
    <m/>
    <m/>
    <m/>
  </r>
  <r>
    <n v="17479487000130"/>
    <x v="1"/>
    <m/>
    <s v="FARMACIA POPULAR SANTA LUZIA - COMPER"/>
    <s v="CAMPO GRANDE"/>
    <x v="1"/>
    <s v="MASTERFARMA"/>
    <s v="SELL IN"/>
    <s v="847010602 - WELLINGTON DE MORAIS DO NASCIMENTO"/>
    <n v="2401.6494304938128"/>
    <n v="989.43000000000006"/>
    <n v="0.4119793619489916"/>
    <n v="812.81999999999994"/>
    <n v="0.33844240115963664"/>
    <s v="ATIVO"/>
    <s v="Sim"/>
    <s v="NÃO"/>
    <s v="Comprou Marcas"/>
    <s v="SIM"/>
    <m/>
    <m/>
    <m/>
  </r>
  <r>
    <n v="17479487000210"/>
    <x v="1"/>
    <m/>
    <s v="FARMACIA POPULAR SANTA LUZIA"/>
    <s v="CAMPO GRANDE"/>
    <x v="1"/>
    <s v="INDEPENDENTES VIN"/>
    <s v="SELL IN"/>
    <s v="847010602 - WELLINGTON DE MORAIS DO NASCIMENTO"/>
    <n v="2356.3560690180557"/>
    <n v="660.6"/>
    <n v="0.28034812254638847"/>
    <n v="373.19"/>
    <n v="0.15837589441884151"/>
    <s v="ATIVO"/>
    <s v="Sim"/>
    <s v="NÃO"/>
    <s v="Comprou Marcas"/>
    <s v="NÃO"/>
    <m/>
    <m/>
    <m/>
  </r>
  <r>
    <n v="18332251000309"/>
    <x v="11"/>
    <m/>
    <s v="DROGARIA ULTRAPOPULAR"/>
    <s v="CAMPO GRANDE"/>
    <x v="1"/>
    <s v="FARMARCAS"/>
    <s v="SELL OUT"/>
    <s v="847010602 - WELLINGTON DE MORAIS DO NASCIMENTO"/>
    <n v="5844.8708303680369"/>
    <n v="2578.81"/>
    <n v="0.44120906600730109"/>
    <n v="2306.2800000000002"/>
    <n v="0.39458185936587747"/>
    <s v="ATIVO"/>
    <s v="Sim"/>
    <s v="NÃO"/>
    <s v="Comprou Marcas"/>
    <s v="SIM"/>
    <m/>
    <m/>
    <m/>
  </r>
  <r>
    <n v="19909093000108"/>
    <x v="1"/>
    <m/>
    <s v="DROGARIA ULTRAPOPULAR"/>
    <s v="SAPEZAL"/>
    <x v="0"/>
    <s v="FARMARCAS"/>
    <s v="SELL OUT"/>
    <s v="847010604 - LEONARDO MAZZUCO"/>
    <n v="14853.094435978979"/>
    <n v="9594.5899999999965"/>
    <n v="0.64596573066679019"/>
    <n v="0"/>
    <n v="0"/>
    <s v="ATIVO"/>
    <s v="Sim"/>
    <s v="NÃO"/>
    <s v="Não Comprou"/>
    <s v="SIM"/>
    <m/>
    <m/>
    <n v="1"/>
  </r>
  <r>
    <n v="21287037000112"/>
    <x v="1"/>
    <m/>
    <s v="FARMACIA CONFIANCA"/>
    <s v="BATAGUASSU"/>
    <x v="1"/>
    <s v="INDEPENDENTES VIN"/>
    <s v="SELL IN"/>
    <s v="847010608 - VALTER PEREIRA DA SILVA JUNIOR"/>
    <n v="3111.2412585858483"/>
    <n v="889.6099999999999"/>
    <n v="0.28593410991353146"/>
    <n v="0"/>
    <n v="0"/>
    <s v="FORA SCANN"/>
    <s v="Não"/>
    <s v="NÃO"/>
    <s v="Não Comprou"/>
    <s v="NÃO"/>
    <m/>
    <m/>
    <m/>
  </r>
  <r>
    <n v="43857147000105"/>
    <x v="1"/>
    <m/>
    <s v="POP CENTER POPULAR"/>
    <s v="NOVA XAVANTINA"/>
    <x v="0"/>
    <s v="MASTERFARMA"/>
    <s v="SELL IN"/>
    <s v="847010606 - PRICILA MOREIRA DOS SANTOS"/>
    <n v="426.65398475353498"/>
    <n v="126.03"/>
    <n v="0.29539159249339647"/>
    <n v="0"/>
    <n v="0"/>
    <m/>
    <m/>
    <m/>
    <s v="Não Comprou"/>
    <m/>
    <m/>
    <m/>
    <m/>
  </r>
  <r>
    <n v="19825473000318"/>
    <x v="1"/>
    <m/>
    <s v="HIPER POPULAR DROGARIAS"/>
    <s v="NOVA MUTUM"/>
    <x v="0"/>
    <s v="HIPER SAUDE"/>
    <s v="SELL IN"/>
    <s v="847010604 - LEONARDO MAZZUCO"/>
    <n v="13789.394358119849"/>
    <n v="12556.619999999999"/>
    <n v="0.91059981851966298"/>
    <n v="12156.210000000001"/>
    <n v="0.88156228506452483"/>
    <s v="FORA SCANN"/>
    <s v="Não"/>
    <s v="NÃO"/>
    <s v="Comprou Marcas"/>
    <s v="SIM"/>
    <n v="4"/>
    <n v="6"/>
    <n v="6"/>
  </r>
  <r>
    <n v="21013882000442"/>
    <x v="27"/>
    <m/>
    <s v="FARMACIA ECONOMIZE"/>
    <s v="LUCAS DO RIO VERDE"/>
    <x v="0"/>
    <s v="ECONOMIZE RONDONOPOLIS"/>
    <s v="SELL IN"/>
    <s v="847010605 - ISABELA CAMILA CRUCCITTI"/>
    <n v="9478.815752142511"/>
    <n v="7889.59"/>
    <n v="0.83233920843083209"/>
    <n v="4845.8199999999988"/>
    <n v="0.51122630998547369"/>
    <s v="TERMO DEVOLVIDO"/>
    <s v="Não"/>
    <s v="SIM"/>
    <s v="Comprou Marcas"/>
    <s v="SIM"/>
    <n v="4"/>
    <m/>
    <m/>
  </r>
  <r>
    <n v="21483918000109"/>
    <x v="1"/>
    <m/>
    <s v="PHARMA SINOP"/>
    <s v="SINOP"/>
    <x v="0"/>
    <s v="REDE BEM DROGARIAS"/>
    <s v="SELL IN"/>
    <s v="847010605 - ISABELA CAMILA CRUCCITTI"/>
    <n v="1017.4076593016185"/>
    <n v="902.51"/>
    <n v="0.88706821867206309"/>
    <n v="0"/>
    <n v="0"/>
    <s v="FORA SCANN"/>
    <s v="Não"/>
    <s v="NÃO"/>
    <s v="Não Comprou"/>
    <s v="NÃO"/>
    <m/>
    <m/>
    <m/>
  </r>
  <r>
    <n v="22019833000137"/>
    <x v="21"/>
    <m/>
    <s v="FARMA FACIL"/>
    <s v="CUIABA"/>
    <x v="0"/>
    <s v="ASSOCIADAS"/>
    <s v="SELL IN"/>
    <s v="847010603 - ERIVALDO DA SILVA MACIEL"/>
    <n v="5887.8773572750333"/>
    <n v="4142.3"/>
    <n v="0.70353027902012832"/>
    <n v="137.85"/>
    <n v="2.341251212199133E-2"/>
    <s v="FORA SCANN"/>
    <s v="Não"/>
    <s v="NÃO"/>
    <s v="Comprou Marcas"/>
    <s v="SIM"/>
    <m/>
    <m/>
    <m/>
  </r>
  <r>
    <n v="22977550000106"/>
    <x v="1"/>
    <m/>
    <s v="FARMACIA MAIS POPULAR"/>
    <s v="CARLINDA"/>
    <x v="0"/>
    <s v="MASTERFARMA"/>
    <s v="SELL IN"/>
    <s v="847010605 - ISABELA CAMILA CRUCCITTI"/>
    <n v="1954.8323999886154"/>
    <n v="223.80999999999997"/>
    <n v="0.11449063357109458"/>
    <n v="0"/>
    <n v="0"/>
    <s v="ATIVO"/>
    <s v="Sim"/>
    <s v="NÃO"/>
    <s v="Não Comprou"/>
    <s v="SIM"/>
    <m/>
    <m/>
    <m/>
  </r>
  <r>
    <n v="23866159000199"/>
    <x v="1"/>
    <m/>
    <s v="FARMACIA NAJA V"/>
    <s v="ITAQUIRAI"/>
    <x v="1"/>
    <s v="ASSOCIADAS"/>
    <s v="SELL IN"/>
    <s v="847010601 - RAFAEL DE OLIVEIRA NASCIMENTO"/>
    <n v="3446.182249778793"/>
    <n v="1056.95"/>
    <n v="0.30670171319808887"/>
    <n v="0"/>
    <n v="0"/>
    <s v="FORA SCANN"/>
    <s v="Não"/>
    <s v="NÃO"/>
    <s v="Não Comprou"/>
    <s v="NÃO"/>
    <m/>
    <m/>
    <m/>
  </r>
  <r>
    <n v="33156596000172"/>
    <x v="1"/>
    <m/>
    <s v="DROGARIA BEM ESTAR"/>
    <s v="APARECIDA DO TABOADO"/>
    <x v="1"/>
    <s v="INDEPENDENTES VIN"/>
    <s v="SELL IN"/>
    <s v="847010608 - VALTER PEREIRA DA SILVA JUNIOR"/>
    <n v="3412.4468953404275"/>
    <n v="539.54"/>
    <n v="0.15810942017492557"/>
    <n v="0"/>
    <n v="0"/>
    <s v="FORA SCANN"/>
    <s v="Não"/>
    <s v="NÃO"/>
    <s v="Não Comprou"/>
    <s v="NÃO"/>
    <n v="1"/>
    <m/>
    <m/>
  </r>
  <r>
    <n v="26851782000166"/>
    <x v="1"/>
    <m/>
    <s v="DROG REALEZA"/>
    <s v="DEODAPOLIS"/>
    <x v="1"/>
    <s v="INDEPENDENTES VIN"/>
    <s v="SELL IN"/>
    <s v="847010601 - RAFAEL DE OLIVEIRA NASCIMENTO"/>
    <n v="1882.8532025039988"/>
    <n v="1204.8499999999999"/>
    <n v="0.63990649849795767"/>
    <n v="0"/>
    <n v="0"/>
    <s v="FORA SCANN"/>
    <s v="Não"/>
    <s v="NÃO"/>
    <s v="Não Comprou"/>
    <s v="NÃO"/>
    <m/>
    <m/>
    <m/>
  </r>
  <r>
    <n v="27114394000165"/>
    <x v="1"/>
    <m/>
    <s v="DROGARIA FARMABRAZ"/>
    <s v="TRES LAGOAS"/>
    <x v="1"/>
    <s v="INDEPENDENTES VIN"/>
    <s v="SELL IN"/>
    <s v="847010608 - VALTER PEREIRA DA SILVA JUNIOR"/>
    <n v="799.14075678287747"/>
    <n v="45.08"/>
    <n v="5.6410588018911426E-2"/>
    <n v="0"/>
    <n v="0"/>
    <s v="FORA SCANN"/>
    <s v="Não"/>
    <s v="NÃO"/>
    <s v="Não Comprou"/>
    <s v="NÃO"/>
    <m/>
    <m/>
    <m/>
  </r>
  <r>
    <n v="12113721000197"/>
    <x v="1"/>
    <m/>
    <s v="DOGRARIA MALACRIDA"/>
    <s v="REGENTE FEIJO"/>
    <x v="2"/>
    <s v="MASTERFARMA"/>
    <s v="SELL IN"/>
    <s v="847010607 - MANUEL ARIEDE ARTERO"/>
    <n v="5727.7597048500511"/>
    <n v="2901.8700000000008"/>
    <n v="0.5066326364115461"/>
    <n v="1449.7399999999998"/>
    <n v="0.2531076851517382"/>
    <s v="ATIVO"/>
    <s v="Sim"/>
    <s v="NÃO"/>
    <s v="Comprou Marcas e SG"/>
    <s v="SIM"/>
    <m/>
    <m/>
    <m/>
  </r>
  <r>
    <n v="932885000167"/>
    <x v="1"/>
    <m/>
    <s v="DROG NOGUCHI &amp; KATO LTDA"/>
    <s v="OURO VERDE"/>
    <x v="2"/>
    <s v="INDEPENDENTES VIN"/>
    <s v="SELL IN"/>
    <s v="847010607 - MANUEL ARIEDE ARTERO"/>
    <n v="7962.883797188123"/>
    <n v="5794.2800000000016"/>
    <n v="0.72766100166450942"/>
    <n v="5029.84"/>
    <n v="0.63166060539225144"/>
    <s v="FORA SCANN"/>
    <s v="Não"/>
    <s v="NÃO"/>
    <s v="Comprou Marcas"/>
    <s v="NÃO"/>
    <m/>
    <m/>
    <m/>
  </r>
  <r>
    <n v="2291187000155"/>
    <x v="1"/>
    <m/>
    <s v="FCIA LUCINEIA FERREIRA"/>
    <s v="PIRAPOZINHO"/>
    <x v="2"/>
    <s v="INDEPENDENTES VIN"/>
    <s v="SELL IN"/>
    <s v="847010607 - MANUEL ARIEDE ARTERO"/>
    <n v="2869.5116401016776"/>
    <n v="445.28"/>
    <n v="0.15517623060912972"/>
    <n v="212.07"/>
    <n v="7.3904561680915692E-2"/>
    <s v="ATIVO"/>
    <s v="Não"/>
    <s v="NÃO"/>
    <s v="Comprou Marcas"/>
    <s v="SIM"/>
    <m/>
    <m/>
    <m/>
  </r>
  <r>
    <n v="5335462000183"/>
    <x v="1"/>
    <m/>
    <s v="FCIA SANTA TERESA"/>
    <s v="CORUMBA"/>
    <x v="1"/>
    <s v="INDEPENDENTES VIN"/>
    <s v="SELL IN"/>
    <s v="847010602 - WELLINGTON DE MORAIS DO NASCIMENTO"/>
    <n v="2019.6289893893813"/>
    <n v="1249.79"/>
    <n v="0.61882157889695566"/>
    <n v="0"/>
    <n v="0"/>
    <s v="FORA SCANN"/>
    <s v="Não"/>
    <s v="NÃO"/>
    <s v="Não Comprou"/>
    <s v="NÃO"/>
    <m/>
    <m/>
    <m/>
  </r>
  <r>
    <n v="15794259000200"/>
    <x v="1"/>
    <m/>
    <s v="DROGARIA NACIONAL 3"/>
    <s v="PRIMAVERA DO LESTE"/>
    <x v="0"/>
    <s v="ASSOCIADAS"/>
    <s v="SELL IN"/>
    <s v="847010606 - PRICILA MOREIRA DOS SANTOS"/>
    <n v="3157.0520799078463"/>
    <n v="1094.93"/>
    <n v="0.34682037935590876"/>
    <n v="0"/>
    <n v="0"/>
    <s v="FORA SCANN"/>
    <s v="Não"/>
    <s v="NÃO"/>
    <s v="Não Comprou"/>
    <s v="NÃO"/>
    <m/>
    <m/>
    <m/>
  </r>
  <r>
    <n v="15317875000199"/>
    <x v="1"/>
    <m/>
    <s v="FARMAVIDA"/>
    <s v="FATIMA DO SUL"/>
    <x v="1"/>
    <s v="ASSOCIADAS"/>
    <s v="SELL IN"/>
    <s v="847010601 - RAFAEL DE OLIVEIRA NASCIMENTO"/>
    <n v="4935.7920655737089"/>
    <n v="5079.3699999999981"/>
    <n v="1.0290891375728164"/>
    <n v="2869.7800000000007"/>
    <n v="0.58142238608798313"/>
    <s v="FORA SCANN"/>
    <s v="Não"/>
    <s v="SIM"/>
    <s v="Comprou Marcas"/>
    <s v="NÃO"/>
    <m/>
    <m/>
    <m/>
  </r>
  <r>
    <n v="22379586000180"/>
    <x v="9"/>
    <m/>
    <s v="DROGARIA ULTRA POPULAR"/>
    <s v="SIDROLANDIA"/>
    <x v="1"/>
    <s v="FARMARCAS"/>
    <s v="SELL OUT"/>
    <s v="847010601 - RAFAEL DE OLIVEIRA NASCIMENTO"/>
    <n v="9185.2636053877577"/>
    <n v="6441.329999999999"/>
    <n v="0.70126784344237414"/>
    <n v="3396.64"/>
    <n v="0.36979232670117912"/>
    <s v="ATIVO"/>
    <s v="Sim"/>
    <s v="NÃO"/>
    <s v="Comprou Marcas e SG"/>
    <s v="SIM"/>
    <m/>
    <m/>
    <m/>
  </r>
  <r>
    <n v="23829894000122"/>
    <x v="1"/>
    <m/>
    <s v="DROGARIA POUPE JA"/>
    <s v="COMODORO"/>
    <x v="0"/>
    <s v="ASSOCIADAS"/>
    <s v="SELL IN"/>
    <s v="847010604 - LEONARDO MAZZUCO"/>
    <n v="18833.694912583331"/>
    <n v="16911.840000000004"/>
    <n v="0.89795656553301817"/>
    <n v="13565.759999999995"/>
    <n v="0.72029201189493208"/>
    <s v="FORA SCANN"/>
    <s v="Não"/>
    <s v="NÃO"/>
    <s v="Comprou Marcas"/>
    <s v="SIM"/>
    <n v="8"/>
    <m/>
    <m/>
  </r>
  <r>
    <n v="74641994000161"/>
    <x v="1"/>
    <m/>
    <s v="VIVAMAIS FARMA"/>
    <s v="BIRIGUI"/>
    <x v="2"/>
    <s v="DSG FARMA"/>
    <s v="SELL IN"/>
    <s v="847010608 - VALTER PEREIRA DA SILVA JUNIOR"/>
    <n v="2017.1423999901683"/>
    <n v="2680.1600000000003"/>
    <n v="1.3286915192566791"/>
    <n v="0"/>
    <n v="0"/>
    <m/>
    <m/>
    <m/>
    <s v="Não Comprou"/>
    <m/>
    <m/>
    <m/>
    <m/>
  </r>
  <r>
    <n v="19942147000129"/>
    <x v="1"/>
    <m/>
    <s v="M &amp; G DROGARIA"/>
    <s v="CASSILANDIA"/>
    <x v="1"/>
    <s v="INDEPENDENTES VIN"/>
    <s v="SELL IN"/>
    <s v="847010608 - VALTER PEREIRA DA SILVA JUNIOR"/>
    <n v="4435.2294836603705"/>
    <n v="1128.3500000000001"/>
    <n v="0.25440622726668455"/>
    <n v="314.10000000000002"/>
    <n v="7.0819334412607446E-2"/>
    <s v="TERMO DEVOLVIDO"/>
    <s v="Não"/>
    <s v="SIM"/>
    <s v="Comprou Marcas"/>
    <s v="SIM"/>
    <m/>
    <m/>
    <m/>
  </r>
  <r>
    <n v="20119949000112"/>
    <x v="1"/>
    <m/>
    <s v="FARMATOTAL"/>
    <s v="CAMPO GRANDE"/>
    <x v="1"/>
    <s v="ASSOCIADAS"/>
    <s v="SELL IN"/>
    <s v="847010602 - WELLINGTON DE MORAIS DO NASCIMENTO"/>
    <n v="3725.5510871931424"/>
    <n v="1304.2700000000004"/>
    <n v="0.35008780432068831"/>
    <n v="0"/>
    <n v="0"/>
    <s v="TERMO DEVOLVIDO"/>
    <s v="Não"/>
    <s v="SIM"/>
    <s v="Não Comprou"/>
    <s v="SIM"/>
    <m/>
    <m/>
    <m/>
  </r>
  <r>
    <n v="14324344000160"/>
    <x v="1"/>
    <m/>
    <s v="FARMACIA FARMA 1000"/>
    <s v="NAVIRAI"/>
    <x v="1"/>
    <s v="VIVER MAIS"/>
    <s v="SELL IN"/>
    <s v="847010601 - RAFAEL DE OLIVEIRA NASCIMENTO"/>
    <n v="2615.3872434696023"/>
    <n v="497.34000000000003"/>
    <n v="0.19015922068206739"/>
    <n v="0"/>
    <n v="0"/>
    <m/>
    <m/>
    <m/>
    <s v="Comprou SG"/>
    <m/>
    <m/>
    <m/>
    <m/>
  </r>
  <r>
    <n v="15532062000111"/>
    <x v="1"/>
    <m/>
    <s v="DROG STO ANTONIO"/>
    <s v="JARDIM"/>
    <x v="1"/>
    <s v="INDEPENDENTES VIN"/>
    <s v="SELL IN"/>
    <s v="847010601 - RAFAEL DE OLIVEIRA NASCIMENTO"/>
    <n v="14881.183312151605"/>
    <n v="7910.8199999999979"/>
    <n v="0.53159885434246479"/>
    <n v="278.31"/>
    <n v="1.8702141769380596E-2"/>
    <m/>
    <m/>
    <m/>
    <s v="Comprou Marcas"/>
    <m/>
    <m/>
    <m/>
    <m/>
  </r>
  <r>
    <n v="12237892000128"/>
    <x v="1"/>
    <m/>
    <s v="FARMACIA SANTA MONICA"/>
    <s v="CHAPADAO DO SUL"/>
    <x v="1"/>
    <s v="ASSOCIADAS"/>
    <s v="SELL IN"/>
    <s v="847010608 - VALTER PEREIRA DA SILVA JUNIOR"/>
    <n v="10452.576830972865"/>
    <n v="9340.9799999999959"/>
    <n v="0.89365332119071272"/>
    <n v="7019.220000000003"/>
    <n v="0.67153010339046659"/>
    <s v="FILA DE ATIVAÇÃO"/>
    <s v="Não"/>
    <s v="SIM"/>
    <s v="Comprou Marcas e SG"/>
    <s v="SIM"/>
    <m/>
    <n v="3"/>
    <m/>
  </r>
  <r>
    <n v="36876993000107"/>
    <x v="1"/>
    <m/>
    <s v="FCIA SANTA GEMA"/>
    <s v="JUINA"/>
    <x v="0"/>
    <s v="ASSOCIADAS"/>
    <s v="SELL IN"/>
    <s v="847010604 - LEONARDO MAZZUCO"/>
    <n v="5904.9096826950563"/>
    <n v="5071.4800000000005"/>
    <n v="0.85885818285459858"/>
    <n v="1977.28"/>
    <n v="0.33485355513474185"/>
    <s v="FORA SCANN"/>
    <s v="Não"/>
    <s v="NÃO"/>
    <s v="Comprou Marcas"/>
    <s v="NÃO"/>
    <m/>
    <m/>
    <m/>
  </r>
  <r>
    <n v="37558194000155"/>
    <x v="1"/>
    <m/>
    <s v="DROGARIA PRUDENTE LTDA"/>
    <s v="TRES LAGOAS"/>
    <x v="1"/>
    <s v="ASSOCIADAS"/>
    <s v="SELL IN"/>
    <s v="847010608 - VALTER PEREIRA DA SILVA JUNIOR"/>
    <n v="4772.5644446766892"/>
    <n v="2682.04"/>
    <n v="0.56197041047639351"/>
    <n v="1327.6499999999999"/>
    <n v="0.27818377633032459"/>
    <s v="TERMO DEVOLVIDO"/>
    <s v="Não"/>
    <s v="SIM"/>
    <s v="Comprou Marcas"/>
    <s v="NÃO"/>
    <m/>
    <m/>
    <m/>
  </r>
  <r>
    <n v="22073444000190"/>
    <x v="1"/>
    <m/>
    <s v="FARMACIDADE"/>
    <s v="SINOP"/>
    <x v="0"/>
    <s v="MASTERFARMA"/>
    <s v="SELL IN"/>
    <s v="847010605 - ISABELA CAMILA CRUCCITTI"/>
    <n v="2196.2146512853442"/>
    <n v="2888.5099999999989"/>
    <n v="1.3152220791849676"/>
    <n v="311.90000000000003"/>
    <n v="0.14201708372060046"/>
    <s v="TERMO DEVOLVIDO"/>
    <s v="Não"/>
    <s v="NÃO"/>
    <s v="Comprou Marcas"/>
    <s v="SIM"/>
    <m/>
    <m/>
    <m/>
  </r>
  <r>
    <n v="22355280000193"/>
    <x v="17"/>
    <m/>
    <s v="DROGARIA CIDADE"/>
    <s v="ITIQUIRA"/>
    <x v="0"/>
    <s v="ASSOCIADAS"/>
    <s v="SELL IN"/>
    <s v="847010603 - ERIVALDO DA SILVA MACIEL"/>
    <n v="1761.7158770568662"/>
    <n v="694.93999999999994"/>
    <n v="0.39446769428051653"/>
    <n v="137.85"/>
    <n v="7.8247577714002939E-2"/>
    <s v="FORA SCANN"/>
    <s v="Não"/>
    <s v="NÃO"/>
    <s v="Comprou Marcas"/>
    <s v="SIM"/>
    <m/>
    <m/>
    <m/>
  </r>
  <r>
    <n v="25064025000180"/>
    <x v="1"/>
    <m/>
    <s v="DROGA MAX"/>
    <s v="TANGARA DA SERRA"/>
    <x v="0"/>
    <s v="INDEPENDENTES VIN"/>
    <s v="SELL IN"/>
    <s v="847010604 - LEONARDO MAZZUCO"/>
    <n v="7790.4604352144661"/>
    <n v="4108.130000000001"/>
    <n v="0.52732826694432822"/>
    <n v="5185.0600000000013"/>
    <n v="0.66556528245268731"/>
    <s v="FORA SCANN"/>
    <s v="Não"/>
    <s v="NÃO"/>
    <s v="Comprou Marcas"/>
    <s v="NÃO"/>
    <m/>
    <m/>
    <m/>
  </r>
  <r>
    <n v="27960067000124"/>
    <x v="1"/>
    <m/>
    <s v="DROGARIA POPULAR DO TRABALHADOR"/>
    <s v="CAMPO GRANDE"/>
    <x v="1"/>
    <s v="ASSOCIADAS"/>
    <s v="SELL IN"/>
    <s v="847010602 - WELLINGTON DE MORAIS DO NASCIMENTO"/>
    <n v="16628.131214617642"/>
    <n v="16299.269999999991"/>
    <n v="0.98022259925826472"/>
    <n v="14616.879999999996"/>
    <n v="0.87904526439810782"/>
    <s v="ATIVO"/>
    <s v="Sim"/>
    <s v="NÃO"/>
    <s v="Comprou Marcas e SG"/>
    <s v="SIM"/>
    <m/>
    <m/>
    <m/>
  </r>
  <r>
    <n v="7556217000121"/>
    <x v="1"/>
    <m/>
    <s v="DROG FARMAVIDA"/>
    <s v="MARTINOPOLIS"/>
    <x v="2"/>
    <s v="INDEPENDENTES VIN"/>
    <s v="SELL IN"/>
    <s v="847010607 - MANUEL ARIEDE ARTERO"/>
    <n v="5114.3368165905786"/>
    <n v="3088.2399999999989"/>
    <n v="0.60383977644607756"/>
    <n v="420.36"/>
    <n v="8.2192474816359246E-2"/>
    <s v="FORA SCANN"/>
    <s v="Não"/>
    <s v="NÃO"/>
    <s v="Comprou SG"/>
    <s v="NÃO"/>
    <m/>
    <m/>
    <m/>
  </r>
  <r>
    <n v="8087667000509"/>
    <x v="13"/>
    <m/>
    <s v="REDE DE FARMACIAS ECONOMIZAR"/>
    <s v="SINOP"/>
    <x v="0"/>
    <s v="ASSOCIADAS"/>
    <s v="SELL IN"/>
    <s v="847010605 - ISABELA CAMILA CRUCCITTI"/>
    <n v="20483.428399132517"/>
    <n v="9138.5000000000018"/>
    <n v="0.44614113525971177"/>
    <n v="7009.6800000000021"/>
    <n v="0.34221224413276763"/>
    <s v="FORA SCANN"/>
    <s v="Não"/>
    <s v="NÃO"/>
    <s v="Comprou Marcas"/>
    <s v="SIM"/>
    <n v="4"/>
    <m/>
    <m/>
  </r>
  <r>
    <n v="8954952000156"/>
    <x v="14"/>
    <n v="13672"/>
    <s v="CENTRAL FARMA"/>
    <s v="SINOP"/>
    <x v="0"/>
    <s v="MASTERFARMA"/>
    <s v="SELL IN"/>
    <s v="847010605 - ISABELA CAMILA CRUCCITTI"/>
    <n v="6563.403457582278"/>
    <n v="2916.7100000000005"/>
    <n v="0.44438986858723623"/>
    <n v="1523.4900000000002"/>
    <n v="0.2321189013971113"/>
    <s v="ATIVO"/>
    <s v="Sim"/>
    <s v="NÃO"/>
    <s v="Comprou Marcas e SG"/>
    <s v="SIM"/>
    <m/>
    <m/>
    <m/>
  </r>
  <r>
    <n v="10378095000135"/>
    <x v="1"/>
    <m/>
    <s v="ULTRA POPULAR 00129"/>
    <s v="ARACATUBA"/>
    <x v="2"/>
    <s v="INDEPENDENTES VIN"/>
    <s v="SELL IN"/>
    <s v="847010608 - VALTER PEREIRA DA SILVA JUNIOR"/>
    <n v="15712.059192598836"/>
    <n v="9930.659999999998"/>
    <n v="0.63204064332177634"/>
    <n v="8553.130000000001"/>
    <n v="0.54436722107239466"/>
    <s v="FORA SCANN"/>
    <s v="Não"/>
    <s v="SIM"/>
    <s v="Comprou Marcas e SG"/>
    <s v="SIM"/>
    <m/>
    <n v="4"/>
    <n v="4"/>
  </r>
  <r>
    <n v="10693312000181"/>
    <x v="1"/>
    <m/>
    <s v="FARMACIA ECONOMIZE"/>
    <s v="PRIMAVERA DO LESTE"/>
    <x v="0"/>
    <s v="ECONOMIZE RONDONOPOLIS"/>
    <s v="SELL IN"/>
    <s v="847010606 - PRICILA MOREIRA DOS SANTOS"/>
    <n v="10142.561986512097"/>
    <n v="7284.4600000000009"/>
    <n v="0.71820709695312768"/>
    <n v="6998.3300000000027"/>
    <n v="0.68999627602045766"/>
    <s v="TERMO DEVOLVIDO"/>
    <s v="Não"/>
    <s v="SIM"/>
    <s v="Comprou Marcas e SG"/>
    <s v="SIM"/>
    <m/>
    <m/>
    <m/>
  </r>
  <r>
    <n v="11058284000193"/>
    <x v="1"/>
    <m/>
    <s v="DROGAFIC"/>
    <s v="CAMPO GRANDE"/>
    <x v="1"/>
    <s v="INDEPENDENTES VIN"/>
    <s v="SELL IN"/>
    <s v="847010602 - WELLINGTON DE MORAIS DO NASCIMENTO"/>
    <n v="5414.564646441997"/>
    <n v="2793.0200000000004"/>
    <n v="0.51583463904809812"/>
    <n v="0"/>
    <n v="0"/>
    <m/>
    <m/>
    <m/>
    <s v="Não Comprou"/>
    <m/>
    <m/>
    <m/>
    <m/>
  </r>
  <r>
    <n v="11119143000133"/>
    <x v="1"/>
    <m/>
    <s v="DROGARIA AMERICA"/>
    <s v="MIRASSOL D'OESTE"/>
    <x v="0"/>
    <s v="INDEPENDENTES VIN"/>
    <s v="SELL IN"/>
    <s v="847010603 - ERIVALDO DA SILVA MACIEL"/>
    <n v="2218.5139648585409"/>
    <n v="1340.33"/>
    <n v="0.60415666578211658"/>
    <n v="0"/>
    <n v="0"/>
    <s v="FORA SCANN"/>
    <s v="Não"/>
    <s v="NÃO"/>
    <s v="Não Comprou"/>
    <s v="SIM"/>
    <m/>
    <m/>
    <m/>
  </r>
  <r>
    <n v="11190148000152"/>
    <x v="1"/>
    <m/>
    <s v="SUPER PRECO POPULAR"/>
    <s v="LUCAS DO RIO VERDE"/>
    <x v="0"/>
    <s v="HIPER SAUDE"/>
    <s v="SELL IN"/>
    <s v="847010605 - ISABELA CAMILA CRUCCITTI"/>
    <n v="5868.4269243201788"/>
    <n v="5919.25"/>
    <n v="1.0086604257555287"/>
    <n v="5951.5599999999995"/>
    <n v="1.0141661601570426"/>
    <s v="ATIVO"/>
    <s v="Não"/>
    <s v="NÃO"/>
    <s v="Comprou Marcas"/>
    <s v="SIM"/>
    <n v="8"/>
    <m/>
    <m/>
  </r>
  <r>
    <n v="4083576000110"/>
    <x v="1"/>
    <m/>
    <s v="DROGARIA DROGADON"/>
    <s v="RIBAS DO RIO PARDO"/>
    <x v="1"/>
    <s v="MASTERFARMA"/>
    <s v="SELL IN"/>
    <s v="847010602 - WELLINGTON DE MORAIS DO NASCIMENTO"/>
    <n v="2585.6272753420221"/>
    <n v="259.76"/>
    <n v="0.10046304913210641"/>
    <n v="0"/>
    <n v="0"/>
    <s v="TERMO DEVOLVIDO"/>
    <s v="Não"/>
    <s v="SIM"/>
    <s v="Não Comprou"/>
    <s v="SIM"/>
    <m/>
    <m/>
    <m/>
  </r>
  <r>
    <n v="4110283000185"/>
    <x v="1"/>
    <m/>
    <s v="DROGARIA ECONOMICA I I"/>
    <s v="PEDRA PRETA"/>
    <x v="0"/>
    <s v="COMPRE BEM"/>
    <s v="SELL IN"/>
    <s v="847010603 - ERIVALDO DA SILVA MACIEL"/>
    <n v="3385.1562555373453"/>
    <n v="2317.5099999999998"/>
    <n v="0.68460946114646282"/>
    <n v="137.85"/>
    <n v="4.0721901618133216E-2"/>
    <s v="ATIVO"/>
    <s v="Sim"/>
    <s v="NÃO"/>
    <s v="Comprou Marcas"/>
    <s v="SIM"/>
    <m/>
    <m/>
    <m/>
  </r>
  <r>
    <n v="4745484000159"/>
    <x v="1"/>
    <m/>
    <s v="FCIA SANTO ANTONIO"/>
    <s v="JUTI"/>
    <x v="1"/>
    <s v="INDEPENDENTES VIN"/>
    <s v="SELL IN"/>
    <s v="847010601 - RAFAEL DE OLIVEIRA NASCIMENTO"/>
    <n v="12098.784600366294"/>
    <n v="7775.86"/>
    <n v="0.64269761441695417"/>
    <n v="0"/>
    <n v="0"/>
    <s v="FORA SCANN"/>
    <s v="Não"/>
    <s v="SIM"/>
    <s v="Não Comprou"/>
    <s v="SIM"/>
    <m/>
    <m/>
    <m/>
  </r>
  <r>
    <n v="4834843003160"/>
    <x v="4"/>
    <m/>
    <s v="FARMACIA SANTA CATARINA DE PRESIDENTE PRUDENTE"/>
    <s v="PEREIRA BARRETO"/>
    <x v="2"/>
    <s v="REDE SANTA CATARINA"/>
    <s v="SELL IN"/>
    <s v="847010607 - MANUEL ARIEDE ARTERO"/>
    <n v="4674.4851446365328"/>
    <n v="2591.98"/>
    <n v="0.55449529088225202"/>
    <n v="2959.0299999999997"/>
    <n v="0.63301730745580986"/>
    <s v="ATIVO"/>
    <s v="Sim"/>
    <s v="NÃO"/>
    <s v="Comprou Marcas"/>
    <s v="SIM"/>
    <m/>
    <m/>
    <m/>
  </r>
  <r>
    <n v="5344624000301"/>
    <x v="31"/>
    <m/>
    <s v="DROGARIA ULTRAPOPULAR"/>
    <s v="PONTA PORA"/>
    <x v="1"/>
    <s v="FARMARCAS"/>
    <s v="SELL OUT"/>
    <s v="847010601 - RAFAEL DE OLIVEIRA NASCIMENTO"/>
    <n v="10222.147861337413"/>
    <n v="7257.7599999999993"/>
    <n v="0.71000342574289776"/>
    <n v="4293.8400000000011"/>
    <n v="0.42005262086261952"/>
    <s v="ATIVO"/>
    <s v="Sim"/>
    <s v="NÃO"/>
    <s v="Comprou Marcas"/>
    <s v="SIM"/>
    <m/>
    <m/>
    <m/>
  </r>
  <r>
    <n v="5438909000140"/>
    <x v="1"/>
    <m/>
    <s v="FCIA DE MANIP ANGPHARMA"/>
    <s v="BIRIGUI"/>
    <x v="2"/>
    <s v="INDEPENDENTES VIN"/>
    <s v="SELL IN"/>
    <s v="847010608 - VALTER PEREIRA DA SILVA JUNIOR"/>
    <n v="2849.7617744913159"/>
    <n v="2436.4599999999996"/>
    <n v="0.8549697107348242"/>
    <n v="1890.6000000000001"/>
    <n v="0.66342387525970425"/>
    <s v="FORA SCANN"/>
    <s v="Não"/>
    <s v="NÃO"/>
    <s v="Comprou Marcas"/>
    <s v="NÃO"/>
    <m/>
    <m/>
    <m/>
  </r>
  <r>
    <n v="12564855000124"/>
    <x v="20"/>
    <m/>
    <s v="FARMACIA POPULAR MAIS"/>
    <s v="CAARAPO"/>
    <x v="1"/>
    <s v="ASSOCIADAS"/>
    <s v="SELL IN"/>
    <s v="847010601 - RAFAEL DE OLIVEIRA NASCIMENTO"/>
    <n v="9498.7797689554627"/>
    <n v="3456.5600000000004"/>
    <n v="0.36389516170244912"/>
    <n v="284.82"/>
    <n v="2.9984904053767775E-2"/>
    <s v="FORA SCANN"/>
    <s v="Não"/>
    <s v="SIM"/>
    <s v="Não Comprou"/>
    <s v="NÃO"/>
    <m/>
    <m/>
    <m/>
  </r>
  <r>
    <n v="29974778000183"/>
    <x v="1"/>
    <m/>
    <s v="DROGAO POPULAR"/>
    <s v="CANARANA"/>
    <x v="0"/>
    <s v="ASSOCIADAS"/>
    <s v="SELL IN"/>
    <s v="847010606 - PRICILA MOREIRA DOS SANTOS"/>
    <n v="6064.4574749066496"/>
    <n v="5980.7800000000007"/>
    <n v="0.98620198504929957"/>
    <n v="5238.119999999999"/>
    <n v="0.86374090702658102"/>
    <s v="FORA SCANN"/>
    <s v="Não"/>
    <s v="SIM"/>
    <s v="Comprou Marcas"/>
    <s v="SIM"/>
    <m/>
    <n v="4"/>
    <n v="4"/>
  </r>
  <r>
    <n v="32266459000128"/>
    <x v="6"/>
    <m/>
    <s v="DROGARIA + ECONOMICA"/>
    <s v="CORUMBA"/>
    <x v="1"/>
    <s v="INDEPENDENTES VIN"/>
    <s v="SELL IN"/>
    <s v="847010602 - WELLINGTON DE MORAIS DO NASCIMENTO"/>
    <n v="8197.0514421515018"/>
    <n v="5619.6500000000005"/>
    <n v="0.68556968803467655"/>
    <n v="4737.8100000000004"/>
    <n v="0.57798954092649379"/>
    <s v="ATIVO"/>
    <s v="Sim"/>
    <s v="NÃO"/>
    <s v="Comprou Marcas e SG"/>
    <s v="SIM"/>
    <m/>
    <m/>
    <m/>
  </r>
  <r>
    <n v="32409163000119"/>
    <x v="1"/>
    <m/>
    <s v="DROGARIA TREVAO"/>
    <s v="SINOP"/>
    <x v="0"/>
    <s v="ASSOCIADAS"/>
    <s v="SELL IN"/>
    <s v="847010605 - ISABELA CAMILA CRUCCITTI"/>
    <n v="573.70855188588632"/>
    <n v="0"/>
    <n v="0"/>
    <n v="0"/>
    <n v="0"/>
    <s v="FORA SCANN"/>
    <s v="Não"/>
    <s v="NÃO"/>
    <s v="Não Comprou"/>
    <s v="NÃO"/>
    <m/>
    <m/>
    <m/>
  </r>
  <r>
    <n v="33193095000166"/>
    <x v="29"/>
    <n v="15476"/>
    <s v="DROG NSA SRA APARECIDA"/>
    <s v="JARDIM"/>
    <x v="1"/>
    <s v="ASSOCIADAS"/>
    <s v="SELL IN"/>
    <s v="847010601 - RAFAEL DE OLIVEIRA NASCIMENTO"/>
    <n v="18711.442631798964"/>
    <n v="9319.220000000003"/>
    <n v="0.49804925164682667"/>
    <n v="7587.5"/>
    <n v="0.40550053511670464"/>
    <s v="ATIVO"/>
    <s v="Sim"/>
    <s v="NÃO"/>
    <s v="Comprou Marcas"/>
    <s v="SIM"/>
    <m/>
    <m/>
    <m/>
  </r>
  <r>
    <n v="15116990000103"/>
    <x v="1"/>
    <m/>
    <s v="DROGARIA CONFIANCA"/>
    <s v="JUINA"/>
    <x v="0"/>
    <s v="INDEPENDENTES VIN"/>
    <s v="SELL IN"/>
    <s v="847010604 - LEONARDO MAZZUCO"/>
    <n v="5272.8707282418418"/>
    <n v="4486.32"/>
    <n v="0.85083064448574008"/>
    <n v="3565.9200000000005"/>
    <n v="0.6762767728972946"/>
    <s v="FORA SCANN"/>
    <s v="Não"/>
    <s v="NÃO"/>
    <s v="Comprou Marcas"/>
    <s v="NÃO"/>
    <m/>
    <m/>
    <m/>
  </r>
  <r>
    <n v="15302745000182"/>
    <x v="1"/>
    <m/>
    <s v="FARMACIA ECONOMICA"/>
    <s v="ITAPORA"/>
    <x v="1"/>
    <s v="ASSOCIADAS"/>
    <s v="SELL IN"/>
    <s v="847010601 - RAFAEL DE OLIVEIRA NASCIMENTO"/>
    <n v="4400.6658165482513"/>
    <n v="2100.8300000000004"/>
    <n v="0.47738912418662766"/>
    <n v="0"/>
    <n v="0"/>
    <s v="FORA SCANN"/>
    <s v="Não"/>
    <s v="NÃO"/>
    <s v="Não Comprou"/>
    <s v="SIM"/>
    <m/>
    <m/>
    <m/>
  </r>
  <r>
    <n v="15349508000177"/>
    <x v="1"/>
    <n v="111244"/>
    <s v="DROGARIA REAL"/>
    <s v="VARZEA GRANDE"/>
    <x v="0"/>
    <s v="INDEPENDENTES VIN"/>
    <s v="SELL IN"/>
    <s v="847010603 - ERIVALDO DA SILVA MACIEL"/>
    <n v="4600.9061543608559"/>
    <n v="1351.1300000000003"/>
    <n v="0.2936660637425445"/>
    <n v="786.62"/>
    <n v="0.17097066830072627"/>
    <s v="TERMO DEVOLVIDO"/>
    <s v="Não"/>
    <s v="NÃO"/>
    <s v="Comprou Marcas"/>
    <s v="NÃO"/>
    <m/>
    <m/>
    <m/>
  </r>
  <r>
    <n v="36431185000136"/>
    <x v="1"/>
    <m/>
    <s v="DROGARIA HIPER POPULAR"/>
    <s v="CAMPO VERDE"/>
    <x v="0"/>
    <s v="INDEPENDENTES VIN"/>
    <s v="SELL IN"/>
    <s v="847010603 - ERIVALDO DA SILVA MACIEL"/>
    <n v="6033.2344752432073"/>
    <n v="2667.4"/>
    <n v="0.44211774147771271"/>
    <n v="137.85"/>
    <n v="2.2848440677327244E-2"/>
    <s v="FORA SCANN"/>
    <s v="Não"/>
    <s v="NÃO"/>
    <s v="Comprou Marcas"/>
    <s v="SIM"/>
    <m/>
    <m/>
    <n v="1"/>
  </r>
  <r>
    <n v="57741120000167"/>
    <x v="1"/>
    <m/>
    <s v="DROGARIA MENINO JESUS"/>
    <s v="NOVA MUTUM"/>
    <x v="0"/>
    <s v="FARMELHOR"/>
    <s v="SELL IN"/>
    <s v="847010604 - LEONARDO MAZZUCO"/>
    <n v="2792.7041803717702"/>
    <n v="1761.5700000000002"/>
    <n v="0.63077572353742695"/>
    <n v="108.55000000000001"/>
    <n v="3.8869136503225925E-2"/>
    <s v="FORA SCANN"/>
    <s v="Não"/>
    <s v="SIM"/>
    <s v="Comprou Marcas"/>
    <s v="SIM"/>
    <m/>
    <m/>
    <n v="1"/>
  </r>
  <r>
    <n v="24092237000108"/>
    <x v="1"/>
    <m/>
    <s v="FARMACIA SAO PEDRO"/>
    <s v="SAO GABRIEL DO OESTE"/>
    <x v="1"/>
    <s v="FARMA &amp; FARMA"/>
    <s v="SELL IN"/>
    <s v="847010602 - WELLINGTON DE MORAIS DO NASCIMENTO"/>
    <n v="1319.87597329558"/>
    <n v="182.92000000000002"/>
    <n v="0.13858877932543132"/>
    <n v="0"/>
    <n v="0"/>
    <s v="ATIVO"/>
    <s v="Sim"/>
    <s v="NÃO"/>
    <s v="Não Comprou"/>
    <s v="NÃO"/>
    <m/>
    <m/>
    <m/>
  </r>
  <r>
    <n v="24622755000196"/>
    <x v="1"/>
    <m/>
    <s v="FCIA SAO JOSE"/>
    <s v="INOCENCIA"/>
    <x v="1"/>
    <s v="REDE SOMA"/>
    <s v="SELL IN"/>
    <s v="847010608 - VALTER PEREIRA DA SILVA JUNIOR"/>
    <n v="3560.6784789011454"/>
    <n v="1874.93"/>
    <n v="0.52656537542210746"/>
    <n v="828.32"/>
    <n v="0.23262982179048819"/>
    <s v="FORA SCANN"/>
    <s v="Não"/>
    <s v="SIM"/>
    <s v="Comprou Marcas"/>
    <s v="NÃO"/>
    <m/>
    <m/>
    <m/>
  </r>
  <r>
    <n v="24676884000248"/>
    <x v="1"/>
    <m/>
    <s v="FARMACIA UNIMED"/>
    <s v="RONDONOPOLIS"/>
    <x v="0"/>
    <s v="INDEPENDENTES VIN"/>
    <s v="SELL IN"/>
    <s v="847010603 - ERIVALDO DA SILVA MACIEL"/>
    <n v="10738.475817990435"/>
    <n v="8160.369999999999"/>
    <n v="0.75991883190058773"/>
    <n v="4339.8899999999994"/>
    <n v="0.40414394682802879"/>
    <s v="FORA SCANN"/>
    <s v="Não"/>
    <s v="NÃO"/>
    <s v="Comprou Marcas"/>
    <s v="SIM"/>
    <n v="4"/>
    <m/>
    <n v="6"/>
  </r>
  <r>
    <n v="26860338000107"/>
    <x v="1"/>
    <m/>
    <s v="FCIA COMETE"/>
    <s v="VILA VARGAS (DOURADOS)"/>
    <x v="1"/>
    <s v="ASSOCIADAS"/>
    <s v="SELL IN"/>
    <s v="847010601 - RAFAEL DE OLIVEIRA NASCIMENTO"/>
    <n v="2534.1949727986221"/>
    <n v="853.42"/>
    <n v="0.336761776090784"/>
    <n v="0"/>
    <n v="0"/>
    <m/>
    <m/>
    <m/>
    <s v="Não Comprou"/>
    <m/>
    <m/>
    <m/>
    <m/>
  </r>
  <r>
    <n v="13110601000107"/>
    <x v="1"/>
    <m/>
    <s v="DROGARIA REGIANE"/>
    <s v="RIBEIRAO CASCALHEIRA"/>
    <x v="0"/>
    <s v="INDEPENDENTES VIN"/>
    <s v="SELL IN"/>
    <s v="847010606 - PRICILA MOREIRA DOS SANTOS"/>
    <n v="1829.2636077861857"/>
    <n v="770.40000000000009"/>
    <n v="0.42115307860541479"/>
    <n v="0"/>
    <n v="0"/>
    <s v="ATIVO"/>
    <s v="Não"/>
    <s v="NÃO"/>
    <s v="Não Comprou"/>
    <s v="NÃO"/>
    <m/>
    <m/>
    <m/>
  </r>
  <r>
    <n v="18723666000133"/>
    <x v="1"/>
    <m/>
    <s v="DROGA MAIS"/>
    <s v="NOVA XAVANTINA"/>
    <x v="0"/>
    <s v="HIPER SAUDE"/>
    <s v="SELL IN"/>
    <s v="847010606 - PRICILA MOREIRA DOS SANTOS"/>
    <n v="7567.4330713901163"/>
    <n v="5182.7099999999991"/>
    <n v="0.6848702791431428"/>
    <n v="2658.2600000000007"/>
    <n v="0.35127631456034614"/>
    <m/>
    <m/>
    <m/>
    <s v="Comprou Marcas e SG"/>
    <m/>
    <m/>
    <m/>
    <m/>
  </r>
  <r>
    <n v="60511756000127"/>
    <x v="1"/>
    <m/>
    <s v="DROGACENTER RIBEIRO"/>
    <s v="CASTILHO"/>
    <x v="2"/>
    <s v="DROGARIA TOTAL"/>
    <s v="SELL IN"/>
    <s v="847010608 - VALTER PEREIRA DA SILVA JUNIOR"/>
    <n v="3801.5442265159113"/>
    <n v="3229.8399999999997"/>
    <n v="0.84961263306414969"/>
    <n v="0"/>
    <n v="0"/>
    <m/>
    <m/>
    <m/>
    <s v="Não Comprou"/>
    <m/>
    <m/>
    <m/>
    <m/>
  </r>
  <r>
    <n v="61585281000186"/>
    <x v="1"/>
    <m/>
    <s v="DROGARIA OLIRA"/>
    <s v="TANGARA DA SERRA"/>
    <x v="0"/>
    <s v="MASTERFARMA"/>
    <s v="SELL IN"/>
    <s v="847010604 - LEONARDO MAZZUCO"/>
    <n v="398.57773441198282"/>
    <n v="0"/>
    <n v="0"/>
    <n v="0"/>
    <n v="0"/>
    <s v="FORA SCANN"/>
    <s v="Não"/>
    <s v="NÃO"/>
    <s v="Não Comprou"/>
    <s v="NÃO"/>
    <m/>
    <m/>
    <m/>
  </r>
  <r>
    <n v="62668131000107"/>
    <x v="1"/>
    <m/>
    <s v="IPE FARMA"/>
    <s v="TRES LAGOAS"/>
    <x v="1"/>
    <s v="INDEPENDENTES VIN"/>
    <s v="SELL IN"/>
    <s v="847010608 - VALTER PEREIRA DA SILVA JUNIOR"/>
    <n v="948.63671221874677"/>
    <n v="369.14000000000004"/>
    <n v="0.38912683353422634"/>
    <n v="0"/>
    <n v="0"/>
    <s v="FORA SCANN"/>
    <s v="Não"/>
    <s v="NÃO"/>
    <s v="Não Comprou"/>
    <s v="NÃO"/>
    <m/>
    <m/>
    <m/>
  </r>
  <r>
    <n v="4578510000100"/>
    <x v="1"/>
    <m/>
    <s v="DROGARIA MAIS SAUDE"/>
    <s v="ARACATUBA"/>
    <x v="2"/>
    <s v="DSG FARMA"/>
    <s v="SELL IN"/>
    <s v="847010608 - VALTER PEREIRA DA SILVA JUNIOR"/>
    <n v="1937.048395134186"/>
    <n v="2598.9400000000005"/>
    <n v="1.341701119356888"/>
    <n v="2522.2400000000011"/>
    <n v="1.3021047932182803"/>
    <s v="ATIVO"/>
    <s v="Sim"/>
    <s v="NÃO"/>
    <s v="Comprou Marcas e SG"/>
    <s v="SIM"/>
    <m/>
    <m/>
    <m/>
  </r>
  <r>
    <n v="59454115000107"/>
    <x v="1"/>
    <m/>
    <s v="NEOFARMA POPULAR"/>
    <s v="PRIMAVERA DO LESTE"/>
    <x v="0"/>
    <s v="ASSOCIADAS"/>
    <s v="SELL IN"/>
    <s v="847010606 - PRICILA MOREIRA DOS SANTOS"/>
    <n v="1261.0393328425444"/>
    <n v="916.32000000000016"/>
    <n v="0.72663871469773855"/>
    <n v="0"/>
    <n v="0"/>
    <s v="FORA SCANN"/>
    <s v="Não"/>
    <s v="NÃO"/>
    <s v="Não Comprou"/>
    <s v="NÃO"/>
    <m/>
    <m/>
    <m/>
  </r>
  <r>
    <n v="33184266000352"/>
    <x v="1"/>
    <m/>
    <s v="DROGARIA MAIS VIDA"/>
    <s v="SORRISO"/>
    <x v="0"/>
    <s v="INDEPENDENTES VIN"/>
    <s v="SELL IN"/>
    <s v="847010605 - ISABELA CAMILA CRUCCITTI"/>
    <n v="6939.3925555481273"/>
    <n v="3438.349999999999"/>
    <n v="0.49548284990031255"/>
    <n v="2419.6099999999997"/>
    <n v="0.34867749311364327"/>
    <s v="FORA SCANN"/>
    <s v="Não"/>
    <s v="NÃO"/>
    <s v="Comprou Marcas"/>
    <s v="SIM"/>
    <m/>
    <m/>
    <m/>
  </r>
  <r>
    <n v="51945744000110"/>
    <x v="1"/>
    <m/>
    <s v="DROGARIA BEM POPULAR BRASIL"/>
    <s v="CANARANA"/>
    <x v="0"/>
    <s v="COMPRE BEM"/>
    <s v="SELL IN"/>
    <s v="847010606 - PRICILA MOREIRA DOS SANTOS"/>
    <n v="2899.033548311535"/>
    <n v="2774.7000000000003"/>
    <n v="0.9571120698537795"/>
    <n v="779.43000000000006"/>
    <n v="0.26885856510834732"/>
    <s v="ATIVO"/>
    <s v="Sim"/>
    <s v="NÃO"/>
    <s v="Comprou Marcas"/>
    <s v="NÃO"/>
    <m/>
    <m/>
    <m/>
  </r>
  <r>
    <n v="53257815000117"/>
    <x v="1"/>
    <m/>
    <s v="DROGAMAQ"/>
    <s v="CASTILHO"/>
    <x v="2"/>
    <s v="INDEPENDENTES VIN"/>
    <s v="SELL IN"/>
    <s v="847010608 - VALTER PEREIRA DA SILVA JUNIOR"/>
    <n v="1224.6408624314283"/>
    <n v="508.59999999999997"/>
    <n v="0.41530543002641163"/>
    <n v="0"/>
    <n v="0"/>
    <s v="FORA SCANN"/>
    <s v="Não"/>
    <s v="NÃO"/>
    <s v="Não Comprou"/>
    <s v="NÃO"/>
    <m/>
    <m/>
    <m/>
  </r>
  <r>
    <n v="24127802000125"/>
    <x v="1"/>
    <m/>
    <s v="DROGARIA MARCELO"/>
    <s v="NAVIRAI"/>
    <x v="1"/>
    <s v="ASSOCIADAS"/>
    <s v="SELL IN"/>
    <s v="847010601 - RAFAEL DE OLIVEIRA NASCIMENTO"/>
    <n v="1559.3665255502131"/>
    <n v="2265.3800000000006"/>
    <n v="1.4527565924250394"/>
    <n v="2146.27"/>
    <n v="1.3763730109845096"/>
    <s v="FORA SCANN"/>
    <s v="Não"/>
    <s v="NÃO"/>
    <s v="Comprou Marcas"/>
    <s v="NÃO"/>
    <m/>
    <m/>
    <m/>
  </r>
  <r>
    <n v="27201095000168"/>
    <x v="1"/>
    <m/>
    <s v="DROGARIAS ULTRA POPULAR"/>
    <s v="ARAGARCAS"/>
    <x v="3"/>
    <s v="FARMARCAS"/>
    <s v="SELL OUT"/>
    <s v="847010606 - PRICILA MOREIRA DOS SANTOS"/>
    <n v="3947.9986485042973"/>
    <n v="2511.5000000000005"/>
    <n v="0.6361451012531335"/>
    <n v="2418.62"/>
    <n v="0.61261925733340772"/>
    <s v="ATIVO"/>
    <s v="Sim"/>
    <s v="NÃO"/>
    <s v="Comprou Marcas"/>
    <s v="SIM"/>
    <m/>
    <m/>
    <m/>
  </r>
  <r>
    <n v="30455750000119"/>
    <x v="1"/>
    <m/>
    <s v="FARMACIA BEM ESTAR"/>
    <s v="AMAMBAI"/>
    <x v="1"/>
    <s v="MASTERFARMA"/>
    <s v="SELL IN"/>
    <s v="847010601 - RAFAEL DE OLIVEIRA NASCIMENTO"/>
    <n v="1478.7775739130832"/>
    <n v="253.52999999999997"/>
    <n v="0.17144566192542321"/>
    <n v="354.81"/>
    <n v="0.23993466377848544"/>
    <m/>
    <m/>
    <m/>
    <s v="Comprou Marcas"/>
    <m/>
    <m/>
    <m/>
    <m/>
  </r>
  <r>
    <n v="53933707000117"/>
    <x v="1"/>
    <m/>
    <s v="MAIS DROGARIA AVENIDA"/>
    <s v="NORTELANDIA"/>
    <x v="0"/>
    <s v="INDEPENDENTES VIN"/>
    <s v="SELL IN"/>
    <s v="847010604 - LEONARDO MAZZUCO"/>
    <n v="2689.1745474065256"/>
    <n v="1339.1100000000001"/>
    <n v="0.49796321376440772"/>
    <n v="0"/>
    <n v="0"/>
    <s v="FORA SCANN"/>
    <s v="Não"/>
    <s v="SIM"/>
    <s v="Não Comprou"/>
    <s v="NÃO"/>
    <m/>
    <m/>
    <m/>
  </r>
  <r>
    <n v="55288708000181"/>
    <x v="1"/>
    <m/>
    <s v="FCIA SAO PAULO"/>
    <s v="PRESIDENTE EPITACIO"/>
    <x v="2"/>
    <s v="INDEPENDENTES VIN"/>
    <s v="SELL IN"/>
    <s v="847010607 - MANUEL ARIEDE ARTERO"/>
    <n v="9374.3682295533181"/>
    <n v="5672.4999999999991"/>
    <n v="0.60510744416003059"/>
    <n v="5191.3299999999981"/>
    <n v="0.553779185207808"/>
    <s v="FORA SCANN"/>
    <s v="Não"/>
    <s v="NÃO"/>
    <s v="Comprou Marcas e SG"/>
    <s v="SIM"/>
    <m/>
    <m/>
    <m/>
  </r>
  <r>
    <n v="63102694000198"/>
    <x v="1"/>
    <m/>
    <s v="DROGARIA COHAB"/>
    <s v="MIRASSOL D'OESTE"/>
    <x v="0"/>
    <s v="INDEPENDENTES VIN"/>
    <s v="SELL IN"/>
    <s v="847010603 - ERIVALDO DA SILVA MACIEL"/>
    <n v="13.784976826151809"/>
    <n v="0"/>
    <n v="0"/>
    <n v="0"/>
    <n v="0"/>
    <s v="FORA SCANN"/>
    <s v="Não"/>
    <s v="NÃO"/>
    <s v="Não Comprou"/>
    <s v="NÃO"/>
    <m/>
    <m/>
    <m/>
  </r>
  <r>
    <n v="66613327000147"/>
    <x v="1"/>
    <m/>
    <s v="FARMACIA GERIZIM"/>
    <s v="INOCENCIA"/>
    <x v="1"/>
    <s v="ASSOCIADAS"/>
    <s v="SELL IN"/>
    <s v="847010608 - VALTER PEREIRA DA SILVA JUNIOR"/>
    <n v="1437.2323276574921"/>
    <n v="3240.6200000000008"/>
    <n v="2.2547642003584794"/>
    <n v="845.23"/>
    <n v="0.58809559438286407"/>
    <m/>
    <m/>
    <m/>
    <s v="Comprou Marcas"/>
    <m/>
    <m/>
    <m/>
    <m/>
  </r>
  <r>
    <n v="65675078000585"/>
    <x v="1"/>
    <m/>
    <s v="DROGARIA RODRIGUES"/>
    <s v="CAMPO GRANDE"/>
    <x v="1"/>
    <s v="INDEPENDENTES VIN"/>
    <s v="SELL IN"/>
    <s v="847010602 - WELLINGTON DE MORAIS DO NASCIMENTO"/>
    <n v="631.70405021515842"/>
    <n v="1694.6300000000003"/>
    <n v="2.6826327920848527"/>
    <n v="1461.7899999999995"/>
    <n v="2.3140424689411345"/>
    <m/>
    <m/>
    <m/>
    <s v="Comprou Marcas"/>
    <m/>
    <m/>
    <m/>
    <m/>
  </r>
  <r>
    <n v="28846852000113"/>
    <x v="1"/>
    <m/>
    <s v="FARMACIA PRECO POPULAR"/>
    <s v="LUCAS DO RIO VERDE"/>
    <x v="0"/>
    <s v="INDEPENDENTES VIN"/>
    <s v="SELL IN"/>
    <s v="847010605 - ISABELA CAMILA CRUCCITTI"/>
    <n v="13096.239280570808"/>
    <n v="8214.869999999999"/>
    <n v="0.62726938810497579"/>
    <n v="7147.2900000000009"/>
    <n v="0.54575132958997685"/>
    <s v="ATIVO"/>
    <s v="Não"/>
    <s v="NÃO"/>
    <s v="Comprou Marcas"/>
    <s v="SIM"/>
    <n v="1"/>
    <m/>
    <m/>
  </r>
  <r>
    <n v="30274933000138"/>
    <x v="1"/>
    <m/>
    <s v="FARMA VIDA"/>
    <s v="RONDONOPOLIS"/>
    <x v="0"/>
    <s v="ASSOCIADAS"/>
    <s v="SELL IN"/>
    <s v="847010603 - ERIVALDO DA SILVA MACIEL"/>
    <n v="4208.0376928683309"/>
    <n v="1966.5600000000002"/>
    <n v="0.46733421692796934"/>
    <n v="2426.6900000000005"/>
    <n v="0.57667972036293536"/>
    <s v="FORA SCANN"/>
    <s v="Não"/>
    <s v="NÃO"/>
    <s v="Comprou Marcas"/>
    <s v="SIM"/>
    <m/>
    <m/>
    <m/>
  </r>
  <r>
    <n v="18070710000153"/>
    <x v="1"/>
    <m/>
    <s v="DROGARIA PARECIS"/>
    <s v="TANGARA DA SERRA"/>
    <x v="0"/>
    <s v="INDEPENDENTES VIN"/>
    <s v="SELL IN"/>
    <s v="847010604 - LEONARDO MAZZUCO"/>
    <n v="3264.7917731947155"/>
    <n v="2091.0300000000002"/>
    <n v="0.64047882537815037"/>
    <n v="525.67999999999995"/>
    <n v="0.16101486297412568"/>
    <s v="FORA SCANN"/>
    <s v="Não"/>
    <s v="NÃO"/>
    <s v="Comprou Marcas"/>
    <s v="SIM"/>
    <m/>
    <m/>
    <m/>
  </r>
  <r>
    <n v="18465867000188"/>
    <x v="4"/>
    <m/>
    <s v="DROGARIA SANTA CATARINA"/>
    <s v="RANCHARIA"/>
    <x v="2"/>
    <s v="REDE SANTA CATARINA"/>
    <s v="SELL IN"/>
    <s v="847010607 - MANUEL ARIEDE ARTERO"/>
    <n v="17863.411448727737"/>
    <n v="21231.359999999993"/>
    <n v="1.1885389339510584"/>
    <n v="10887.039999999999"/>
    <n v="0.60946029437033389"/>
    <s v="ATIVO"/>
    <s v="Sim"/>
    <s v="NÃO"/>
    <s v="Comprou Marcas e SG"/>
    <s v="SIM"/>
    <m/>
    <m/>
    <m/>
  </r>
  <r>
    <n v="19934714000103"/>
    <x v="1"/>
    <m/>
    <s v="FARMACIA FARMALITTER"/>
    <s v="FATIMA DO SUL"/>
    <x v="1"/>
    <s v="INDEPENDENTES VIN"/>
    <s v="SELL IN"/>
    <s v="847010601 - RAFAEL DE OLIVEIRA NASCIMENTO"/>
    <n v="6909.2279262094917"/>
    <n v="1736.9"/>
    <n v="0.25138843566170932"/>
    <n v="2048.19"/>
    <n v="0.29644267375091049"/>
    <s v="FORA SCANN"/>
    <s v="Não"/>
    <s v="NÃO"/>
    <s v="Comprou Marcas"/>
    <s v="SIM"/>
    <m/>
    <m/>
    <m/>
  </r>
  <r>
    <n v="6350948000153"/>
    <x v="1"/>
    <m/>
    <s v="DROGARIA ACAO"/>
    <s v="ALTO ARAGUAIA"/>
    <x v="0"/>
    <s v="FARMARCAS"/>
    <s v="SELL OUT"/>
    <s v="847010606 - PRICILA MOREIRA DOS SANTOS"/>
    <n v="7141.2822794525673"/>
    <n v="3035.7999999999993"/>
    <n v="0.42510572768350446"/>
    <n v="0"/>
    <n v="0"/>
    <s v="ATIVO"/>
    <s v="Sim"/>
    <s v="NÃO"/>
    <s v="Não Comprou"/>
    <s v="SIM"/>
    <m/>
    <m/>
    <m/>
  </r>
  <r>
    <n v="50346593000110"/>
    <x v="1"/>
    <m/>
    <s v="BRANCO FARMA"/>
    <s v="CANARANA"/>
    <x v="0"/>
    <s v="FARMELHOR"/>
    <s v="SELL IN"/>
    <s v="847010606 - PRICILA MOREIRA DOS SANTOS"/>
    <n v="2314.7342242878653"/>
    <n v="915.25"/>
    <n v="0.39540176595504362"/>
    <n v="0"/>
    <n v="0"/>
    <s v="FORA SCANN"/>
    <s v="Não"/>
    <s v="SIM"/>
    <s v="Não Comprou"/>
    <s v="SIM"/>
    <m/>
    <m/>
    <m/>
  </r>
  <r>
    <n v="58230920000186"/>
    <x v="1"/>
    <m/>
    <s v="DROGARIAS FL DO LUIZINHO PIONEIRA"/>
    <s v="CAMPO GRANDE"/>
    <x v="1"/>
    <s v="ASSOCIADAS"/>
    <s v="SELL IN"/>
    <s v="847010602 - WELLINGTON DE MORAIS DO NASCIMENTO"/>
    <n v="1199.0290767975462"/>
    <n v="309.18"/>
    <n v="0.25785863410900789"/>
    <n v="0"/>
    <n v="0"/>
    <s v="FORA SCANN"/>
    <s v="Não"/>
    <s v="NÃO"/>
    <s v="Não Comprou"/>
    <s v="NÃO"/>
    <m/>
    <m/>
    <m/>
  </r>
  <r>
    <n v="62210039000190"/>
    <x v="1"/>
    <m/>
    <s v="PERRONI FARMA"/>
    <s v="INOCENCIA"/>
    <x v="1"/>
    <s v="INDEPENDENTES VIN"/>
    <s v="SELL IN"/>
    <s v="847010608 - VALTER PEREIRA DA SILVA JUNIOR"/>
    <n v="4584.5559938167853"/>
    <n v="1459.3500000000001"/>
    <n v="0.31831872093355018"/>
    <n v="0"/>
    <n v="0"/>
    <s v="FORA SCANN"/>
    <s v="Não"/>
    <s v="NÃO"/>
    <s v="Não Comprou"/>
    <s v="NÃO"/>
    <m/>
    <m/>
    <m/>
  </r>
  <r>
    <n v="62670020000127"/>
    <x v="1"/>
    <m/>
    <s v="DROGARIAS POUPAQUI."/>
    <s v="VARZEA GRANDE"/>
    <x v="0"/>
    <s v="INDEPENDENTES VIN"/>
    <s v="SELL IN"/>
    <s v="847010603 - ERIVALDO DA SILVA MACIEL"/>
    <n v="1653.9917392327689"/>
    <n v="1426.18"/>
    <n v="0.86226549152026422"/>
    <n v="0"/>
    <n v="0"/>
    <s v="FORA SCANN"/>
    <s v="Não"/>
    <s v="NÃO"/>
    <s v="Não Comprou"/>
    <s v="NÃO"/>
    <m/>
    <m/>
    <m/>
  </r>
  <r>
    <n v="64494102000193"/>
    <x v="1"/>
    <m/>
    <s v="HIPER SAUDE"/>
    <s v="SINOP"/>
    <x v="0"/>
    <s v="HIPER SAUDE"/>
    <s v="SELL IN"/>
    <s v="847010605 - ISABELA CAMILA CRUCCITTI"/>
    <n v="6112.2278088370613"/>
    <n v="6537.4100000000017"/>
    <n v="1.0695625563150988"/>
    <n v="5958.06"/>
    <n v="0.97477714940301063"/>
    <s v="FORA SCANN"/>
    <s v="Não"/>
    <s v="SIM"/>
    <s v="Comprou Marcas e SG"/>
    <s v="SIM"/>
    <n v="5"/>
    <m/>
    <m/>
  </r>
  <r>
    <n v="96365630000139"/>
    <x v="1"/>
    <n v="48859"/>
    <s v="DROGARIA SAO MARCOS"/>
    <s v="PARAGUACU PAULISTA"/>
    <x v="2"/>
    <s v="INDEPENDENTES VIN"/>
    <s v="SELL IN"/>
    <s v="847010607 - MANUEL ARIEDE ARTERO"/>
    <n v="49452.510375501261"/>
    <n v="39702.54"/>
    <n v="0.80284175057104101"/>
    <n v="21129.209999999995"/>
    <n v="0.42726263721623708"/>
    <s v="FORA SCANN"/>
    <s v="Não"/>
    <s v="NÃO"/>
    <s v="Comprou Marcas e SG"/>
    <s v="SIM"/>
    <n v="8"/>
    <m/>
    <n v="4"/>
  </r>
  <r>
    <n v="9492647000314"/>
    <x v="1"/>
    <m/>
    <s v="DROGARIAS ULTRA POPULAR"/>
    <s v="TERRA NOVA DO NORTE"/>
    <x v="0"/>
    <s v="FARMARCAS"/>
    <s v="SELL OUT"/>
    <s v="847010605 - ISABELA CAMILA CRUCCITTI"/>
    <n v="15024.364806250207"/>
    <n v="8657.8299999999963"/>
    <n v="0.57625264772579921"/>
    <n v="15133.119999999997"/>
    <n v="1.0072385884629578"/>
    <s v="ATIVO"/>
    <s v="Sim"/>
    <s v="NÃO"/>
    <s v="Comprou Marcas"/>
    <s v="SIM"/>
    <m/>
    <m/>
    <m/>
  </r>
  <r>
    <n v="9492647000667"/>
    <x v="1"/>
    <m/>
    <s v="DROGARIAS ULTRA POPULAR"/>
    <s v="NOVA CANAA DO NORTE"/>
    <x v="0"/>
    <s v="FARMARCAS"/>
    <s v="SELL OUT"/>
    <s v="847010605 - ISABELA CAMILA CRUCCITTI"/>
    <n v="9725.4140496120617"/>
    <n v="6616.7"/>
    <n v="0.68035149621870694"/>
    <n v="9813.4599999999955"/>
    <n v="1.009053182716827"/>
    <s v="ATIVO"/>
    <s v="Sim"/>
    <s v="NÃO"/>
    <s v="Comprou Marcas"/>
    <s v="SIM"/>
    <m/>
    <m/>
    <m/>
  </r>
  <r>
    <n v="19797575000105"/>
    <x v="1"/>
    <m/>
    <s v="FARMACIA SANTA LAURA"/>
    <s v="BATAGUASSU"/>
    <x v="1"/>
    <s v="INDEPENDENTES VIN"/>
    <s v="SELL IN"/>
    <s v="847010608 - VALTER PEREIRA DA SILVA JUNIOR"/>
    <n v="3761.626307386407"/>
    <n v="1682.4699999999998"/>
    <n v="0.44727196763173072"/>
    <n v="780.71000000000015"/>
    <n v="0.20754586878206957"/>
    <s v="FORA SCANN"/>
    <s v="Não"/>
    <s v="NÃO"/>
    <s v="Não Comprou"/>
    <s v="NÃO"/>
    <m/>
    <m/>
    <m/>
  </r>
  <r>
    <n v="19955526000153"/>
    <x v="1"/>
    <m/>
    <s v="DROGACENTER"/>
    <s v="BARRA DO GARCAS"/>
    <x v="0"/>
    <s v="INDEPENDENTES VIN"/>
    <s v="SELL IN"/>
    <s v="847010606 - PRICILA MOREIRA DOS SANTOS"/>
    <n v="2893.7092830816209"/>
    <n v="1111.25"/>
    <n v="0.3840226820631365"/>
    <n v="35.96"/>
    <n v="1.2426956712702263E-2"/>
    <s v="ATIVO"/>
    <s v="Não"/>
    <s v="NÃO"/>
    <s v="Comprou Marcas"/>
    <s v="SIM"/>
    <m/>
    <m/>
    <m/>
  </r>
  <r>
    <n v="37563038000182"/>
    <x v="1"/>
    <m/>
    <s v="FARMASINTESE"/>
    <s v="MARACAJU"/>
    <x v="1"/>
    <s v="MASTERFARMA"/>
    <s v="SELL IN"/>
    <s v="847010601 - RAFAEL DE OLIVEIRA NASCIMENTO"/>
    <n v="1685.9241944161727"/>
    <n v="28.68"/>
    <n v="1.7011441021481836E-2"/>
    <n v="0"/>
    <n v="0"/>
    <s v="FORA SCANN"/>
    <s v="Não"/>
    <s v="NÃO"/>
    <s v="Não Comprou"/>
    <s v="NÃO"/>
    <m/>
    <m/>
    <m/>
  </r>
  <r>
    <n v="38872460000263"/>
    <x v="19"/>
    <m/>
    <s v="DROGARIA POUPE MAIS"/>
    <s v="PRIMAVERA DO LESTE"/>
    <x v="0"/>
    <s v="COMPRE BEM"/>
    <s v="SELL IN"/>
    <s v="847010606 - PRICILA MOREIRA DOS SANTOS"/>
    <n v="2086.4905330834699"/>
    <n v="677.31999999999994"/>
    <n v="0.32462165021139056"/>
    <n v="2329.0500000000002"/>
    <n v="1.1162523687840891"/>
    <s v="TERMO DEVOLVIDO"/>
    <s v="Não"/>
    <s v="SIM"/>
    <s v="Comprou Marcas e SG"/>
    <s v="SIM"/>
    <m/>
    <m/>
    <m/>
  </r>
  <r>
    <n v="28760598000136"/>
    <x v="1"/>
    <m/>
    <s v="ARAGUAIA FARMA"/>
    <s v="BARRA DO GARCAS"/>
    <x v="0"/>
    <s v="INDEPENDENTES VIN"/>
    <s v="SELL IN"/>
    <s v="847010606 - PRICILA MOREIRA DOS SANTOS"/>
    <n v="3511.6412410848029"/>
    <n v="2026.8699999999997"/>
    <n v="0.57718595404519935"/>
    <n v="395.15000000000003"/>
    <n v="0.11252573166555356"/>
    <s v="ATIVO"/>
    <s v="Não"/>
    <s v="NÃO"/>
    <s v="Não Comprou"/>
    <s v="NÃO"/>
    <m/>
    <m/>
    <m/>
  </r>
  <r>
    <n v="32975740000130"/>
    <x v="1"/>
    <m/>
    <s v="DROGARIA FARMOVIDA"/>
    <s v="ALTO ARAGUAIA"/>
    <x v="0"/>
    <s v="INDEPENDENTES VIN"/>
    <s v="SELL IN"/>
    <s v="847010606 - PRICILA MOREIRA DOS SANTOS"/>
    <n v="4861.6628781984473"/>
    <n v="1978.0800000000002"/>
    <n v="0.40687313159258043"/>
    <n v="0"/>
    <n v="0"/>
    <s v="FORA SCANN"/>
    <s v="Não"/>
    <s v="NÃO"/>
    <s v="Não Comprou"/>
    <s v="SIM"/>
    <m/>
    <m/>
    <m/>
  </r>
  <r>
    <n v="13159261000109"/>
    <x v="1"/>
    <m/>
    <s v="FARMAVIDA"/>
    <s v="DOIS IRMAOS DO BURITI"/>
    <x v="1"/>
    <s v="ASSOCIADAS"/>
    <s v="SELL IN"/>
    <s v="847010602 - WELLINGTON DE MORAIS DO NASCIMENTO"/>
    <n v="6408.2385661138214"/>
    <n v="7777.22"/>
    <n v="1.2136283504058709"/>
    <n v="7159.2900000000018"/>
    <n v="1.1172009166228098"/>
    <s v="FORA SCANN"/>
    <s v="Não"/>
    <s v="SIM"/>
    <s v="Comprou Marcas"/>
    <s v="SIM"/>
    <m/>
    <m/>
    <m/>
  </r>
  <r>
    <n v="13435712000185"/>
    <x v="1"/>
    <m/>
    <s v="NEI DROGAS II"/>
    <s v="JUARA"/>
    <x v="0"/>
    <s v="COMPRE BEM"/>
    <s v="SELL IN"/>
    <s v="847010604 - LEONARDO MAZZUCO"/>
    <n v="54670.826736833646"/>
    <n v="19797.149999999998"/>
    <n v="0.3621154312389786"/>
    <n v="15729.540000000003"/>
    <n v="0.28771359313288858"/>
    <s v="TERMO DEVOLVIDO"/>
    <s v="Não"/>
    <s v="SIM"/>
    <s v="Comprou Marcas"/>
    <s v="SIM"/>
    <n v="4"/>
    <n v="2"/>
    <n v="2"/>
  </r>
  <r>
    <n v="22166562000304"/>
    <x v="1"/>
    <m/>
    <s v="DROGARIA ULTRA POPULAR"/>
    <s v="CUIABA"/>
    <x v="0"/>
    <s v="FARMARCAS"/>
    <s v="SELL OUT"/>
    <s v="847010603 - ERIVALDO DA SILVA MACIEL"/>
    <n v="15212.068976052677"/>
    <n v="9444.480000000005"/>
    <n v="0.62085440283421056"/>
    <n v="6660.1500000000024"/>
    <n v="0.43782012890453115"/>
    <m/>
    <m/>
    <m/>
    <s v="Comprou Marcas"/>
    <m/>
    <m/>
    <m/>
    <m/>
  </r>
  <r>
    <n v="49687096000105"/>
    <x v="1"/>
    <m/>
    <s v="DROGARIA FARMACIA DO GILMAR"/>
    <s v="ANDRADINA"/>
    <x v="2"/>
    <s v="INDEPENDENTES VIN"/>
    <s v="SELL IN"/>
    <s v="847010608 - VALTER PEREIRA DA SILVA JUNIOR"/>
    <n v="1993.0371006902144"/>
    <n v="1357.89"/>
    <n v="0.68131697073262976"/>
    <n v="0"/>
    <n v="0"/>
    <s v="FORA SCANN"/>
    <s v="Não"/>
    <s v="NÃO"/>
    <s v="Não Comprou"/>
    <s v="NÃO"/>
    <m/>
    <m/>
    <m/>
  </r>
  <r>
    <n v="62623466000109"/>
    <x v="1"/>
    <m/>
    <s v="FARMACIA SAGRADA FAMILIA"/>
    <s v="BONITO"/>
    <x v="1"/>
    <s v="INDEPENDENTES VIN"/>
    <s v="SELL IN"/>
    <s v="847010601 - RAFAEL DE OLIVEIRA NASCIMENTO"/>
    <n v="454.70671250160689"/>
    <n v="390.28"/>
    <n v="0.85831149897225401"/>
    <n v="57.93"/>
    <n v="0.1274008023354071"/>
    <s v="ATIVO"/>
    <s v="Sim"/>
    <s v="NÃO"/>
    <s v="Comprou Marcas"/>
    <s v="NÃO"/>
    <m/>
    <m/>
    <m/>
  </r>
  <r>
    <n v="62811078000143"/>
    <x v="1"/>
    <m/>
    <s v="FARMA PLUS"/>
    <s v="DEODAPOLIS"/>
    <x v="1"/>
    <s v="MASTERFARMA"/>
    <s v="SELL IN"/>
    <s v="847010601 - RAFAEL DE OLIVEIRA NASCIMENTO"/>
    <n v="2213.8146998172888"/>
    <n v="1231.3500000000001"/>
    <n v="0.55621186366755371"/>
    <n v="0"/>
    <n v="0"/>
    <m/>
    <m/>
    <m/>
    <s v="Não Comprou"/>
    <m/>
    <m/>
    <m/>
    <m/>
  </r>
  <r>
    <n v="63261786000110"/>
    <x v="1"/>
    <m/>
    <s v="DROGARIA ULTRA POPULAR"/>
    <s v="CARLINDA"/>
    <x v="0"/>
    <s v="FARMARCAS"/>
    <s v="SELL OUT"/>
    <s v="847010605 - ISABELA CAMILA CRUCCITTI"/>
    <n v="2667.0916276656844"/>
    <n v="3776.5000000000009"/>
    <n v="1.415961851788835"/>
    <n v="6119.8899999999994"/>
    <n v="2.2945930827866996"/>
    <s v="ATIVO"/>
    <s v="Sim"/>
    <s v="NÃO"/>
    <s v="Comprou Marcas"/>
    <s v="SIM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709FDD-052A-4C9D-AEBF-6AA1889FE203}" name="Tabela dinâmica4" cacheId="1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36" firstHeaderRow="0" firstDataRow="1" firstDataCol="1"/>
  <pivotFields count="22">
    <pivotField numFmtId="1" showAll="0"/>
    <pivotField axis="axisRow" showAll="0">
      <items count="33">
        <item x="23"/>
        <item x="14"/>
        <item x="29"/>
        <item x="0"/>
        <item x="6"/>
        <item x="17"/>
        <item x="18"/>
        <item x="19"/>
        <item x="5"/>
        <item x="12"/>
        <item x="27"/>
        <item x="21"/>
        <item x="20"/>
        <item x="2"/>
        <item x="16"/>
        <item x="13"/>
        <item x="7"/>
        <item x="22"/>
        <item x="4"/>
        <item x="24"/>
        <item x="10"/>
        <item x="3"/>
        <item x="8"/>
        <item x="15"/>
        <item x="9"/>
        <item x="31"/>
        <item x="25"/>
        <item x="26"/>
        <item x="28"/>
        <item x="11"/>
        <item x="30"/>
        <item x="1"/>
        <item t="default"/>
      </items>
    </pivotField>
    <pivotField showAll="0"/>
    <pivotField showAll="0"/>
    <pivotField showAll="0"/>
    <pivotField showAll="0">
      <items count="6">
        <item x="3"/>
        <item x="1"/>
        <item x="0"/>
        <item x="4"/>
        <item x="2"/>
        <item t="default"/>
      </items>
    </pivotField>
    <pivotField showAll="0"/>
    <pivotField showAll="0"/>
    <pivotField showAll="0"/>
    <pivotField dataField="1" numFmtId="44" showAll="0"/>
    <pivotField dataField="1" numFmtId="44" showAll="0"/>
    <pivotField showAll="0"/>
    <pivotField numFmtId="4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cota total" fld="9" baseField="0" baseItem="0" numFmtId="44"/>
    <dataField name="Soma de mdtr total" fld="10" baseField="0" baseItem="0" numFmtId="44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1" type="button" dataOnly="0" labelOnly="1" outline="0" axis="axisRow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dataOnly="0" labelOnly="1" grandRow="1" outline="0" fieldPosition="0"/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B0DC5-7C94-42BD-9F3B-6FDEA9811722}">
  <sheetPr>
    <tabColor rgb="FFFF0000"/>
  </sheetPr>
  <dimension ref="A1:I1045"/>
  <sheetViews>
    <sheetView workbookViewId="0">
      <selection activeCell="E13" sqref="E13"/>
    </sheetView>
  </sheetViews>
  <sheetFormatPr defaultRowHeight="14.5" x14ac:dyDescent="0.35"/>
  <cols>
    <col min="1" max="1" width="10.81640625" bestFit="1" customWidth="1"/>
    <col min="2" max="2" width="18.54296875" bestFit="1" customWidth="1"/>
    <col min="3" max="3" width="4.7265625" bestFit="1" customWidth="1"/>
    <col min="4" max="4" width="34.1796875" bestFit="1" customWidth="1"/>
    <col min="5" max="5" width="18.1796875" bestFit="1" customWidth="1"/>
    <col min="6" max="6" width="25.26953125" bestFit="1" customWidth="1"/>
    <col min="7" max="7" width="14.7265625" bestFit="1" customWidth="1"/>
    <col min="8" max="8" width="14.90625" bestFit="1" customWidth="1"/>
    <col min="9" max="9" width="14.36328125" bestFit="1" customWidth="1"/>
  </cols>
  <sheetData>
    <row r="1" spans="1:9" x14ac:dyDescent="0.35">
      <c r="A1" s="105" t="s">
        <v>1086</v>
      </c>
      <c r="B1" s="106" t="s">
        <v>1087</v>
      </c>
      <c r="C1" s="106" t="s">
        <v>1088</v>
      </c>
      <c r="D1" s="106" t="s">
        <v>1089</v>
      </c>
      <c r="E1" s="107" t="s">
        <v>1090</v>
      </c>
      <c r="F1" s="108" t="s">
        <v>1091</v>
      </c>
      <c r="G1" s="108" t="s">
        <v>1092</v>
      </c>
      <c r="H1" s="108" t="s">
        <v>1093</v>
      </c>
      <c r="I1" s="108" t="s">
        <v>1094</v>
      </c>
    </row>
    <row r="2" spans="1:9" x14ac:dyDescent="0.35">
      <c r="A2" s="109">
        <v>9652569000106</v>
      </c>
      <c r="B2" s="110" t="s">
        <v>33</v>
      </c>
      <c r="C2" s="110" t="s">
        <v>1095</v>
      </c>
      <c r="D2" s="111" t="s">
        <v>1069</v>
      </c>
      <c r="E2" s="112"/>
      <c r="F2" s="113" t="s">
        <v>1096</v>
      </c>
      <c r="G2" s="113">
        <v>1833.0112797899999</v>
      </c>
      <c r="H2" s="113">
        <v>0</v>
      </c>
      <c r="I2" s="113">
        <v>1833.0112797899999</v>
      </c>
    </row>
    <row r="3" spans="1:9" x14ac:dyDescent="0.35">
      <c r="A3" s="109">
        <v>29601304000196</v>
      </c>
      <c r="B3" s="110" t="s">
        <v>36</v>
      </c>
      <c r="C3" s="110" t="s">
        <v>1095</v>
      </c>
      <c r="D3" s="111" t="s">
        <v>1069</v>
      </c>
      <c r="E3" s="112"/>
      <c r="F3" s="113" t="s">
        <v>1096</v>
      </c>
      <c r="G3" s="113">
        <v>672.35445624999988</v>
      </c>
      <c r="H3" s="113">
        <v>0</v>
      </c>
      <c r="I3" s="113">
        <v>672.35445624999988</v>
      </c>
    </row>
    <row r="4" spans="1:9" x14ac:dyDescent="0.35">
      <c r="A4" s="109">
        <v>5867754000167</v>
      </c>
      <c r="B4" s="110" t="s">
        <v>20</v>
      </c>
      <c r="C4" s="110" t="s">
        <v>1097</v>
      </c>
      <c r="D4" s="111" t="s">
        <v>1069</v>
      </c>
      <c r="E4" s="112" t="s">
        <v>414</v>
      </c>
      <c r="F4" s="113" t="s">
        <v>1098</v>
      </c>
      <c r="G4" s="113">
        <v>138.62089726999966</v>
      </c>
      <c r="H4" s="113">
        <v>1484.1795988411</v>
      </c>
      <c r="I4" s="113">
        <v>1622.8004961110996</v>
      </c>
    </row>
    <row r="5" spans="1:9" x14ac:dyDescent="0.35">
      <c r="A5" s="109">
        <v>27785214000410</v>
      </c>
      <c r="B5" s="110" t="s">
        <v>36</v>
      </c>
      <c r="C5" s="110" t="s">
        <v>1095</v>
      </c>
      <c r="D5" s="111" t="s">
        <v>1069</v>
      </c>
      <c r="E5" s="112" t="s">
        <v>1010</v>
      </c>
      <c r="F5" s="113" t="s">
        <v>1098</v>
      </c>
      <c r="G5" s="113">
        <v>1359.5527196500002</v>
      </c>
      <c r="H5" s="113">
        <v>1058.591361572395</v>
      </c>
      <c r="I5" s="113">
        <v>2418.1440812223955</v>
      </c>
    </row>
    <row r="6" spans="1:9" x14ac:dyDescent="0.35">
      <c r="A6" s="109">
        <v>17176661000175</v>
      </c>
      <c r="B6" s="110" t="s">
        <v>36</v>
      </c>
      <c r="C6" s="110" t="s">
        <v>1095</v>
      </c>
      <c r="D6" s="111" t="s">
        <v>1069</v>
      </c>
      <c r="E6" s="112"/>
      <c r="F6" s="113" t="s">
        <v>1096</v>
      </c>
      <c r="G6" s="113">
        <v>5146.2525406300001</v>
      </c>
      <c r="H6" s="113">
        <v>0</v>
      </c>
      <c r="I6" s="113">
        <v>5146.2525406300001</v>
      </c>
    </row>
    <row r="7" spans="1:9" x14ac:dyDescent="0.35">
      <c r="A7" s="109">
        <v>21406206000196</v>
      </c>
      <c r="B7" s="110" t="s">
        <v>36</v>
      </c>
      <c r="C7" s="110" t="s">
        <v>1095</v>
      </c>
      <c r="D7" s="111" t="s">
        <v>1069</v>
      </c>
      <c r="E7" s="112"/>
      <c r="F7" s="113" t="s">
        <v>1096</v>
      </c>
      <c r="G7" s="113">
        <v>435.16517385999987</v>
      </c>
      <c r="H7" s="113">
        <v>0</v>
      </c>
      <c r="I7" s="113">
        <v>435.16517385999987</v>
      </c>
    </row>
    <row r="8" spans="1:9" x14ac:dyDescent="0.35">
      <c r="A8" s="109">
        <v>7284256000117</v>
      </c>
      <c r="B8" s="110" t="s">
        <v>16</v>
      </c>
      <c r="C8" s="110" t="s">
        <v>1095</v>
      </c>
      <c r="D8" s="111" t="s">
        <v>1069</v>
      </c>
      <c r="E8" s="112"/>
      <c r="F8" s="113" t="s">
        <v>1099</v>
      </c>
      <c r="G8" s="113">
        <v>104.58171474000005</v>
      </c>
      <c r="H8" s="113">
        <v>319.03023390334101</v>
      </c>
      <c r="I8" s="113">
        <v>423.61194864334107</v>
      </c>
    </row>
    <row r="9" spans="1:9" x14ac:dyDescent="0.35">
      <c r="A9" s="109">
        <v>1938125000120</v>
      </c>
      <c r="B9" s="110" t="s">
        <v>9</v>
      </c>
      <c r="C9" s="110" t="s">
        <v>1095</v>
      </c>
      <c r="D9" s="111" t="s">
        <v>1069</v>
      </c>
      <c r="E9" s="112"/>
      <c r="F9" s="113" t="s">
        <v>1096</v>
      </c>
      <c r="G9" s="113">
        <v>1780.3022107799995</v>
      </c>
      <c r="H9" s="113">
        <v>0</v>
      </c>
      <c r="I9" s="113">
        <v>1780.3022107799995</v>
      </c>
    </row>
    <row r="10" spans="1:9" x14ac:dyDescent="0.35">
      <c r="A10" s="109">
        <v>15317875000199</v>
      </c>
      <c r="B10" s="110" t="s">
        <v>36</v>
      </c>
      <c r="C10" s="110" t="s">
        <v>1095</v>
      </c>
      <c r="D10" s="111" t="s">
        <v>1069</v>
      </c>
      <c r="E10" s="112"/>
      <c r="F10" s="113" t="s">
        <v>1099</v>
      </c>
      <c r="G10" s="113">
        <v>349.36728272000005</v>
      </c>
      <c r="H10" s="113">
        <v>792.23584138371007</v>
      </c>
      <c r="I10" s="113">
        <v>1141.6031241037101</v>
      </c>
    </row>
    <row r="11" spans="1:9" x14ac:dyDescent="0.35">
      <c r="A11" s="109">
        <v>10272710000124</v>
      </c>
      <c r="B11" s="110" t="s">
        <v>20</v>
      </c>
      <c r="C11" s="110" t="s">
        <v>1097</v>
      </c>
      <c r="D11" s="111" t="s">
        <v>1069</v>
      </c>
      <c r="E11" s="112"/>
      <c r="F11" s="113" t="s">
        <v>1100</v>
      </c>
      <c r="G11" s="113">
        <v>0</v>
      </c>
      <c r="H11" s="113">
        <v>966.279699469045</v>
      </c>
      <c r="I11" s="113">
        <v>966.279699469045</v>
      </c>
    </row>
    <row r="12" spans="1:9" x14ac:dyDescent="0.35">
      <c r="A12" s="109">
        <v>27785214000339</v>
      </c>
      <c r="B12" s="110" t="s">
        <v>36</v>
      </c>
      <c r="C12" s="110" t="s">
        <v>1095</v>
      </c>
      <c r="D12" s="111" t="s">
        <v>1069</v>
      </c>
      <c r="E12" s="112" t="s">
        <v>1010</v>
      </c>
      <c r="F12" s="113" t="s">
        <v>1098</v>
      </c>
      <c r="G12" s="113">
        <v>2298.4033672300002</v>
      </c>
      <c r="H12" s="113">
        <v>1058.591361572395</v>
      </c>
      <c r="I12" s="113">
        <v>3356.994728802395</v>
      </c>
    </row>
    <row r="13" spans="1:9" x14ac:dyDescent="0.35">
      <c r="A13" s="109">
        <v>20947414000130</v>
      </c>
      <c r="B13" s="110" t="s">
        <v>190</v>
      </c>
      <c r="C13" s="110" t="s">
        <v>1095</v>
      </c>
      <c r="D13" s="111" t="s">
        <v>1069</v>
      </c>
      <c r="E13" s="112"/>
      <c r="F13" s="113" t="s">
        <v>1099</v>
      </c>
      <c r="G13" s="113">
        <v>143.89922500999955</v>
      </c>
      <c r="H13" s="113">
        <v>1934.1758742643597</v>
      </c>
      <c r="I13" s="113">
        <v>2078.0750992743592</v>
      </c>
    </row>
    <row r="14" spans="1:9" x14ac:dyDescent="0.35">
      <c r="A14" s="109">
        <v>27785214000258</v>
      </c>
      <c r="B14" s="110" t="s">
        <v>36</v>
      </c>
      <c r="C14" s="110" t="s">
        <v>1095</v>
      </c>
      <c r="D14" s="111" t="s">
        <v>1069</v>
      </c>
      <c r="E14" s="112" t="s">
        <v>1010</v>
      </c>
      <c r="F14" s="113" t="s">
        <v>1098</v>
      </c>
      <c r="G14" s="113">
        <v>1568.6189179100002</v>
      </c>
      <c r="H14" s="113">
        <v>1058.591361572395</v>
      </c>
      <c r="I14" s="113">
        <v>2627.210279482395</v>
      </c>
    </row>
    <row r="15" spans="1:9" x14ac:dyDescent="0.35">
      <c r="A15" s="109">
        <v>27785214000681</v>
      </c>
      <c r="B15" s="110" t="s">
        <v>36</v>
      </c>
      <c r="C15" s="110" t="s">
        <v>1095</v>
      </c>
      <c r="D15" s="111" t="s">
        <v>1069</v>
      </c>
      <c r="E15" s="112" t="s">
        <v>1010</v>
      </c>
      <c r="F15" s="113" t="s">
        <v>1098</v>
      </c>
      <c r="G15" s="113">
        <v>841.51291700999991</v>
      </c>
      <c r="H15" s="113">
        <v>1058.591361572395</v>
      </c>
      <c r="I15" s="113">
        <v>1900.104278582395</v>
      </c>
    </row>
    <row r="16" spans="1:9" x14ac:dyDescent="0.35">
      <c r="A16" s="109">
        <v>1394350000142</v>
      </c>
      <c r="B16" s="110" t="s">
        <v>36</v>
      </c>
      <c r="C16" s="110" t="s">
        <v>1095</v>
      </c>
      <c r="D16" s="111" t="s">
        <v>1069</v>
      </c>
      <c r="E16" s="112" t="s">
        <v>1010</v>
      </c>
      <c r="F16" s="113" t="s">
        <v>1098</v>
      </c>
      <c r="G16" s="113">
        <v>1206.8876532900001</v>
      </c>
      <c r="H16" s="113">
        <v>1058.591361572395</v>
      </c>
      <c r="I16" s="113">
        <v>2265.4790148623952</v>
      </c>
    </row>
    <row r="17" spans="1:9" x14ac:dyDescent="0.35">
      <c r="A17" s="109">
        <v>14132723000230</v>
      </c>
      <c r="B17" s="110" t="s">
        <v>38</v>
      </c>
      <c r="C17" s="110" t="s">
        <v>1095</v>
      </c>
      <c r="D17" s="111" t="s">
        <v>1069</v>
      </c>
      <c r="E17" s="112" t="s">
        <v>414</v>
      </c>
      <c r="F17" s="113" t="s">
        <v>1098</v>
      </c>
      <c r="G17" s="113">
        <v>3260.6631113999993</v>
      </c>
      <c r="H17" s="113">
        <v>1350.1037281550698</v>
      </c>
      <c r="I17" s="113">
        <v>4610.7668395550691</v>
      </c>
    </row>
    <row r="18" spans="1:9" x14ac:dyDescent="0.35">
      <c r="A18" s="109">
        <v>50038493000127</v>
      </c>
      <c r="B18" s="110" t="s">
        <v>20</v>
      </c>
      <c r="C18" s="110" t="s">
        <v>1097</v>
      </c>
      <c r="D18" s="111" t="s">
        <v>1069</v>
      </c>
      <c r="E18" s="112"/>
      <c r="F18" s="113" t="s">
        <v>1099</v>
      </c>
      <c r="G18" s="113">
        <v>1405.5632981099998</v>
      </c>
      <c r="H18" s="113">
        <v>444.20012944065047</v>
      </c>
      <c r="I18" s="113">
        <v>1849.7634275506502</v>
      </c>
    </row>
    <row r="19" spans="1:9" x14ac:dyDescent="0.35">
      <c r="A19" s="109">
        <v>3477379000113</v>
      </c>
      <c r="B19" s="110" t="s">
        <v>20</v>
      </c>
      <c r="C19" s="110" t="s">
        <v>1097</v>
      </c>
      <c r="D19" s="111" t="s">
        <v>1069</v>
      </c>
      <c r="E19" s="112"/>
      <c r="F19" s="113" t="s">
        <v>1099</v>
      </c>
      <c r="G19" s="113">
        <v>2252.1558590699997</v>
      </c>
      <c r="H19" s="113">
        <v>528.32157813923004</v>
      </c>
      <c r="I19" s="113">
        <v>2780.4774372092297</v>
      </c>
    </row>
    <row r="20" spans="1:9" x14ac:dyDescent="0.35">
      <c r="A20" s="109">
        <v>43054517000257</v>
      </c>
      <c r="B20" s="110" t="s">
        <v>33</v>
      </c>
      <c r="C20" s="110" t="s">
        <v>1095</v>
      </c>
      <c r="D20" s="111" t="s">
        <v>1069</v>
      </c>
      <c r="E20" s="112"/>
      <c r="F20" s="113" t="s">
        <v>1099</v>
      </c>
      <c r="G20" s="113">
        <v>2741.720861759999</v>
      </c>
      <c r="H20" s="113">
        <v>2577.9176957909394</v>
      </c>
      <c r="I20" s="113">
        <v>5319.6385575509385</v>
      </c>
    </row>
    <row r="21" spans="1:9" x14ac:dyDescent="0.35">
      <c r="A21" s="109">
        <v>531367000212</v>
      </c>
      <c r="B21" s="110" t="s">
        <v>9</v>
      </c>
      <c r="C21" s="110" t="s">
        <v>1095</v>
      </c>
      <c r="D21" s="111" t="s">
        <v>1069</v>
      </c>
      <c r="E21" s="112"/>
      <c r="F21" s="113" t="s">
        <v>1099</v>
      </c>
      <c r="G21" s="113">
        <v>839.42210903</v>
      </c>
      <c r="H21" s="113">
        <v>1362.6507818841701</v>
      </c>
      <c r="I21" s="113">
        <v>2202.0728909141699</v>
      </c>
    </row>
    <row r="22" spans="1:9" x14ac:dyDescent="0.35">
      <c r="A22" s="109">
        <v>1531920000107</v>
      </c>
      <c r="B22" s="110" t="s">
        <v>36</v>
      </c>
      <c r="C22" s="110" t="s">
        <v>1095</v>
      </c>
      <c r="D22" s="111" t="s">
        <v>1069</v>
      </c>
      <c r="E22" s="112"/>
      <c r="F22" s="113" t="s">
        <v>1099</v>
      </c>
      <c r="G22" s="113">
        <v>1171.47740563</v>
      </c>
      <c r="H22" s="113">
        <v>3429.0188148060997</v>
      </c>
      <c r="I22" s="113">
        <v>4600.4962204361</v>
      </c>
    </row>
    <row r="23" spans="1:9" x14ac:dyDescent="0.35">
      <c r="A23" s="109">
        <v>27717961000178</v>
      </c>
      <c r="B23" s="110" t="s">
        <v>36</v>
      </c>
      <c r="C23" s="110" t="s">
        <v>1095</v>
      </c>
      <c r="D23" s="111" t="s">
        <v>1069</v>
      </c>
      <c r="E23" s="112"/>
      <c r="F23" s="113" t="s">
        <v>1096</v>
      </c>
      <c r="G23" s="113">
        <v>4149.0729375299998</v>
      </c>
      <c r="H23" s="113">
        <v>0</v>
      </c>
      <c r="I23" s="113">
        <v>4149.0729375299998</v>
      </c>
    </row>
    <row r="24" spans="1:9" x14ac:dyDescent="0.35">
      <c r="A24" s="109">
        <v>19436791000206</v>
      </c>
      <c r="B24" s="110" t="s">
        <v>9</v>
      </c>
      <c r="C24" s="110" t="s">
        <v>1095</v>
      </c>
      <c r="D24" s="111" t="s">
        <v>1069</v>
      </c>
      <c r="E24" s="112" t="s">
        <v>996</v>
      </c>
      <c r="F24" s="113" t="s">
        <v>1098</v>
      </c>
      <c r="G24" s="113">
        <v>5816.1658321200002</v>
      </c>
      <c r="H24" s="113">
        <v>3265.5580656073107</v>
      </c>
      <c r="I24" s="113">
        <v>9081.7238977273119</v>
      </c>
    </row>
    <row r="25" spans="1:9" x14ac:dyDescent="0.35">
      <c r="A25" s="109">
        <v>43054517000176</v>
      </c>
      <c r="B25" s="110" t="s">
        <v>33</v>
      </c>
      <c r="C25" s="110" t="s">
        <v>1095</v>
      </c>
      <c r="D25" s="111" t="s">
        <v>1069</v>
      </c>
      <c r="E25" s="112"/>
      <c r="F25" s="113" t="s">
        <v>1099</v>
      </c>
      <c r="G25" s="113">
        <v>3288.38203905</v>
      </c>
      <c r="H25" s="113">
        <v>2056.4794519150305</v>
      </c>
      <c r="I25" s="113">
        <v>5344.8614909650305</v>
      </c>
    </row>
    <row r="26" spans="1:9" x14ac:dyDescent="0.35">
      <c r="A26" s="109">
        <v>33193095000166</v>
      </c>
      <c r="B26" s="110" t="s">
        <v>36</v>
      </c>
      <c r="C26" s="110" t="s">
        <v>1095</v>
      </c>
      <c r="D26" s="111" t="s">
        <v>1069</v>
      </c>
      <c r="E26" s="112" t="s">
        <v>1010</v>
      </c>
      <c r="F26" s="113" t="s">
        <v>1098</v>
      </c>
      <c r="G26" s="113">
        <v>3714.4145253699994</v>
      </c>
      <c r="H26" s="113">
        <v>1058.591361572395</v>
      </c>
      <c r="I26" s="113">
        <v>4773.0058869423947</v>
      </c>
    </row>
    <row r="27" spans="1:9" x14ac:dyDescent="0.35">
      <c r="A27" s="109">
        <v>8107186000194</v>
      </c>
      <c r="B27" s="110" t="s">
        <v>9</v>
      </c>
      <c r="C27" s="110" t="s">
        <v>1095</v>
      </c>
      <c r="D27" s="111" t="s">
        <v>1069</v>
      </c>
      <c r="E27" s="112" t="s">
        <v>996</v>
      </c>
      <c r="F27" s="113" t="s">
        <v>1098</v>
      </c>
      <c r="G27" s="113">
        <v>8051.0613380999985</v>
      </c>
      <c r="H27" s="113">
        <v>6158.2346667803404</v>
      </c>
      <c r="I27" s="113">
        <v>14209.29600488034</v>
      </c>
    </row>
    <row r="28" spans="1:9" x14ac:dyDescent="0.35">
      <c r="A28" s="109">
        <v>16022063000189</v>
      </c>
      <c r="B28" s="110" t="s">
        <v>20</v>
      </c>
      <c r="C28" s="110" t="s">
        <v>1097</v>
      </c>
      <c r="D28" s="111" t="s">
        <v>1069</v>
      </c>
      <c r="E28" s="112"/>
      <c r="F28" s="113" t="s">
        <v>1099</v>
      </c>
      <c r="G28" s="113">
        <v>563.36749929999996</v>
      </c>
      <c r="H28" s="113">
        <v>205.40464327162397</v>
      </c>
      <c r="I28" s="113">
        <v>768.77214257162393</v>
      </c>
    </row>
    <row r="29" spans="1:9" x14ac:dyDescent="0.35">
      <c r="A29" s="109">
        <v>9495338000136</v>
      </c>
      <c r="B29" s="110" t="s">
        <v>33</v>
      </c>
      <c r="C29" s="110" t="s">
        <v>1095</v>
      </c>
      <c r="D29" s="111" t="s">
        <v>1069</v>
      </c>
      <c r="E29" s="112"/>
      <c r="F29" s="113" t="s">
        <v>1099</v>
      </c>
      <c r="G29" s="113">
        <v>2229.3576527</v>
      </c>
      <c r="H29" s="113">
        <v>2140.7904815704396</v>
      </c>
      <c r="I29" s="113">
        <v>4370.1481342704392</v>
      </c>
    </row>
    <row r="30" spans="1:9" x14ac:dyDescent="0.35">
      <c r="A30" s="109">
        <v>6935814000102</v>
      </c>
      <c r="B30" s="110" t="s">
        <v>36</v>
      </c>
      <c r="C30" s="110" t="s">
        <v>1095</v>
      </c>
      <c r="D30" s="111" t="s">
        <v>1069</v>
      </c>
      <c r="E30" s="112"/>
      <c r="F30" s="113" t="s">
        <v>1099</v>
      </c>
      <c r="G30" s="113">
        <v>1317.32556129</v>
      </c>
      <c r="H30" s="113">
        <v>620.47886602888002</v>
      </c>
      <c r="I30" s="113">
        <v>1937.80442731888</v>
      </c>
    </row>
    <row r="31" spans="1:9" x14ac:dyDescent="0.35">
      <c r="A31" s="109">
        <v>52286494000116</v>
      </c>
      <c r="B31" s="110" t="s">
        <v>33</v>
      </c>
      <c r="C31" s="110" t="s">
        <v>1095</v>
      </c>
      <c r="D31" s="111" t="s">
        <v>1069</v>
      </c>
      <c r="E31" s="112"/>
      <c r="F31" s="113" t="s">
        <v>1099</v>
      </c>
      <c r="G31" s="113">
        <v>1778.7097738100001</v>
      </c>
      <c r="H31" s="113">
        <v>1906.1827286852999</v>
      </c>
      <c r="I31" s="113">
        <v>3684.8925024953001</v>
      </c>
    </row>
    <row r="32" spans="1:9" x14ac:dyDescent="0.35">
      <c r="A32" s="109">
        <v>5344624000492</v>
      </c>
      <c r="B32" s="110" t="s">
        <v>9</v>
      </c>
      <c r="C32" s="110" t="s">
        <v>1095</v>
      </c>
      <c r="D32" s="111" t="s">
        <v>1069</v>
      </c>
      <c r="E32" s="112" t="s">
        <v>1011</v>
      </c>
      <c r="F32" s="113" t="s">
        <v>1098</v>
      </c>
      <c r="G32" s="113">
        <v>784.17118730000038</v>
      </c>
      <c r="H32" s="113">
        <v>2302.0093462302498</v>
      </c>
      <c r="I32" s="113">
        <v>3086.1805335302502</v>
      </c>
    </row>
    <row r="33" spans="1:9" x14ac:dyDescent="0.35">
      <c r="A33" s="109">
        <v>26829291000119</v>
      </c>
      <c r="B33" s="110" t="s">
        <v>36</v>
      </c>
      <c r="C33" s="110" t="s">
        <v>1095</v>
      </c>
      <c r="D33" s="111" t="s">
        <v>1069</v>
      </c>
      <c r="E33" s="112"/>
      <c r="F33" s="113" t="s">
        <v>1099</v>
      </c>
      <c r="G33" s="113">
        <v>1020.2805738700001</v>
      </c>
      <c r="H33" s="113">
        <v>601.81808233481001</v>
      </c>
      <c r="I33" s="113">
        <v>1622.0986562048101</v>
      </c>
    </row>
    <row r="34" spans="1:9" x14ac:dyDescent="0.35">
      <c r="A34" s="109">
        <v>19436791000397</v>
      </c>
      <c r="B34" s="110" t="s">
        <v>9</v>
      </c>
      <c r="C34" s="110" t="s">
        <v>1095</v>
      </c>
      <c r="D34" s="111" t="s">
        <v>1069</v>
      </c>
      <c r="E34" s="112" t="s">
        <v>996</v>
      </c>
      <c r="F34" s="113" t="s">
        <v>1098</v>
      </c>
      <c r="G34" s="113">
        <v>4186.5282363399992</v>
      </c>
      <c r="H34" s="113">
        <v>2598.3202231418295</v>
      </c>
      <c r="I34" s="113">
        <v>6784.8484594818292</v>
      </c>
    </row>
    <row r="35" spans="1:9" x14ac:dyDescent="0.35">
      <c r="A35" s="109">
        <v>3100938000171</v>
      </c>
      <c r="B35" s="110" t="s">
        <v>20</v>
      </c>
      <c r="C35" s="110" t="s">
        <v>1097</v>
      </c>
      <c r="D35" s="111" t="s">
        <v>1069</v>
      </c>
      <c r="E35" s="112"/>
      <c r="F35" s="113" t="s">
        <v>1099</v>
      </c>
      <c r="G35" s="113">
        <v>2078.44335744</v>
      </c>
      <c r="H35" s="113">
        <v>981.28232132347011</v>
      </c>
      <c r="I35" s="113">
        <v>3059.7256787634701</v>
      </c>
    </row>
    <row r="36" spans="1:9" x14ac:dyDescent="0.35">
      <c r="A36" s="109">
        <v>14132723000159</v>
      </c>
      <c r="B36" s="110" t="s">
        <v>38</v>
      </c>
      <c r="C36" s="110" t="s">
        <v>1095</v>
      </c>
      <c r="D36" s="111" t="s">
        <v>1069</v>
      </c>
      <c r="E36" s="112" t="s">
        <v>414</v>
      </c>
      <c r="F36" s="113" t="s">
        <v>1098</v>
      </c>
      <c r="G36" s="113">
        <v>5744.7976999000002</v>
      </c>
      <c r="H36" s="113">
        <v>2571.3730436395699</v>
      </c>
      <c r="I36" s="113">
        <v>8316.1707435395692</v>
      </c>
    </row>
    <row r="37" spans="1:9" x14ac:dyDescent="0.35">
      <c r="A37" s="109">
        <v>531367000301</v>
      </c>
      <c r="B37" s="110" t="s">
        <v>9</v>
      </c>
      <c r="C37" s="110" t="s">
        <v>1095</v>
      </c>
      <c r="D37" s="111" t="s">
        <v>1069</v>
      </c>
      <c r="E37" s="112"/>
      <c r="F37" s="113" t="s">
        <v>1099</v>
      </c>
      <c r="G37" s="113">
        <v>2512.8123313199999</v>
      </c>
      <c r="H37" s="113">
        <v>3501.4620366694198</v>
      </c>
      <c r="I37" s="113">
        <v>6014.2743679894193</v>
      </c>
    </row>
    <row r="38" spans="1:9" x14ac:dyDescent="0.35">
      <c r="A38" s="109">
        <v>15722053000193</v>
      </c>
      <c r="B38" s="110" t="s">
        <v>36</v>
      </c>
      <c r="C38" s="110" t="s">
        <v>1095</v>
      </c>
      <c r="D38" s="111" t="s">
        <v>1069</v>
      </c>
      <c r="E38" s="112"/>
      <c r="F38" s="113" t="s">
        <v>1099</v>
      </c>
      <c r="G38" s="113">
        <v>1182.2069504900001</v>
      </c>
      <c r="H38" s="113">
        <v>903.85558962849007</v>
      </c>
      <c r="I38" s="113">
        <v>2086.0625401184902</v>
      </c>
    </row>
    <row r="39" spans="1:9" x14ac:dyDescent="0.35">
      <c r="A39" s="109">
        <v>5344624000301</v>
      </c>
      <c r="B39" s="110" t="s">
        <v>9</v>
      </c>
      <c r="C39" s="110" t="s">
        <v>1095</v>
      </c>
      <c r="D39" s="111" t="s">
        <v>1069</v>
      </c>
      <c r="E39" s="112" t="s">
        <v>1011</v>
      </c>
      <c r="F39" s="113" t="s">
        <v>1098</v>
      </c>
      <c r="G39" s="113">
        <v>2984.666263269999</v>
      </c>
      <c r="H39" s="113">
        <v>2642.6001236374095</v>
      </c>
      <c r="I39" s="113">
        <v>5627.2663869074086</v>
      </c>
    </row>
    <row r="40" spans="1:9" x14ac:dyDescent="0.35">
      <c r="A40" s="109">
        <v>10322682000102</v>
      </c>
      <c r="B40" s="110" t="s">
        <v>36</v>
      </c>
      <c r="C40" s="110" t="s">
        <v>1095</v>
      </c>
      <c r="D40" s="111" t="s">
        <v>1069</v>
      </c>
      <c r="E40" s="112"/>
      <c r="F40" s="113" t="s">
        <v>1096</v>
      </c>
      <c r="G40" s="113">
        <v>1144.6367247999999</v>
      </c>
      <c r="H40" s="113">
        <v>0</v>
      </c>
      <c r="I40" s="113">
        <v>1144.6367247999999</v>
      </c>
    </row>
    <row r="41" spans="1:9" x14ac:dyDescent="0.35">
      <c r="A41" s="109">
        <v>5235693000115</v>
      </c>
      <c r="B41" s="110" t="s">
        <v>36</v>
      </c>
      <c r="C41" s="110" t="s">
        <v>1095</v>
      </c>
      <c r="D41" s="111" t="s">
        <v>1069</v>
      </c>
      <c r="E41" s="112"/>
      <c r="F41" s="113" t="s">
        <v>1099</v>
      </c>
      <c r="G41" s="113">
        <v>2038.80830289</v>
      </c>
      <c r="H41" s="113">
        <v>1677.6995873946798</v>
      </c>
      <c r="I41" s="113">
        <v>3716.5078902846799</v>
      </c>
    </row>
    <row r="42" spans="1:9" x14ac:dyDescent="0.35">
      <c r="A42" s="109">
        <v>19934714000103</v>
      </c>
      <c r="B42" s="110" t="s">
        <v>20</v>
      </c>
      <c r="C42" s="110" t="s">
        <v>1097</v>
      </c>
      <c r="D42" s="111" t="s">
        <v>1069</v>
      </c>
      <c r="E42" s="112"/>
      <c r="F42" s="113" t="s">
        <v>1099</v>
      </c>
      <c r="G42" s="113">
        <v>1801.9954502099995</v>
      </c>
      <c r="H42" s="113">
        <v>862.33343343949014</v>
      </c>
      <c r="I42" s="113">
        <v>2664.3288836494894</v>
      </c>
    </row>
    <row r="43" spans="1:9" x14ac:dyDescent="0.35">
      <c r="A43" s="109">
        <v>2330943000108</v>
      </c>
      <c r="B43" s="110" t="s">
        <v>36</v>
      </c>
      <c r="C43" s="110" t="s">
        <v>1095</v>
      </c>
      <c r="D43" s="111" t="s">
        <v>1069</v>
      </c>
      <c r="E43" s="112"/>
      <c r="F43" s="113" t="s">
        <v>1099</v>
      </c>
      <c r="G43" s="113">
        <v>2675.8767538800003</v>
      </c>
      <c r="H43" s="113">
        <v>194.46397100059016</v>
      </c>
      <c r="I43" s="113">
        <v>2870.3407248805906</v>
      </c>
    </row>
    <row r="44" spans="1:9" x14ac:dyDescent="0.35">
      <c r="A44" s="109">
        <v>5344624000140</v>
      </c>
      <c r="B44" s="110" t="s">
        <v>9</v>
      </c>
      <c r="C44" s="110" t="s">
        <v>1095</v>
      </c>
      <c r="D44" s="111" t="s">
        <v>1069</v>
      </c>
      <c r="E44" s="112" t="s">
        <v>1011</v>
      </c>
      <c r="F44" s="113" t="s">
        <v>1098</v>
      </c>
      <c r="G44" s="113">
        <v>4165.8179006199998</v>
      </c>
      <c r="H44" s="113">
        <v>4465.3670488880889</v>
      </c>
      <c r="I44" s="113">
        <v>8631.1849495080896</v>
      </c>
    </row>
    <row r="45" spans="1:9" x14ac:dyDescent="0.35">
      <c r="A45" s="109">
        <v>22379586000180</v>
      </c>
      <c r="B45" s="110" t="s">
        <v>9</v>
      </c>
      <c r="C45" s="110" t="s">
        <v>1095</v>
      </c>
      <c r="D45" s="111" t="s">
        <v>1069</v>
      </c>
      <c r="E45" s="112" t="s">
        <v>996</v>
      </c>
      <c r="F45" s="113" t="s">
        <v>1098</v>
      </c>
      <c r="G45" s="113">
        <v>2770.8671680000002</v>
      </c>
      <c r="H45" s="113">
        <v>3108.8763382977595</v>
      </c>
      <c r="I45" s="113">
        <v>5879.7435062977602</v>
      </c>
    </row>
    <row r="46" spans="1:9" x14ac:dyDescent="0.35">
      <c r="A46" s="109">
        <v>11109080000134</v>
      </c>
      <c r="B46" s="110" t="s">
        <v>36</v>
      </c>
      <c r="C46" s="110" t="s">
        <v>1095</v>
      </c>
      <c r="D46" s="111" t="s">
        <v>1069</v>
      </c>
      <c r="E46" s="112"/>
      <c r="F46" s="113" t="s">
        <v>1099</v>
      </c>
      <c r="G46" s="113">
        <v>2391.8380839800002</v>
      </c>
      <c r="H46" s="113">
        <v>1924.1383443827397</v>
      </c>
      <c r="I46" s="113">
        <v>4315.9764283627401</v>
      </c>
    </row>
    <row r="47" spans="1:9" x14ac:dyDescent="0.35">
      <c r="A47" s="109">
        <v>15448038000107</v>
      </c>
      <c r="B47" s="110" t="s">
        <v>20</v>
      </c>
      <c r="C47" s="110" t="s">
        <v>1097</v>
      </c>
      <c r="D47" s="111" t="s">
        <v>1069</v>
      </c>
      <c r="E47" s="112"/>
      <c r="F47" s="113" t="s">
        <v>1099</v>
      </c>
      <c r="G47" s="113">
        <v>1227.2640612199998</v>
      </c>
      <c r="H47" s="113">
        <v>763.66299978302607</v>
      </c>
      <c r="I47" s="113">
        <v>1990.9270610030258</v>
      </c>
    </row>
    <row r="48" spans="1:9" x14ac:dyDescent="0.35">
      <c r="A48" s="109">
        <v>7311428000102</v>
      </c>
      <c r="B48" s="110" t="s">
        <v>36</v>
      </c>
      <c r="C48" s="110" t="s">
        <v>1095</v>
      </c>
      <c r="D48" s="111" t="s">
        <v>1069</v>
      </c>
      <c r="E48" s="112"/>
      <c r="F48" s="113" t="s">
        <v>1099</v>
      </c>
      <c r="G48" s="113">
        <v>945.81706704999999</v>
      </c>
      <c r="H48" s="113">
        <v>391.22709613433801</v>
      </c>
      <c r="I48" s="113">
        <v>1337.044163184338</v>
      </c>
    </row>
    <row r="49" spans="1:9" x14ac:dyDescent="0.35">
      <c r="A49" s="109">
        <v>531367000131</v>
      </c>
      <c r="B49" s="110" t="s">
        <v>9</v>
      </c>
      <c r="C49" s="110" t="s">
        <v>1095</v>
      </c>
      <c r="D49" s="111" t="s">
        <v>1069</v>
      </c>
      <c r="E49" s="112"/>
      <c r="F49" s="113" t="s">
        <v>1099</v>
      </c>
      <c r="G49" s="113">
        <v>684.90418475999991</v>
      </c>
      <c r="H49" s="113">
        <v>907.18289547790494</v>
      </c>
      <c r="I49" s="113">
        <v>1592.087080237905</v>
      </c>
    </row>
    <row r="50" spans="1:9" x14ac:dyDescent="0.35">
      <c r="A50" s="109">
        <v>1938125000200</v>
      </c>
      <c r="B50" s="110" t="s">
        <v>9</v>
      </c>
      <c r="C50" s="110" t="s">
        <v>1095</v>
      </c>
      <c r="D50" s="111" t="s">
        <v>1069</v>
      </c>
      <c r="E50" s="112"/>
      <c r="F50" s="113" t="s">
        <v>1099</v>
      </c>
      <c r="G50" s="113">
        <v>930.25307164999981</v>
      </c>
      <c r="H50" s="113">
        <v>1292.0089400895902</v>
      </c>
      <c r="I50" s="113">
        <v>2222.26201173959</v>
      </c>
    </row>
    <row r="51" spans="1:9" x14ac:dyDescent="0.35">
      <c r="A51" s="109">
        <v>19436791000478</v>
      </c>
      <c r="B51" s="110" t="s">
        <v>9</v>
      </c>
      <c r="C51" s="110" t="s">
        <v>1095</v>
      </c>
      <c r="D51" s="111" t="s">
        <v>1069</v>
      </c>
      <c r="E51" s="112" t="s">
        <v>996</v>
      </c>
      <c r="F51" s="113" t="s">
        <v>1098</v>
      </c>
      <c r="G51" s="113">
        <v>2368.6740195500001</v>
      </c>
      <c r="H51" s="113">
        <v>2326.3913345945602</v>
      </c>
      <c r="I51" s="113">
        <v>4695.0653541445608</v>
      </c>
    </row>
    <row r="52" spans="1:9" x14ac:dyDescent="0.35">
      <c r="A52" s="109">
        <v>5778971000180</v>
      </c>
      <c r="B52" s="110" t="s">
        <v>87</v>
      </c>
      <c r="C52" s="110" t="s">
        <v>1095</v>
      </c>
      <c r="D52" s="111" t="s">
        <v>1069</v>
      </c>
      <c r="E52" s="112"/>
      <c r="F52" s="113" t="s">
        <v>1099</v>
      </c>
      <c r="G52" s="113">
        <v>2707.7666294000001</v>
      </c>
      <c r="H52" s="113">
        <v>1132.9448020863199</v>
      </c>
      <c r="I52" s="113">
        <v>3840.7114314863202</v>
      </c>
    </row>
    <row r="53" spans="1:9" x14ac:dyDescent="0.35">
      <c r="A53" s="109">
        <v>13280617000150</v>
      </c>
      <c r="B53" s="110" t="s">
        <v>20</v>
      </c>
      <c r="C53" s="110" t="s">
        <v>1097</v>
      </c>
      <c r="D53" s="111" t="s">
        <v>1069</v>
      </c>
      <c r="E53" s="112"/>
      <c r="F53" s="113" t="s">
        <v>1099</v>
      </c>
      <c r="G53" s="113">
        <v>2359.1171886399998</v>
      </c>
      <c r="H53" s="113">
        <v>2866.2214880616398</v>
      </c>
      <c r="I53" s="113">
        <v>5225.33867670164</v>
      </c>
    </row>
    <row r="54" spans="1:9" x14ac:dyDescent="0.35">
      <c r="A54" s="109">
        <v>49674943000199</v>
      </c>
      <c r="B54" s="110" t="s">
        <v>20</v>
      </c>
      <c r="C54" s="110" t="s">
        <v>1097</v>
      </c>
      <c r="D54" s="111" t="s">
        <v>1069</v>
      </c>
      <c r="E54" s="112"/>
      <c r="F54" s="113" t="s">
        <v>1099</v>
      </c>
      <c r="G54" s="113">
        <v>1168.68749134</v>
      </c>
      <c r="H54" s="113">
        <v>577.7597232323908</v>
      </c>
      <c r="I54" s="113">
        <v>1746.4472145723907</v>
      </c>
    </row>
    <row r="55" spans="1:9" x14ac:dyDescent="0.35">
      <c r="A55" s="109">
        <v>4268705000145</v>
      </c>
      <c r="B55" s="110" t="s">
        <v>36</v>
      </c>
      <c r="C55" s="110" t="s">
        <v>1095</v>
      </c>
      <c r="D55" s="111" t="s">
        <v>1069</v>
      </c>
      <c r="E55" s="112"/>
      <c r="F55" s="113" t="s">
        <v>1099</v>
      </c>
      <c r="G55" s="113">
        <v>313.60329095000003</v>
      </c>
      <c r="H55" s="113">
        <v>986.03231360708196</v>
      </c>
      <c r="I55" s="113">
        <v>1299.6356045570819</v>
      </c>
    </row>
    <row r="56" spans="1:9" x14ac:dyDescent="0.35">
      <c r="A56" s="109">
        <v>4411142000100</v>
      </c>
      <c r="B56" s="110" t="s">
        <v>38</v>
      </c>
      <c r="C56" s="110" t="s">
        <v>1095</v>
      </c>
      <c r="D56" s="111" t="s">
        <v>1069</v>
      </c>
      <c r="E56" s="112"/>
      <c r="F56" s="113" t="s">
        <v>1099</v>
      </c>
      <c r="G56" s="113">
        <v>1182.3050452799998</v>
      </c>
      <c r="H56" s="113">
        <v>834.90268196477007</v>
      </c>
      <c r="I56" s="113">
        <v>2017.20772724477</v>
      </c>
    </row>
    <row r="57" spans="1:9" x14ac:dyDescent="0.35">
      <c r="A57" s="109">
        <v>24437271000177</v>
      </c>
      <c r="B57" s="110" t="s">
        <v>9</v>
      </c>
      <c r="C57" s="110" t="s">
        <v>1095</v>
      </c>
      <c r="D57" s="111" t="s">
        <v>1069</v>
      </c>
      <c r="E57" s="112"/>
      <c r="F57" s="113" t="s">
        <v>1099</v>
      </c>
      <c r="G57" s="113">
        <v>5507.3710103900103</v>
      </c>
      <c r="H57" s="113">
        <v>3891.09395229654</v>
      </c>
      <c r="I57" s="113">
        <v>9398.4649626865503</v>
      </c>
    </row>
    <row r="58" spans="1:9" x14ac:dyDescent="0.35">
      <c r="A58" s="109">
        <v>20884408000261</v>
      </c>
      <c r="B58" s="110" t="s">
        <v>9</v>
      </c>
      <c r="C58" s="110" t="s">
        <v>1095</v>
      </c>
      <c r="D58" s="111" t="s">
        <v>1069</v>
      </c>
      <c r="E58" s="112"/>
      <c r="F58" s="113" t="s">
        <v>1099</v>
      </c>
      <c r="G58" s="113">
        <v>8499.4126003100009</v>
      </c>
      <c r="H58" s="113">
        <v>4896.7341978815293</v>
      </c>
      <c r="I58" s="113">
        <v>13396.14679819153</v>
      </c>
    </row>
    <row r="59" spans="1:9" x14ac:dyDescent="0.35">
      <c r="A59" s="109">
        <v>4237820000152</v>
      </c>
      <c r="B59" s="110" t="s">
        <v>36</v>
      </c>
      <c r="C59" s="110" t="s">
        <v>1095</v>
      </c>
      <c r="D59" s="111" t="s">
        <v>1069</v>
      </c>
      <c r="E59" s="112"/>
      <c r="F59" s="113" t="s">
        <v>1099</v>
      </c>
      <c r="G59" s="113">
        <v>6176.0405474900008</v>
      </c>
      <c r="H59" s="113">
        <v>2052.2507220074403</v>
      </c>
      <c r="I59" s="113">
        <v>8228.2912694974402</v>
      </c>
    </row>
    <row r="60" spans="1:9" x14ac:dyDescent="0.35">
      <c r="A60" s="109">
        <v>11277593000154</v>
      </c>
      <c r="B60" s="110" t="s">
        <v>16</v>
      </c>
      <c r="C60" s="110" t="s">
        <v>1095</v>
      </c>
      <c r="D60" s="111" t="s">
        <v>1069</v>
      </c>
      <c r="E60" s="112"/>
      <c r="F60" s="113" t="s">
        <v>1099</v>
      </c>
      <c r="G60" s="113">
        <v>293.63304746</v>
      </c>
      <c r="H60" s="113">
        <v>145.73989906526899</v>
      </c>
      <c r="I60" s="113">
        <v>439.37294652526896</v>
      </c>
    </row>
    <row r="61" spans="1:9" x14ac:dyDescent="0.35">
      <c r="A61" s="109">
        <v>1559060000101</v>
      </c>
      <c r="B61" s="110" t="s">
        <v>20</v>
      </c>
      <c r="C61" s="110" t="s">
        <v>1097</v>
      </c>
      <c r="D61" s="111" t="s">
        <v>1069</v>
      </c>
      <c r="E61" s="112"/>
      <c r="F61" s="113" t="s">
        <v>1099</v>
      </c>
      <c r="G61" s="113">
        <v>545.3089110200001</v>
      </c>
      <c r="H61" s="113">
        <v>1167.2185191074</v>
      </c>
      <c r="I61" s="113">
        <v>1712.5274301274001</v>
      </c>
    </row>
    <row r="62" spans="1:9" x14ac:dyDescent="0.35">
      <c r="A62" s="109">
        <v>8984188000161</v>
      </c>
      <c r="B62" s="110" t="s">
        <v>33</v>
      </c>
      <c r="C62" s="110" t="s">
        <v>1095</v>
      </c>
      <c r="D62" s="111" t="s">
        <v>1069</v>
      </c>
      <c r="E62" s="112"/>
      <c r="F62" s="113" t="s">
        <v>1099</v>
      </c>
      <c r="G62" s="113">
        <v>2267.0005390399997</v>
      </c>
      <c r="H62" s="113">
        <v>2487.42375421201</v>
      </c>
      <c r="I62" s="113">
        <v>4754.4242932520101</v>
      </c>
    </row>
    <row r="63" spans="1:9" x14ac:dyDescent="0.35">
      <c r="A63" s="109">
        <v>2956282000120</v>
      </c>
      <c r="B63" s="110" t="s">
        <v>9</v>
      </c>
      <c r="C63" s="110" t="s">
        <v>1095</v>
      </c>
      <c r="D63" s="111" t="s">
        <v>1069</v>
      </c>
      <c r="E63" s="112"/>
      <c r="F63" s="113" t="s">
        <v>1099</v>
      </c>
      <c r="G63" s="113">
        <v>4965.3130920699996</v>
      </c>
      <c r="H63" s="113">
        <v>1645.9585184170498</v>
      </c>
      <c r="I63" s="113">
        <v>6611.2716104870497</v>
      </c>
    </row>
    <row r="64" spans="1:9" x14ac:dyDescent="0.35">
      <c r="A64" s="109">
        <v>59824286000172</v>
      </c>
      <c r="B64" s="110" t="s">
        <v>36</v>
      </c>
      <c r="C64" s="110" t="s">
        <v>1095</v>
      </c>
      <c r="D64" s="111" t="s">
        <v>1069</v>
      </c>
      <c r="E64" s="112"/>
      <c r="F64" s="113" t="s">
        <v>1099</v>
      </c>
      <c r="G64" s="113">
        <v>711.83646707999992</v>
      </c>
      <c r="H64" s="113">
        <v>1240.9204931738868</v>
      </c>
      <c r="I64" s="113">
        <v>1952.7569602538867</v>
      </c>
    </row>
    <row r="65" spans="1:9" x14ac:dyDescent="0.35">
      <c r="A65" s="109">
        <v>15463847000180</v>
      </c>
      <c r="B65" s="110" t="s">
        <v>36</v>
      </c>
      <c r="C65" s="110" t="s">
        <v>1095</v>
      </c>
      <c r="D65" s="111" t="s">
        <v>1069</v>
      </c>
      <c r="E65" s="112"/>
      <c r="F65" s="113" t="s">
        <v>1099</v>
      </c>
      <c r="G65" s="113">
        <v>3801.0166288399996</v>
      </c>
      <c r="H65" s="113">
        <v>2442.5675637569402</v>
      </c>
      <c r="I65" s="113">
        <v>6243.5841925969398</v>
      </c>
    </row>
    <row r="66" spans="1:9" x14ac:dyDescent="0.35">
      <c r="A66" s="109">
        <v>20884408000180</v>
      </c>
      <c r="B66" s="110" t="s">
        <v>9</v>
      </c>
      <c r="C66" s="110" t="s">
        <v>1095</v>
      </c>
      <c r="D66" s="111" t="s">
        <v>1069</v>
      </c>
      <c r="E66" s="112"/>
      <c r="F66" s="113" t="s">
        <v>1099</v>
      </c>
      <c r="G66" s="113">
        <v>19432.953002150003</v>
      </c>
      <c r="H66" s="113">
        <v>9033.5961801706217</v>
      </c>
      <c r="I66" s="113">
        <v>28466.549182320625</v>
      </c>
    </row>
    <row r="67" spans="1:9" x14ac:dyDescent="0.35">
      <c r="A67" s="109">
        <v>30455750000119</v>
      </c>
      <c r="B67" s="110" t="s">
        <v>16</v>
      </c>
      <c r="C67" s="110" t="s">
        <v>1095</v>
      </c>
      <c r="D67" s="111" t="s">
        <v>1069</v>
      </c>
      <c r="E67" s="112"/>
      <c r="F67" s="113" t="s">
        <v>1099</v>
      </c>
      <c r="G67" s="113">
        <v>132.83440264000004</v>
      </c>
      <c r="H67" s="113">
        <v>1097.868019613084</v>
      </c>
      <c r="I67" s="113">
        <v>1230.702422253084</v>
      </c>
    </row>
    <row r="68" spans="1:9" x14ac:dyDescent="0.35">
      <c r="A68" s="109">
        <v>5382051000149</v>
      </c>
      <c r="B68" s="110" t="s">
        <v>36</v>
      </c>
      <c r="C68" s="110" t="s">
        <v>1095</v>
      </c>
      <c r="D68" s="111" t="s">
        <v>1069</v>
      </c>
      <c r="E68" s="112"/>
      <c r="F68" s="113" t="s">
        <v>1099</v>
      </c>
      <c r="G68" s="113">
        <v>335.43535229999998</v>
      </c>
      <c r="H68" s="113">
        <v>119.33284669955992</v>
      </c>
      <c r="I68" s="113">
        <v>454.7681989995599</v>
      </c>
    </row>
    <row r="69" spans="1:9" x14ac:dyDescent="0.35">
      <c r="A69" s="109">
        <v>22646643000140</v>
      </c>
      <c r="B69" s="110" t="s">
        <v>20</v>
      </c>
      <c r="C69" s="110" t="s">
        <v>1097</v>
      </c>
      <c r="D69" s="111" t="s">
        <v>1069</v>
      </c>
      <c r="E69" s="112"/>
      <c r="F69" s="113" t="s">
        <v>1099</v>
      </c>
      <c r="G69" s="113">
        <v>2630.2106807999999</v>
      </c>
      <c r="H69" s="113">
        <v>3160.1800106534401</v>
      </c>
      <c r="I69" s="113">
        <v>5790.39069145344</v>
      </c>
    </row>
    <row r="70" spans="1:9" x14ac:dyDescent="0.35">
      <c r="A70" s="109">
        <v>62623466000109</v>
      </c>
      <c r="B70" s="110" t="s">
        <v>20</v>
      </c>
      <c r="C70" s="110" t="s">
        <v>1097</v>
      </c>
      <c r="D70" s="111" t="s">
        <v>1069</v>
      </c>
      <c r="E70" s="112"/>
      <c r="F70" s="113" t="s">
        <v>1099</v>
      </c>
      <c r="G70" s="113">
        <v>135.50115285999999</v>
      </c>
      <c r="H70" s="113">
        <v>214.497357231607</v>
      </c>
      <c r="I70" s="113">
        <v>349.99851009160699</v>
      </c>
    </row>
    <row r="71" spans="1:9" x14ac:dyDescent="0.35">
      <c r="A71" s="109">
        <v>19436791000125</v>
      </c>
      <c r="B71" s="110" t="s">
        <v>9</v>
      </c>
      <c r="C71" s="110" t="s">
        <v>1095</v>
      </c>
      <c r="D71" s="111" t="s">
        <v>1069</v>
      </c>
      <c r="E71" s="112" t="s">
        <v>996</v>
      </c>
      <c r="F71" s="113" t="s">
        <v>1098</v>
      </c>
      <c r="G71" s="113">
        <v>5495.2597281899998</v>
      </c>
      <c r="H71" s="113">
        <v>4505.8208417017495</v>
      </c>
      <c r="I71" s="113">
        <v>10001.08056989175</v>
      </c>
    </row>
    <row r="72" spans="1:9" x14ac:dyDescent="0.35">
      <c r="A72" s="109">
        <v>24415425000120</v>
      </c>
      <c r="B72" s="110" t="s">
        <v>16</v>
      </c>
      <c r="C72" s="110" t="s">
        <v>1095</v>
      </c>
      <c r="D72" s="111" t="s">
        <v>1069</v>
      </c>
      <c r="E72" s="112"/>
      <c r="F72" s="113" t="s">
        <v>1099</v>
      </c>
      <c r="G72" s="113">
        <v>723.01938497999993</v>
      </c>
      <c r="H72" s="113">
        <v>1817.2136329481</v>
      </c>
      <c r="I72" s="113">
        <v>2540.2330179280998</v>
      </c>
    </row>
    <row r="73" spans="1:9" x14ac:dyDescent="0.35">
      <c r="A73" s="109">
        <v>8596888000189</v>
      </c>
      <c r="B73" s="110" t="s">
        <v>16</v>
      </c>
      <c r="C73" s="110" t="s">
        <v>1095</v>
      </c>
      <c r="D73" s="111" t="s">
        <v>1069</v>
      </c>
      <c r="E73" s="112"/>
      <c r="F73" s="113" t="s">
        <v>1099</v>
      </c>
      <c r="G73" s="113">
        <v>4049.4754072699993</v>
      </c>
      <c r="H73" s="113">
        <v>1136.722895048455</v>
      </c>
      <c r="I73" s="113">
        <v>5186.1983023184548</v>
      </c>
    </row>
    <row r="74" spans="1:9" x14ac:dyDescent="0.35">
      <c r="A74" s="109">
        <v>2441488000118</v>
      </c>
      <c r="B74" s="110" t="s">
        <v>36</v>
      </c>
      <c r="C74" s="110" t="s">
        <v>1095</v>
      </c>
      <c r="D74" s="111" t="s">
        <v>1069</v>
      </c>
      <c r="E74" s="112"/>
      <c r="F74" s="113" t="s">
        <v>1099</v>
      </c>
      <c r="G74" s="113">
        <v>1566.0266862300002</v>
      </c>
      <c r="H74" s="113">
        <v>1512.19691131646</v>
      </c>
      <c r="I74" s="113">
        <v>3078.22359754646</v>
      </c>
    </row>
    <row r="75" spans="1:9" x14ac:dyDescent="0.35">
      <c r="A75" s="109">
        <v>3377845000199</v>
      </c>
      <c r="B75" s="110" t="s">
        <v>20</v>
      </c>
      <c r="C75" s="110" t="s">
        <v>1097</v>
      </c>
      <c r="D75" s="111" t="s">
        <v>1069</v>
      </c>
      <c r="E75" s="112"/>
      <c r="F75" s="113" t="s">
        <v>1099</v>
      </c>
      <c r="G75" s="113">
        <v>5361.9105417199989</v>
      </c>
      <c r="H75" s="113">
        <v>5233.6715167059901</v>
      </c>
      <c r="I75" s="113">
        <v>10595.582058425989</v>
      </c>
    </row>
    <row r="76" spans="1:9" x14ac:dyDescent="0.35">
      <c r="A76" s="109">
        <v>3744695000104</v>
      </c>
      <c r="B76" s="110" t="s">
        <v>36</v>
      </c>
      <c r="C76" s="110" t="s">
        <v>1095</v>
      </c>
      <c r="D76" s="111" t="s">
        <v>1069</v>
      </c>
      <c r="E76" s="112"/>
      <c r="F76" s="113" t="s">
        <v>1099</v>
      </c>
      <c r="G76" s="113">
        <v>1828.9770130299999</v>
      </c>
      <c r="H76" s="113">
        <v>1019.0568230117279</v>
      </c>
      <c r="I76" s="113">
        <v>2848.0338360417277</v>
      </c>
    </row>
    <row r="77" spans="1:9" x14ac:dyDescent="0.35">
      <c r="A77" s="109">
        <v>15532062000111</v>
      </c>
      <c r="B77" s="110" t="s">
        <v>20</v>
      </c>
      <c r="C77" s="110" t="s">
        <v>1097</v>
      </c>
      <c r="D77" s="111" t="s">
        <v>1069</v>
      </c>
      <c r="E77" s="112"/>
      <c r="F77" s="113" t="s">
        <v>1099</v>
      </c>
      <c r="G77" s="113">
        <v>5273.8941240499989</v>
      </c>
      <c r="H77" s="113">
        <v>6620.0078842916191</v>
      </c>
      <c r="I77" s="113">
        <v>11893.902008341618</v>
      </c>
    </row>
    <row r="78" spans="1:9" x14ac:dyDescent="0.35">
      <c r="A78" s="109">
        <v>9516908000127</v>
      </c>
      <c r="B78" s="110" t="s">
        <v>16</v>
      </c>
      <c r="C78" s="110" t="s">
        <v>1095</v>
      </c>
      <c r="D78" s="111" t="s">
        <v>1069</v>
      </c>
      <c r="E78" s="112"/>
      <c r="F78" s="113" t="s">
        <v>1099</v>
      </c>
      <c r="G78" s="113">
        <v>4321.9904884799998</v>
      </c>
      <c r="H78" s="113">
        <v>1928.9668785639399</v>
      </c>
      <c r="I78" s="113">
        <v>6250.9573670439395</v>
      </c>
    </row>
    <row r="79" spans="1:9" x14ac:dyDescent="0.35">
      <c r="A79" s="109">
        <v>7110508000191</v>
      </c>
      <c r="B79" s="110" t="s">
        <v>20</v>
      </c>
      <c r="C79" s="110" t="s">
        <v>1097</v>
      </c>
      <c r="D79" s="111" t="s">
        <v>1069</v>
      </c>
      <c r="E79" s="112"/>
      <c r="F79" s="113" t="s">
        <v>1099</v>
      </c>
      <c r="G79" s="113">
        <v>4250.7356681299998</v>
      </c>
      <c r="H79" s="113">
        <v>3480.9898238184596</v>
      </c>
      <c r="I79" s="113">
        <v>7731.7254919484594</v>
      </c>
    </row>
    <row r="80" spans="1:9" x14ac:dyDescent="0.35">
      <c r="A80" s="109">
        <v>3836752000185</v>
      </c>
      <c r="B80" s="110" t="s">
        <v>36</v>
      </c>
      <c r="C80" s="110" t="s">
        <v>1095</v>
      </c>
      <c r="D80" s="111" t="s">
        <v>1069</v>
      </c>
      <c r="E80" s="112"/>
      <c r="F80" s="113" t="s">
        <v>1099</v>
      </c>
      <c r="G80" s="113">
        <v>3363.0767376299996</v>
      </c>
      <c r="H80" s="113">
        <v>2614.7817065010395</v>
      </c>
      <c r="I80" s="113">
        <v>5977.8584441310395</v>
      </c>
    </row>
    <row r="81" spans="1:9" x14ac:dyDescent="0.35">
      <c r="A81" s="109">
        <v>5112326000205</v>
      </c>
      <c r="B81" s="110" t="s">
        <v>36</v>
      </c>
      <c r="C81" s="110" t="s">
        <v>1095</v>
      </c>
      <c r="D81" s="111" t="s">
        <v>1069</v>
      </c>
      <c r="E81" s="112" t="s">
        <v>319</v>
      </c>
      <c r="F81" s="113" t="s">
        <v>1098</v>
      </c>
      <c r="G81" s="113">
        <v>593.28376877000005</v>
      </c>
      <c r="H81" s="113">
        <v>564.93465451783004</v>
      </c>
      <c r="I81" s="113">
        <v>1158.2184232878301</v>
      </c>
    </row>
    <row r="82" spans="1:9" x14ac:dyDescent="0.35">
      <c r="A82" s="109">
        <v>5112326000396</v>
      </c>
      <c r="B82" s="110" t="s">
        <v>36</v>
      </c>
      <c r="C82" s="110" t="s">
        <v>1095</v>
      </c>
      <c r="D82" s="111" t="s">
        <v>1069</v>
      </c>
      <c r="E82" s="112" t="s">
        <v>319</v>
      </c>
      <c r="F82" s="113" t="s">
        <v>1098</v>
      </c>
      <c r="G82" s="113">
        <v>595.72176360000003</v>
      </c>
      <c r="H82" s="113">
        <v>1328.947689517765</v>
      </c>
      <c r="I82" s="113">
        <v>1924.669453117765</v>
      </c>
    </row>
    <row r="83" spans="1:9" x14ac:dyDescent="0.35">
      <c r="A83" s="109">
        <v>12104635000118</v>
      </c>
      <c r="B83" s="110" t="s">
        <v>36</v>
      </c>
      <c r="C83" s="110" t="s">
        <v>1095</v>
      </c>
      <c r="D83" s="111" t="s">
        <v>1069</v>
      </c>
      <c r="E83" s="112" t="s">
        <v>319</v>
      </c>
      <c r="F83" s="113" t="s">
        <v>1098</v>
      </c>
      <c r="G83" s="113">
        <v>411.14809566999998</v>
      </c>
      <c r="H83" s="113">
        <v>1017.5679079195761</v>
      </c>
      <c r="I83" s="113">
        <v>1428.7160035895761</v>
      </c>
    </row>
    <row r="84" spans="1:9" x14ac:dyDescent="0.35">
      <c r="A84" s="109">
        <v>12564855000124</v>
      </c>
      <c r="B84" s="110" t="s">
        <v>36</v>
      </c>
      <c r="C84" s="110" t="s">
        <v>1095</v>
      </c>
      <c r="D84" s="111" t="s">
        <v>1069</v>
      </c>
      <c r="E84" s="112" t="s">
        <v>319</v>
      </c>
      <c r="F84" s="113" t="s">
        <v>1098</v>
      </c>
      <c r="G84" s="113">
        <v>3329.8128893699995</v>
      </c>
      <c r="H84" s="113">
        <v>4893.6171228854701</v>
      </c>
      <c r="I84" s="113">
        <v>8223.4300122554705</v>
      </c>
    </row>
    <row r="85" spans="1:9" x14ac:dyDescent="0.35">
      <c r="A85" s="109">
        <v>193631000174</v>
      </c>
      <c r="B85" s="110" t="s">
        <v>20</v>
      </c>
      <c r="C85" s="110" t="s">
        <v>1097</v>
      </c>
      <c r="D85" s="111" t="s">
        <v>1069</v>
      </c>
      <c r="E85" s="112"/>
      <c r="F85" s="113" t="s">
        <v>1099</v>
      </c>
      <c r="G85" s="113">
        <v>2737.4231648600003</v>
      </c>
      <c r="H85" s="113">
        <v>1447.162468650951</v>
      </c>
      <c r="I85" s="113">
        <v>4184.5856335109511</v>
      </c>
    </row>
    <row r="86" spans="1:9" x14ac:dyDescent="0.35">
      <c r="A86" s="109">
        <v>388531000101</v>
      </c>
      <c r="B86" s="110" t="s">
        <v>20</v>
      </c>
      <c r="C86" s="110" t="s">
        <v>1097</v>
      </c>
      <c r="D86" s="111" t="s">
        <v>1069</v>
      </c>
      <c r="E86" s="112"/>
      <c r="F86" s="113" t="s">
        <v>1099</v>
      </c>
      <c r="G86" s="113">
        <v>932.45027407999999</v>
      </c>
      <c r="H86" s="113">
        <v>2286.73515461648</v>
      </c>
      <c r="I86" s="113">
        <v>3219.1854286964799</v>
      </c>
    </row>
    <row r="87" spans="1:9" x14ac:dyDescent="0.35">
      <c r="A87" s="109">
        <v>569000000107</v>
      </c>
      <c r="B87" s="110" t="s">
        <v>38</v>
      </c>
      <c r="C87" s="110" t="s">
        <v>1095</v>
      </c>
      <c r="D87" s="111" t="s">
        <v>1069</v>
      </c>
      <c r="E87" s="112"/>
      <c r="F87" s="113" t="s">
        <v>1099</v>
      </c>
      <c r="G87" s="113">
        <v>1147.1121232</v>
      </c>
      <c r="H87" s="113">
        <v>1249.7818613840532</v>
      </c>
      <c r="I87" s="113">
        <v>2396.8939845840532</v>
      </c>
    </row>
    <row r="88" spans="1:9" x14ac:dyDescent="0.35">
      <c r="A88" s="109">
        <v>779082000114</v>
      </c>
      <c r="B88" s="110" t="s">
        <v>16</v>
      </c>
      <c r="C88" s="110" t="s">
        <v>1095</v>
      </c>
      <c r="D88" s="111" t="s">
        <v>1069</v>
      </c>
      <c r="E88" s="112"/>
      <c r="F88" s="113" t="s">
        <v>1099</v>
      </c>
      <c r="G88" s="113">
        <v>3797.3683224699998</v>
      </c>
      <c r="H88" s="113">
        <v>2964.5188149851801</v>
      </c>
      <c r="I88" s="113">
        <v>6761.88713745518</v>
      </c>
    </row>
    <row r="89" spans="1:9" x14ac:dyDescent="0.35">
      <c r="A89" s="109">
        <v>818504000113</v>
      </c>
      <c r="B89" s="110" t="s">
        <v>20</v>
      </c>
      <c r="C89" s="110" t="s">
        <v>1097</v>
      </c>
      <c r="D89" s="111" t="s">
        <v>1069</v>
      </c>
      <c r="E89" s="112"/>
      <c r="F89" s="113" t="s">
        <v>1099</v>
      </c>
      <c r="G89" s="113">
        <v>1104.92214554</v>
      </c>
      <c r="H89" s="113">
        <v>954.10114805743706</v>
      </c>
      <c r="I89" s="113">
        <v>2059.0232935974373</v>
      </c>
    </row>
    <row r="90" spans="1:9" x14ac:dyDescent="0.35">
      <c r="A90" s="109">
        <v>982959000170</v>
      </c>
      <c r="B90" s="110" t="s">
        <v>20</v>
      </c>
      <c r="C90" s="110" t="s">
        <v>1097</v>
      </c>
      <c r="D90" s="111" t="s">
        <v>1069</v>
      </c>
      <c r="E90" s="112"/>
      <c r="F90" s="113" t="s">
        <v>1099</v>
      </c>
      <c r="G90" s="113">
        <v>5634.0700324000009</v>
      </c>
      <c r="H90" s="113">
        <v>3461.1907844879402</v>
      </c>
      <c r="I90" s="113">
        <v>9095.2608168879415</v>
      </c>
    </row>
    <row r="91" spans="1:9" x14ac:dyDescent="0.35">
      <c r="A91" s="109">
        <v>1090014000106</v>
      </c>
      <c r="B91" s="110" t="s">
        <v>36</v>
      </c>
      <c r="C91" s="110" t="s">
        <v>1095</v>
      </c>
      <c r="D91" s="111" t="s">
        <v>1069</v>
      </c>
      <c r="E91" s="112"/>
      <c r="F91" s="113" t="s">
        <v>1099</v>
      </c>
      <c r="G91" s="113">
        <v>370.15495155000002</v>
      </c>
      <c r="H91" s="113">
        <v>626.75790316153109</v>
      </c>
      <c r="I91" s="113">
        <v>996.91285471153105</v>
      </c>
    </row>
    <row r="92" spans="1:9" x14ac:dyDescent="0.35">
      <c r="A92" s="109">
        <v>1756694000154</v>
      </c>
      <c r="B92" s="110" t="s">
        <v>33</v>
      </c>
      <c r="C92" s="110" t="s">
        <v>1095</v>
      </c>
      <c r="D92" s="111" t="s">
        <v>1069</v>
      </c>
      <c r="E92" s="112"/>
      <c r="F92" s="113" t="s">
        <v>1099</v>
      </c>
      <c r="G92" s="113">
        <v>1756.8350186</v>
      </c>
      <c r="H92" s="113">
        <v>1177.9760844380799</v>
      </c>
      <c r="I92" s="113">
        <v>2934.8111030380796</v>
      </c>
    </row>
    <row r="93" spans="1:9" x14ac:dyDescent="0.35">
      <c r="A93" s="109">
        <v>3940865000126</v>
      </c>
      <c r="B93" s="110" t="s">
        <v>74</v>
      </c>
      <c r="C93" s="110" t="s">
        <v>1095</v>
      </c>
      <c r="D93" s="111" t="s">
        <v>1069</v>
      </c>
      <c r="E93" s="112"/>
      <c r="F93" s="113" t="s">
        <v>1099</v>
      </c>
      <c r="G93" s="113">
        <v>1530.46163604</v>
      </c>
      <c r="H93" s="113">
        <v>3043.5436185565104</v>
      </c>
      <c r="I93" s="113">
        <v>4574.00525459651</v>
      </c>
    </row>
    <row r="94" spans="1:9" x14ac:dyDescent="0.35">
      <c r="A94" s="109">
        <v>3961703000174</v>
      </c>
      <c r="B94" s="110" t="s">
        <v>36</v>
      </c>
      <c r="C94" s="110" t="s">
        <v>1095</v>
      </c>
      <c r="D94" s="111" t="s">
        <v>1069</v>
      </c>
      <c r="E94" s="112"/>
      <c r="F94" s="113" t="s">
        <v>1099</v>
      </c>
      <c r="G94" s="113">
        <v>2260.3981703099998</v>
      </c>
      <c r="H94" s="113">
        <v>1414.2194810567471</v>
      </c>
      <c r="I94" s="113">
        <v>3674.6176513667469</v>
      </c>
    </row>
    <row r="95" spans="1:9" x14ac:dyDescent="0.35">
      <c r="A95" s="109">
        <v>4745484000159</v>
      </c>
      <c r="B95" s="110" t="s">
        <v>20</v>
      </c>
      <c r="C95" s="110" t="s">
        <v>1097</v>
      </c>
      <c r="D95" s="111" t="s">
        <v>1069</v>
      </c>
      <c r="E95" s="112"/>
      <c r="F95" s="113" t="s">
        <v>1099</v>
      </c>
      <c r="G95" s="113">
        <v>4777.14954072</v>
      </c>
      <c r="H95" s="113">
        <v>6625.0955748462902</v>
      </c>
      <c r="I95" s="113">
        <v>11402.245115566289</v>
      </c>
    </row>
    <row r="96" spans="1:9" x14ac:dyDescent="0.35">
      <c r="A96" s="109">
        <v>4994525000140</v>
      </c>
      <c r="B96" s="110" t="s">
        <v>20</v>
      </c>
      <c r="C96" s="110" t="s">
        <v>1097</v>
      </c>
      <c r="D96" s="111" t="s">
        <v>1069</v>
      </c>
      <c r="E96" s="112"/>
      <c r="F96" s="113" t="s">
        <v>1099</v>
      </c>
      <c r="G96" s="113">
        <v>2343.9240626700002</v>
      </c>
      <c r="H96" s="113">
        <v>1525.47006680809</v>
      </c>
      <c r="I96" s="113">
        <v>3869.3941294780902</v>
      </c>
    </row>
    <row r="97" spans="1:9" x14ac:dyDescent="0.35">
      <c r="A97" s="109">
        <v>5015978000140</v>
      </c>
      <c r="B97" s="110" t="s">
        <v>36</v>
      </c>
      <c r="C97" s="110" t="s">
        <v>1095</v>
      </c>
      <c r="D97" s="111" t="s">
        <v>1069</v>
      </c>
      <c r="E97" s="112"/>
      <c r="F97" s="113" t="s">
        <v>1099</v>
      </c>
      <c r="G97" s="113">
        <v>336.16386696000001</v>
      </c>
      <c r="H97" s="113">
        <v>414.03196603178804</v>
      </c>
      <c r="I97" s="113">
        <v>750.19583299178805</v>
      </c>
    </row>
    <row r="98" spans="1:9" x14ac:dyDescent="0.35">
      <c r="A98" s="109">
        <v>5052802000169</v>
      </c>
      <c r="B98" s="110" t="s">
        <v>16</v>
      </c>
      <c r="C98" s="110" t="s">
        <v>1095</v>
      </c>
      <c r="D98" s="111" t="s">
        <v>1069</v>
      </c>
      <c r="E98" s="112"/>
      <c r="F98" s="113" t="s">
        <v>1099</v>
      </c>
      <c r="G98" s="113">
        <v>3562.7720407699999</v>
      </c>
      <c r="H98" s="113">
        <v>1824.33272845387</v>
      </c>
      <c r="I98" s="113">
        <v>5387.1047692238699</v>
      </c>
    </row>
    <row r="99" spans="1:9" x14ac:dyDescent="0.35">
      <c r="A99" s="109">
        <v>8226395000157</v>
      </c>
      <c r="B99" s="110" t="s">
        <v>36</v>
      </c>
      <c r="C99" s="110" t="s">
        <v>1095</v>
      </c>
      <c r="D99" s="111" t="s">
        <v>1069</v>
      </c>
      <c r="E99" s="112"/>
      <c r="F99" s="113" t="s">
        <v>1099</v>
      </c>
      <c r="G99" s="113">
        <v>1387.2208808699997</v>
      </c>
      <c r="H99" s="113">
        <v>1719.3442214434399</v>
      </c>
      <c r="I99" s="113">
        <v>3106.5651023134396</v>
      </c>
    </row>
    <row r="100" spans="1:9" x14ac:dyDescent="0.35">
      <c r="A100" s="109">
        <v>9165147000106</v>
      </c>
      <c r="B100" s="110" t="s">
        <v>20</v>
      </c>
      <c r="C100" s="110" t="s">
        <v>1097</v>
      </c>
      <c r="D100" s="111" t="s">
        <v>1069</v>
      </c>
      <c r="E100" s="112"/>
      <c r="F100" s="113" t="s">
        <v>1099</v>
      </c>
      <c r="G100" s="113">
        <v>2719.67525011</v>
      </c>
      <c r="H100" s="113">
        <v>2379.0008828506898</v>
      </c>
      <c r="I100" s="113">
        <v>5098.6761329606898</v>
      </c>
    </row>
    <row r="101" spans="1:9" x14ac:dyDescent="0.35">
      <c r="A101" s="109">
        <v>11288508000153</v>
      </c>
      <c r="B101" s="110" t="s">
        <v>16</v>
      </c>
      <c r="C101" s="110" t="s">
        <v>1095</v>
      </c>
      <c r="D101" s="111" t="s">
        <v>1069</v>
      </c>
      <c r="E101" s="112"/>
      <c r="F101" s="113" t="s">
        <v>1099</v>
      </c>
      <c r="G101" s="113">
        <v>3441.0504349600001</v>
      </c>
      <c r="H101" s="113">
        <v>4298.6411331338304</v>
      </c>
      <c r="I101" s="113">
        <v>7739.6915680938309</v>
      </c>
    </row>
    <row r="102" spans="1:9" x14ac:dyDescent="0.35">
      <c r="A102" s="109">
        <v>12090789000106</v>
      </c>
      <c r="B102" s="110" t="s">
        <v>20</v>
      </c>
      <c r="C102" s="110" t="s">
        <v>1097</v>
      </c>
      <c r="D102" s="111" t="s">
        <v>1069</v>
      </c>
      <c r="E102" s="112"/>
      <c r="F102" s="113" t="s">
        <v>1099</v>
      </c>
      <c r="G102" s="113">
        <v>472.96976293</v>
      </c>
      <c r="H102" s="113">
        <v>629.51653525452195</v>
      </c>
      <c r="I102" s="113">
        <v>1102.486298184522</v>
      </c>
    </row>
    <row r="103" spans="1:9" x14ac:dyDescent="0.35">
      <c r="A103" s="109">
        <v>12390379000172</v>
      </c>
      <c r="B103" s="110" t="s">
        <v>33</v>
      </c>
      <c r="C103" s="110" t="s">
        <v>1095</v>
      </c>
      <c r="D103" s="111" t="s">
        <v>1069</v>
      </c>
      <c r="E103" s="112"/>
      <c r="F103" s="113" t="s">
        <v>1099</v>
      </c>
      <c r="G103" s="113">
        <v>822.61035197000012</v>
      </c>
      <c r="H103" s="113">
        <v>1292.8362081732021</v>
      </c>
      <c r="I103" s="113">
        <v>2115.4465601432021</v>
      </c>
    </row>
    <row r="104" spans="1:9" x14ac:dyDescent="0.35">
      <c r="A104" s="109">
        <v>14324344000160</v>
      </c>
      <c r="B104" s="110" t="s">
        <v>932</v>
      </c>
      <c r="C104" s="110" t="s">
        <v>1095</v>
      </c>
      <c r="D104" s="111" t="s">
        <v>1069</v>
      </c>
      <c r="E104" s="112"/>
      <c r="F104" s="113" t="s">
        <v>1099</v>
      </c>
      <c r="G104" s="113">
        <v>895.81042329999991</v>
      </c>
      <c r="H104" s="113">
        <v>554.858324809603</v>
      </c>
      <c r="I104" s="113">
        <v>1450.6687481096028</v>
      </c>
    </row>
    <row r="105" spans="1:9" x14ac:dyDescent="0.35">
      <c r="A105" s="109">
        <v>15302745000182</v>
      </c>
      <c r="B105" s="110" t="s">
        <v>36</v>
      </c>
      <c r="C105" s="110" t="s">
        <v>1095</v>
      </c>
      <c r="D105" s="111" t="s">
        <v>1069</v>
      </c>
      <c r="E105" s="112"/>
      <c r="F105" s="113" t="s">
        <v>1099</v>
      </c>
      <c r="G105" s="113">
        <v>2178.5472066699999</v>
      </c>
      <c r="H105" s="113">
        <v>2000.1455562282499</v>
      </c>
      <c r="I105" s="113">
        <v>4178.6927628982503</v>
      </c>
    </row>
    <row r="106" spans="1:9" x14ac:dyDescent="0.35">
      <c r="A106" s="109">
        <v>15487866000146</v>
      </c>
      <c r="B106" s="110" t="s">
        <v>74</v>
      </c>
      <c r="C106" s="110" t="s">
        <v>1095</v>
      </c>
      <c r="D106" s="111" t="s">
        <v>1069</v>
      </c>
      <c r="E106" s="112"/>
      <c r="F106" s="113" t="s">
        <v>1099</v>
      </c>
      <c r="G106" s="113">
        <v>450.83706595000001</v>
      </c>
      <c r="H106" s="113">
        <v>622.23040987178797</v>
      </c>
      <c r="I106" s="113">
        <v>1073.0674758217879</v>
      </c>
    </row>
    <row r="107" spans="1:9" x14ac:dyDescent="0.35">
      <c r="A107" s="109">
        <v>15900640000125</v>
      </c>
      <c r="B107" s="110" t="s">
        <v>20</v>
      </c>
      <c r="C107" s="110" t="s">
        <v>1097</v>
      </c>
      <c r="D107" s="111" t="s">
        <v>1069</v>
      </c>
      <c r="E107" s="112"/>
      <c r="F107" s="113" t="s">
        <v>1099</v>
      </c>
      <c r="G107" s="113">
        <v>1519.6243824699998</v>
      </c>
      <c r="H107" s="113">
        <v>2250.00486483757</v>
      </c>
      <c r="I107" s="113">
        <v>3769.62924730757</v>
      </c>
    </row>
    <row r="108" spans="1:9" x14ac:dyDescent="0.35">
      <c r="A108" s="109">
        <v>16825373000131</v>
      </c>
      <c r="B108" s="110" t="s">
        <v>20</v>
      </c>
      <c r="C108" s="110" t="s">
        <v>1097</v>
      </c>
      <c r="D108" s="111" t="s">
        <v>1069</v>
      </c>
      <c r="E108" s="112"/>
      <c r="F108" s="113" t="s">
        <v>1099</v>
      </c>
      <c r="G108" s="113">
        <v>15037.1737084</v>
      </c>
      <c r="H108" s="113">
        <v>11446.826057305059</v>
      </c>
      <c r="I108" s="113">
        <v>26483.999765705059</v>
      </c>
    </row>
    <row r="109" spans="1:9" x14ac:dyDescent="0.35">
      <c r="A109" s="109">
        <v>17176661000256</v>
      </c>
      <c r="B109" s="110" t="s">
        <v>36</v>
      </c>
      <c r="C109" s="110" t="s">
        <v>1095</v>
      </c>
      <c r="D109" s="111" t="s">
        <v>1069</v>
      </c>
      <c r="E109" s="112"/>
      <c r="F109" s="113" t="s">
        <v>1099</v>
      </c>
      <c r="G109" s="113">
        <v>543.27672396000003</v>
      </c>
      <c r="H109" s="113">
        <v>508.74298983568201</v>
      </c>
      <c r="I109" s="113">
        <v>1052.019713795682</v>
      </c>
    </row>
    <row r="110" spans="1:9" x14ac:dyDescent="0.35">
      <c r="A110" s="109">
        <v>18569567000149</v>
      </c>
      <c r="B110" s="110" t="s">
        <v>33</v>
      </c>
      <c r="C110" s="110" t="s">
        <v>1095</v>
      </c>
      <c r="D110" s="111" t="s">
        <v>1069</v>
      </c>
      <c r="E110" s="112"/>
      <c r="F110" s="113" t="s">
        <v>1099</v>
      </c>
      <c r="G110" s="113">
        <v>891.65860584000006</v>
      </c>
      <c r="H110" s="113">
        <v>865.58582921526909</v>
      </c>
      <c r="I110" s="113">
        <v>1757.2444350552692</v>
      </c>
    </row>
    <row r="111" spans="1:9" x14ac:dyDescent="0.35">
      <c r="A111" s="109">
        <v>20412740000142</v>
      </c>
      <c r="B111" s="110" t="s">
        <v>20</v>
      </c>
      <c r="C111" s="110" t="s">
        <v>1097</v>
      </c>
      <c r="D111" s="111" t="s">
        <v>1069</v>
      </c>
      <c r="E111" s="112"/>
      <c r="F111" s="113" t="s">
        <v>1099</v>
      </c>
      <c r="G111" s="113">
        <v>447.52672589999997</v>
      </c>
      <c r="H111" s="113">
        <v>892.76581529276496</v>
      </c>
      <c r="I111" s="113">
        <v>1340.2925411927649</v>
      </c>
    </row>
    <row r="112" spans="1:9" x14ac:dyDescent="0.35">
      <c r="A112" s="109">
        <v>20750641000170</v>
      </c>
      <c r="B112" s="110" t="s">
        <v>20</v>
      </c>
      <c r="C112" s="110" t="s">
        <v>1097</v>
      </c>
      <c r="D112" s="111" t="s">
        <v>1069</v>
      </c>
      <c r="E112" s="112"/>
      <c r="F112" s="113" t="s">
        <v>1099</v>
      </c>
      <c r="G112" s="113">
        <v>2908.3123892999997</v>
      </c>
      <c r="H112" s="113">
        <v>1914.4546336712999</v>
      </c>
      <c r="I112" s="113">
        <v>4822.7670229712994</v>
      </c>
    </row>
    <row r="113" spans="1:9" x14ac:dyDescent="0.35">
      <c r="A113" s="109">
        <v>21996240000168</v>
      </c>
      <c r="B113" s="110" t="s">
        <v>36</v>
      </c>
      <c r="C113" s="110" t="s">
        <v>1095</v>
      </c>
      <c r="D113" s="111" t="s">
        <v>1069</v>
      </c>
      <c r="E113" s="112"/>
      <c r="F113" s="113" t="s">
        <v>1099</v>
      </c>
      <c r="G113" s="113">
        <v>1843.23101479</v>
      </c>
      <c r="H113" s="113">
        <v>1922.37986641562</v>
      </c>
      <c r="I113" s="113">
        <v>3765.61088120562</v>
      </c>
    </row>
    <row r="114" spans="1:9" x14ac:dyDescent="0.35">
      <c r="A114" s="109">
        <v>23566528000128</v>
      </c>
      <c r="B114" s="110" t="s">
        <v>16</v>
      </c>
      <c r="C114" s="110" t="s">
        <v>1095</v>
      </c>
      <c r="D114" s="111" t="s">
        <v>1069</v>
      </c>
      <c r="E114" s="112"/>
      <c r="F114" s="113" t="s">
        <v>1099</v>
      </c>
      <c r="G114" s="113">
        <v>2162.1245764599998</v>
      </c>
      <c r="H114" s="113">
        <v>2232.0221801472298</v>
      </c>
      <c r="I114" s="113">
        <v>4394.1467566072297</v>
      </c>
    </row>
    <row r="115" spans="1:9" x14ac:dyDescent="0.35">
      <c r="A115" s="109">
        <v>23866159000199</v>
      </c>
      <c r="B115" s="110" t="s">
        <v>36</v>
      </c>
      <c r="C115" s="110" t="s">
        <v>1095</v>
      </c>
      <c r="D115" s="111" t="s">
        <v>1069</v>
      </c>
      <c r="E115" s="112"/>
      <c r="F115" s="113" t="s">
        <v>1099</v>
      </c>
      <c r="G115" s="113">
        <v>1050.0261146600001</v>
      </c>
      <c r="H115" s="113">
        <v>1305.316956818793</v>
      </c>
      <c r="I115" s="113">
        <v>2355.3430714787928</v>
      </c>
    </row>
    <row r="116" spans="1:9" x14ac:dyDescent="0.35">
      <c r="A116" s="109">
        <v>24217601000119</v>
      </c>
      <c r="B116" s="110" t="s">
        <v>20</v>
      </c>
      <c r="C116" s="110" t="s">
        <v>1097</v>
      </c>
      <c r="D116" s="111" t="s">
        <v>1069</v>
      </c>
      <c r="E116" s="112"/>
      <c r="F116" s="113" t="s">
        <v>1099</v>
      </c>
      <c r="G116" s="113">
        <v>658.80732025999998</v>
      </c>
      <c r="H116" s="113">
        <v>1617.01587726146</v>
      </c>
      <c r="I116" s="113">
        <v>2275.8231975214599</v>
      </c>
    </row>
    <row r="117" spans="1:9" x14ac:dyDescent="0.35">
      <c r="A117" s="109">
        <v>24385511000137</v>
      </c>
      <c r="B117" s="110" t="s">
        <v>20</v>
      </c>
      <c r="C117" s="110" t="s">
        <v>1097</v>
      </c>
      <c r="D117" s="111" t="s">
        <v>1069</v>
      </c>
      <c r="E117" s="112"/>
      <c r="F117" s="113" t="s">
        <v>1099</v>
      </c>
      <c r="G117" s="113">
        <v>1287.3338671500001</v>
      </c>
      <c r="H117" s="113">
        <v>681.01653881433595</v>
      </c>
      <c r="I117" s="113">
        <v>1968.350405964336</v>
      </c>
    </row>
    <row r="118" spans="1:9" x14ac:dyDescent="0.35">
      <c r="A118" s="109">
        <v>24415425000200</v>
      </c>
      <c r="B118" s="110" t="s">
        <v>16</v>
      </c>
      <c r="C118" s="110" t="s">
        <v>1095</v>
      </c>
      <c r="D118" s="111" t="s">
        <v>1069</v>
      </c>
      <c r="E118" s="112"/>
      <c r="F118" s="113" t="s">
        <v>1099</v>
      </c>
      <c r="G118" s="113">
        <v>875.54610850000006</v>
      </c>
      <c r="H118" s="113">
        <v>1375.4665816819211</v>
      </c>
      <c r="I118" s="113">
        <v>2251.0126901819212</v>
      </c>
    </row>
    <row r="119" spans="1:9" x14ac:dyDescent="0.35">
      <c r="A119" s="109">
        <v>26851782000166</v>
      </c>
      <c r="B119" s="110" t="s">
        <v>20</v>
      </c>
      <c r="C119" s="110" t="s">
        <v>1097</v>
      </c>
      <c r="D119" s="111" t="s">
        <v>1069</v>
      </c>
      <c r="E119" s="112"/>
      <c r="F119" s="113" t="s">
        <v>1099</v>
      </c>
      <c r="G119" s="113">
        <v>771.01426681999999</v>
      </c>
      <c r="H119" s="113">
        <v>1049.9713479639988</v>
      </c>
      <c r="I119" s="113">
        <v>1820.9856147839987</v>
      </c>
    </row>
    <row r="120" spans="1:9" x14ac:dyDescent="0.35">
      <c r="A120" s="109">
        <v>26860338000107</v>
      </c>
      <c r="B120" s="110" t="s">
        <v>36</v>
      </c>
      <c r="C120" s="110" t="s">
        <v>1095</v>
      </c>
      <c r="D120" s="111" t="s">
        <v>1069</v>
      </c>
      <c r="E120" s="112"/>
      <c r="F120" s="113" t="s">
        <v>1099</v>
      </c>
      <c r="G120" s="113">
        <v>1202.84158015</v>
      </c>
      <c r="H120" s="113">
        <v>1256.1953320686221</v>
      </c>
      <c r="I120" s="113">
        <v>2459.0369122186221</v>
      </c>
    </row>
    <row r="121" spans="1:9" x14ac:dyDescent="0.35">
      <c r="A121" s="109">
        <v>30879844000115</v>
      </c>
      <c r="B121" s="110" t="s">
        <v>64</v>
      </c>
      <c r="C121" s="110" t="s">
        <v>1095</v>
      </c>
      <c r="D121" s="111" t="s">
        <v>1069</v>
      </c>
      <c r="E121" s="112"/>
      <c r="F121" s="113" t="s">
        <v>1099</v>
      </c>
      <c r="G121" s="113">
        <v>2872.6391563300003</v>
      </c>
      <c r="H121" s="113">
        <v>2987.69117150597</v>
      </c>
      <c r="I121" s="113">
        <v>5860.3303278359708</v>
      </c>
    </row>
    <row r="122" spans="1:9" x14ac:dyDescent="0.35">
      <c r="A122" s="109">
        <v>30960236000130</v>
      </c>
      <c r="B122" s="110" t="s">
        <v>20</v>
      </c>
      <c r="C122" s="110" t="s">
        <v>1097</v>
      </c>
      <c r="D122" s="111" t="s">
        <v>1069</v>
      </c>
      <c r="E122" s="112"/>
      <c r="F122" s="113" t="s">
        <v>1099</v>
      </c>
      <c r="G122" s="113">
        <v>1466.3453483400001</v>
      </c>
      <c r="H122" s="113">
        <v>1334.79728795185</v>
      </c>
      <c r="I122" s="113">
        <v>2801.1426362918501</v>
      </c>
    </row>
    <row r="123" spans="1:9" x14ac:dyDescent="0.35">
      <c r="A123" s="109">
        <v>32203543000100</v>
      </c>
      <c r="B123" s="110" t="s">
        <v>16</v>
      </c>
      <c r="C123" s="110" t="s">
        <v>1095</v>
      </c>
      <c r="D123" s="111" t="s">
        <v>1069</v>
      </c>
      <c r="E123" s="112"/>
      <c r="F123" s="113" t="s">
        <v>1099</v>
      </c>
      <c r="G123" s="113">
        <v>408.72580651999999</v>
      </c>
      <c r="H123" s="113">
        <v>897.23194411714894</v>
      </c>
      <c r="I123" s="113">
        <v>1305.9577506371488</v>
      </c>
    </row>
    <row r="124" spans="1:9" x14ac:dyDescent="0.35">
      <c r="A124" s="109">
        <v>33193160000153</v>
      </c>
      <c r="B124" s="110" t="s">
        <v>36</v>
      </c>
      <c r="C124" s="110" t="s">
        <v>1095</v>
      </c>
      <c r="D124" s="111" t="s">
        <v>1069</v>
      </c>
      <c r="E124" s="112"/>
      <c r="F124" s="113" t="s">
        <v>1099</v>
      </c>
      <c r="G124" s="113">
        <v>1633.75311551</v>
      </c>
      <c r="H124" s="113">
        <v>1869.6698808184901</v>
      </c>
      <c r="I124" s="113">
        <v>3503.4229963284902</v>
      </c>
    </row>
    <row r="125" spans="1:9" x14ac:dyDescent="0.35">
      <c r="A125" s="109">
        <v>34152830000156</v>
      </c>
      <c r="B125" s="110" t="s">
        <v>16</v>
      </c>
      <c r="C125" s="110" t="s">
        <v>1095</v>
      </c>
      <c r="D125" s="111" t="s">
        <v>1069</v>
      </c>
      <c r="E125" s="112"/>
      <c r="F125" s="113" t="s">
        <v>1099</v>
      </c>
      <c r="G125" s="113">
        <v>1659.7486211999999</v>
      </c>
      <c r="H125" s="113">
        <v>1474.7200850569091</v>
      </c>
      <c r="I125" s="113">
        <v>3134.4687062569092</v>
      </c>
    </row>
    <row r="126" spans="1:9" x14ac:dyDescent="0.35">
      <c r="A126" s="109">
        <v>35835186000183</v>
      </c>
      <c r="B126" s="110" t="s">
        <v>33</v>
      </c>
      <c r="C126" s="110" t="s">
        <v>1095</v>
      </c>
      <c r="D126" s="111" t="s">
        <v>1069</v>
      </c>
      <c r="E126" s="112"/>
      <c r="F126" s="113" t="s">
        <v>1099</v>
      </c>
      <c r="G126" s="113">
        <v>609.23651327999994</v>
      </c>
      <c r="H126" s="113">
        <v>1334.3510673515329</v>
      </c>
      <c r="I126" s="113">
        <v>1943.587580631533</v>
      </c>
    </row>
    <row r="127" spans="1:9" x14ac:dyDescent="0.35">
      <c r="A127" s="109">
        <v>37563038000182</v>
      </c>
      <c r="B127" s="110" t="s">
        <v>16</v>
      </c>
      <c r="C127" s="110" t="s">
        <v>1095</v>
      </c>
      <c r="D127" s="111" t="s">
        <v>1069</v>
      </c>
      <c r="E127" s="112"/>
      <c r="F127" s="113" t="s">
        <v>1099</v>
      </c>
      <c r="G127" s="113">
        <v>323.32089580000024</v>
      </c>
      <c r="H127" s="113">
        <v>163.2961489961726</v>
      </c>
      <c r="I127" s="113">
        <v>486.61704479617288</v>
      </c>
    </row>
    <row r="128" spans="1:9" x14ac:dyDescent="0.35">
      <c r="A128" s="109">
        <v>40627707000147</v>
      </c>
      <c r="B128" s="110" t="s">
        <v>16</v>
      </c>
      <c r="C128" s="110" t="s">
        <v>1095</v>
      </c>
      <c r="D128" s="111" t="s">
        <v>1069</v>
      </c>
      <c r="E128" s="112"/>
      <c r="F128" s="113" t="s">
        <v>1099</v>
      </c>
      <c r="G128" s="113">
        <v>817.17692738999995</v>
      </c>
      <c r="H128" s="113">
        <v>1410.74658558134</v>
      </c>
      <c r="I128" s="113">
        <v>2227.9235129713397</v>
      </c>
    </row>
    <row r="129" spans="1:9" x14ac:dyDescent="0.35">
      <c r="A129" s="109">
        <v>41955400000138</v>
      </c>
      <c r="B129" s="110" t="s">
        <v>20</v>
      </c>
      <c r="C129" s="110" t="s">
        <v>1097</v>
      </c>
      <c r="D129" s="111" t="s">
        <v>1069</v>
      </c>
      <c r="E129" s="112"/>
      <c r="F129" s="113" t="s">
        <v>1099</v>
      </c>
      <c r="G129" s="113">
        <v>1391.60760222</v>
      </c>
      <c r="H129" s="113">
        <v>2354.5548000499002</v>
      </c>
      <c r="I129" s="113">
        <v>3746.1624022699002</v>
      </c>
    </row>
    <row r="130" spans="1:9" x14ac:dyDescent="0.35">
      <c r="A130" s="109">
        <v>42286411000135</v>
      </c>
      <c r="B130" s="110" t="s">
        <v>74</v>
      </c>
      <c r="C130" s="110" t="s">
        <v>1095</v>
      </c>
      <c r="D130" s="111" t="s">
        <v>1069</v>
      </c>
      <c r="E130" s="112"/>
      <c r="F130" s="113" t="s">
        <v>1099</v>
      </c>
      <c r="G130" s="113">
        <v>785.77097463999985</v>
      </c>
      <c r="H130" s="113">
        <v>2305.3449458569798</v>
      </c>
      <c r="I130" s="113">
        <v>3091.1159204969799</v>
      </c>
    </row>
    <row r="131" spans="1:9" x14ac:dyDescent="0.35">
      <c r="A131" s="109">
        <v>44944266000168</v>
      </c>
      <c r="B131" s="110" t="s">
        <v>74</v>
      </c>
      <c r="C131" s="110" t="s">
        <v>1095</v>
      </c>
      <c r="D131" s="111" t="s">
        <v>1069</v>
      </c>
      <c r="E131" s="112"/>
      <c r="F131" s="113" t="s">
        <v>1099</v>
      </c>
      <c r="G131" s="113">
        <v>1504.77006082</v>
      </c>
      <c r="H131" s="113">
        <v>2376.0274056469102</v>
      </c>
      <c r="I131" s="113">
        <v>3880.79746646691</v>
      </c>
    </row>
    <row r="132" spans="1:9" x14ac:dyDescent="0.35">
      <c r="A132" s="109">
        <v>45290499000157</v>
      </c>
      <c r="B132" s="110" t="s">
        <v>16</v>
      </c>
      <c r="C132" s="110" t="s">
        <v>1095</v>
      </c>
      <c r="D132" s="111" t="s">
        <v>1069</v>
      </c>
      <c r="E132" s="112"/>
      <c r="F132" s="113" t="s">
        <v>1099</v>
      </c>
      <c r="G132" s="113">
        <v>3816.6829418400002</v>
      </c>
      <c r="H132" s="113">
        <v>5276.1173623499899</v>
      </c>
      <c r="I132" s="113">
        <v>9092.8003041899901</v>
      </c>
    </row>
    <row r="133" spans="1:9" x14ac:dyDescent="0.35">
      <c r="A133" s="109">
        <v>49672071000120</v>
      </c>
      <c r="B133" s="110" t="s">
        <v>16</v>
      </c>
      <c r="C133" s="110" t="s">
        <v>1095</v>
      </c>
      <c r="D133" s="111" t="s">
        <v>1069</v>
      </c>
      <c r="E133" s="112"/>
      <c r="F133" s="113" t="s">
        <v>1099</v>
      </c>
      <c r="G133" s="113">
        <v>3484.5823915799997</v>
      </c>
      <c r="H133" s="113">
        <v>2812.21990269666</v>
      </c>
      <c r="I133" s="113">
        <v>6296.8022942766602</v>
      </c>
    </row>
    <row r="134" spans="1:9" x14ac:dyDescent="0.35">
      <c r="A134" s="109">
        <v>57862460000146</v>
      </c>
      <c r="B134" s="110" t="s">
        <v>33</v>
      </c>
      <c r="C134" s="110" t="s">
        <v>1095</v>
      </c>
      <c r="D134" s="111" t="s">
        <v>1069</v>
      </c>
      <c r="E134" s="112"/>
      <c r="F134" s="113" t="s">
        <v>1099</v>
      </c>
      <c r="G134" s="113">
        <v>3296.0039628699997</v>
      </c>
      <c r="H134" s="113">
        <v>1612.56773073665</v>
      </c>
      <c r="I134" s="113">
        <v>4908.5716936066492</v>
      </c>
    </row>
    <row r="135" spans="1:9" x14ac:dyDescent="0.35">
      <c r="A135" s="109">
        <v>60919809000143</v>
      </c>
      <c r="B135" s="110" t="s">
        <v>36</v>
      </c>
      <c r="C135" s="110" t="s">
        <v>1095</v>
      </c>
      <c r="D135" s="111" t="s">
        <v>1069</v>
      </c>
      <c r="E135" s="112"/>
      <c r="F135" s="113" t="s">
        <v>1099</v>
      </c>
      <c r="G135" s="113">
        <v>1873.0403032299996</v>
      </c>
      <c r="H135" s="113">
        <v>986.82128039120903</v>
      </c>
      <c r="I135" s="113">
        <v>2859.8615836212084</v>
      </c>
    </row>
    <row r="136" spans="1:9" x14ac:dyDescent="0.35">
      <c r="A136" s="109">
        <v>62811078000143</v>
      </c>
      <c r="B136" s="110" t="s">
        <v>16</v>
      </c>
      <c r="C136" s="110" t="s">
        <v>1095</v>
      </c>
      <c r="D136" s="111" t="s">
        <v>1069</v>
      </c>
      <c r="E136" s="112"/>
      <c r="F136" s="113" t="s">
        <v>1099</v>
      </c>
      <c r="G136" s="113">
        <v>1205.9729159799999</v>
      </c>
      <c r="H136" s="113">
        <v>942.76807341728909</v>
      </c>
      <c r="I136" s="113">
        <v>2148.740989397289</v>
      </c>
    </row>
    <row r="137" spans="1:9" x14ac:dyDescent="0.35">
      <c r="A137" s="109">
        <v>28800059000264</v>
      </c>
      <c r="B137" s="110" t="s">
        <v>20</v>
      </c>
      <c r="C137" s="110" t="s">
        <v>1097</v>
      </c>
      <c r="D137" s="111" t="s">
        <v>1067</v>
      </c>
      <c r="E137" s="112" t="s">
        <v>950</v>
      </c>
      <c r="F137" s="113" t="s">
        <v>1098</v>
      </c>
      <c r="G137" s="113">
        <v>11767.871871949999</v>
      </c>
      <c r="H137" s="113">
        <v>5850.3817815972998</v>
      </c>
      <c r="I137" s="113">
        <v>17618.253653547297</v>
      </c>
    </row>
    <row r="138" spans="1:9" x14ac:dyDescent="0.35">
      <c r="A138" s="109">
        <v>49560389000119</v>
      </c>
      <c r="B138" s="110" t="s">
        <v>36</v>
      </c>
      <c r="C138" s="110" t="s">
        <v>1095</v>
      </c>
      <c r="D138" s="111" t="s">
        <v>1067</v>
      </c>
      <c r="E138" s="112"/>
      <c r="F138" s="113" t="s">
        <v>1100</v>
      </c>
      <c r="G138" s="113">
        <v>0</v>
      </c>
      <c r="H138" s="113">
        <v>221.71608892134191</v>
      </c>
      <c r="I138" s="113">
        <v>221.71608892134191</v>
      </c>
    </row>
    <row r="139" spans="1:9" x14ac:dyDescent="0.35">
      <c r="A139" s="109">
        <v>27960067000124</v>
      </c>
      <c r="B139" s="110" t="s">
        <v>36</v>
      </c>
      <c r="C139" s="110" t="s">
        <v>1095</v>
      </c>
      <c r="D139" s="111" t="s">
        <v>1067</v>
      </c>
      <c r="E139" s="112"/>
      <c r="F139" s="113" t="s">
        <v>1096</v>
      </c>
      <c r="G139" s="113">
        <v>1128.4609417400006</v>
      </c>
      <c r="H139" s="113">
        <v>0</v>
      </c>
      <c r="I139" s="113">
        <v>1128.4609417400006</v>
      </c>
    </row>
    <row r="140" spans="1:9" x14ac:dyDescent="0.35">
      <c r="A140" s="109">
        <v>36728431000116</v>
      </c>
      <c r="B140" s="110" t="s">
        <v>9</v>
      </c>
      <c r="C140" s="110" t="s">
        <v>1095</v>
      </c>
      <c r="D140" s="111" t="s">
        <v>1067</v>
      </c>
      <c r="E140" s="112"/>
      <c r="F140" s="113" t="s">
        <v>1096</v>
      </c>
      <c r="G140" s="113">
        <v>401.76450269999987</v>
      </c>
      <c r="H140" s="113">
        <v>0</v>
      </c>
      <c r="I140" s="113">
        <v>401.76450269999987</v>
      </c>
    </row>
    <row r="141" spans="1:9" x14ac:dyDescent="0.35">
      <c r="A141" s="109">
        <v>23350836000111</v>
      </c>
      <c r="B141" s="110" t="s">
        <v>16</v>
      </c>
      <c r="C141" s="110" t="s">
        <v>1095</v>
      </c>
      <c r="D141" s="111" t="s">
        <v>1067</v>
      </c>
      <c r="E141" s="112"/>
      <c r="F141" s="113" t="s">
        <v>1096</v>
      </c>
      <c r="G141" s="113">
        <v>674.99564817000009</v>
      </c>
      <c r="H141" s="113">
        <v>0</v>
      </c>
      <c r="I141" s="113">
        <v>674.99564817000009</v>
      </c>
    </row>
    <row r="142" spans="1:9" x14ac:dyDescent="0.35">
      <c r="A142" s="109">
        <v>27750605000237</v>
      </c>
      <c r="B142" s="110" t="s">
        <v>16</v>
      </c>
      <c r="C142" s="110" t="s">
        <v>1095</v>
      </c>
      <c r="D142" s="111" t="s">
        <v>1067</v>
      </c>
      <c r="E142" s="112"/>
      <c r="F142" s="113" t="s">
        <v>1096</v>
      </c>
      <c r="G142" s="113">
        <v>946.22541496999997</v>
      </c>
      <c r="H142" s="113">
        <v>0</v>
      </c>
      <c r="I142" s="113">
        <v>946.22541496999997</v>
      </c>
    </row>
    <row r="143" spans="1:9" x14ac:dyDescent="0.35">
      <c r="A143" s="109">
        <v>36728431000205</v>
      </c>
      <c r="B143" s="110" t="s">
        <v>9</v>
      </c>
      <c r="C143" s="110" t="s">
        <v>1095</v>
      </c>
      <c r="D143" s="111" t="s">
        <v>1067</v>
      </c>
      <c r="E143" s="112" t="s">
        <v>998</v>
      </c>
      <c r="F143" s="113" t="s">
        <v>1098</v>
      </c>
      <c r="G143" s="113">
        <v>726.79742810000016</v>
      </c>
      <c r="H143" s="113">
        <v>2379.0250110052116</v>
      </c>
      <c r="I143" s="113">
        <v>3105.8224391052117</v>
      </c>
    </row>
    <row r="144" spans="1:9" x14ac:dyDescent="0.35">
      <c r="A144" s="109">
        <v>18096092000110</v>
      </c>
      <c r="B144" s="110" t="s">
        <v>36</v>
      </c>
      <c r="C144" s="110" t="s">
        <v>1095</v>
      </c>
      <c r="D144" s="111" t="s">
        <v>1067</v>
      </c>
      <c r="E144" s="112"/>
      <c r="F144" s="113" t="s">
        <v>1099</v>
      </c>
      <c r="G144" s="113">
        <v>850.72689369</v>
      </c>
      <c r="H144" s="113">
        <v>262.14610441535933</v>
      </c>
      <c r="I144" s="113">
        <v>1112.8729981053593</v>
      </c>
    </row>
    <row r="145" spans="1:9" x14ac:dyDescent="0.35">
      <c r="A145" s="109">
        <v>4427375000193</v>
      </c>
      <c r="B145" s="110" t="s">
        <v>36</v>
      </c>
      <c r="C145" s="110" t="s">
        <v>1095</v>
      </c>
      <c r="D145" s="111" t="s">
        <v>1067</v>
      </c>
      <c r="E145" s="112"/>
      <c r="F145" s="113" t="s">
        <v>1096</v>
      </c>
      <c r="G145" s="113">
        <v>2784.2870106599994</v>
      </c>
      <c r="H145" s="113">
        <v>0</v>
      </c>
      <c r="I145" s="113">
        <v>2784.2870106599994</v>
      </c>
    </row>
    <row r="146" spans="1:9" x14ac:dyDescent="0.35">
      <c r="A146" s="109">
        <v>36728431000388</v>
      </c>
      <c r="B146" s="110" t="s">
        <v>9</v>
      </c>
      <c r="C146" s="110" t="s">
        <v>1095</v>
      </c>
      <c r="D146" s="111" t="s">
        <v>1067</v>
      </c>
      <c r="E146" s="112"/>
      <c r="F146" s="113" t="s">
        <v>1099</v>
      </c>
      <c r="G146" s="113">
        <v>404.3307915800001</v>
      </c>
      <c r="H146" s="113">
        <v>849.61347340044995</v>
      </c>
      <c r="I146" s="113">
        <v>1253.94426498045</v>
      </c>
    </row>
    <row r="147" spans="1:9" x14ac:dyDescent="0.35">
      <c r="A147" s="109">
        <v>8986750000277</v>
      </c>
      <c r="B147" s="110" t="s">
        <v>36</v>
      </c>
      <c r="C147" s="110" t="s">
        <v>1095</v>
      </c>
      <c r="D147" s="111" t="s">
        <v>1067</v>
      </c>
      <c r="E147" s="112"/>
      <c r="F147" s="113" t="s">
        <v>1099</v>
      </c>
      <c r="G147" s="113">
        <v>383.09258244000006</v>
      </c>
      <c r="H147" s="113">
        <v>528.05993227266981</v>
      </c>
      <c r="I147" s="113">
        <v>911.15251471266993</v>
      </c>
    </row>
    <row r="148" spans="1:9" x14ac:dyDescent="0.35">
      <c r="A148" s="109">
        <v>4621137000114</v>
      </c>
      <c r="B148" s="110" t="s">
        <v>20</v>
      </c>
      <c r="C148" s="110" t="s">
        <v>1097</v>
      </c>
      <c r="D148" s="111" t="s">
        <v>1067</v>
      </c>
      <c r="E148" s="112"/>
      <c r="F148" s="113" t="s">
        <v>1099</v>
      </c>
      <c r="G148" s="113">
        <v>1008.5809499000004</v>
      </c>
      <c r="H148" s="113">
        <v>626.27840252623969</v>
      </c>
      <c r="I148" s="113">
        <v>1634.8593524262401</v>
      </c>
    </row>
    <row r="149" spans="1:9" x14ac:dyDescent="0.35">
      <c r="A149" s="109">
        <v>54172723000105</v>
      </c>
      <c r="B149" s="110" t="s">
        <v>16</v>
      </c>
      <c r="C149" s="110" t="s">
        <v>1095</v>
      </c>
      <c r="D149" s="111" t="s">
        <v>1067</v>
      </c>
      <c r="E149" s="112"/>
      <c r="F149" s="113" t="s">
        <v>1099</v>
      </c>
      <c r="G149" s="113">
        <v>282.44634150000002</v>
      </c>
      <c r="H149" s="113">
        <v>512.02875433289091</v>
      </c>
      <c r="I149" s="113">
        <v>794.47509583289093</v>
      </c>
    </row>
    <row r="150" spans="1:9" x14ac:dyDescent="0.35">
      <c r="A150" s="109">
        <v>21784054000165</v>
      </c>
      <c r="B150" s="110" t="s">
        <v>36</v>
      </c>
      <c r="C150" s="110" t="s">
        <v>1095</v>
      </c>
      <c r="D150" s="111" t="s">
        <v>1067</v>
      </c>
      <c r="E150" s="112"/>
      <c r="F150" s="113" t="s">
        <v>1099</v>
      </c>
      <c r="G150" s="113">
        <v>5001.9683452699992</v>
      </c>
      <c r="H150" s="113">
        <v>255.89663413977996</v>
      </c>
      <c r="I150" s="113">
        <v>5257.8649794097792</v>
      </c>
    </row>
    <row r="151" spans="1:9" x14ac:dyDescent="0.35">
      <c r="A151" s="109">
        <v>18332251000562</v>
      </c>
      <c r="B151" s="110" t="s">
        <v>9</v>
      </c>
      <c r="C151" s="110" t="s">
        <v>1095</v>
      </c>
      <c r="D151" s="111" t="s">
        <v>1067</v>
      </c>
      <c r="E151" s="112" t="s">
        <v>998</v>
      </c>
      <c r="F151" s="113" t="s">
        <v>1098</v>
      </c>
      <c r="G151" s="113">
        <v>4947.0575175199992</v>
      </c>
      <c r="H151" s="113">
        <v>2379.0250110052116</v>
      </c>
      <c r="I151" s="113">
        <v>7326.0825285252104</v>
      </c>
    </row>
    <row r="152" spans="1:9" x14ac:dyDescent="0.35">
      <c r="A152" s="109">
        <v>18332251000481</v>
      </c>
      <c r="B152" s="110" t="s">
        <v>9</v>
      </c>
      <c r="C152" s="110" t="s">
        <v>1095</v>
      </c>
      <c r="D152" s="111" t="s">
        <v>1067</v>
      </c>
      <c r="E152" s="112" t="s">
        <v>998</v>
      </c>
      <c r="F152" s="113" t="s">
        <v>1098</v>
      </c>
      <c r="G152" s="113">
        <v>809.14505238000015</v>
      </c>
      <c r="H152" s="113">
        <v>2379.0250110052116</v>
      </c>
      <c r="I152" s="113">
        <v>3188.1700633852115</v>
      </c>
    </row>
    <row r="153" spans="1:9" x14ac:dyDescent="0.35">
      <c r="A153" s="109">
        <v>17479487000210</v>
      </c>
      <c r="B153" s="110" t="s">
        <v>20</v>
      </c>
      <c r="C153" s="110" t="s">
        <v>1097</v>
      </c>
      <c r="D153" s="111" t="s">
        <v>1067</v>
      </c>
      <c r="E153" s="112"/>
      <c r="F153" s="113" t="s">
        <v>1099</v>
      </c>
      <c r="G153" s="113">
        <v>167.85435964000007</v>
      </c>
      <c r="H153" s="113">
        <v>158.45778358805501</v>
      </c>
      <c r="I153" s="113">
        <v>326.31214322805511</v>
      </c>
    </row>
    <row r="154" spans="1:9" x14ac:dyDescent="0.35">
      <c r="A154" s="109">
        <v>5340715000107</v>
      </c>
      <c r="B154" s="110" t="s">
        <v>20</v>
      </c>
      <c r="C154" s="110" t="s">
        <v>1097</v>
      </c>
      <c r="D154" s="111" t="s">
        <v>1067</v>
      </c>
      <c r="E154" s="112"/>
      <c r="F154" s="113" t="s">
        <v>1099</v>
      </c>
      <c r="G154" s="113">
        <v>3018.4843570400003</v>
      </c>
      <c r="H154" s="113">
        <v>793.79916818057063</v>
      </c>
      <c r="I154" s="113">
        <v>3812.2835252205709</v>
      </c>
    </row>
    <row r="155" spans="1:9" x14ac:dyDescent="0.35">
      <c r="A155" s="109">
        <v>13304645000160</v>
      </c>
      <c r="B155" s="110" t="s">
        <v>20</v>
      </c>
      <c r="C155" s="110" t="s">
        <v>1097</v>
      </c>
      <c r="D155" s="111" t="s">
        <v>1067</v>
      </c>
      <c r="E155" s="112"/>
      <c r="F155" s="113" t="s">
        <v>1099</v>
      </c>
      <c r="G155" s="113">
        <v>219.29636588000002</v>
      </c>
      <c r="H155" s="113">
        <v>141.97751721502704</v>
      </c>
      <c r="I155" s="113">
        <v>361.27388309502703</v>
      </c>
    </row>
    <row r="156" spans="1:9" x14ac:dyDescent="0.35">
      <c r="A156" s="109">
        <v>11411195000189</v>
      </c>
      <c r="B156" s="110" t="s">
        <v>20</v>
      </c>
      <c r="C156" s="110" t="s">
        <v>1097</v>
      </c>
      <c r="D156" s="111" t="s">
        <v>1067</v>
      </c>
      <c r="E156" s="112"/>
      <c r="F156" s="113" t="s">
        <v>1099</v>
      </c>
      <c r="G156" s="113">
        <v>593.45542234999994</v>
      </c>
      <c r="H156" s="113">
        <v>1073.2419825126701</v>
      </c>
      <c r="I156" s="113">
        <v>1666.6974048626701</v>
      </c>
    </row>
    <row r="157" spans="1:9" x14ac:dyDescent="0.35">
      <c r="A157" s="109">
        <v>18332251000210</v>
      </c>
      <c r="B157" s="110" t="s">
        <v>9</v>
      </c>
      <c r="C157" s="110" t="s">
        <v>1095</v>
      </c>
      <c r="D157" s="111" t="s">
        <v>1067</v>
      </c>
      <c r="E157" s="112" t="s">
        <v>998</v>
      </c>
      <c r="F157" s="113" t="s">
        <v>1098</v>
      </c>
      <c r="G157" s="113">
        <v>2851.2357659900003</v>
      </c>
      <c r="H157" s="113">
        <v>2379.0250110052116</v>
      </c>
      <c r="I157" s="113">
        <v>5230.2607769952119</v>
      </c>
    </row>
    <row r="158" spans="1:9" x14ac:dyDescent="0.35">
      <c r="A158" s="109">
        <v>40727407000130</v>
      </c>
      <c r="B158" s="110" t="s">
        <v>117</v>
      </c>
      <c r="C158" s="110" t="s">
        <v>1097</v>
      </c>
      <c r="D158" s="111" t="s">
        <v>1067</v>
      </c>
      <c r="E158" s="112"/>
      <c r="F158" s="113" t="s">
        <v>1099</v>
      </c>
      <c r="G158" s="113">
        <v>947.41718654999977</v>
      </c>
      <c r="H158" s="113">
        <v>1589.5540738013401</v>
      </c>
      <c r="I158" s="113">
        <v>2536.9712603513399</v>
      </c>
    </row>
    <row r="159" spans="1:9" x14ac:dyDescent="0.35">
      <c r="A159" s="109">
        <v>44053810000181</v>
      </c>
      <c r="B159" s="110" t="s">
        <v>835</v>
      </c>
      <c r="C159" s="110" t="s">
        <v>1095</v>
      </c>
      <c r="D159" s="111" t="s">
        <v>1067</v>
      </c>
      <c r="E159" s="112"/>
      <c r="F159" s="113" t="s">
        <v>1099</v>
      </c>
      <c r="G159" s="113">
        <v>11798.389902219998</v>
      </c>
      <c r="H159" s="113">
        <v>1142.4405408005896</v>
      </c>
      <c r="I159" s="113">
        <v>12940.830443020588</v>
      </c>
    </row>
    <row r="160" spans="1:9" x14ac:dyDescent="0.35">
      <c r="A160" s="109">
        <v>73706830000102</v>
      </c>
      <c r="B160" s="110" t="s">
        <v>20</v>
      </c>
      <c r="C160" s="110" t="s">
        <v>1097</v>
      </c>
      <c r="D160" s="111" t="s">
        <v>1067</v>
      </c>
      <c r="E160" s="112"/>
      <c r="F160" s="113" t="s">
        <v>1099</v>
      </c>
      <c r="G160" s="113">
        <v>6245.6162156800001</v>
      </c>
      <c r="H160" s="113">
        <v>5525.7871883299995</v>
      </c>
      <c r="I160" s="113">
        <v>11771.40340401</v>
      </c>
    </row>
    <row r="161" spans="1:9" x14ac:dyDescent="0.35">
      <c r="A161" s="109">
        <v>29776784000126</v>
      </c>
      <c r="B161" s="110" t="s">
        <v>16</v>
      </c>
      <c r="C161" s="110" t="s">
        <v>1095</v>
      </c>
      <c r="D161" s="111" t="s">
        <v>1067</v>
      </c>
      <c r="E161" s="112"/>
      <c r="F161" s="113" t="s">
        <v>1099</v>
      </c>
      <c r="G161" s="113">
        <v>575.21588545999987</v>
      </c>
      <c r="H161" s="113">
        <v>1219.6787150105799</v>
      </c>
      <c r="I161" s="113">
        <v>1794.8946004705799</v>
      </c>
    </row>
    <row r="162" spans="1:9" x14ac:dyDescent="0.35">
      <c r="A162" s="109">
        <v>32266459000128</v>
      </c>
      <c r="B162" s="110" t="s">
        <v>20</v>
      </c>
      <c r="C162" s="110" t="s">
        <v>1097</v>
      </c>
      <c r="D162" s="111" t="s">
        <v>1067</v>
      </c>
      <c r="E162" s="112" t="s">
        <v>950</v>
      </c>
      <c r="F162" s="113" t="s">
        <v>1098</v>
      </c>
      <c r="G162" s="113">
        <v>1246.53743377</v>
      </c>
      <c r="H162" s="113">
        <v>3191.7305061415</v>
      </c>
      <c r="I162" s="113">
        <v>4438.2679399115004</v>
      </c>
    </row>
    <row r="163" spans="1:9" x14ac:dyDescent="0.35">
      <c r="A163" s="109">
        <v>46237162000149</v>
      </c>
      <c r="B163" s="110" t="s">
        <v>16</v>
      </c>
      <c r="C163" s="110" t="s">
        <v>1095</v>
      </c>
      <c r="D163" s="111" t="s">
        <v>1067</v>
      </c>
      <c r="E163" s="112"/>
      <c r="F163" s="113" t="s">
        <v>1099</v>
      </c>
      <c r="G163" s="113">
        <v>275.1744059099999</v>
      </c>
      <c r="H163" s="113">
        <v>644.99752045282708</v>
      </c>
      <c r="I163" s="113">
        <v>920.17192636282698</v>
      </c>
    </row>
    <row r="164" spans="1:9" x14ac:dyDescent="0.35">
      <c r="A164" s="109">
        <v>20119949000201</v>
      </c>
      <c r="B164" s="110" t="s">
        <v>36</v>
      </c>
      <c r="C164" s="110" t="s">
        <v>1095</v>
      </c>
      <c r="D164" s="111" t="s">
        <v>1067</v>
      </c>
      <c r="E164" s="112"/>
      <c r="F164" s="113" t="s">
        <v>1099</v>
      </c>
      <c r="G164" s="113">
        <v>2436.9876432400001</v>
      </c>
      <c r="H164" s="113">
        <v>2322.4281052389701</v>
      </c>
      <c r="I164" s="113">
        <v>4759.4157484789703</v>
      </c>
    </row>
    <row r="165" spans="1:9" x14ac:dyDescent="0.35">
      <c r="A165" s="109">
        <v>44864960000175</v>
      </c>
      <c r="B165" s="110" t="s">
        <v>16</v>
      </c>
      <c r="C165" s="110" t="s">
        <v>1095</v>
      </c>
      <c r="D165" s="111" t="s">
        <v>1067</v>
      </c>
      <c r="E165" s="112"/>
      <c r="F165" s="113" t="s">
        <v>1099</v>
      </c>
      <c r="G165" s="113">
        <v>593.68934715</v>
      </c>
      <c r="H165" s="113">
        <v>601.50233177443988</v>
      </c>
      <c r="I165" s="113">
        <v>1195.1916789244399</v>
      </c>
    </row>
    <row r="166" spans="1:9" x14ac:dyDescent="0.35">
      <c r="A166" s="109">
        <v>36199591000115</v>
      </c>
      <c r="B166" s="110" t="s">
        <v>20</v>
      </c>
      <c r="C166" s="110" t="s">
        <v>1097</v>
      </c>
      <c r="D166" s="111" t="s">
        <v>1067</v>
      </c>
      <c r="E166" s="112"/>
      <c r="F166" s="113" t="s">
        <v>1099</v>
      </c>
      <c r="G166" s="113">
        <v>734.15671481000004</v>
      </c>
      <c r="H166" s="113">
        <v>714.94925957853889</v>
      </c>
      <c r="I166" s="113">
        <v>1449.1059743885389</v>
      </c>
    </row>
    <row r="167" spans="1:9" x14ac:dyDescent="0.35">
      <c r="A167" s="109">
        <v>17479487000130</v>
      </c>
      <c r="B167" s="110" t="s">
        <v>16</v>
      </c>
      <c r="C167" s="110" t="s">
        <v>1095</v>
      </c>
      <c r="D167" s="111" t="s">
        <v>1067</v>
      </c>
      <c r="E167" s="112"/>
      <c r="F167" s="113" t="s">
        <v>1099</v>
      </c>
      <c r="G167" s="113">
        <v>920.38953810999999</v>
      </c>
      <c r="H167" s="113">
        <v>454.680834103812</v>
      </c>
      <c r="I167" s="113">
        <v>1375.0703722138119</v>
      </c>
    </row>
    <row r="168" spans="1:9" x14ac:dyDescent="0.35">
      <c r="A168" s="109">
        <v>27104567000164</v>
      </c>
      <c r="B168" s="110" t="s">
        <v>36</v>
      </c>
      <c r="C168" s="110" t="s">
        <v>1095</v>
      </c>
      <c r="D168" s="111" t="s">
        <v>1067</v>
      </c>
      <c r="E168" s="112"/>
      <c r="F168" s="113" t="s">
        <v>1099</v>
      </c>
      <c r="G168" s="113">
        <v>973.74186479000014</v>
      </c>
      <c r="H168" s="113">
        <v>641.76107512640988</v>
      </c>
      <c r="I168" s="113">
        <v>1615.50293991641</v>
      </c>
    </row>
    <row r="169" spans="1:9" x14ac:dyDescent="0.35">
      <c r="A169" s="109">
        <v>23312338000184</v>
      </c>
      <c r="B169" s="110" t="s">
        <v>694</v>
      </c>
      <c r="C169" s="110" t="s">
        <v>1095</v>
      </c>
      <c r="D169" s="111" t="s">
        <v>1067</v>
      </c>
      <c r="E169" s="112"/>
      <c r="F169" s="113" t="s">
        <v>1099</v>
      </c>
      <c r="G169" s="113">
        <v>231.03715825000003</v>
      </c>
      <c r="H169" s="113">
        <v>607.64035413381112</v>
      </c>
      <c r="I169" s="113">
        <v>838.67751238381118</v>
      </c>
    </row>
    <row r="170" spans="1:9" x14ac:dyDescent="0.35">
      <c r="A170" s="109">
        <v>30878190000105</v>
      </c>
      <c r="B170" s="110" t="s">
        <v>16</v>
      </c>
      <c r="C170" s="110" t="s">
        <v>1095</v>
      </c>
      <c r="D170" s="111" t="s">
        <v>1067</v>
      </c>
      <c r="E170" s="112"/>
      <c r="F170" s="113" t="s">
        <v>1099</v>
      </c>
      <c r="G170" s="113">
        <v>3777.3409412699998</v>
      </c>
      <c r="H170" s="113">
        <v>2258.9685764260303</v>
      </c>
      <c r="I170" s="113">
        <v>6036.3095176960305</v>
      </c>
    </row>
    <row r="171" spans="1:9" x14ac:dyDescent="0.35">
      <c r="A171" s="109">
        <v>18332251000309</v>
      </c>
      <c r="B171" s="110" t="s">
        <v>9</v>
      </c>
      <c r="C171" s="110" t="s">
        <v>1095</v>
      </c>
      <c r="D171" s="111" t="s">
        <v>1067</v>
      </c>
      <c r="E171" s="112" t="s">
        <v>998</v>
      </c>
      <c r="F171" s="113" t="s">
        <v>1098</v>
      </c>
      <c r="G171" s="113">
        <v>2483.7410158500002</v>
      </c>
      <c r="H171" s="113">
        <v>2379.0250110052116</v>
      </c>
      <c r="I171" s="113">
        <v>4862.7660268552117</v>
      </c>
    </row>
    <row r="172" spans="1:9" x14ac:dyDescent="0.35">
      <c r="A172" s="109">
        <v>30531806000177</v>
      </c>
      <c r="B172" s="110" t="s">
        <v>36</v>
      </c>
      <c r="C172" s="110" t="s">
        <v>1095</v>
      </c>
      <c r="D172" s="111" t="s">
        <v>1067</v>
      </c>
      <c r="E172" s="112"/>
      <c r="F172" s="113" t="s">
        <v>1099</v>
      </c>
      <c r="G172" s="113">
        <v>710.88589704000003</v>
      </c>
      <c r="H172" s="113">
        <v>1005.8519777752902</v>
      </c>
      <c r="I172" s="113">
        <v>1716.7378748152901</v>
      </c>
    </row>
    <row r="173" spans="1:9" x14ac:dyDescent="0.35">
      <c r="A173" s="109">
        <v>40584253000174</v>
      </c>
      <c r="B173" s="110" t="s">
        <v>20</v>
      </c>
      <c r="C173" s="110" t="s">
        <v>1097</v>
      </c>
      <c r="D173" s="111" t="s">
        <v>1067</v>
      </c>
      <c r="E173" s="112"/>
      <c r="F173" s="113" t="s">
        <v>1099</v>
      </c>
      <c r="G173" s="113">
        <v>1027.76546229</v>
      </c>
      <c r="H173" s="113">
        <v>1158.1419618986497</v>
      </c>
      <c r="I173" s="113">
        <v>2185.9074241886497</v>
      </c>
    </row>
    <row r="174" spans="1:9" x14ac:dyDescent="0.35">
      <c r="A174" s="109">
        <v>21082444000274</v>
      </c>
      <c r="B174" s="110" t="s">
        <v>36</v>
      </c>
      <c r="C174" s="110" t="s">
        <v>1095</v>
      </c>
      <c r="D174" s="111" t="s">
        <v>1067</v>
      </c>
      <c r="E174" s="112"/>
      <c r="F174" s="113" t="s">
        <v>1099</v>
      </c>
      <c r="G174" s="113">
        <v>353.00780442000001</v>
      </c>
      <c r="H174" s="113">
        <v>607.9954234187619</v>
      </c>
      <c r="I174" s="113">
        <v>961.00322783876186</v>
      </c>
    </row>
    <row r="175" spans="1:9" x14ac:dyDescent="0.35">
      <c r="A175" s="109">
        <v>2100833000150</v>
      </c>
      <c r="B175" s="110" t="s">
        <v>9</v>
      </c>
      <c r="C175" s="110" t="s">
        <v>1095</v>
      </c>
      <c r="D175" s="111" t="s">
        <v>1067</v>
      </c>
      <c r="E175" s="112"/>
      <c r="F175" s="113" t="s">
        <v>1099</v>
      </c>
      <c r="G175" s="113">
        <v>18800.565247439998</v>
      </c>
      <c r="H175" s="113">
        <v>10772.448275053301</v>
      </c>
      <c r="I175" s="113">
        <v>29573.013522493296</v>
      </c>
    </row>
    <row r="176" spans="1:9" x14ac:dyDescent="0.35">
      <c r="A176" s="109">
        <v>33202736000100</v>
      </c>
      <c r="B176" s="110" t="s">
        <v>20</v>
      </c>
      <c r="C176" s="110" t="s">
        <v>1097</v>
      </c>
      <c r="D176" s="111" t="s">
        <v>1067</v>
      </c>
      <c r="E176" s="112"/>
      <c r="F176" s="113" t="s">
        <v>1099</v>
      </c>
      <c r="G176" s="113">
        <v>336.79606366999985</v>
      </c>
      <c r="H176" s="113">
        <v>1528.7232441098599</v>
      </c>
      <c r="I176" s="113">
        <v>1865.5193077798599</v>
      </c>
    </row>
    <row r="177" spans="1:9" x14ac:dyDescent="0.35">
      <c r="A177" s="109">
        <v>28800059000426</v>
      </c>
      <c r="B177" s="110" t="s">
        <v>20</v>
      </c>
      <c r="C177" s="110" t="s">
        <v>1097</v>
      </c>
      <c r="D177" s="111" t="s">
        <v>1067</v>
      </c>
      <c r="E177" s="112" t="s">
        <v>950</v>
      </c>
      <c r="F177" s="113" t="s">
        <v>1098</v>
      </c>
      <c r="G177" s="113">
        <v>1460.1595078000003</v>
      </c>
      <c r="H177" s="113">
        <v>1257.8358824116199</v>
      </c>
      <c r="I177" s="113">
        <v>2717.9953902116204</v>
      </c>
    </row>
    <row r="178" spans="1:9" x14ac:dyDescent="0.35">
      <c r="A178" s="109">
        <v>1189590000105</v>
      </c>
      <c r="B178" s="110" t="s">
        <v>20</v>
      </c>
      <c r="C178" s="110" t="s">
        <v>1097</v>
      </c>
      <c r="D178" s="111" t="s">
        <v>1067</v>
      </c>
      <c r="E178" s="112"/>
      <c r="F178" s="113" t="s">
        <v>1099</v>
      </c>
      <c r="G178" s="113">
        <v>3126.2121538800002</v>
      </c>
      <c r="H178" s="113">
        <v>823.78934725761974</v>
      </c>
      <c r="I178" s="113">
        <v>3950.0015011376199</v>
      </c>
    </row>
    <row r="179" spans="1:9" x14ac:dyDescent="0.35">
      <c r="A179" s="109">
        <v>4050862000341</v>
      </c>
      <c r="B179" s="110" t="s">
        <v>9</v>
      </c>
      <c r="C179" s="110" t="s">
        <v>1095</v>
      </c>
      <c r="D179" s="111" t="s">
        <v>1067</v>
      </c>
      <c r="E179" s="112" t="s">
        <v>997</v>
      </c>
      <c r="F179" s="113" t="s">
        <v>1098</v>
      </c>
      <c r="G179" s="113">
        <v>2301.8724175800003</v>
      </c>
      <c r="H179" s="113">
        <v>3440.8722166770899</v>
      </c>
      <c r="I179" s="113">
        <v>5742.7446342570902</v>
      </c>
    </row>
    <row r="180" spans="1:9" x14ac:dyDescent="0.35">
      <c r="A180" s="109">
        <v>17660742000146</v>
      </c>
      <c r="B180" s="110" t="s">
        <v>36</v>
      </c>
      <c r="C180" s="110" t="s">
        <v>1095</v>
      </c>
      <c r="D180" s="111" t="s">
        <v>1067</v>
      </c>
      <c r="E180" s="112"/>
      <c r="F180" s="113" t="s">
        <v>1099</v>
      </c>
      <c r="G180" s="113">
        <v>1968.6431945900001</v>
      </c>
      <c r="H180" s="113">
        <v>1314.2663728235302</v>
      </c>
      <c r="I180" s="113">
        <v>3282.9095674135306</v>
      </c>
    </row>
    <row r="181" spans="1:9" x14ac:dyDescent="0.35">
      <c r="A181" s="109">
        <v>2100833000230</v>
      </c>
      <c r="B181" s="110" t="s">
        <v>9</v>
      </c>
      <c r="C181" s="110" t="s">
        <v>1095</v>
      </c>
      <c r="D181" s="111" t="s">
        <v>1067</v>
      </c>
      <c r="E181" s="112"/>
      <c r="F181" s="113" t="s">
        <v>1099</v>
      </c>
      <c r="G181" s="113">
        <v>21126.068483080002</v>
      </c>
      <c r="H181" s="113">
        <v>11758.633908044298</v>
      </c>
      <c r="I181" s="113">
        <v>32884.702391124301</v>
      </c>
    </row>
    <row r="182" spans="1:9" x14ac:dyDescent="0.35">
      <c r="A182" s="109">
        <v>34565893000215</v>
      </c>
      <c r="B182" s="110" t="s">
        <v>9</v>
      </c>
      <c r="C182" s="110" t="s">
        <v>1095</v>
      </c>
      <c r="D182" s="111" t="s">
        <v>1067</v>
      </c>
      <c r="E182" s="112" t="s">
        <v>997</v>
      </c>
      <c r="F182" s="113" t="s">
        <v>1098</v>
      </c>
      <c r="G182" s="113">
        <v>720.26394971999991</v>
      </c>
      <c r="H182" s="113">
        <v>1162.4326846352201</v>
      </c>
      <c r="I182" s="113">
        <v>1882.6966343552199</v>
      </c>
    </row>
    <row r="183" spans="1:9" x14ac:dyDescent="0.35">
      <c r="A183" s="109">
        <v>8366044000141</v>
      </c>
      <c r="B183" s="110" t="s">
        <v>36</v>
      </c>
      <c r="C183" s="110" t="s">
        <v>1095</v>
      </c>
      <c r="D183" s="111" t="s">
        <v>1067</v>
      </c>
      <c r="E183" s="112"/>
      <c r="F183" s="113" t="s">
        <v>1099</v>
      </c>
      <c r="G183" s="113">
        <v>608.67552995000005</v>
      </c>
      <c r="H183" s="113">
        <v>2021.9023602233099</v>
      </c>
      <c r="I183" s="113">
        <v>2630.5778901733102</v>
      </c>
    </row>
    <row r="184" spans="1:9" x14ac:dyDescent="0.35">
      <c r="A184" s="109">
        <v>86309000146</v>
      </c>
      <c r="B184" s="110" t="s">
        <v>16</v>
      </c>
      <c r="C184" s="110" t="s">
        <v>1095</v>
      </c>
      <c r="D184" s="111" t="s">
        <v>1067</v>
      </c>
      <c r="E184" s="112"/>
      <c r="F184" s="113" t="s">
        <v>1099</v>
      </c>
      <c r="G184" s="113">
        <v>2238.75474988</v>
      </c>
      <c r="H184" s="113">
        <v>561.80263418921004</v>
      </c>
      <c r="I184" s="113">
        <v>2800.55738406921</v>
      </c>
    </row>
    <row r="185" spans="1:9" x14ac:dyDescent="0.35">
      <c r="A185" s="109">
        <v>4050862000775</v>
      </c>
      <c r="B185" s="110" t="s">
        <v>9</v>
      </c>
      <c r="C185" s="110" t="s">
        <v>1095</v>
      </c>
      <c r="D185" s="111" t="s">
        <v>1067</v>
      </c>
      <c r="E185" s="112" t="s">
        <v>997</v>
      </c>
      <c r="F185" s="113" t="s">
        <v>1098</v>
      </c>
      <c r="G185" s="113">
        <v>2350.6596612200001</v>
      </c>
      <c r="H185" s="113">
        <v>3571.9123866422096</v>
      </c>
      <c r="I185" s="113">
        <v>5922.5720478622097</v>
      </c>
    </row>
    <row r="186" spans="1:9" x14ac:dyDescent="0.35">
      <c r="A186" s="109">
        <v>18235089000130</v>
      </c>
      <c r="B186" s="110" t="s">
        <v>36</v>
      </c>
      <c r="C186" s="110" t="s">
        <v>1095</v>
      </c>
      <c r="D186" s="111" t="s">
        <v>1067</v>
      </c>
      <c r="E186" s="112"/>
      <c r="F186" s="113" t="s">
        <v>1099</v>
      </c>
      <c r="G186" s="113">
        <v>2926.4089908300002</v>
      </c>
      <c r="H186" s="113">
        <v>2816.1372356792299</v>
      </c>
      <c r="I186" s="113">
        <v>5742.5462265092301</v>
      </c>
    </row>
    <row r="187" spans="1:9" x14ac:dyDescent="0.35">
      <c r="A187" s="109">
        <v>23622022000199</v>
      </c>
      <c r="B187" s="110" t="s">
        <v>36</v>
      </c>
      <c r="C187" s="110" t="s">
        <v>1095</v>
      </c>
      <c r="D187" s="111" t="s">
        <v>1067</v>
      </c>
      <c r="E187" s="112"/>
      <c r="F187" s="113" t="s">
        <v>1099</v>
      </c>
      <c r="G187" s="113">
        <v>1050.5765404799999</v>
      </c>
      <c r="H187" s="113">
        <v>905.56000761827977</v>
      </c>
      <c r="I187" s="113">
        <v>1956.1365480982797</v>
      </c>
    </row>
    <row r="188" spans="1:9" x14ac:dyDescent="0.35">
      <c r="A188" s="109">
        <v>59106417000186</v>
      </c>
      <c r="B188" s="110" t="s">
        <v>36</v>
      </c>
      <c r="C188" s="110" t="s">
        <v>1095</v>
      </c>
      <c r="D188" s="111" t="s">
        <v>1067</v>
      </c>
      <c r="E188" s="112"/>
      <c r="F188" s="113" t="s">
        <v>1099</v>
      </c>
      <c r="G188" s="113">
        <v>107.24715864000001</v>
      </c>
      <c r="H188" s="113">
        <v>575.5404139417501</v>
      </c>
      <c r="I188" s="113">
        <v>682.78757258175006</v>
      </c>
    </row>
    <row r="189" spans="1:9" x14ac:dyDescent="0.35">
      <c r="A189" s="109">
        <v>13938314000262</v>
      </c>
      <c r="B189" s="110" t="s">
        <v>9</v>
      </c>
      <c r="C189" s="110" t="s">
        <v>1095</v>
      </c>
      <c r="D189" s="111" t="s">
        <v>1067</v>
      </c>
      <c r="E189" s="112" t="s">
        <v>997</v>
      </c>
      <c r="F189" s="113" t="s">
        <v>1098</v>
      </c>
      <c r="G189" s="113">
        <v>1341.3866875699998</v>
      </c>
      <c r="H189" s="113">
        <v>2211.1037516746901</v>
      </c>
      <c r="I189" s="113">
        <v>3552.4904392446897</v>
      </c>
    </row>
    <row r="190" spans="1:9" x14ac:dyDescent="0.35">
      <c r="A190" s="109">
        <v>7865786000159</v>
      </c>
      <c r="B190" s="110" t="s">
        <v>20</v>
      </c>
      <c r="C190" s="110" t="s">
        <v>1097</v>
      </c>
      <c r="D190" s="111" t="s">
        <v>1067</v>
      </c>
      <c r="E190" s="112"/>
      <c r="F190" s="113" t="s">
        <v>1099</v>
      </c>
      <c r="G190" s="113">
        <v>3765.4965681199997</v>
      </c>
      <c r="H190" s="113">
        <v>1666.7641835545001</v>
      </c>
      <c r="I190" s="113">
        <v>5432.2607516744993</v>
      </c>
    </row>
    <row r="191" spans="1:9" x14ac:dyDescent="0.35">
      <c r="A191" s="109">
        <v>49580979000103</v>
      </c>
      <c r="B191" s="110" t="s">
        <v>20</v>
      </c>
      <c r="C191" s="110" t="s">
        <v>1097</v>
      </c>
      <c r="D191" s="111" t="s">
        <v>1067</v>
      </c>
      <c r="E191" s="112"/>
      <c r="F191" s="113" t="s">
        <v>1099</v>
      </c>
      <c r="G191" s="113">
        <v>202.90303017999997</v>
      </c>
      <c r="H191" s="113">
        <v>1348.2045632838301</v>
      </c>
      <c r="I191" s="113">
        <v>1551.1075934638302</v>
      </c>
    </row>
    <row r="192" spans="1:9" x14ac:dyDescent="0.35">
      <c r="A192" s="109">
        <v>4050862000694</v>
      </c>
      <c r="B192" s="110" t="s">
        <v>9</v>
      </c>
      <c r="C192" s="110" t="s">
        <v>1095</v>
      </c>
      <c r="D192" s="111" t="s">
        <v>1067</v>
      </c>
      <c r="E192" s="112" t="s">
        <v>997</v>
      </c>
      <c r="F192" s="113" t="s">
        <v>1098</v>
      </c>
      <c r="G192" s="113">
        <v>1072.9660785900001</v>
      </c>
      <c r="H192" s="113">
        <v>1991.5100538251102</v>
      </c>
      <c r="I192" s="113">
        <v>3064.4761324151104</v>
      </c>
    </row>
    <row r="193" spans="1:9" x14ac:dyDescent="0.35">
      <c r="A193" s="109">
        <v>64799330000171</v>
      </c>
      <c r="B193" s="110" t="s">
        <v>20</v>
      </c>
      <c r="C193" s="110" t="s">
        <v>1097</v>
      </c>
      <c r="D193" s="111" t="s">
        <v>1067</v>
      </c>
      <c r="E193" s="112"/>
      <c r="F193" s="113" t="s">
        <v>1099</v>
      </c>
      <c r="G193" s="113">
        <v>1324.2931242100001</v>
      </c>
      <c r="H193" s="113">
        <v>538.59721815487592</v>
      </c>
      <c r="I193" s="113">
        <v>1862.890342364876</v>
      </c>
    </row>
    <row r="194" spans="1:9" x14ac:dyDescent="0.35">
      <c r="A194" s="109">
        <v>4050862000180</v>
      </c>
      <c r="B194" s="110" t="s">
        <v>9</v>
      </c>
      <c r="C194" s="110" t="s">
        <v>1095</v>
      </c>
      <c r="D194" s="111" t="s">
        <v>1067</v>
      </c>
      <c r="E194" s="112" t="s">
        <v>997</v>
      </c>
      <c r="F194" s="113" t="s">
        <v>1098</v>
      </c>
      <c r="G194" s="113">
        <v>1268.39512534</v>
      </c>
      <c r="H194" s="113">
        <v>2390.2852721563304</v>
      </c>
      <c r="I194" s="113">
        <v>3658.6803974963304</v>
      </c>
    </row>
    <row r="195" spans="1:9" x14ac:dyDescent="0.35">
      <c r="A195" s="109">
        <v>28800059000183</v>
      </c>
      <c r="B195" s="110" t="s">
        <v>20</v>
      </c>
      <c r="C195" s="110" t="s">
        <v>1097</v>
      </c>
      <c r="D195" s="111" t="s">
        <v>1067</v>
      </c>
      <c r="E195" s="112" t="s">
        <v>950</v>
      </c>
      <c r="F195" s="113" t="s">
        <v>1098</v>
      </c>
      <c r="G195" s="113">
        <v>1207.6183482599999</v>
      </c>
      <c r="H195" s="113">
        <v>3724.8586869666101</v>
      </c>
      <c r="I195" s="113">
        <v>4932.4770352266096</v>
      </c>
    </row>
    <row r="196" spans="1:9" x14ac:dyDescent="0.35">
      <c r="A196" s="109">
        <v>42162995000137</v>
      </c>
      <c r="B196" s="110" t="s">
        <v>36</v>
      </c>
      <c r="C196" s="110" t="s">
        <v>1095</v>
      </c>
      <c r="D196" s="111" t="s">
        <v>1067</v>
      </c>
      <c r="E196" s="112"/>
      <c r="F196" s="113" t="s">
        <v>1099</v>
      </c>
      <c r="G196" s="113">
        <v>804.00083648999998</v>
      </c>
      <c r="H196" s="113">
        <v>1884.6535258444701</v>
      </c>
      <c r="I196" s="113">
        <v>2688.6543623344701</v>
      </c>
    </row>
    <row r="197" spans="1:9" x14ac:dyDescent="0.35">
      <c r="A197" s="109">
        <v>13938314000181</v>
      </c>
      <c r="B197" s="110" t="s">
        <v>9</v>
      </c>
      <c r="C197" s="110" t="s">
        <v>1095</v>
      </c>
      <c r="D197" s="111" t="s">
        <v>1067</v>
      </c>
      <c r="E197" s="112" t="s">
        <v>997</v>
      </c>
      <c r="F197" s="113" t="s">
        <v>1098</v>
      </c>
      <c r="G197" s="113">
        <v>1638.0345516500001</v>
      </c>
      <c r="H197" s="113">
        <v>3171.1718045687603</v>
      </c>
      <c r="I197" s="113">
        <v>4809.2063562187604</v>
      </c>
    </row>
    <row r="198" spans="1:9" x14ac:dyDescent="0.35">
      <c r="A198" s="109">
        <v>34565893000134</v>
      </c>
      <c r="B198" s="110" t="s">
        <v>9</v>
      </c>
      <c r="C198" s="110" t="s">
        <v>1095</v>
      </c>
      <c r="D198" s="111" t="s">
        <v>1067</v>
      </c>
      <c r="E198" s="112" t="s">
        <v>997</v>
      </c>
      <c r="F198" s="113" t="s">
        <v>1098</v>
      </c>
      <c r="G198" s="113">
        <v>1327.91903424</v>
      </c>
      <c r="H198" s="113">
        <v>2252.1681379761199</v>
      </c>
      <c r="I198" s="113">
        <v>3580.0871722161201</v>
      </c>
    </row>
    <row r="199" spans="1:9" x14ac:dyDescent="0.35">
      <c r="A199" s="109">
        <v>1569011000150</v>
      </c>
      <c r="B199" s="110" t="s">
        <v>16</v>
      </c>
      <c r="C199" s="110" t="s">
        <v>1095</v>
      </c>
      <c r="D199" s="111" t="s">
        <v>1067</v>
      </c>
      <c r="E199" s="112"/>
      <c r="F199" s="113" t="s">
        <v>1099</v>
      </c>
      <c r="G199" s="113">
        <v>2389.8761985600004</v>
      </c>
      <c r="H199" s="113">
        <v>2238.2063115364899</v>
      </c>
      <c r="I199" s="113">
        <v>4628.0825100964903</v>
      </c>
    </row>
    <row r="200" spans="1:9" x14ac:dyDescent="0.35">
      <c r="A200" s="109">
        <v>27230522000136</v>
      </c>
      <c r="B200" s="110" t="s">
        <v>20</v>
      </c>
      <c r="C200" s="110" t="s">
        <v>1097</v>
      </c>
      <c r="D200" s="111" t="s">
        <v>1067</v>
      </c>
      <c r="E200" s="112"/>
      <c r="F200" s="113" t="s">
        <v>1099</v>
      </c>
      <c r="G200" s="113">
        <v>2883.5464856000003</v>
      </c>
      <c r="H200" s="113">
        <v>3719.6930511772298</v>
      </c>
      <c r="I200" s="113">
        <v>6603.2395367772297</v>
      </c>
    </row>
    <row r="201" spans="1:9" x14ac:dyDescent="0.35">
      <c r="A201" s="109">
        <v>4050862000260</v>
      </c>
      <c r="B201" s="110" t="s">
        <v>9</v>
      </c>
      <c r="C201" s="110" t="s">
        <v>1095</v>
      </c>
      <c r="D201" s="111" t="s">
        <v>1067</v>
      </c>
      <c r="E201" s="112" t="s">
        <v>997</v>
      </c>
      <c r="F201" s="113" t="s">
        <v>1098</v>
      </c>
      <c r="G201" s="113">
        <v>3830.2386667399996</v>
      </c>
      <c r="H201" s="113">
        <v>4328.0575602526096</v>
      </c>
      <c r="I201" s="113">
        <v>8158.2962269926093</v>
      </c>
    </row>
    <row r="202" spans="1:9" x14ac:dyDescent="0.35">
      <c r="A202" s="109">
        <v>1878521000109</v>
      </c>
      <c r="B202" s="110" t="s">
        <v>20</v>
      </c>
      <c r="C202" s="110" t="s">
        <v>1097</v>
      </c>
      <c r="D202" s="111" t="s">
        <v>1067</v>
      </c>
      <c r="E202" s="112"/>
      <c r="F202" s="113" t="s">
        <v>1099</v>
      </c>
      <c r="G202" s="113">
        <v>1599.78873518</v>
      </c>
      <c r="H202" s="113">
        <v>2320.5107985300197</v>
      </c>
      <c r="I202" s="113">
        <v>3920.2995337100197</v>
      </c>
    </row>
    <row r="203" spans="1:9" x14ac:dyDescent="0.35">
      <c r="A203" s="109">
        <v>28800059000345</v>
      </c>
      <c r="B203" s="110" t="s">
        <v>20</v>
      </c>
      <c r="C203" s="110" t="s">
        <v>1097</v>
      </c>
      <c r="D203" s="111" t="s">
        <v>1067</v>
      </c>
      <c r="E203" s="112" t="s">
        <v>950</v>
      </c>
      <c r="F203" s="113" t="s">
        <v>1098</v>
      </c>
      <c r="G203" s="113">
        <v>1248.9224323599999</v>
      </c>
      <c r="H203" s="113">
        <v>3688.4558539475802</v>
      </c>
      <c r="I203" s="113">
        <v>4937.3782863075803</v>
      </c>
    </row>
    <row r="204" spans="1:9" x14ac:dyDescent="0.35">
      <c r="A204" s="109">
        <v>8821476000103</v>
      </c>
      <c r="B204" s="110" t="s">
        <v>20</v>
      </c>
      <c r="C204" s="110" t="s">
        <v>1097</v>
      </c>
      <c r="D204" s="111" t="s">
        <v>1067</v>
      </c>
      <c r="E204" s="112"/>
      <c r="F204" s="113" t="s">
        <v>1099</v>
      </c>
      <c r="G204" s="113">
        <v>1639.91536062</v>
      </c>
      <c r="H204" s="113">
        <v>1982.0385589710802</v>
      </c>
      <c r="I204" s="113">
        <v>3621.9539195910802</v>
      </c>
    </row>
    <row r="205" spans="1:9" x14ac:dyDescent="0.35">
      <c r="A205" s="109">
        <v>54297138000123</v>
      </c>
      <c r="B205" s="110" t="s">
        <v>20</v>
      </c>
      <c r="C205" s="110" t="s">
        <v>1097</v>
      </c>
      <c r="D205" s="111" t="s">
        <v>1067</v>
      </c>
      <c r="E205" s="112"/>
      <c r="F205" s="113" t="s">
        <v>1099</v>
      </c>
      <c r="G205" s="113">
        <v>2574.4440886799998</v>
      </c>
      <c r="H205" s="113">
        <v>568.06105877175605</v>
      </c>
      <c r="I205" s="113">
        <v>3142.5051474517559</v>
      </c>
    </row>
    <row r="206" spans="1:9" x14ac:dyDescent="0.35">
      <c r="A206" s="109">
        <v>10299122000184</v>
      </c>
      <c r="B206" s="110" t="s">
        <v>20</v>
      </c>
      <c r="C206" s="110" t="s">
        <v>1097</v>
      </c>
      <c r="D206" s="111" t="s">
        <v>1067</v>
      </c>
      <c r="E206" s="112"/>
      <c r="F206" s="113" t="s">
        <v>1099</v>
      </c>
      <c r="G206" s="113">
        <v>4053.5229976200003</v>
      </c>
      <c r="H206" s="113">
        <v>2895.9388575425901</v>
      </c>
      <c r="I206" s="113">
        <v>6949.4618551625899</v>
      </c>
    </row>
    <row r="207" spans="1:9" x14ac:dyDescent="0.35">
      <c r="A207" s="109">
        <v>33792896000148</v>
      </c>
      <c r="B207" s="110" t="s">
        <v>36</v>
      </c>
      <c r="C207" s="110" t="s">
        <v>1095</v>
      </c>
      <c r="D207" s="111" t="s">
        <v>1067</v>
      </c>
      <c r="E207" s="112"/>
      <c r="F207" s="113" t="s">
        <v>1099</v>
      </c>
      <c r="G207" s="113">
        <v>2465.3188577299998</v>
      </c>
      <c r="H207" s="113">
        <v>2369.8684101034701</v>
      </c>
      <c r="I207" s="113">
        <v>4835.1872678334694</v>
      </c>
    </row>
    <row r="208" spans="1:9" x14ac:dyDescent="0.35">
      <c r="A208" s="109">
        <v>13537905000147</v>
      </c>
      <c r="B208" s="110" t="s">
        <v>20</v>
      </c>
      <c r="C208" s="110" t="s">
        <v>1097</v>
      </c>
      <c r="D208" s="111" t="s">
        <v>1067</v>
      </c>
      <c r="E208" s="112"/>
      <c r="F208" s="113" t="s">
        <v>1099</v>
      </c>
      <c r="G208" s="113">
        <v>1065.98917987</v>
      </c>
      <c r="H208" s="113">
        <v>3352.4945942596896</v>
      </c>
      <c r="I208" s="113">
        <v>4418.4837741296897</v>
      </c>
    </row>
    <row r="209" spans="1:9" x14ac:dyDescent="0.35">
      <c r="A209" s="109">
        <v>18208965000130</v>
      </c>
      <c r="B209" s="110" t="s">
        <v>33</v>
      </c>
      <c r="C209" s="110" t="s">
        <v>1095</v>
      </c>
      <c r="D209" s="111" t="s">
        <v>1067</v>
      </c>
      <c r="E209" s="112"/>
      <c r="F209" s="113" t="s">
        <v>1099</v>
      </c>
      <c r="G209" s="113">
        <v>4070.6368344499992</v>
      </c>
      <c r="H209" s="113">
        <v>4708.0863202455394</v>
      </c>
      <c r="I209" s="113">
        <v>8778.7231546955391</v>
      </c>
    </row>
    <row r="210" spans="1:9" x14ac:dyDescent="0.35">
      <c r="A210" s="109">
        <v>54858819000113</v>
      </c>
      <c r="B210" s="110" t="s">
        <v>36</v>
      </c>
      <c r="C210" s="110" t="s">
        <v>1095</v>
      </c>
      <c r="D210" s="111" t="s">
        <v>1067</v>
      </c>
      <c r="E210" s="112"/>
      <c r="F210" s="113" t="s">
        <v>1099</v>
      </c>
      <c r="G210" s="113">
        <v>4295.2200315099999</v>
      </c>
      <c r="H210" s="113">
        <v>3326.7222045362</v>
      </c>
      <c r="I210" s="113">
        <v>7621.9422360461995</v>
      </c>
    </row>
    <row r="211" spans="1:9" x14ac:dyDescent="0.35">
      <c r="A211" s="109">
        <v>35008629000162</v>
      </c>
      <c r="B211" s="110" t="s">
        <v>16</v>
      </c>
      <c r="C211" s="110" t="s">
        <v>1095</v>
      </c>
      <c r="D211" s="111" t="s">
        <v>1067</v>
      </c>
      <c r="E211" s="112"/>
      <c r="F211" s="113" t="s">
        <v>1099</v>
      </c>
      <c r="G211" s="113">
        <v>907.39074922999998</v>
      </c>
      <c r="H211" s="113">
        <v>1353.99046930128</v>
      </c>
      <c r="I211" s="113">
        <v>2261.38121853128</v>
      </c>
    </row>
    <row r="212" spans="1:9" x14ac:dyDescent="0.35">
      <c r="A212" s="109">
        <v>56129324000260</v>
      </c>
      <c r="B212" s="110" t="s">
        <v>20</v>
      </c>
      <c r="C212" s="110" t="s">
        <v>1097</v>
      </c>
      <c r="D212" s="111" t="s">
        <v>1067</v>
      </c>
      <c r="E212" s="112"/>
      <c r="F212" s="113" t="s">
        <v>1099</v>
      </c>
      <c r="G212" s="113">
        <v>757.63181059999999</v>
      </c>
      <c r="H212" s="113">
        <v>942.32396618435291</v>
      </c>
      <c r="I212" s="113">
        <v>1699.955776784353</v>
      </c>
    </row>
    <row r="213" spans="1:9" x14ac:dyDescent="0.35">
      <c r="A213" s="109">
        <v>56129324000189</v>
      </c>
      <c r="B213" s="110" t="s">
        <v>20</v>
      </c>
      <c r="C213" s="110" t="s">
        <v>1097</v>
      </c>
      <c r="D213" s="111" t="s">
        <v>1067</v>
      </c>
      <c r="E213" s="112"/>
      <c r="F213" s="113" t="s">
        <v>1099</v>
      </c>
      <c r="G213" s="113">
        <v>1224.2535966099999</v>
      </c>
      <c r="H213" s="113">
        <v>1511.7430100663503</v>
      </c>
      <c r="I213" s="113">
        <v>2735.99660667635</v>
      </c>
    </row>
    <row r="214" spans="1:9" x14ac:dyDescent="0.35">
      <c r="A214" s="109">
        <v>54288141000180</v>
      </c>
      <c r="B214" s="110" t="s">
        <v>20</v>
      </c>
      <c r="C214" s="110" t="s">
        <v>1097</v>
      </c>
      <c r="D214" s="111" t="s">
        <v>1067</v>
      </c>
      <c r="E214" s="112"/>
      <c r="F214" s="113" t="s">
        <v>1099</v>
      </c>
      <c r="G214" s="113">
        <v>2726.5488769099998</v>
      </c>
      <c r="H214" s="113">
        <v>3042.8873536056803</v>
      </c>
      <c r="I214" s="113">
        <v>5769.4362305156801</v>
      </c>
    </row>
    <row r="215" spans="1:9" x14ac:dyDescent="0.35">
      <c r="A215" s="109">
        <v>1561919000117</v>
      </c>
      <c r="B215" s="110" t="s">
        <v>36</v>
      </c>
      <c r="C215" s="110" t="s">
        <v>1095</v>
      </c>
      <c r="D215" s="111" t="s">
        <v>1067</v>
      </c>
      <c r="E215" s="112"/>
      <c r="F215" s="113" t="s">
        <v>1099</v>
      </c>
      <c r="G215" s="113">
        <v>3360.99126725</v>
      </c>
      <c r="H215" s="113">
        <v>4543.8243515221902</v>
      </c>
      <c r="I215" s="113">
        <v>7904.8156187721906</v>
      </c>
    </row>
    <row r="216" spans="1:9" x14ac:dyDescent="0.35">
      <c r="A216" s="109">
        <v>1719283000199</v>
      </c>
      <c r="B216" s="110" t="s">
        <v>20</v>
      </c>
      <c r="C216" s="110" t="s">
        <v>1097</v>
      </c>
      <c r="D216" s="111" t="s">
        <v>1067</v>
      </c>
      <c r="E216" s="112"/>
      <c r="F216" s="113" t="s">
        <v>1099</v>
      </c>
      <c r="G216" s="113">
        <v>1839.11879638</v>
      </c>
      <c r="H216" s="113">
        <v>1761.62101831226</v>
      </c>
      <c r="I216" s="113">
        <v>3600.7398146922601</v>
      </c>
    </row>
    <row r="217" spans="1:9" x14ac:dyDescent="0.35">
      <c r="A217" s="109">
        <v>1956853000164</v>
      </c>
      <c r="B217" s="110" t="s">
        <v>33</v>
      </c>
      <c r="C217" s="110" t="s">
        <v>1095</v>
      </c>
      <c r="D217" s="111" t="s">
        <v>1067</v>
      </c>
      <c r="E217" s="112"/>
      <c r="F217" s="113" t="s">
        <v>1099</v>
      </c>
      <c r="G217" s="113">
        <v>523.89372875000004</v>
      </c>
      <c r="H217" s="113">
        <v>2423.0166954189599</v>
      </c>
      <c r="I217" s="113">
        <v>2946.9104241689602</v>
      </c>
    </row>
    <row r="218" spans="1:9" x14ac:dyDescent="0.35">
      <c r="A218" s="109">
        <v>1996877000147</v>
      </c>
      <c r="B218" s="110" t="s">
        <v>20</v>
      </c>
      <c r="C218" s="110" t="s">
        <v>1097</v>
      </c>
      <c r="D218" s="111" t="s">
        <v>1067</v>
      </c>
      <c r="E218" s="112"/>
      <c r="F218" s="113" t="s">
        <v>1099</v>
      </c>
      <c r="G218" s="113">
        <v>356.91895536999999</v>
      </c>
      <c r="H218" s="113">
        <v>947.67845801418605</v>
      </c>
      <c r="I218" s="113">
        <v>1304.597413384186</v>
      </c>
    </row>
    <row r="219" spans="1:9" x14ac:dyDescent="0.35">
      <c r="A219" s="109">
        <v>2021988000109</v>
      </c>
      <c r="B219" s="110" t="s">
        <v>20</v>
      </c>
      <c r="C219" s="110" t="s">
        <v>1097</v>
      </c>
      <c r="D219" s="111" t="s">
        <v>1067</v>
      </c>
      <c r="E219" s="112"/>
      <c r="F219" s="113" t="s">
        <v>1099</v>
      </c>
      <c r="G219" s="113">
        <v>208.90958516000001</v>
      </c>
      <c r="H219" s="113">
        <v>382.42408563484099</v>
      </c>
      <c r="I219" s="113">
        <v>591.33367079484105</v>
      </c>
    </row>
    <row r="220" spans="1:9" x14ac:dyDescent="0.35">
      <c r="A220" s="109">
        <v>2462665000142</v>
      </c>
      <c r="B220" s="110" t="s">
        <v>20</v>
      </c>
      <c r="C220" s="110" t="s">
        <v>1097</v>
      </c>
      <c r="D220" s="111" t="s">
        <v>1067</v>
      </c>
      <c r="E220" s="112"/>
      <c r="F220" s="113" t="s">
        <v>1099</v>
      </c>
      <c r="G220" s="113">
        <v>4100.9865308199996</v>
      </c>
      <c r="H220" s="113">
        <v>4978.4351516451898</v>
      </c>
      <c r="I220" s="113">
        <v>9079.4216824651885</v>
      </c>
    </row>
    <row r="221" spans="1:9" x14ac:dyDescent="0.35">
      <c r="A221" s="109">
        <v>3492774000175</v>
      </c>
      <c r="B221" s="110" t="s">
        <v>16</v>
      </c>
      <c r="C221" s="110" t="s">
        <v>1095</v>
      </c>
      <c r="D221" s="111" t="s">
        <v>1067</v>
      </c>
      <c r="E221" s="112"/>
      <c r="F221" s="113" t="s">
        <v>1099</v>
      </c>
      <c r="G221" s="113">
        <v>1674.6739491399999</v>
      </c>
      <c r="H221" s="113">
        <v>1729.18749572359</v>
      </c>
      <c r="I221" s="113">
        <v>3403.8614448635899</v>
      </c>
    </row>
    <row r="222" spans="1:9" x14ac:dyDescent="0.35">
      <c r="A222" s="109">
        <v>4083576000110</v>
      </c>
      <c r="B222" s="110" t="s">
        <v>16</v>
      </c>
      <c r="C222" s="110" t="s">
        <v>1095</v>
      </c>
      <c r="D222" s="111" t="s">
        <v>1067</v>
      </c>
      <c r="E222" s="112"/>
      <c r="F222" s="113" t="s">
        <v>1099</v>
      </c>
      <c r="G222" s="113">
        <v>630.09957392999991</v>
      </c>
      <c r="H222" s="113">
        <v>669.68538609202096</v>
      </c>
      <c r="I222" s="113">
        <v>1299.7849600220209</v>
      </c>
    </row>
    <row r="223" spans="1:9" x14ac:dyDescent="0.35">
      <c r="A223" s="109">
        <v>5051579000135</v>
      </c>
      <c r="B223" s="110" t="s">
        <v>20</v>
      </c>
      <c r="C223" s="110" t="s">
        <v>1097</v>
      </c>
      <c r="D223" s="111" t="s">
        <v>1067</v>
      </c>
      <c r="E223" s="112"/>
      <c r="F223" s="113" t="s">
        <v>1099</v>
      </c>
      <c r="G223" s="113">
        <v>839.90685018999989</v>
      </c>
      <c r="H223" s="113">
        <v>1738.4550752128901</v>
      </c>
      <c r="I223" s="113">
        <v>2578.3619254028899</v>
      </c>
    </row>
    <row r="224" spans="1:9" x14ac:dyDescent="0.35">
      <c r="A224" s="109">
        <v>5335462000183</v>
      </c>
      <c r="B224" s="110" t="s">
        <v>20</v>
      </c>
      <c r="C224" s="110" t="s">
        <v>1097</v>
      </c>
      <c r="D224" s="111" t="s">
        <v>1067</v>
      </c>
      <c r="E224" s="112"/>
      <c r="F224" s="113" t="s">
        <v>1099</v>
      </c>
      <c r="G224" s="113">
        <v>419.39154339999999</v>
      </c>
      <c r="H224" s="113">
        <v>1589.0270792193801</v>
      </c>
      <c r="I224" s="113">
        <v>2008.4186226193801</v>
      </c>
    </row>
    <row r="225" spans="1:9" x14ac:dyDescent="0.35">
      <c r="A225" s="109">
        <v>7033833000106</v>
      </c>
      <c r="B225" s="110" t="s">
        <v>20</v>
      </c>
      <c r="C225" s="110" t="s">
        <v>1097</v>
      </c>
      <c r="D225" s="111" t="s">
        <v>1067</v>
      </c>
      <c r="E225" s="112"/>
      <c r="F225" s="113" t="s">
        <v>1099</v>
      </c>
      <c r="G225" s="113">
        <v>1013.34545971</v>
      </c>
      <c r="H225" s="113">
        <v>2581.4905752965001</v>
      </c>
      <c r="I225" s="113">
        <v>3594.8360350065</v>
      </c>
    </row>
    <row r="226" spans="1:9" x14ac:dyDescent="0.35">
      <c r="A226" s="109">
        <v>7460103000183</v>
      </c>
      <c r="B226" s="110" t="s">
        <v>16</v>
      </c>
      <c r="C226" s="110" t="s">
        <v>1095</v>
      </c>
      <c r="D226" s="111" t="s">
        <v>1067</v>
      </c>
      <c r="E226" s="112"/>
      <c r="F226" s="113" t="s">
        <v>1099</v>
      </c>
      <c r="G226" s="113">
        <v>998.98029249000001</v>
      </c>
      <c r="H226" s="113">
        <v>1185.1578233432019</v>
      </c>
      <c r="I226" s="113">
        <v>2184.1381158332019</v>
      </c>
    </row>
    <row r="227" spans="1:9" x14ac:dyDescent="0.35">
      <c r="A227" s="109">
        <v>8986750000196</v>
      </c>
      <c r="B227" s="110" t="s">
        <v>36</v>
      </c>
      <c r="C227" s="110" t="s">
        <v>1095</v>
      </c>
      <c r="D227" s="111" t="s">
        <v>1067</v>
      </c>
      <c r="E227" s="112"/>
      <c r="F227" s="113" t="s">
        <v>1099</v>
      </c>
      <c r="G227" s="113">
        <v>320.19823481999993</v>
      </c>
      <c r="H227" s="113">
        <v>439.25018859066302</v>
      </c>
      <c r="I227" s="113">
        <v>759.44842341066294</v>
      </c>
    </row>
    <row r="228" spans="1:9" x14ac:dyDescent="0.35">
      <c r="A228" s="109">
        <v>8986750000358</v>
      </c>
      <c r="B228" s="110" t="s">
        <v>36</v>
      </c>
      <c r="C228" s="110" t="s">
        <v>1095</v>
      </c>
      <c r="D228" s="111" t="s">
        <v>1067</v>
      </c>
      <c r="E228" s="112"/>
      <c r="F228" s="113" t="s">
        <v>1099</v>
      </c>
      <c r="G228" s="113">
        <v>843.58559590000004</v>
      </c>
      <c r="H228" s="113">
        <v>1249.3049335339401</v>
      </c>
      <c r="I228" s="113">
        <v>2092.8905294339402</v>
      </c>
    </row>
    <row r="229" spans="1:9" x14ac:dyDescent="0.35">
      <c r="A229" s="109">
        <v>10816100000144</v>
      </c>
      <c r="B229" s="110" t="s">
        <v>9</v>
      </c>
      <c r="C229" s="110" t="s">
        <v>1095</v>
      </c>
      <c r="D229" s="111" t="s">
        <v>1067</v>
      </c>
      <c r="E229" s="112"/>
      <c r="F229" s="113" t="s">
        <v>1099</v>
      </c>
      <c r="G229" s="113">
        <v>3390.7653157999998</v>
      </c>
      <c r="H229" s="113">
        <v>3399.8931340023601</v>
      </c>
      <c r="I229" s="113">
        <v>6790.6584498023603</v>
      </c>
    </row>
    <row r="230" spans="1:9" x14ac:dyDescent="0.35">
      <c r="A230" s="109">
        <v>11058284000193</v>
      </c>
      <c r="B230" s="110" t="s">
        <v>20</v>
      </c>
      <c r="C230" s="110" t="s">
        <v>1097</v>
      </c>
      <c r="D230" s="111" t="s">
        <v>1067</v>
      </c>
      <c r="E230" s="112"/>
      <c r="F230" s="113" t="s">
        <v>1099</v>
      </c>
      <c r="G230" s="113">
        <v>2098.01422254</v>
      </c>
      <c r="H230" s="113">
        <v>3023.8694857620003</v>
      </c>
      <c r="I230" s="113">
        <v>5121.8837083020007</v>
      </c>
    </row>
    <row r="231" spans="1:9" x14ac:dyDescent="0.35">
      <c r="A231" s="109">
        <v>11628018000159</v>
      </c>
      <c r="B231" s="110" t="s">
        <v>20</v>
      </c>
      <c r="C231" s="110" t="s">
        <v>1097</v>
      </c>
      <c r="D231" s="111" t="s">
        <v>1067</v>
      </c>
      <c r="E231" s="112"/>
      <c r="F231" s="113" t="s">
        <v>1099</v>
      </c>
      <c r="G231" s="113">
        <v>3291.16876108</v>
      </c>
      <c r="H231" s="113">
        <v>1895.1971493087599</v>
      </c>
      <c r="I231" s="113">
        <v>5186.3659103887603</v>
      </c>
    </row>
    <row r="232" spans="1:9" x14ac:dyDescent="0.35">
      <c r="A232" s="109">
        <v>12026397000170</v>
      </c>
      <c r="B232" s="110" t="s">
        <v>36</v>
      </c>
      <c r="C232" s="110" t="s">
        <v>1095</v>
      </c>
      <c r="D232" s="111" t="s">
        <v>1067</v>
      </c>
      <c r="E232" s="112"/>
      <c r="F232" s="113" t="s">
        <v>1099</v>
      </c>
      <c r="G232" s="113">
        <v>202.98287773999999</v>
      </c>
      <c r="H232" s="113">
        <v>211.545476959128</v>
      </c>
      <c r="I232" s="113">
        <v>414.52835469912799</v>
      </c>
    </row>
    <row r="233" spans="1:9" x14ac:dyDescent="0.35">
      <c r="A233" s="109">
        <v>12625289000113</v>
      </c>
      <c r="B233" s="110" t="s">
        <v>64</v>
      </c>
      <c r="C233" s="110" t="s">
        <v>1095</v>
      </c>
      <c r="D233" s="111" t="s">
        <v>1067</v>
      </c>
      <c r="E233" s="112"/>
      <c r="F233" s="113" t="s">
        <v>1099</v>
      </c>
      <c r="G233" s="113">
        <v>1657.0196842099999</v>
      </c>
      <c r="H233" s="113">
        <v>1198.3409317616899</v>
      </c>
      <c r="I233" s="113">
        <v>2855.3606159716901</v>
      </c>
    </row>
    <row r="234" spans="1:9" x14ac:dyDescent="0.35">
      <c r="A234" s="109">
        <v>13445025000140</v>
      </c>
      <c r="B234" s="110" t="s">
        <v>190</v>
      </c>
      <c r="C234" s="110" t="s">
        <v>1095</v>
      </c>
      <c r="D234" s="111" t="s">
        <v>1067</v>
      </c>
      <c r="E234" s="112"/>
      <c r="F234" s="113" t="s">
        <v>1099</v>
      </c>
      <c r="G234" s="113">
        <v>5489.2202935200003</v>
      </c>
      <c r="H234" s="113">
        <v>4528.6585189673806</v>
      </c>
      <c r="I234" s="113">
        <v>10017.878812487381</v>
      </c>
    </row>
    <row r="235" spans="1:9" x14ac:dyDescent="0.35">
      <c r="A235" s="109">
        <v>14511974000144</v>
      </c>
      <c r="B235" s="110" t="s">
        <v>38</v>
      </c>
      <c r="C235" s="110" t="s">
        <v>1095</v>
      </c>
      <c r="D235" s="111" t="s">
        <v>1067</v>
      </c>
      <c r="E235" s="112"/>
      <c r="F235" s="113" t="s">
        <v>1099</v>
      </c>
      <c r="G235" s="113">
        <v>853.87998747000006</v>
      </c>
      <c r="H235" s="113">
        <v>1945.128919793</v>
      </c>
      <c r="I235" s="113">
        <v>2799.0089072629999</v>
      </c>
    </row>
    <row r="236" spans="1:9" x14ac:dyDescent="0.35">
      <c r="A236" s="109">
        <v>15433090000181</v>
      </c>
      <c r="B236" s="110" t="s">
        <v>20</v>
      </c>
      <c r="C236" s="110" t="s">
        <v>1097</v>
      </c>
      <c r="D236" s="111" t="s">
        <v>1067</v>
      </c>
      <c r="E236" s="112"/>
      <c r="F236" s="113" t="s">
        <v>1099</v>
      </c>
      <c r="G236" s="113">
        <v>254.81636049000002</v>
      </c>
      <c r="H236" s="113">
        <v>683.33657028480297</v>
      </c>
      <c r="I236" s="113">
        <v>938.15293077480305</v>
      </c>
    </row>
    <row r="237" spans="1:9" x14ac:dyDescent="0.35">
      <c r="A237" s="109">
        <v>16926052000123</v>
      </c>
      <c r="B237" s="110" t="s">
        <v>36</v>
      </c>
      <c r="C237" s="110" t="s">
        <v>1095</v>
      </c>
      <c r="D237" s="111" t="s">
        <v>1067</v>
      </c>
      <c r="E237" s="112"/>
      <c r="F237" s="113" t="s">
        <v>1099</v>
      </c>
      <c r="G237" s="113">
        <v>10389.71758094</v>
      </c>
      <c r="H237" s="113">
        <v>7064.8956442095696</v>
      </c>
      <c r="I237" s="113">
        <v>17454.613225149569</v>
      </c>
    </row>
    <row r="238" spans="1:9" x14ac:dyDescent="0.35">
      <c r="A238" s="109">
        <v>18429327000149</v>
      </c>
      <c r="B238" s="110" t="s">
        <v>20</v>
      </c>
      <c r="C238" s="110" t="s">
        <v>1097</v>
      </c>
      <c r="D238" s="111" t="s">
        <v>1067</v>
      </c>
      <c r="E238" s="112"/>
      <c r="F238" s="113" t="s">
        <v>1099</v>
      </c>
      <c r="G238" s="113">
        <v>616.58805802999996</v>
      </c>
      <c r="H238" s="113">
        <v>1589.7108215713999</v>
      </c>
      <c r="I238" s="113">
        <v>2206.2988796013997</v>
      </c>
    </row>
    <row r="239" spans="1:9" x14ac:dyDescent="0.35">
      <c r="A239" s="109">
        <v>20119949000112</v>
      </c>
      <c r="B239" s="110" t="s">
        <v>36</v>
      </c>
      <c r="C239" s="110" t="s">
        <v>1095</v>
      </c>
      <c r="D239" s="111" t="s">
        <v>1067</v>
      </c>
      <c r="E239" s="112"/>
      <c r="F239" s="113" t="s">
        <v>1099</v>
      </c>
      <c r="G239" s="113">
        <v>1181.66540212</v>
      </c>
      <c r="H239" s="113">
        <v>2398.0987222331401</v>
      </c>
      <c r="I239" s="113">
        <v>3579.7641243531398</v>
      </c>
    </row>
    <row r="240" spans="1:9" x14ac:dyDescent="0.35">
      <c r="A240" s="109">
        <v>22524747000181</v>
      </c>
      <c r="B240" s="110" t="s">
        <v>36</v>
      </c>
      <c r="C240" s="110" t="s">
        <v>1095</v>
      </c>
      <c r="D240" s="111" t="s">
        <v>1067</v>
      </c>
      <c r="E240" s="112"/>
      <c r="F240" s="113" t="s">
        <v>1099</v>
      </c>
      <c r="G240" s="113">
        <v>3954.4480510899998</v>
      </c>
      <c r="H240" s="113">
        <v>5135.9419300452601</v>
      </c>
      <c r="I240" s="113">
        <v>9090.3899811352603</v>
      </c>
    </row>
    <row r="241" spans="1:9" x14ac:dyDescent="0.35">
      <c r="A241" s="109">
        <v>24092237000108</v>
      </c>
      <c r="B241" s="110" t="s">
        <v>190</v>
      </c>
      <c r="C241" s="110" t="s">
        <v>1095</v>
      </c>
      <c r="D241" s="111" t="s">
        <v>1067</v>
      </c>
      <c r="E241" s="112"/>
      <c r="F241" s="113" t="s">
        <v>1099</v>
      </c>
      <c r="G241" s="113">
        <v>415.63210352999999</v>
      </c>
      <c r="H241" s="113">
        <v>900.15689411557992</v>
      </c>
      <c r="I241" s="113">
        <v>1315.7889976455799</v>
      </c>
    </row>
    <row r="242" spans="1:9" x14ac:dyDescent="0.35">
      <c r="A242" s="109">
        <v>29576260000191</v>
      </c>
      <c r="B242" s="110" t="s">
        <v>20</v>
      </c>
      <c r="C242" s="110" t="s">
        <v>1097</v>
      </c>
      <c r="D242" s="111" t="s">
        <v>1067</v>
      </c>
      <c r="E242" s="112"/>
      <c r="F242" s="113" t="s">
        <v>1099</v>
      </c>
      <c r="G242" s="113">
        <v>1827.86024933</v>
      </c>
      <c r="H242" s="113">
        <v>3106.6630344038599</v>
      </c>
      <c r="I242" s="113">
        <v>4934.5232837338599</v>
      </c>
    </row>
    <row r="243" spans="1:9" x14ac:dyDescent="0.35">
      <c r="A243" s="109">
        <v>32062591000118</v>
      </c>
      <c r="B243" s="110" t="s">
        <v>20</v>
      </c>
      <c r="C243" s="110" t="s">
        <v>1097</v>
      </c>
      <c r="D243" s="111" t="s">
        <v>1067</v>
      </c>
      <c r="E243" s="112"/>
      <c r="F243" s="113" t="s">
        <v>1099</v>
      </c>
      <c r="G243" s="113">
        <v>467.30806574999997</v>
      </c>
      <c r="H243" s="113">
        <v>890.41825414741891</v>
      </c>
      <c r="I243" s="113">
        <v>1357.7263198974188</v>
      </c>
    </row>
    <row r="244" spans="1:9" x14ac:dyDescent="0.35">
      <c r="A244" s="109">
        <v>34607195000154</v>
      </c>
      <c r="B244" s="110" t="s">
        <v>20</v>
      </c>
      <c r="C244" s="110" t="s">
        <v>1097</v>
      </c>
      <c r="D244" s="111" t="s">
        <v>1067</v>
      </c>
      <c r="E244" s="112"/>
      <c r="F244" s="113" t="s">
        <v>1099</v>
      </c>
      <c r="G244" s="113">
        <v>84.580891089999994</v>
      </c>
      <c r="H244" s="113">
        <v>317.34344630641101</v>
      </c>
      <c r="I244" s="113">
        <v>401.92433739641103</v>
      </c>
    </row>
    <row r="245" spans="1:9" x14ac:dyDescent="0.35">
      <c r="A245" s="109">
        <v>36259468000142</v>
      </c>
      <c r="B245" s="110" t="s">
        <v>20</v>
      </c>
      <c r="C245" s="110" t="s">
        <v>1097</v>
      </c>
      <c r="D245" s="111" t="s">
        <v>1067</v>
      </c>
      <c r="E245" s="112"/>
      <c r="F245" s="113" t="s">
        <v>1099</v>
      </c>
      <c r="G245" s="113">
        <v>969.17504655999994</v>
      </c>
      <c r="H245" s="113">
        <v>1608.9431132130601</v>
      </c>
      <c r="I245" s="113">
        <v>2578.1181597730601</v>
      </c>
    </row>
    <row r="246" spans="1:9" x14ac:dyDescent="0.35">
      <c r="A246" s="109">
        <v>37203809000120</v>
      </c>
      <c r="B246" s="110" t="s">
        <v>20</v>
      </c>
      <c r="C246" s="110" t="s">
        <v>1097</v>
      </c>
      <c r="D246" s="111" t="s">
        <v>1067</v>
      </c>
      <c r="E246" s="112"/>
      <c r="F246" s="113" t="s">
        <v>1099</v>
      </c>
      <c r="G246" s="113">
        <v>184.46208124</v>
      </c>
      <c r="H246" s="113">
        <v>522.24291940001808</v>
      </c>
      <c r="I246" s="113">
        <v>706.70500064001806</v>
      </c>
    </row>
    <row r="247" spans="1:9" x14ac:dyDescent="0.35">
      <c r="A247" s="109">
        <v>40214024000168</v>
      </c>
      <c r="B247" s="110" t="s">
        <v>16</v>
      </c>
      <c r="C247" s="110" t="s">
        <v>1095</v>
      </c>
      <c r="D247" s="111" t="s">
        <v>1067</v>
      </c>
      <c r="E247" s="112"/>
      <c r="F247" s="113" t="s">
        <v>1099</v>
      </c>
      <c r="G247" s="113">
        <v>1581.3356376099998</v>
      </c>
      <c r="H247" s="113">
        <v>1979.55782397541</v>
      </c>
      <c r="I247" s="113">
        <v>3560.8934615854096</v>
      </c>
    </row>
    <row r="248" spans="1:9" x14ac:dyDescent="0.35">
      <c r="A248" s="109">
        <v>41196111000100</v>
      </c>
      <c r="B248" s="110" t="s">
        <v>36</v>
      </c>
      <c r="C248" s="110" t="s">
        <v>1095</v>
      </c>
      <c r="D248" s="111" t="s">
        <v>1067</v>
      </c>
      <c r="E248" s="112"/>
      <c r="F248" s="113" t="s">
        <v>1099</v>
      </c>
      <c r="G248" s="113">
        <v>784.93843972000002</v>
      </c>
      <c r="H248" s="113">
        <v>2944.6922044631997</v>
      </c>
      <c r="I248" s="113">
        <v>3729.6306441831998</v>
      </c>
    </row>
    <row r="249" spans="1:9" x14ac:dyDescent="0.35">
      <c r="A249" s="109">
        <v>43011126000174</v>
      </c>
      <c r="B249" s="110" t="s">
        <v>36</v>
      </c>
      <c r="C249" s="110" t="s">
        <v>1095</v>
      </c>
      <c r="D249" s="111" t="s">
        <v>1067</v>
      </c>
      <c r="E249" s="112"/>
      <c r="F249" s="113" t="s">
        <v>1099</v>
      </c>
      <c r="G249" s="113">
        <v>1731.4974985999997</v>
      </c>
      <c r="H249" s="113">
        <v>1660.9017417395999</v>
      </c>
      <c r="I249" s="113">
        <v>3392.3992403395996</v>
      </c>
    </row>
    <row r="250" spans="1:9" x14ac:dyDescent="0.35">
      <c r="A250" s="109">
        <v>49465956000158</v>
      </c>
      <c r="B250" s="110" t="s">
        <v>16</v>
      </c>
      <c r="C250" s="110" t="s">
        <v>1095</v>
      </c>
      <c r="D250" s="111" t="s">
        <v>1067</v>
      </c>
      <c r="E250" s="112"/>
      <c r="F250" s="113" t="s">
        <v>1099</v>
      </c>
      <c r="G250" s="113">
        <v>898.66434432000005</v>
      </c>
      <c r="H250" s="113">
        <v>1424.4989177994889</v>
      </c>
      <c r="I250" s="113">
        <v>2323.163262119489</v>
      </c>
    </row>
    <row r="251" spans="1:9" x14ac:dyDescent="0.35">
      <c r="A251" s="109">
        <v>49560389000208</v>
      </c>
      <c r="B251" s="110" t="s">
        <v>36</v>
      </c>
      <c r="C251" s="110" t="s">
        <v>1095</v>
      </c>
      <c r="D251" s="111" t="s">
        <v>1067</v>
      </c>
      <c r="E251" s="112"/>
      <c r="F251" s="113" t="s">
        <v>1099</v>
      </c>
      <c r="G251" s="113">
        <v>845.95863202999999</v>
      </c>
      <c r="H251" s="113">
        <v>1133.6522395161169</v>
      </c>
      <c r="I251" s="113">
        <v>1979.6108715461169</v>
      </c>
    </row>
    <row r="252" spans="1:9" x14ac:dyDescent="0.35">
      <c r="A252" s="109">
        <v>50357285000190</v>
      </c>
      <c r="B252" s="110" t="s">
        <v>64</v>
      </c>
      <c r="C252" s="110" t="s">
        <v>1095</v>
      </c>
      <c r="D252" s="111" t="s">
        <v>1067</v>
      </c>
      <c r="E252" s="112"/>
      <c r="F252" s="113" t="s">
        <v>1099</v>
      </c>
      <c r="G252" s="113">
        <v>5816.0605866400001</v>
      </c>
      <c r="H252" s="113">
        <v>8303.9730488565401</v>
      </c>
      <c r="I252" s="113">
        <v>14120.03363549654</v>
      </c>
    </row>
    <row r="253" spans="1:9" x14ac:dyDescent="0.35">
      <c r="A253" s="109">
        <v>50413414000110</v>
      </c>
      <c r="B253" s="110" t="s">
        <v>33</v>
      </c>
      <c r="C253" s="110" t="s">
        <v>1095</v>
      </c>
      <c r="D253" s="111" t="s">
        <v>1067</v>
      </c>
      <c r="E253" s="112"/>
      <c r="F253" s="113" t="s">
        <v>1099</v>
      </c>
      <c r="G253" s="113">
        <v>3725.3913882899997</v>
      </c>
      <c r="H253" s="113">
        <v>2094.8641841881699</v>
      </c>
      <c r="I253" s="113">
        <v>5820.2555724781696</v>
      </c>
    </row>
    <row r="254" spans="1:9" x14ac:dyDescent="0.35">
      <c r="A254" s="109">
        <v>52390785000150</v>
      </c>
      <c r="B254" s="110" t="s">
        <v>36</v>
      </c>
      <c r="C254" s="110" t="s">
        <v>1095</v>
      </c>
      <c r="D254" s="111" t="s">
        <v>1067</v>
      </c>
      <c r="E254" s="112"/>
      <c r="F254" s="113" t="s">
        <v>1099</v>
      </c>
      <c r="G254" s="113">
        <v>759.69696619000001</v>
      </c>
      <c r="H254" s="113">
        <v>1957.6091478425201</v>
      </c>
      <c r="I254" s="113">
        <v>2717.3061140325199</v>
      </c>
    </row>
    <row r="255" spans="1:9" x14ac:dyDescent="0.35">
      <c r="A255" s="109">
        <v>52905500000176</v>
      </c>
      <c r="B255" s="110" t="s">
        <v>74</v>
      </c>
      <c r="C255" s="110" t="s">
        <v>1095</v>
      </c>
      <c r="D255" s="111" t="s">
        <v>1067</v>
      </c>
      <c r="E255" s="112"/>
      <c r="F255" s="113" t="s">
        <v>1099</v>
      </c>
      <c r="G255" s="113">
        <v>2049.0920517700001</v>
      </c>
      <c r="H255" s="113">
        <v>2294.1923394445298</v>
      </c>
      <c r="I255" s="113">
        <v>4343.2843912145299</v>
      </c>
    </row>
    <row r="256" spans="1:9" x14ac:dyDescent="0.35">
      <c r="A256" s="109">
        <v>54593917000176</v>
      </c>
      <c r="B256" s="110" t="s">
        <v>20</v>
      </c>
      <c r="C256" s="110" t="s">
        <v>1097</v>
      </c>
      <c r="D256" s="111" t="s">
        <v>1067</v>
      </c>
      <c r="E256" s="112"/>
      <c r="F256" s="113" t="s">
        <v>1099</v>
      </c>
      <c r="G256" s="113">
        <v>1050.04484671</v>
      </c>
      <c r="H256" s="113">
        <v>1692.15598299263</v>
      </c>
      <c r="I256" s="113">
        <v>2742.20082970263</v>
      </c>
    </row>
    <row r="257" spans="1:9" x14ac:dyDescent="0.35">
      <c r="A257" s="109">
        <v>55312241000168</v>
      </c>
      <c r="B257" s="110" t="s">
        <v>16</v>
      </c>
      <c r="C257" s="110" t="s">
        <v>1095</v>
      </c>
      <c r="D257" s="111" t="s">
        <v>1067</v>
      </c>
      <c r="E257" s="112"/>
      <c r="F257" s="113" t="s">
        <v>1099</v>
      </c>
      <c r="G257" s="113">
        <v>3010.5324028</v>
      </c>
      <c r="H257" s="113">
        <v>2837.8093372022599</v>
      </c>
      <c r="I257" s="113">
        <v>5848.3417400022599</v>
      </c>
    </row>
    <row r="258" spans="1:9" x14ac:dyDescent="0.35">
      <c r="A258" s="109">
        <v>56193995000109</v>
      </c>
      <c r="B258" s="110" t="s">
        <v>20</v>
      </c>
      <c r="C258" s="110" t="s">
        <v>1097</v>
      </c>
      <c r="D258" s="111" t="s">
        <v>1067</v>
      </c>
      <c r="E258" s="112"/>
      <c r="F258" s="113" t="s">
        <v>1099</v>
      </c>
      <c r="G258" s="113">
        <v>1027.20708676</v>
      </c>
      <c r="H258" s="113">
        <v>1072.538005230502</v>
      </c>
      <c r="I258" s="113">
        <v>2099.7450919905023</v>
      </c>
    </row>
    <row r="259" spans="1:9" x14ac:dyDescent="0.35">
      <c r="A259" s="109">
        <v>57629502000101</v>
      </c>
      <c r="B259" s="110" t="s">
        <v>20</v>
      </c>
      <c r="C259" s="110" t="s">
        <v>1097</v>
      </c>
      <c r="D259" s="111" t="s">
        <v>1067</v>
      </c>
      <c r="E259" s="112"/>
      <c r="F259" s="113" t="s">
        <v>1099</v>
      </c>
      <c r="G259" s="113">
        <v>430.87070439000001</v>
      </c>
      <c r="H259" s="113">
        <v>748.98269416472795</v>
      </c>
      <c r="I259" s="113">
        <v>1179.8533985547278</v>
      </c>
    </row>
    <row r="260" spans="1:9" x14ac:dyDescent="0.35">
      <c r="A260" s="109">
        <v>58230920000186</v>
      </c>
      <c r="B260" s="110" t="s">
        <v>36</v>
      </c>
      <c r="C260" s="110" t="s">
        <v>1095</v>
      </c>
      <c r="D260" s="111" t="s">
        <v>1067</v>
      </c>
      <c r="E260" s="112"/>
      <c r="F260" s="113" t="s">
        <v>1099</v>
      </c>
      <c r="G260" s="113">
        <v>452.69276253999999</v>
      </c>
      <c r="H260" s="113">
        <v>710.86467791754603</v>
      </c>
      <c r="I260" s="113">
        <v>1163.5574404575459</v>
      </c>
    </row>
    <row r="261" spans="1:9" x14ac:dyDescent="0.35">
      <c r="A261" s="109">
        <v>62343168000157</v>
      </c>
      <c r="B261" s="110" t="s">
        <v>9</v>
      </c>
      <c r="C261" s="110" t="s">
        <v>1095</v>
      </c>
      <c r="D261" s="111" t="s">
        <v>1067</v>
      </c>
      <c r="E261" s="112"/>
      <c r="F261" s="113" t="s">
        <v>1099</v>
      </c>
      <c r="G261" s="113">
        <v>3341.06446594</v>
      </c>
      <c r="H261" s="113">
        <v>1928.6132422810801</v>
      </c>
      <c r="I261" s="113">
        <v>5269.6777082210801</v>
      </c>
    </row>
    <row r="262" spans="1:9" x14ac:dyDescent="0.35">
      <c r="A262" s="109">
        <v>62464432000100</v>
      </c>
      <c r="B262" s="110" t="s">
        <v>36</v>
      </c>
      <c r="C262" s="110" t="s">
        <v>1095</v>
      </c>
      <c r="D262" s="111" t="s">
        <v>1067</v>
      </c>
      <c r="E262" s="112"/>
      <c r="F262" s="113" t="s">
        <v>1099</v>
      </c>
      <c r="G262" s="113">
        <v>2451.4894888499998</v>
      </c>
      <c r="H262" s="113">
        <v>2293.8734891492199</v>
      </c>
      <c r="I262" s="113">
        <v>4745.3629779992198</v>
      </c>
    </row>
    <row r="263" spans="1:9" x14ac:dyDescent="0.35">
      <c r="A263" s="109">
        <v>73399826000149</v>
      </c>
      <c r="B263" s="110" t="s">
        <v>38</v>
      </c>
      <c r="C263" s="110" t="s">
        <v>1095</v>
      </c>
      <c r="D263" s="111" t="s">
        <v>1067</v>
      </c>
      <c r="E263" s="112"/>
      <c r="F263" s="113" t="s">
        <v>1099</v>
      </c>
      <c r="G263" s="113">
        <v>376.2380872</v>
      </c>
      <c r="H263" s="113">
        <v>669.02727933373194</v>
      </c>
      <c r="I263" s="113">
        <v>1045.265366533732</v>
      </c>
    </row>
    <row r="264" spans="1:9" x14ac:dyDescent="0.35">
      <c r="A264" s="109">
        <v>27377243000361</v>
      </c>
      <c r="B264" s="110" t="s">
        <v>20</v>
      </c>
      <c r="C264" s="110" t="s">
        <v>1097</v>
      </c>
      <c r="D264" s="111" t="s">
        <v>1072</v>
      </c>
      <c r="E264" s="112" t="s">
        <v>147</v>
      </c>
      <c r="F264" s="113" t="s">
        <v>1098</v>
      </c>
      <c r="G264" s="113">
        <v>169.89847227999999</v>
      </c>
      <c r="H264" s="113">
        <v>211.43819796986722</v>
      </c>
      <c r="I264" s="113">
        <v>381.33667024986721</v>
      </c>
    </row>
    <row r="265" spans="1:9" x14ac:dyDescent="0.35">
      <c r="A265" s="109">
        <v>4256383000114</v>
      </c>
      <c r="B265" s="110" t="s">
        <v>74</v>
      </c>
      <c r="C265" s="110" t="s">
        <v>1095</v>
      </c>
      <c r="D265" s="111" t="s">
        <v>1072</v>
      </c>
      <c r="E265" s="112"/>
      <c r="F265" s="113" t="s">
        <v>1100</v>
      </c>
      <c r="G265" s="113">
        <v>0</v>
      </c>
      <c r="H265" s="113">
        <v>2146.9094781921799</v>
      </c>
      <c r="I265" s="113">
        <v>2146.9094781921799</v>
      </c>
    </row>
    <row r="266" spans="1:9" x14ac:dyDescent="0.35">
      <c r="A266" s="109">
        <v>33379672000109</v>
      </c>
      <c r="B266" s="110" t="s">
        <v>36</v>
      </c>
      <c r="C266" s="110" t="s">
        <v>1095</v>
      </c>
      <c r="D266" s="111" t="s">
        <v>1072</v>
      </c>
      <c r="E266" s="112"/>
      <c r="F266" s="113" t="s">
        <v>1099</v>
      </c>
      <c r="G266" s="113">
        <v>1821.7701483399999</v>
      </c>
      <c r="H266" s="113">
        <v>29.09221869277053</v>
      </c>
      <c r="I266" s="113">
        <v>1850.8623670327704</v>
      </c>
    </row>
    <row r="267" spans="1:9" x14ac:dyDescent="0.35">
      <c r="A267" s="109">
        <v>10341045001317</v>
      </c>
      <c r="B267" s="110" t="s">
        <v>9</v>
      </c>
      <c r="C267" s="110" t="s">
        <v>1095</v>
      </c>
      <c r="D267" s="111" t="s">
        <v>1072</v>
      </c>
      <c r="E267" s="112" t="s">
        <v>995</v>
      </c>
      <c r="F267" s="113" t="s">
        <v>1098</v>
      </c>
      <c r="G267" s="113">
        <v>9545.3569122599984</v>
      </c>
      <c r="H267" s="113">
        <v>2833.963635090473</v>
      </c>
      <c r="I267" s="113">
        <v>12379.320547350471</v>
      </c>
    </row>
    <row r="268" spans="1:9" x14ac:dyDescent="0.35">
      <c r="A268" s="109">
        <v>7688383000181</v>
      </c>
      <c r="B268" s="110" t="s">
        <v>38</v>
      </c>
      <c r="C268" s="110" t="s">
        <v>1095</v>
      </c>
      <c r="D268" s="111" t="s">
        <v>1072</v>
      </c>
      <c r="E268" s="112"/>
      <c r="F268" s="113" t="s">
        <v>1099</v>
      </c>
      <c r="G268" s="113">
        <v>532.23220781999999</v>
      </c>
      <c r="H268" s="113">
        <v>1845.47773292394</v>
      </c>
      <c r="I268" s="113">
        <v>2377.70994074394</v>
      </c>
    </row>
    <row r="269" spans="1:9" x14ac:dyDescent="0.35">
      <c r="A269" s="109">
        <v>10737685000107</v>
      </c>
      <c r="B269" s="110" t="s">
        <v>64</v>
      </c>
      <c r="C269" s="110" t="s">
        <v>1095</v>
      </c>
      <c r="D269" s="111" t="s">
        <v>1072</v>
      </c>
      <c r="E269" s="112" t="s">
        <v>999</v>
      </c>
      <c r="F269" s="113" t="s">
        <v>1098</v>
      </c>
      <c r="G269" s="113">
        <v>5930.4382236300007</v>
      </c>
      <c r="H269" s="113">
        <v>2230.5208708741102</v>
      </c>
      <c r="I269" s="113">
        <v>8160.9590945041109</v>
      </c>
    </row>
    <row r="270" spans="1:9" x14ac:dyDescent="0.35">
      <c r="A270" s="109">
        <v>20103913000140</v>
      </c>
      <c r="B270" s="110" t="s">
        <v>36</v>
      </c>
      <c r="C270" s="110" t="s">
        <v>1095</v>
      </c>
      <c r="D270" s="111" t="s">
        <v>1072</v>
      </c>
      <c r="E270" s="112" t="s">
        <v>1007</v>
      </c>
      <c r="F270" s="113" t="s">
        <v>1098</v>
      </c>
      <c r="G270" s="113">
        <v>1983.5228264200005</v>
      </c>
      <c r="H270" s="113">
        <v>2544.07065173917</v>
      </c>
      <c r="I270" s="113">
        <v>4527.5934781591704</v>
      </c>
    </row>
    <row r="271" spans="1:9" x14ac:dyDescent="0.35">
      <c r="A271" s="109">
        <v>42411000000124</v>
      </c>
      <c r="B271" s="110" t="s">
        <v>20</v>
      </c>
      <c r="C271" s="110" t="s">
        <v>1097</v>
      </c>
      <c r="D271" s="111" t="s">
        <v>1072</v>
      </c>
      <c r="E271" s="112"/>
      <c r="F271" s="113" t="s">
        <v>1099</v>
      </c>
      <c r="G271" s="113">
        <v>360.30054274000008</v>
      </c>
      <c r="H271" s="113">
        <v>725.42860570444986</v>
      </c>
      <c r="I271" s="113">
        <v>1085.7291484444499</v>
      </c>
    </row>
    <row r="272" spans="1:9" x14ac:dyDescent="0.35">
      <c r="A272" s="109">
        <v>17684597000214</v>
      </c>
      <c r="B272" s="110" t="s">
        <v>36</v>
      </c>
      <c r="C272" s="110" t="s">
        <v>1095</v>
      </c>
      <c r="D272" s="111" t="s">
        <v>1072</v>
      </c>
      <c r="E272" s="112"/>
      <c r="F272" s="113" t="s">
        <v>1099</v>
      </c>
      <c r="G272" s="113">
        <v>415.39278697999998</v>
      </c>
      <c r="H272" s="113">
        <v>329.82590099198296</v>
      </c>
      <c r="I272" s="113">
        <v>745.21868797198294</v>
      </c>
    </row>
    <row r="273" spans="1:9" x14ac:dyDescent="0.35">
      <c r="A273" s="109">
        <v>1177047000198</v>
      </c>
      <c r="B273" s="110" t="s">
        <v>36</v>
      </c>
      <c r="C273" s="110" t="s">
        <v>1095</v>
      </c>
      <c r="D273" s="111" t="s">
        <v>1072</v>
      </c>
      <c r="E273" s="112"/>
      <c r="F273" s="113" t="s">
        <v>1099</v>
      </c>
      <c r="G273" s="113">
        <v>4001.3358441</v>
      </c>
      <c r="H273" s="113">
        <v>395.37574678969031</v>
      </c>
      <c r="I273" s="113">
        <v>4396.7115908896903</v>
      </c>
    </row>
    <row r="274" spans="1:9" x14ac:dyDescent="0.35">
      <c r="A274" s="109">
        <v>10341045000930</v>
      </c>
      <c r="B274" s="110" t="s">
        <v>9</v>
      </c>
      <c r="C274" s="110" t="s">
        <v>1095</v>
      </c>
      <c r="D274" s="111" t="s">
        <v>1072</v>
      </c>
      <c r="E274" s="112" t="s">
        <v>995</v>
      </c>
      <c r="F274" s="113" t="s">
        <v>1098</v>
      </c>
      <c r="G274" s="113">
        <v>792.28980820000015</v>
      </c>
      <c r="H274" s="113">
        <v>2833.963635090473</v>
      </c>
      <c r="I274" s="113">
        <v>3626.2534432904731</v>
      </c>
    </row>
    <row r="275" spans="1:9" x14ac:dyDescent="0.35">
      <c r="A275" s="109">
        <v>10341045000850</v>
      </c>
      <c r="B275" s="110" t="s">
        <v>9</v>
      </c>
      <c r="C275" s="110" t="s">
        <v>1095</v>
      </c>
      <c r="D275" s="111" t="s">
        <v>1072</v>
      </c>
      <c r="E275" s="112" t="s">
        <v>995</v>
      </c>
      <c r="F275" s="113" t="s">
        <v>1098</v>
      </c>
      <c r="G275" s="113">
        <v>8504.9899059700001</v>
      </c>
      <c r="H275" s="113">
        <v>2833.963635090473</v>
      </c>
      <c r="I275" s="113">
        <v>11338.953541060473</v>
      </c>
    </row>
    <row r="276" spans="1:9" x14ac:dyDescent="0.35">
      <c r="A276" s="109">
        <v>10341045002631</v>
      </c>
      <c r="B276" s="110" t="s">
        <v>9</v>
      </c>
      <c r="C276" s="110" t="s">
        <v>1095</v>
      </c>
      <c r="D276" s="111" t="s">
        <v>1072</v>
      </c>
      <c r="E276" s="112" t="s">
        <v>995</v>
      </c>
      <c r="F276" s="113" t="s">
        <v>1098</v>
      </c>
      <c r="G276" s="113">
        <v>2423.9592610899999</v>
      </c>
      <c r="H276" s="113">
        <v>2833.963635090473</v>
      </c>
      <c r="I276" s="113">
        <v>5257.9228961804729</v>
      </c>
    </row>
    <row r="277" spans="1:9" x14ac:dyDescent="0.35">
      <c r="A277" s="109">
        <v>10341045001406</v>
      </c>
      <c r="B277" s="110" t="s">
        <v>9</v>
      </c>
      <c r="C277" s="110" t="s">
        <v>1095</v>
      </c>
      <c r="D277" s="111" t="s">
        <v>1072</v>
      </c>
      <c r="E277" s="112" t="s">
        <v>995</v>
      </c>
      <c r="F277" s="113" t="s">
        <v>1098</v>
      </c>
      <c r="G277" s="113">
        <v>6723.5188647799996</v>
      </c>
      <c r="H277" s="113">
        <v>2833.963635090473</v>
      </c>
      <c r="I277" s="113">
        <v>9557.4824998704717</v>
      </c>
    </row>
    <row r="278" spans="1:9" x14ac:dyDescent="0.35">
      <c r="A278" s="109">
        <v>52330020000124</v>
      </c>
      <c r="B278" s="110" t="s">
        <v>33</v>
      </c>
      <c r="C278" s="110" t="s">
        <v>1095</v>
      </c>
      <c r="D278" s="111" t="s">
        <v>1072</v>
      </c>
      <c r="E278" s="112"/>
      <c r="F278" s="113" t="s">
        <v>1099</v>
      </c>
      <c r="G278" s="113">
        <v>1624.7903926900001</v>
      </c>
      <c r="H278" s="113">
        <v>728.58907719656008</v>
      </c>
      <c r="I278" s="113">
        <v>2353.3794698865604</v>
      </c>
    </row>
    <row r="279" spans="1:9" x14ac:dyDescent="0.35">
      <c r="A279" s="109">
        <v>17684597000133</v>
      </c>
      <c r="B279" s="110" t="s">
        <v>36</v>
      </c>
      <c r="C279" s="110" t="s">
        <v>1095</v>
      </c>
      <c r="D279" s="111" t="s">
        <v>1072</v>
      </c>
      <c r="E279" s="112"/>
      <c r="F279" s="113" t="s">
        <v>1099</v>
      </c>
      <c r="G279" s="113">
        <v>377.91221028000007</v>
      </c>
      <c r="H279" s="113">
        <v>2848.42528526346</v>
      </c>
      <c r="I279" s="113">
        <v>3226.3374955434601</v>
      </c>
    </row>
    <row r="280" spans="1:9" x14ac:dyDescent="0.35">
      <c r="A280" s="109">
        <v>4114403000112</v>
      </c>
      <c r="B280" s="110" t="s">
        <v>9</v>
      </c>
      <c r="C280" s="110" t="s">
        <v>1095</v>
      </c>
      <c r="D280" s="111" t="s">
        <v>1072</v>
      </c>
      <c r="E280" s="112" t="s">
        <v>1000</v>
      </c>
      <c r="F280" s="113" t="s">
        <v>1098</v>
      </c>
      <c r="G280" s="113">
        <v>22930.888635939998</v>
      </c>
      <c r="H280" s="113">
        <v>12481.4862323956</v>
      </c>
      <c r="I280" s="113">
        <v>35412.374868335595</v>
      </c>
    </row>
    <row r="281" spans="1:9" x14ac:dyDescent="0.35">
      <c r="A281" s="109">
        <v>48143588000169</v>
      </c>
      <c r="B281" s="110" t="s">
        <v>33</v>
      </c>
      <c r="C281" s="110" t="s">
        <v>1095</v>
      </c>
      <c r="D281" s="111" t="s">
        <v>1072</v>
      </c>
      <c r="E281" s="112"/>
      <c r="F281" s="113" t="s">
        <v>1099</v>
      </c>
      <c r="G281" s="113">
        <v>2611.8624465999992</v>
      </c>
      <c r="H281" s="113">
        <v>1341.25637771076</v>
      </c>
      <c r="I281" s="113">
        <v>3953.118824310759</v>
      </c>
    </row>
    <row r="282" spans="1:9" x14ac:dyDescent="0.35">
      <c r="A282" s="109">
        <v>10341045001155</v>
      </c>
      <c r="B282" s="110" t="s">
        <v>9</v>
      </c>
      <c r="C282" s="110" t="s">
        <v>1095</v>
      </c>
      <c r="D282" s="111" t="s">
        <v>1072</v>
      </c>
      <c r="E282" s="112" t="s">
        <v>995</v>
      </c>
      <c r="F282" s="113" t="s">
        <v>1098</v>
      </c>
      <c r="G282" s="113">
        <v>12163.246122690003</v>
      </c>
      <c r="H282" s="113">
        <v>2833.963635090473</v>
      </c>
      <c r="I282" s="113">
        <v>14997.209757780476</v>
      </c>
    </row>
    <row r="283" spans="1:9" x14ac:dyDescent="0.35">
      <c r="A283" s="109">
        <v>22166562000304</v>
      </c>
      <c r="B283" s="110" t="s">
        <v>9</v>
      </c>
      <c r="C283" s="110" t="s">
        <v>1095</v>
      </c>
      <c r="D283" s="111" t="s">
        <v>1072</v>
      </c>
      <c r="E283" s="112"/>
      <c r="F283" s="113" t="s">
        <v>1099</v>
      </c>
      <c r="G283" s="113">
        <v>5560.3233566100007</v>
      </c>
      <c r="H283" s="113">
        <v>3066.8386807526799</v>
      </c>
      <c r="I283" s="113">
        <v>8627.1620373626811</v>
      </c>
    </row>
    <row r="284" spans="1:9" x14ac:dyDescent="0.35">
      <c r="A284" s="109">
        <v>10341045000779</v>
      </c>
      <c r="B284" s="110" t="s">
        <v>9</v>
      </c>
      <c r="C284" s="110" t="s">
        <v>1095</v>
      </c>
      <c r="D284" s="111" t="s">
        <v>1072</v>
      </c>
      <c r="E284" s="112" t="s">
        <v>995</v>
      </c>
      <c r="F284" s="113" t="s">
        <v>1098</v>
      </c>
      <c r="G284" s="113">
        <v>19935.306033749999</v>
      </c>
      <c r="H284" s="113">
        <v>2833.963635090473</v>
      </c>
      <c r="I284" s="113">
        <v>22769.269668840472</v>
      </c>
    </row>
    <row r="285" spans="1:9" x14ac:dyDescent="0.35">
      <c r="A285" s="109">
        <v>22166562000142</v>
      </c>
      <c r="B285" s="110" t="s">
        <v>9</v>
      </c>
      <c r="C285" s="110" t="s">
        <v>1095</v>
      </c>
      <c r="D285" s="111" t="s">
        <v>1072</v>
      </c>
      <c r="E285" s="112"/>
      <c r="F285" s="113" t="s">
        <v>1099</v>
      </c>
      <c r="G285" s="113">
        <v>6958.9419082900004</v>
      </c>
      <c r="H285" s="113">
        <v>9207.6137336890006</v>
      </c>
      <c r="I285" s="113">
        <v>16166.555641979001</v>
      </c>
    </row>
    <row r="286" spans="1:9" x14ac:dyDescent="0.35">
      <c r="A286" s="109">
        <v>5638726000178</v>
      </c>
      <c r="B286" s="110" t="s">
        <v>36</v>
      </c>
      <c r="C286" s="110" t="s">
        <v>1095</v>
      </c>
      <c r="D286" s="111" t="s">
        <v>1072</v>
      </c>
      <c r="E286" s="112"/>
      <c r="F286" s="113" t="s">
        <v>1099</v>
      </c>
      <c r="G286" s="113">
        <v>874.70862398999986</v>
      </c>
      <c r="H286" s="113">
        <v>1064.4844088831701</v>
      </c>
      <c r="I286" s="113">
        <v>1939.1930328731701</v>
      </c>
    </row>
    <row r="287" spans="1:9" x14ac:dyDescent="0.35">
      <c r="A287" s="109">
        <v>10737685000379</v>
      </c>
      <c r="B287" s="110" t="s">
        <v>64</v>
      </c>
      <c r="C287" s="110" t="s">
        <v>1095</v>
      </c>
      <c r="D287" s="111" t="s">
        <v>1072</v>
      </c>
      <c r="E287" s="112" t="s">
        <v>999</v>
      </c>
      <c r="F287" s="113" t="s">
        <v>1098</v>
      </c>
      <c r="G287" s="113">
        <v>9408.0904008399993</v>
      </c>
      <c r="H287" s="113">
        <v>6055.0799692686323</v>
      </c>
      <c r="I287" s="113">
        <v>15463.170370108632</v>
      </c>
    </row>
    <row r="288" spans="1:9" x14ac:dyDescent="0.35">
      <c r="A288" s="109">
        <v>57331628000197</v>
      </c>
      <c r="B288" s="110" t="s">
        <v>36</v>
      </c>
      <c r="C288" s="110" t="s">
        <v>1095</v>
      </c>
      <c r="D288" s="111" t="s">
        <v>1072</v>
      </c>
      <c r="E288" s="112"/>
      <c r="F288" s="113" t="s">
        <v>1099</v>
      </c>
      <c r="G288" s="113">
        <v>611.45305589999998</v>
      </c>
      <c r="H288" s="113">
        <v>532.35530970374009</v>
      </c>
      <c r="I288" s="113">
        <v>1143.8083656037402</v>
      </c>
    </row>
    <row r="289" spans="1:9" x14ac:dyDescent="0.35">
      <c r="A289" s="109">
        <v>12930121000111</v>
      </c>
      <c r="B289" s="110" t="s">
        <v>36</v>
      </c>
      <c r="C289" s="110" t="s">
        <v>1095</v>
      </c>
      <c r="D289" s="111" t="s">
        <v>1072</v>
      </c>
      <c r="E289" s="112"/>
      <c r="F289" s="113" t="s">
        <v>1099</v>
      </c>
      <c r="G289" s="113">
        <v>1847.8357170199999</v>
      </c>
      <c r="H289" s="113">
        <v>438.80210080839015</v>
      </c>
      <c r="I289" s="113">
        <v>2286.6378178283903</v>
      </c>
    </row>
    <row r="290" spans="1:9" x14ac:dyDescent="0.35">
      <c r="A290" s="109">
        <v>4336468000102</v>
      </c>
      <c r="B290" s="110" t="s">
        <v>20</v>
      </c>
      <c r="C290" s="110" t="s">
        <v>1097</v>
      </c>
      <c r="D290" s="111" t="s">
        <v>1072</v>
      </c>
      <c r="E290" s="112"/>
      <c r="F290" s="113" t="s">
        <v>1099</v>
      </c>
      <c r="G290" s="113">
        <v>1035.9254715799998</v>
      </c>
      <c r="H290" s="113">
        <v>861.22928830409501</v>
      </c>
      <c r="I290" s="113">
        <v>1897.1547598840948</v>
      </c>
    </row>
    <row r="291" spans="1:9" x14ac:dyDescent="0.35">
      <c r="A291" s="109">
        <v>10341045001074</v>
      </c>
      <c r="B291" s="110" t="s">
        <v>9</v>
      </c>
      <c r="C291" s="110" t="s">
        <v>1095</v>
      </c>
      <c r="D291" s="111" t="s">
        <v>1072</v>
      </c>
      <c r="E291" s="112" t="s">
        <v>995</v>
      </c>
      <c r="F291" s="113" t="s">
        <v>1098</v>
      </c>
      <c r="G291" s="113">
        <v>5785.3655002700007</v>
      </c>
      <c r="H291" s="113">
        <v>2833.963635090473</v>
      </c>
      <c r="I291" s="113">
        <v>8619.3291353604727</v>
      </c>
    </row>
    <row r="292" spans="1:9" x14ac:dyDescent="0.35">
      <c r="A292" s="109">
        <v>13234023000102</v>
      </c>
      <c r="B292" s="110" t="s">
        <v>33</v>
      </c>
      <c r="C292" s="110" t="s">
        <v>1095</v>
      </c>
      <c r="D292" s="111" t="s">
        <v>1072</v>
      </c>
      <c r="E292" s="112"/>
      <c r="F292" s="113" t="s">
        <v>1099</v>
      </c>
      <c r="G292" s="113">
        <v>2151.8968166999998</v>
      </c>
      <c r="H292" s="113">
        <v>882.10254978575995</v>
      </c>
      <c r="I292" s="113">
        <v>3033.9993664857598</v>
      </c>
    </row>
    <row r="293" spans="1:9" x14ac:dyDescent="0.35">
      <c r="A293" s="109">
        <v>4114403000384</v>
      </c>
      <c r="B293" s="110" t="s">
        <v>9</v>
      </c>
      <c r="C293" s="110" t="s">
        <v>1095</v>
      </c>
      <c r="D293" s="111" t="s">
        <v>1072</v>
      </c>
      <c r="E293" s="112" t="s">
        <v>1000</v>
      </c>
      <c r="F293" s="113" t="s">
        <v>1098</v>
      </c>
      <c r="G293" s="113">
        <v>4152.1597128900003</v>
      </c>
      <c r="H293" s="113">
        <v>3958.8111670283197</v>
      </c>
      <c r="I293" s="113">
        <v>8110.97087991832</v>
      </c>
    </row>
    <row r="294" spans="1:9" x14ac:dyDescent="0.35">
      <c r="A294" s="109">
        <v>33687112000111</v>
      </c>
      <c r="B294" s="110" t="s">
        <v>16</v>
      </c>
      <c r="C294" s="110" t="s">
        <v>1095</v>
      </c>
      <c r="D294" s="111" t="s">
        <v>1072</v>
      </c>
      <c r="E294" s="112"/>
      <c r="F294" s="113" t="s">
        <v>1099</v>
      </c>
      <c r="G294" s="113">
        <v>1248.63246142</v>
      </c>
      <c r="H294" s="113">
        <v>1408.2970020007901</v>
      </c>
      <c r="I294" s="113">
        <v>2656.9294634207899</v>
      </c>
    </row>
    <row r="295" spans="1:9" x14ac:dyDescent="0.35">
      <c r="A295" s="109">
        <v>30461125000180</v>
      </c>
      <c r="B295" s="110" t="s">
        <v>36</v>
      </c>
      <c r="C295" s="110" t="s">
        <v>1095</v>
      </c>
      <c r="D295" s="111" t="s">
        <v>1072</v>
      </c>
      <c r="E295" s="112"/>
      <c r="F295" s="113" t="s">
        <v>1099</v>
      </c>
      <c r="G295" s="113">
        <v>1429.3369335499999</v>
      </c>
      <c r="H295" s="113">
        <v>2065.4144658511595</v>
      </c>
      <c r="I295" s="113">
        <v>3494.7513994011597</v>
      </c>
    </row>
    <row r="296" spans="1:9" x14ac:dyDescent="0.35">
      <c r="A296" s="109">
        <v>22166562000576</v>
      </c>
      <c r="B296" s="110" t="s">
        <v>9</v>
      </c>
      <c r="C296" s="110" t="s">
        <v>1095</v>
      </c>
      <c r="D296" s="111" t="s">
        <v>1072</v>
      </c>
      <c r="E296" s="112"/>
      <c r="F296" s="113" t="s">
        <v>1099</v>
      </c>
      <c r="G296" s="113">
        <v>1330.2745413500002</v>
      </c>
      <c r="H296" s="113">
        <v>2569.2870386263703</v>
      </c>
      <c r="I296" s="113">
        <v>3899.5615799763705</v>
      </c>
    </row>
    <row r="297" spans="1:9" x14ac:dyDescent="0.35">
      <c r="A297" s="109">
        <v>27449054000195</v>
      </c>
      <c r="B297" s="110" t="s">
        <v>36</v>
      </c>
      <c r="C297" s="110" t="s">
        <v>1095</v>
      </c>
      <c r="D297" s="111" t="s">
        <v>1072</v>
      </c>
      <c r="E297" s="112"/>
      <c r="F297" s="113" t="s">
        <v>1099</v>
      </c>
      <c r="G297" s="113">
        <v>2937.9999029699998</v>
      </c>
      <c r="H297" s="113">
        <v>1211.1982437327902</v>
      </c>
      <c r="I297" s="113">
        <v>4149.1981467027899</v>
      </c>
    </row>
    <row r="298" spans="1:9" x14ac:dyDescent="0.35">
      <c r="A298" s="109">
        <v>10341045002550</v>
      </c>
      <c r="B298" s="110" t="s">
        <v>9</v>
      </c>
      <c r="C298" s="110" t="s">
        <v>1095</v>
      </c>
      <c r="D298" s="111" t="s">
        <v>1072</v>
      </c>
      <c r="E298" s="112" t="s">
        <v>995</v>
      </c>
      <c r="F298" s="113" t="s">
        <v>1098</v>
      </c>
      <c r="G298" s="113">
        <v>8374.4647609100011</v>
      </c>
      <c r="H298" s="113">
        <v>2833.963635090473</v>
      </c>
      <c r="I298" s="113">
        <v>11208.428396000474</v>
      </c>
    </row>
    <row r="299" spans="1:9" x14ac:dyDescent="0.35">
      <c r="A299" s="109">
        <v>30274933000138</v>
      </c>
      <c r="B299" s="110" t="s">
        <v>36</v>
      </c>
      <c r="C299" s="110" t="s">
        <v>1095</v>
      </c>
      <c r="D299" s="111" t="s">
        <v>1072</v>
      </c>
      <c r="E299" s="112"/>
      <c r="F299" s="113" t="s">
        <v>1099</v>
      </c>
      <c r="G299" s="113">
        <v>1657.5611714199999</v>
      </c>
      <c r="H299" s="113">
        <v>974.77296777832998</v>
      </c>
      <c r="I299" s="113">
        <v>2632.3341391983299</v>
      </c>
    </row>
    <row r="300" spans="1:9" x14ac:dyDescent="0.35">
      <c r="A300" s="109">
        <v>4114403000201</v>
      </c>
      <c r="B300" s="110" t="s">
        <v>9</v>
      </c>
      <c r="C300" s="110" t="s">
        <v>1095</v>
      </c>
      <c r="D300" s="111" t="s">
        <v>1072</v>
      </c>
      <c r="E300" s="112" t="s">
        <v>1000</v>
      </c>
      <c r="F300" s="113" t="s">
        <v>1098</v>
      </c>
      <c r="G300" s="113">
        <v>6592.7225157799994</v>
      </c>
      <c r="H300" s="113">
        <v>3321.2548678349899</v>
      </c>
      <c r="I300" s="113">
        <v>9913.9773836149889</v>
      </c>
    </row>
    <row r="301" spans="1:9" x14ac:dyDescent="0.35">
      <c r="A301" s="109">
        <v>27377243000108</v>
      </c>
      <c r="B301" s="110" t="s">
        <v>20</v>
      </c>
      <c r="C301" s="110" t="s">
        <v>1097</v>
      </c>
      <c r="D301" s="111" t="s">
        <v>1072</v>
      </c>
      <c r="E301" s="112" t="s">
        <v>147</v>
      </c>
      <c r="F301" s="113" t="s">
        <v>1098</v>
      </c>
      <c r="G301" s="113">
        <v>105.06580258</v>
      </c>
      <c r="H301" s="113">
        <v>211.43819796986722</v>
      </c>
      <c r="I301" s="113">
        <v>316.50400054986721</v>
      </c>
    </row>
    <row r="302" spans="1:9" x14ac:dyDescent="0.35">
      <c r="A302" s="109">
        <v>14775673000128</v>
      </c>
      <c r="B302" s="110" t="s">
        <v>16</v>
      </c>
      <c r="C302" s="110" t="s">
        <v>1095</v>
      </c>
      <c r="D302" s="111" t="s">
        <v>1072</v>
      </c>
      <c r="E302" s="112"/>
      <c r="F302" s="113" t="s">
        <v>1099</v>
      </c>
      <c r="G302" s="113">
        <v>2668.54065769</v>
      </c>
      <c r="H302" s="113">
        <v>1428.5566096430898</v>
      </c>
      <c r="I302" s="113">
        <v>4097.0972673330898</v>
      </c>
    </row>
    <row r="303" spans="1:9" x14ac:dyDescent="0.35">
      <c r="A303" s="109">
        <v>10341045002470</v>
      </c>
      <c r="B303" s="110" t="s">
        <v>9</v>
      </c>
      <c r="C303" s="110" t="s">
        <v>1095</v>
      </c>
      <c r="D303" s="111" t="s">
        <v>1072</v>
      </c>
      <c r="E303" s="112" t="s">
        <v>995</v>
      </c>
      <c r="F303" s="113" t="s">
        <v>1098</v>
      </c>
      <c r="G303" s="113">
        <v>6592.4675912700004</v>
      </c>
      <c r="H303" s="113">
        <v>2833.963635090473</v>
      </c>
      <c r="I303" s="113">
        <v>9426.4312263604734</v>
      </c>
    </row>
    <row r="304" spans="1:9" x14ac:dyDescent="0.35">
      <c r="A304" s="109">
        <v>24676884000248</v>
      </c>
      <c r="B304" s="110" t="s">
        <v>20</v>
      </c>
      <c r="C304" s="110" t="s">
        <v>1097</v>
      </c>
      <c r="D304" s="111" t="s">
        <v>1072</v>
      </c>
      <c r="E304" s="112"/>
      <c r="F304" s="113" t="s">
        <v>1099</v>
      </c>
      <c r="G304" s="113">
        <v>4758.9482601199998</v>
      </c>
      <c r="H304" s="113">
        <v>1501.4104076004298</v>
      </c>
      <c r="I304" s="113">
        <v>6260.3586677204294</v>
      </c>
    </row>
    <row r="305" spans="1:9" x14ac:dyDescent="0.35">
      <c r="A305" s="109">
        <v>9642282000103</v>
      </c>
      <c r="B305" s="110" t="s">
        <v>20</v>
      </c>
      <c r="C305" s="110" t="s">
        <v>1097</v>
      </c>
      <c r="D305" s="111" t="s">
        <v>1072</v>
      </c>
      <c r="E305" s="112"/>
      <c r="F305" s="113" t="s">
        <v>1099</v>
      </c>
      <c r="G305" s="113">
        <v>1181.11533272</v>
      </c>
      <c r="H305" s="113">
        <v>298.18689734115901</v>
      </c>
      <c r="I305" s="113">
        <v>1479.302230061159</v>
      </c>
    </row>
    <row r="306" spans="1:9" x14ac:dyDescent="0.35">
      <c r="A306" s="109">
        <v>22166562000223</v>
      </c>
      <c r="B306" s="110" t="s">
        <v>9</v>
      </c>
      <c r="C306" s="110" t="s">
        <v>1095</v>
      </c>
      <c r="D306" s="111" t="s">
        <v>1072</v>
      </c>
      <c r="E306" s="112"/>
      <c r="F306" s="113" t="s">
        <v>1099</v>
      </c>
      <c r="G306" s="113">
        <v>2420.8842554900002</v>
      </c>
      <c r="H306" s="113">
        <v>4626.1589088843302</v>
      </c>
      <c r="I306" s="113">
        <v>7047.0431643743304</v>
      </c>
    </row>
    <row r="307" spans="1:9" x14ac:dyDescent="0.35">
      <c r="A307" s="109">
        <v>35282298000154</v>
      </c>
      <c r="B307" s="110" t="s">
        <v>9</v>
      </c>
      <c r="C307" s="110" t="s">
        <v>1095</v>
      </c>
      <c r="D307" s="111" t="s">
        <v>1072</v>
      </c>
      <c r="E307" s="112"/>
      <c r="F307" s="113" t="s">
        <v>1099</v>
      </c>
      <c r="G307" s="113">
        <v>8302.0561993699994</v>
      </c>
      <c r="H307" s="113">
        <v>2236.0738268756199</v>
      </c>
      <c r="I307" s="113">
        <v>10538.130026245619</v>
      </c>
    </row>
    <row r="308" spans="1:9" x14ac:dyDescent="0.35">
      <c r="A308" s="109">
        <v>55292481000148</v>
      </c>
      <c r="B308" s="110" t="s">
        <v>20</v>
      </c>
      <c r="C308" s="110" t="s">
        <v>1097</v>
      </c>
      <c r="D308" s="111" t="s">
        <v>1072</v>
      </c>
      <c r="E308" s="112"/>
      <c r="F308" s="113" t="s">
        <v>1099</v>
      </c>
      <c r="G308" s="113">
        <v>1445.4637945300001</v>
      </c>
      <c r="H308" s="113">
        <v>1300.3849879764402</v>
      </c>
      <c r="I308" s="113">
        <v>2745.8487825064403</v>
      </c>
    </row>
    <row r="309" spans="1:9" x14ac:dyDescent="0.35">
      <c r="A309" s="109">
        <v>2369415000162</v>
      </c>
      <c r="B309" s="110" t="s">
        <v>64</v>
      </c>
      <c r="C309" s="110" t="s">
        <v>1095</v>
      </c>
      <c r="D309" s="111" t="s">
        <v>1072</v>
      </c>
      <c r="E309" s="112"/>
      <c r="F309" s="113" t="s">
        <v>1099</v>
      </c>
      <c r="G309" s="113">
        <v>2178.0330481300002</v>
      </c>
      <c r="H309" s="113">
        <v>2139.2412512757301</v>
      </c>
      <c r="I309" s="113">
        <v>4317.2742994057298</v>
      </c>
    </row>
    <row r="310" spans="1:9" x14ac:dyDescent="0.35">
      <c r="A310" s="109">
        <v>22315443000104</v>
      </c>
      <c r="B310" s="110" t="s">
        <v>33</v>
      </c>
      <c r="C310" s="110" t="s">
        <v>1095</v>
      </c>
      <c r="D310" s="111" t="s">
        <v>1072</v>
      </c>
      <c r="E310" s="112"/>
      <c r="F310" s="113" t="s">
        <v>1099</v>
      </c>
      <c r="G310" s="113">
        <v>2814.9657667699994</v>
      </c>
      <c r="H310" s="113">
        <v>2094.9659813860699</v>
      </c>
      <c r="I310" s="113">
        <v>4909.9317481560693</v>
      </c>
    </row>
    <row r="311" spans="1:9" x14ac:dyDescent="0.35">
      <c r="A311" s="109">
        <v>10737685000450</v>
      </c>
      <c r="B311" s="110" t="s">
        <v>64</v>
      </c>
      <c r="C311" s="110" t="s">
        <v>1095</v>
      </c>
      <c r="D311" s="111" t="s">
        <v>1072</v>
      </c>
      <c r="E311" s="112" t="s">
        <v>999</v>
      </c>
      <c r="F311" s="113" t="s">
        <v>1098</v>
      </c>
      <c r="G311" s="113">
        <v>19484.316585010001</v>
      </c>
      <c r="H311" s="113">
        <v>16133.4408581772</v>
      </c>
      <c r="I311" s="113">
        <v>35617.757443187205</v>
      </c>
    </row>
    <row r="312" spans="1:9" x14ac:dyDescent="0.35">
      <c r="A312" s="109">
        <v>7234960000165</v>
      </c>
      <c r="B312" s="110" t="s">
        <v>16</v>
      </c>
      <c r="C312" s="110" t="s">
        <v>1095</v>
      </c>
      <c r="D312" s="111" t="s">
        <v>1072</v>
      </c>
      <c r="E312" s="112"/>
      <c r="F312" s="113" t="s">
        <v>1099</v>
      </c>
      <c r="G312" s="113">
        <v>4104.5075898800005</v>
      </c>
      <c r="H312" s="113">
        <v>4509.8689236374503</v>
      </c>
      <c r="I312" s="113">
        <v>8614.3765135174508</v>
      </c>
    </row>
    <row r="313" spans="1:9" x14ac:dyDescent="0.35">
      <c r="A313" s="109">
        <v>29301968000130</v>
      </c>
      <c r="B313" s="110" t="s">
        <v>20</v>
      </c>
      <c r="C313" s="110" t="s">
        <v>1097</v>
      </c>
      <c r="D313" s="111" t="s">
        <v>1072</v>
      </c>
      <c r="E313" s="112"/>
      <c r="F313" s="113" t="s">
        <v>1099</v>
      </c>
      <c r="G313" s="113">
        <v>6849.2173229</v>
      </c>
      <c r="H313" s="113">
        <v>5479.270238935489</v>
      </c>
      <c r="I313" s="113">
        <v>12328.487561835489</v>
      </c>
    </row>
    <row r="314" spans="1:9" x14ac:dyDescent="0.35">
      <c r="A314" s="109">
        <v>4924863000106</v>
      </c>
      <c r="B314" s="110" t="s">
        <v>36</v>
      </c>
      <c r="C314" s="110" t="s">
        <v>1095</v>
      </c>
      <c r="D314" s="111" t="s">
        <v>1072</v>
      </c>
      <c r="E314" s="112"/>
      <c r="F314" s="113" t="s">
        <v>1099</v>
      </c>
      <c r="G314" s="113">
        <v>408.5492428</v>
      </c>
      <c r="H314" s="113">
        <v>139.19893455526301</v>
      </c>
      <c r="I314" s="113">
        <v>547.74817735526301</v>
      </c>
    </row>
    <row r="315" spans="1:9" x14ac:dyDescent="0.35">
      <c r="A315" s="109">
        <v>18876606000231</v>
      </c>
      <c r="B315" s="110" t="s">
        <v>20</v>
      </c>
      <c r="C315" s="110" t="s">
        <v>1097</v>
      </c>
      <c r="D315" s="111" t="s">
        <v>1072</v>
      </c>
      <c r="E315" s="112"/>
      <c r="F315" s="113" t="s">
        <v>1099</v>
      </c>
      <c r="G315" s="113">
        <v>641.20100322000008</v>
      </c>
      <c r="H315" s="113">
        <v>524.86743260591197</v>
      </c>
      <c r="I315" s="113">
        <v>1166.068435825912</v>
      </c>
    </row>
    <row r="316" spans="1:9" x14ac:dyDescent="0.35">
      <c r="A316" s="109">
        <v>18919955000102</v>
      </c>
      <c r="B316" s="110" t="s">
        <v>20</v>
      </c>
      <c r="C316" s="110" t="s">
        <v>1097</v>
      </c>
      <c r="D316" s="111" t="s">
        <v>1072</v>
      </c>
      <c r="E316" s="112"/>
      <c r="F316" s="113" t="s">
        <v>1099</v>
      </c>
      <c r="G316" s="113">
        <v>11582.84215636</v>
      </c>
      <c r="H316" s="113">
        <v>6809.38830946904</v>
      </c>
      <c r="I316" s="113">
        <v>18392.230465829041</v>
      </c>
    </row>
    <row r="317" spans="1:9" x14ac:dyDescent="0.35">
      <c r="A317" s="109">
        <v>16789469000191</v>
      </c>
      <c r="B317" s="110" t="s">
        <v>336</v>
      </c>
      <c r="C317" s="110" t="s">
        <v>1095</v>
      </c>
      <c r="D317" s="111" t="s">
        <v>1072</v>
      </c>
      <c r="E317" s="112"/>
      <c r="F317" s="113" t="s">
        <v>1099</v>
      </c>
      <c r="G317" s="113">
        <v>774.35264943999994</v>
      </c>
      <c r="H317" s="113">
        <v>531.61914297534315</v>
      </c>
      <c r="I317" s="113">
        <v>1305.9717924153431</v>
      </c>
    </row>
    <row r="318" spans="1:9" x14ac:dyDescent="0.35">
      <c r="A318" s="109">
        <v>27377243000280</v>
      </c>
      <c r="B318" s="110" t="s">
        <v>20</v>
      </c>
      <c r="C318" s="110" t="s">
        <v>1097</v>
      </c>
      <c r="D318" s="111" t="s">
        <v>1072</v>
      </c>
      <c r="E318" s="112" t="s">
        <v>147</v>
      </c>
      <c r="F318" s="113" t="s">
        <v>1098</v>
      </c>
      <c r="G318" s="113">
        <v>854.08084180999992</v>
      </c>
      <c r="H318" s="113">
        <v>211.43819796986722</v>
      </c>
      <c r="I318" s="113">
        <v>1065.5190397798672</v>
      </c>
    </row>
    <row r="319" spans="1:9" x14ac:dyDescent="0.35">
      <c r="A319" s="109">
        <v>10870136000106</v>
      </c>
      <c r="B319" s="110" t="s">
        <v>38</v>
      </c>
      <c r="C319" s="110" t="s">
        <v>1095</v>
      </c>
      <c r="D319" s="111" t="s">
        <v>1072</v>
      </c>
      <c r="E319" s="112"/>
      <c r="F319" s="113" t="s">
        <v>1099</v>
      </c>
      <c r="G319" s="113">
        <v>2071.2434352800005</v>
      </c>
      <c r="H319" s="113">
        <v>2599.80375082204</v>
      </c>
      <c r="I319" s="113">
        <v>4671.0471861020405</v>
      </c>
    </row>
    <row r="320" spans="1:9" x14ac:dyDescent="0.35">
      <c r="A320" s="109">
        <v>2489904000158</v>
      </c>
      <c r="B320" s="110" t="s">
        <v>16</v>
      </c>
      <c r="C320" s="110" t="s">
        <v>1095</v>
      </c>
      <c r="D320" s="111" t="s">
        <v>1072</v>
      </c>
      <c r="E320" s="112"/>
      <c r="F320" s="113" t="s">
        <v>1099</v>
      </c>
      <c r="G320" s="113">
        <v>4119.8888026599998</v>
      </c>
      <c r="H320" s="113">
        <v>1702.0615328284698</v>
      </c>
      <c r="I320" s="113">
        <v>5821.9503354884691</v>
      </c>
    </row>
    <row r="321" spans="1:9" x14ac:dyDescent="0.35">
      <c r="A321" s="109">
        <v>21303831000102</v>
      </c>
      <c r="B321" s="110" t="s">
        <v>33</v>
      </c>
      <c r="C321" s="110" t="s">
        <v>1095</v>
      </c>
      <c r="D321" s="111" t="s">
        <v>1072</v>
      </c>
      <c r="E321" s="112"/>
      <c r="F321" s="113" t="s">
        <v>1099</v>
      </c>
      <c r="G321" s="113">
        <v>3436.2774750600001</v>
      </c>
      <c r="H321" s="113">
        <v>3592.5271790132692</v>
      </c>
      <c r="I321" s="113">
        <v>7028.8046540732694</v>
      </c>
    </row>
    <row r="322" spans="1:9" x14ac:dyDescent="0.35">
      <c r="A322" s="109">
        <v>1727308000104</v>
      </c>
      <c r="B322" s="110" t="s">
        <v>36</v>
      </c>
      <c r="C322" s="110" t="s">
        <v>1095</v>
      </c>
      <c r="D322" s="111" t="s">
        <v>1072</v>
      </c>
      <c r="E322" s="112"/>
      <c r="F322" s="113" t="s">
        <v>1099</v>
      </c>
      <c r="G322" s="113">
        <v>491.19016882999995</v>
      </c>
      <c r="H322" s="113">
        <v>666.81203914731793</v>
      </c>
      <c r="I322" s="113">
        <v>1158.002207977318</v>
      </c>
    </row>
    <row r="323" spans="1:9" x14ac:dyDescent="0.35">
      <c r="A323" s="109">
        <v>8963901000190</v>
      </c>
      <c r="B323" s="110" t="s">
        <v>16</v>
      </c>
      <c r="C323" s="110" t="s">
        <v>1095</v>
      </c>
      <c r="D323" s="111" t="s">
        <v>1072</v>
      </c>
      <c r="E323" s="112"/>
      <c r="F323" s="113" t="s">
        <v>1099</v>
      </c>
      <c r="G323" s="113">
        <v>7323.07028584</v>
      </c>
      <c r="H323" s="113">
        <v>3864.1542278471793</v>
      </c>
      <c r="I323" s="113">
        <v>11187.224513687179</v>
      </c>
    </row>
    <row r="324" spans="1:9" x14ac:dyDescent="0.35">
      <c r="A324" s="109">
        <v>13117848000147</v>
      </c>
      <c r="B324" s="110" t="s">
        <v>20</v>
      </c>
      <c r="C324" s="110" t="s">
        <v>1097</v>
      </c>
      <c r="D324" s="111" t="s">
        <v>1072</v>
      </c>
      <c r="E324" s="112"/>
      <c r="F324" s="113" t="s">
        <v>1099</v>
      </c>
      <c r="G324" s="113">
        <v>533.53582047999998</v>
      </c>
      <c r="H324" s="113">
        <v>734.07968734197004</v>
      </c>
      <c r="I324" s="113">
        <v>1267.6155078219699</v>
      </c>
    </row>
    <row r="325" spans="1:9" x14ac:dyDescent="0.35">
      <c r="A325" s="109">
        <v>53772681000172</v>
      </c>
      <c r="B325" s="110" t="s">
        <v>36</v>
      </c>
      <c r="C325" s="110" t="s">
        <v>1095</v>
      </c>
      <c r="D325" s="111" t="s">
        <v>1072</v>
      </c>
      <c r="E325" s="112"/>
      <c r="F325" s="113" t="s">
        <v>1099</v>
      </c>
      <c r="G325" s="113">
        <v>1041.0577892899998</v>
      </c>
      <c r="H325" s="113">
        <v>1781.4086034167899</v>
      </c>
      <c r="I325" s="113">
        <v>2822.4663927067895</v>
      </c>
    </row>
    <row r="326" spans="1:9" x14ac:dyDescent="0.35">
      <c r="A326" s="109">
        <v>52331882000171</v>
      </c>
      <c r="B326" s="110" t="s">
        <v>36</v>
      </c>
      <c r="C326" s="110" t="s">
        <v>1095</v>
      </c>
      <c r="D326" s="111" t="s">
        <v>1072</v>
      </c>
      <c r="E326" s="112" t="s">
        <v>346</v>
      </c>
      <c r="F326" s="113" t="s">
        <v>1098</v>
      </c>
      <c r="G326" s="113">
        <v>865.33312224000008</v>
      </c>
      <c r="H326" s="113">
        <v>470.26252137734701</v>
      </c>
      <c r="I326" s="113">
        <v>1335.5956436173472</v>
      </c>
    </row>
    <row r="327" spans="1:9" x14ac:dyDescent="0.35">
      <c r="A327" s="109">
        <v>48771964000160</v>
      </c>
      <c r="B327" s="110" t="s">
        <v>64</v>
      </c>
      <c r="C327" s="110" t="s">
        <v>1095</v>
      </c>
      <c r="D327" s="111" t="s">
        <v>1072</v>
      </c>
      <c r="E327" s="112"/>
      <c r="F327" s="113" t="s">
        <v>1099</v>
      </c>
      <c r="G327" s="113">
        <v>713.86382019000007</v>
      </c>
      <c r="H327" s="113">
        <v>811.44981232411101</v>
      </c>
      <c r="I327" s="113">
        <v>1525.3136325141111</v>
      </c>
    </row>
    <row r="328" spans="1:9" x14ac:dyDescent="0.35">
      <c r="A328" s="109">
        <v>22355280000193</v>
      </c>
      <c r="B328" s="110" t="s">
        <v>36</v>
      </c>
      <c r="C328" s="110" t="s">
        <v>1095</v>
      </c>
      <c r="D328" s="111" t="s">
        <v>1072</v>
      </c>
      <c r="E328" s="112" t="s">
        <v>1003</v>
      </c>
      <c r="F328" s="113" t="s">
        <v>1098</v>
      </c>
      <c r="G328" s="113">
        <v>705.52059957999995</v>
      </c>
      <c r="H328" s="113">
        <v>930.89141184686594</v>
      </c>
      <c r="I328" s="113">
        <v>1636.4120114268658</v>
      </c>
    </row>
    <row r="329" spans="1:9" x14ac:dyDescent="0.35">
      <c r="A329" s="109">
        <v>35976688000124</v>
      </c>
      <c r="B329" s="110" t="s">
        <v>20</v>
      </c>
      <c r="C329" s="110" t="s">
        <v>1097</v>
      </c>
      <c r="D329" s="111" t="s">
        <v>1072</v>
      </c>
      <c r="E329" s="112"/>
      <c r="F329" s="113" t="s">
        <v>1099</v>
      </c>
      <c r="G329" s="113">
        <v>840.76873040999999</v>
      </c>
      <c r="H329" s="113">
        <v>897.01289917844599</v>
      </c>
      <c r="I329" s="113">
        <v>1737.7816295884459</v>
      </c>
    </row>
    <row r="330" spans="1:9" x14ac:dyDescent="0.35">
      <c r="A330" s="109">
        <v>1617468000192</v>
      </c>
      <c r="B330" s="110" t="s">
        <v>36</v>
      </c>
      <c r="C330" s="110" t="s">
        <v>1095</v>
      </c>
      <c r="D330" s="111" t="s">
        <v>1072</v>
      </c>
      <c r="E330" s="112"/>
      <c r="F330" s="113" t="s">
        <v>1099</v>
      </c>
      <c r="G330" s="113">
        <v>867.68504112000028</v>
      </c>
      <c r="H330" s="113">
        <v>870.34211478513203</v>
      </c>
      <c r="I330" s="113">
        <v>1738.0271559051323</v>
      </c>
    </row>
    <row r="331" spans="1:9" x14ac:dyDescent="0.35">
      <c r="A331" s="109">
        <v>9447656000121</v>
      </c>
      <c r="B331" s="110" t="s">
        <v>36</v>
      </c>
      <c r="C331" s="110" t="s">
        <v>1095</v>
      </c>
      <c r="D331" s="111" t="s">
        <v>1072</v>
      </c>
      <c r="E331" s="112"/>
      <c r="F331" s="113" t="s">
        <v>1099</v>
      </c>
      <c r="G331" s="113">
        <v>823.13140626000006</v>
      </c>
      <c r="H331" s="113">
        <v>1271.17787505465</v>
      </c>
      <c r="I331" s="113">
        <v>2094.30928131465</v>
      </c>
    </row>
    <row r="332" spans="1:9" x14ac:dyDescent="0.35">
      <c r="A332" s="109">
        <v>18380223000197</v>
      </c>
      <c r="B332" s="110" t="s">
        <v>20</v>
      </c>
      <c r="C332" s="110" t="s">
        <v>1097</v>
      </c>
      <c r="D332" s="111" t="s">
        <v>1072</v>
      </c>
      <c r="E332" s="112"/>
      <c r="F332" s="113" t="s">
        <v>1099</v>
      </c>
      <c r="G332" s="113">
        <v>642.85365973</v>
      </c>
      <c r="H332" s="113">
        <v>1580.69242066488</v>
      </c>
      <c r="I332" s="113">
        <v>2223.5460803948799</v>
      </c>
    </row>
    <row r="333" spans="1:9" x14ac:dyDescent="0.35">
      <c r="A333" s="109">
        <v>26034403000145</v>
      </c>
      <c r="B333" s="110" t="s">
        <v>16</v>
      </c>
      <c r="C333" s="110" t="s">
        <v>1095</v>
      </c>
      <c r="D333" s="111" t="s">
        <v>1072</v>
      </c>
      <c r="E333" s="112"/>
      <c r="F333" s="113" t="s">
        <v>1099</v>
      </c>
      <c r="G333" s="113">
        <v>1247.0841104900001</v>
      </c>
      <c r="H333" s="113">
        <v>1204.7609678105989</v>
      </c>
      <c r="I333" s="113">
        <v>2451.8450783005992</v>
      </c>
    </row>
    <row r="334" spans="1:9" x14ac:dyDescent="0.35">
      <c r="A334" s="109">
        <v>97528758000139</v>
      </c>
      <c r="B334" s="110" t="s">
        <v>36</v>
      </c>
      <c r="C334" s="110" t="s">
        <v>1095</v>
      </c>
      <c r="D334" s="111" t="s">
        <v>1072</v>
      </c>
      <c r="E334" s="112" t="s">
        <v>346</v>
      </c>
      <c r="F334" s="113" t="s">
        <v>1098</v>
      </c>
      <c r="G334" s="113">
        <v>1315.7325977099999</v>
      </c>
      <c r="H334" s="113">
        <v>1009.2315579405719</v>
      </c>
      <c r="I334" s="113">
        <v>2324.9641556505717</v>
      </c>
    </row>
    <row r="335" spans="1:9" x14ac:dyDescent="0.35">
      <c r="A335" s="109">
        <v>34738410000156</v>
      </c>
      <c r="B335" s="110" t="s">
        <v>20</v>
      </c>
      <c r="C335" s="110" t="s">
        <v>1097</v>
      </c>
      <c r="D335" s="111" t="s">
        <v>1072</v>
      </c>
      <c r="E335" s="112"/>
      <c r="F335" s="113" t="s">
        <v>1099</v>
      </c>
      <c r="G335" s="113">
        <v>1087.3802199199999</v>
      </c>
      <c r="H335" s="113">
        <v>1692.07842220322</v>
      </c>
      <c r="I335" s="113">
        <v>2779.4586421232198</v>
      </c>
    </row>
    <row r="336" spans="1:9" x14ac:dyDescent="0.35">
      <c r="A336" s="109">
        <v>41677342000128</v>
      </c>
      <c r="B336" s="110" t="s">
        <v>20</v>
      </c>
      <c r="C336" s="110" t="s">
        <v>1097</v>
      </c>
      <c r="D336" s="111" t="s">
        <v>1072</v>
      </c>
      <c r="E336" s="112"/>
      <c r="F336" s="113" t="s">
        <v>1099</v>
      </c>
      <c r="G336" s="113">
        <v>843.60763257999997</v>
      </c>
      <c r="H336" s="113">
        <v>1999.98834944286</v>
      </c>
      <c r="I336" s="113">
        <v>2843.59598202286</v>
      </c>
    </row>
    <row r="337" spans="1:9" x14ac:dyDescent="0.35">
      <c r="A337" s="109">
        <v>2608021000110</v>
      </c>
      <c r="B337" s="110" t="s">
        <v>36</v>
      </c>
      <c r="C337" s="110" t="s">
        <v>1095</v>
      </c>
      <c r="D337" s="111" t="s">
        <v>1072</v>
      </c>
      <c r="E337" s="112" t="s">
        <v>1003</v>
      </c>
      <c r="F337" s="113" t="s">
        <v>1098</v>
      </c>
      <c r="G337" s="113">
        <v>1218.3668441899999</v>
      </c>
      <c r="H337" s="113">
        <v>1788.4349505841701</v>
      </c>
      <c r="I337" s="113">
        <v>3006.80179477417</v>
      </c>
    </row>
    <row r="338" spans="1:9" x14ac:dyDescent="0.35">
      <c r="A338" s="109">
        <v>37515566000166</v>
      </c>
      <c r="B338" s="110" t="s">
        <v>36</v>
      </c>
      <c r="C338" s="110" t="s">
        <v>1095</v>
      </c>
      <c r="D338" s="111" t="s">
        <v>1072</v>
      </c>
      <c r="E338" s="112"/>
      <c r="F338" s="113" t="s">
        <v>1099</v>
      </c>
      <c r="G338" s="113">
        <v>1686.7273793100001</v>
      </c>
      <c r="H338" s="113">
        <v>1404.1467009042101</v>
      </c>
      <c r="I338" s="113">
        <v>3090.8740802142102</v>
      </c>
    </row>
    <row r="339" spans="1:9" x14ac:dyDescent="0.35">
      <c r="A339" s="109">
        <v>17858710000150</v>
      </c>
      <c r="B339" s="110" t="s">
        <v>16</v>
      </c>
      <c r="C339" s="110" t="s">
        <v>1095</v>
      </c>
      <c r="D339" s="111" t="s">
        <v>1072</v>
      </c>
      <c r="E339" s="112"/>
      <c r="F339" s="113" t="s">
        <v>1099</v>
      </c>
      <c r="G339" s="113">
        <v>3273.4647388000003</v>
      </c>
      <c r="H339" s="113">
        <v>3379.7314349306002</v>
      </c>
      <c r="I339" s="113">
        <v>6653.196173730601</v>
      </c>
    </row>
    <row r="340" spans="1:9" x14ac:dyDescent="0.35">
      <c r="A340" s="109">
        <v>5398931000103</v>
      </c>
      <c r="B340" s="110" t="s">
        <v>36</v>
      </c>
      <c r="C340" s="110" t="s">
        <v>1095</v>
      </c>
      <c r="D340" s="111" t="s">
        <v>1072</v>
      </c>
      <c r="E340" s="112" t="s">
        <v>1003</v>
      </c>
      <c r="F340" s="113" t="s">
        <v>1098</v>
      </c>
      <c r="G340" s="113">
        <v>1360.7242179700002</v>
      </c>
      <c r="H340" s="113">
        <v>1789.0469088975801</v>
      </c>
      <c r="I340" s="113">
        <v>3149.7711268675803</v>
      </c>
    </row>
    <row r="341" spans="1:9" x14ac:dyDescent="0.35">
      <c r="A341" s="109">
        <v>4110283000185</v>
      </c>
      <c r="B341" s="110" t="s">
        <v>74</v>
      </c>
      <c r="C341" s="110" t="s">
        <v>1095</v>
      </c>
      <c r="D341" s="111" t="s">
        <v>1072</v>
      </c>
      <c r="E341" s="112"/>
      <c r="F341" s="113" t="s">
        <v>1099</v>
      </c>
      <c r="G341" s="113">
        <v>1321.7217362399999</v>
      </c>
      <c r="H341" s="113">
        <v>1879.51906229734</v>
      </c>
      <c r="I341" s="113">
        <v>3201.2407985373402</v>
      </c>
    </row>
    <row r="342" spans="1:9" x14ac:dyDescent="0.35">
      <c r="A342" s="109">
        <v>26291944000159</v>
      </c>
      <c r="B342" s="110" t="s">
        <v>9</v>
      </c>
      <c r="C342" s="110" t="s">
        <v>1095</v>
      </c>
      <c r="D342" s="111" t="s">
        <v>1072</v>
      </c>
      <c r="E342" s="112"/>
      <c r="F342" s="113" t="s">
        <v>1099</v>
      </c>
      <c r="G342" s="113">
        <v>3478.7321470400002</v>
      </c>
      <c r="H342" s="113">
        <v>3155.0457812418294</v>
      </c>
      <c r="I342" s="113">
        <v>6633.7779282818301</v>
      </c>
    </row>
    <row r="343" spans="1:9" x14ac:dyDescent="0.35">
      <c r="A343" s="109">
        <v>29630512000113</v>
      </c>
      <c r="B343" s="110" t="s">
        <v>33</v>
      </c>
      <c r="C343" s="110" t="s">
        <v>1095</v>
      </c>
      <c r="D343" s="111" t="s">
        <v>1072</v>
      </c>
      <c r="E343" s="112"/>
      <c r="F343" s="113" t="s">
        <v>1099</v>
      </c>
      <c r="G343" s="113">
        <v>1776.5275012900001</v>
      </c>
      <c r="H343" s="113">
        <v>2111.7364449598299</v>
      </c>
      <c r="I343" s="113">
        <v>3888.26394624983</v>
      </c>
    </row>
    <row r="344" spans="1:9" x14ac:dyDescent="0.35">
      <c r="A344" s="109">
        <v>9146590000130</v>
      </c>
      <c r="B344" s="110" t="s">
        <v>64</v>
      </c>
      <c r="C344" s="110" t="s">
        <v>1095</v>
      </c>
      <c r="D344" s="111" t="s">
        <v>1072</v>
      </c>
      <c r="E344" s="112"/>
      <c r="F344" s="113" t="s">
        <v>1099</v>
      </c>
      <c r="G344" s="113">
        <v>2158.7187980500003</v>
      </c>
      <c r="H344" s="113">
        <v>1942.24209934029</v>
      </c>
      <c r="I344" s="113">
        <v>4100.9608973902905</v>
      </c>
    </row>
    <row r="345" spans="1:9" x14ac:dyDescent="0.35">
      <c r="A345" s="109">
        <v>19023460000163</v>
      </c>
      <c r="B345" s="110" t="s">
        <v>20</v>
      </c>
      <c r="C345" s="110" t="s">
        <v>1097</v>
      </c>
      <c r="D345" s="111" t="s">
        <v>1072</v>
      </c>
      <c r="E345" s="112"/>
      <c r="F345" s="113" t="s">
        <v>1099</v>
      </c>
      <c r="G345" s="113">
        <v>1393.4101735199999</v>
      </c>
      <c r="H345" s="113">
        <v>708.47504737693976</v>
      </c>
      <c r="I345" s="113">
        <v>2101.8852208969397</v>
      </c>
    </row>
    <row r="346" spans="1:9" x14ac:dyDescent="0.35">
      <c r="A346" s="109">
        <v>46197707000130</v>
      </c>
      <c r="B346" s="110" t="s">
        <v>33</v>
      </c>
      <c r="C346" s="110" t="s">
        <v>1095</v>
      </c>
      <c r="D346" s="111" t="s">
        <v>1072</v>
      </c>
      <c r="E346" s="112"/>
      <c r="F346" s="113" t="s">
        <v>1099</v>
      </c>
      <c r="G346" s="113">
        <v>2365.8175789399997</v>
      </c>
      <c r="H346" s="113">
        <v>2040.78601954838</v>
      </c>
      <c r="I346" s="113">
        <v>4406.6035984883802</v>
      </c>
    </row>
    <row r="347" spans="1:9" x14ac:dyDescent="0.35">
      <c r="A347" s="109">
        <v>15349508000177</v>
      </c>
      <c r="B347" s="110" t="s">
        <v>20</v>
      </c>
      <c r="C347" s="110" t="s">
        <v>1097</v>
      </c>
      <c r="D347" s="111" t="s">
        <v>1072</v>
      </c>
      <c r="E347" s="112"/>
      <c r="F347" s="113" t="s">
        <v>1099</v>
      </c>
      <c r="G347" s="113">
        <v>1838.23198293</v>
      </c>
      <c r="H347" s="113">
        <v>1859.9418846508597</v>
      </c>
      <c r="I347" s="113">
        <v>3698.1738675808597</v>
      </c>
    </row>
    <row r="348" spans="1:9" x14ac:dyDescent="0.35">
      <c r="A348" s="109">
        <v>33689225000156</v>
      </c>
      <c r="B348" s="110" t="s">
        <v>20</v>
      </c>
      <c r="C348" s="110" t="s">
        <v>1097</v>
      </c>
      <c r="D348" s="111" t="s">
        <v>1072</v>
      </c>
      <c r="E348" s="112"/>
      <c r="F348" s="113" t="s">
        <v>1099</v>
      </c>
      <c r="G348" s="113">
        <v>1610.7070218499998</v>
      </c>
      <c r="H348" s="113">
        <v>3215.3685383866596</v>
      </c>
      <c r="I348" s="113">
        <v>4826.0755602366589</v>
      </c>
    </row>
    <row r="349" spans="1:9" x14ac:dyDescent="0.35">
      <c r="A349" s="109">
        <v>36630262000187</v>
      </c>
      <c r="B349" s="110" t="s">
        <v>33</v>
      </c>
      <c r="C349" s="110" t="s">
        <v>1095</v>
      </c>
      <c r="D349" s="111" t="s">
        <v>1072</v>
      </c>
      <c r="E349" s="112"/>
      <c r="F349" s="113" t="s">
        <v>1099</v>
      </c>
      <c r="G349" s="113">
        <v>2525.0894734100002</v>
      </c>
      <c r="H349" s="113">
        <v>2783.2418690028298</v>
      </c>
      <c r="I349" s="113">
        <v>5308.3313424128301</v>
      </c>
    </row>
    <row r="350" spans="1:9" x14ac:dyDescent="0.35">
      <c r="A350" s="109">
        <v>36431185000136</v>
      </c>
      <c r="B350" s="110" t="s">
        <v>20</v>
      </c>
      <c r="C350" s="110" t="s">
        <v>1097</v>
      </c>
      <c r="D350" s="111" t="s">
        <v>1072</v>
      </c>
      <c r="E350" s="112"/>
      <c r="F350" s="113" t="s">
        <v>1099</v>
      </c>
      <c r="G350" s="113">
        <v>2815.4386041099997</v>
      </c>
      <c r="H350" s="113">
        <v>2994.0112997132101</v>
      </c>
      <c r="I350" s="113">
        <v>5809.4499038232098</v>
      </c>
    </row>
    <row r="351" spans="1:9" x14ac:dyDescent="0.35">
      <c r="A351" s="109">
        <v>22019833000137</v>
      </c>
      <c r="B351" s="110" t="s">
        <v>36</v>
      </c>
      <c r="C351" s="110" t="s">
        <v>1095</v>
      </c>
      <c r="D351" s="111" t="s">
        <v>1072</v>
      </c>
      <c r="E351" s="112" t="s">
        <v>346</v>
      </c>
      <c r="F351" s="113" t="s">
        <v>1098</v>
      </c>
      <c r="G351" s="113">
        <v>3158.4048709100002</v>
      </c>
      <c r="H351" s="113">
        <v>2330.0532988350301</v>
      </c>
      <c r="I351" s="113">
        <v>5488.4581697450303</v>
      </c>
    </row>
    <row r="352" spans="1:9" x14ac:dyDescent="0.35">
      <c r="A352" s="109">
        <v>47964776000195</v>
      </c>
      <c r="B352" s="110" t="s">
        <v>20</v>
      </c>
      <c r="C352" s="110" t="s">
        <v>1097</v>
      </c>
      <c r="D352" s="111" t="s">
        <v>1072</v>
      </c>
      <c r="E352" s="112"/>
      <c r="F352" s="113" t="s">
        <v>1099</v>
      </c>
      <c r="G352" s="113">
        <v>2926.63463258</v>
      </c>
      <c r="H352" s="113">
        <v>2928.5618144126001</v>
      </c>
      <c r="I352" s="113">
        <v>5855.1964469926006</v>
      </c>
    </row>
    <row r="353" spans="1:9" x14ac:dyDescent="0.35">
      <c r="A353" s="109">
        <v>51954038000134</v>
      </c>
      <c r="B353" s="110" t="s">
        <v>64</v>
      </c>
      <c r="C353" s="110" t="s">
        <v>1095</v>
      </c>
      <c r="D353" s="111" t="s">
        <v>1072</v>
      </c>
      <c r="E353" s="112"/>
      <c r="F353" s="113" t="s">
        <v>1099</v>
      </c>
      <c r="G353" s="113">
        <v>2638.2991696700001</v>
      </c>
      <c r="H353" s="113">
        <v>3093.6818899471</v>
      </c>
      <c r="I353" s="113">
        <v>5731.9810596171001</v>
      </c>
    </row>
    <row r="354" spans="1:9" x14ac:dyDescent="0.35">
      <c r="A354" s="109">
        <v>7796647000110</v>
      </c>
      <c r="B354" s="110" t="s">
        <v>36</v>
      </c>
      <c r="C354" s="110" t="s">
        <v>1095</v>
      </c>
      <c r="D354" s="111" t="s">
        <v>1072</v>
      </c>
      <c r="E354" s="112" t="s">
        <v>1003</v>
      </c>
      <c r="F354" s="113" t="s">
        <v>1098</v>
      </c>
      <c r="G354" s="113">
        <v>3162.8203825000001</v>
      </c>
      <c r="H354" s="113">
        <v>4584.1366201622304</v>
      </c>
      <c r="I354" s="113">
        <v>7746.9570026622305</v>
      </c>
    </row>
    <row r="355" spans="1:9" x14ac:dyDescent="0.35">
      <c r="A355" s="109">
        <v>7734117000148</v>
      </c>
      <c r="B355" s="110" t="s">
        <v>36</v>
      </c>
      <c r="C355" s="110" t="s">
        <v>1095</v>
      </c>
      <c r="D355" s="111" t="s">
        <v>1072</v>
      </c>
      <c r="E355" s="112" t="s">
        <v>1003</v>
      </c>
      <c r="F355" s="113" t="s">
        <v>1098</v>
      </c>
      <c r="G355" s="113">
        <v>2404.52549649</v>
      </c>
      <c r="H355" s="113">
        <v>7224.3416118549794</v>
      </c>
      <c r="I355" s="113">
        <v>9628.867108344979</v>
      </c>
    </row>
    <row r="356" spans="1:9" x14ac:dyDescent="0.35">
      <c r="A356" s="109">
        <v>7625132000158</v>
      </c>
      <c r="B356" s="110" t="s">
        <v>36</v>
      </c>
      <c r="C356" s="110" t="s">
        <v>1095</v>
      </c>
      <c r="D356" s="111" t="s">
        <v>1072</v>
      </c>
      <c r="E356" s="112" t="s">
        <v>346</v>
      </c>
      <c r="F356" s="113" t="s">
        <v>1098</v>
      </c>
      <c r="G356" s="113">
        <v>3365.1579802000006</v>
      </c>
      <c r="H356" s="113">
        <v>7221.1030000891897</v>
      </c>
      <c r="I356" s="113">
        <v>10586.260980289189</v>
      </c>
    </row>
    <row r="357" spans="1:9" x14ac:dyDescent="0.35">
      <c r="A357" s="109">
        <v>21206725000100</v>
      </c>
      <c r="B357" s="110" t="s">
        <v>33</v>
      </c>
      <c r="C357" s="110" t="s">
        <v>1095</v>
      </c>
      <c r="D357" s="111" t="s">
        <v>1072</v>
      </c>
      <c r="E357" s="112"/>
      <c r="F357" s="113" t="s">
        <v>1099</v>
      </c>
      <c r="G357" s="113">
        <v>8818.1818630800008</v>
      </c>
      <c r="H357" s="113">
        <v>6014.6120367332496</v>
      </c>
      <c r="I357" s="113">
        <v>14832.79389981325</v>
      </c>
    </row>
    <row r="358" spans="1:9" x14ac:dyDescent="0.35">
      <c r="A358" s="109">
        <v>27377243000442</v>
      </c>
      <c r="B358" s="110" t="s">
        <v>20</v>
      </c>
      <c r="C358" s="110" t="s">
        <v>1097</v>
      </c>
      <c r="D358" s="111" t="s">
        <v>1072</v>
      </c>
      <c r="E358" s="112" t="s">
        <v>147</v>
      </c>
      <c r="F358" s="113" t="s">
        <v>1098</v>
      </c>
      <c r="G358" s="113">
        <v>436.32562213</v>
      </c>
      <c r="H358" s="113">
        <v>211.43819796986722</v>
      </c>
      <c r="I358" s="113">
        <v>647.76382009986719</v>
      </c>
    </row>
    <row r="359" spans="1:9" x14ac:dyDescent="0.35">
      <c r="A359" s="109">
        <v>597452000100</v>
      </c>
      <c r="B359" s="110" t="s">
        <v>33</v>
      </c>
      <c r="C359" s="110" t="s">
        <v>1095</v>
      </c>
      <c r="D359" s="111" t="s">
        <v>1072</v>
      </c>
      <c r="E359" s="112"/>
      <c r="F359" s="113" t="s">
        <v>1099</v>
      </c>
      <c r="G359" s="113">
        <v>1847.82623724</v>
      </c>
      <c r="H359" s="113">
        <v>1897.12117220049</v>
      </c>
      <c r="I359" s="113">
        <v>3744.94740944049</v>
      </c>
    </row>
    <row r="360" spans="1:9" x14ac:dyDescent="0.35">
      <c r="A360" s="109">
        <v>4276276000158</v>
      </c>
      <c r="B360" s="110" t="s">
        <v>20</v>
      </c>
      <c r="C360" s="110" t="s">
        <v>1097</v>
      </c>
      <c r="D360" s="111" t="s">
        <v>1072</v>
      </c>
      <c r="E360" s="112"/>
      <c r="F360" s="113" t="s">
        <v>1099</v>
      </c>
      <c r="G360" s="113">
        <v>307.32544029999997</v>
      </c>
      <c r="H360" s="113">
        <v>545.75782763871098</v>
      </c>
      <c r="I360" s="113">
        <v>853.08326793871095</v>
      </c>
    </row>
    <row r="361" spans="1:9" x14ac:dyDescent="0.35">
      <c r="A361" s="109">
        <v>5233140000123</v>
      </c>
      <c r="B361" s="110" t="s">
        <v>20</v>
      </c>
      <c r="C361" s="110" t="s">
        <v>1097</v>
      </c>
      <c r="D361" s="111" t="s">
        <v>1072</v>
      </c>
      <c r="E361" s="112"/>
      <c r="F361" s="113" t="s">
        <v>1099</v>
      </c>
      <c r="G361" s="113">
        <v>3004.2745506000001</v>
      </c>
      <c r="H361" s="113">
        <v>1648.3892638992202</v>
      </c>
      <c r="I361" s="113">
        <v>4652.6638144992203</v>
      </c>
    </row>
    <row r="362" spans="1:9" x14ac:dyDescent="0.35">
      <c r="A362" s="109">
        <v>7496421000102</v>
      </c>
      <c r="B362" s="110" t="s">
        <v>20</v>
      </c>
      <c r="C362" s="110" t="s">
        <v>1097</v>
      </c>
      <c r="D362" s="111" t="s">
        <v>1072</v>
      </c>
      <c r="E362" s="112"/>
      <c r="F362" s="113" t="s">
        <v>1099</v>
      </c>
      <c r="G362" s="113">
        <v>1038.1546702600001</v>
      </c>
      <c r="H362" s="113">
        <v>1021.539056173719</v>
      </c>
      <c r="I362" s="113">
        <v>2059.6937264337193</v>
      </c>
    </row>
    <row r="363" spans="1:9" x14ac:dyDescent="0.35">
      <c r="A363" s="109">
        <v>8252612000183</v>
      </c>
      <c r="B363" s="110" t="s">
        <v>64</v>
      </c>
      <c r="C363" s="110" t="s">
        <v>1095</v>
      </c>
      <c r="D363" s="111" t="s">
        <v>1072</v>
      </c>
      <c r="E363" s="112"/>
      <c r="F363" s="113" t="s">
        <v>1099</v>
      </c>
      <c r="G363" s="113">
        <v>4966.0589949900004</v>
      </c>
      <c r="H363" s="113">
        <v>4701.6357225265401</v>
      </c>
      <c r="I363" s="113">
        <v>9667.6947175165405</v>
      </c>
    </row>
    <row r="364" spans="1:9" x14ac:dyDescent="0.35">
      <c r="A364" s="109">
        <v>9267822000108</v>
      </c>
      <c r="B364" s="110" t="s">
        <v>16</v>
      </c>
      <c r="C364" s="110" t="s">
        <v>1095</v>
      </c>
      <c r="D364" s="111" t="s">
        <v>1072</v>
      </c>
      <c r="E364" s="112"/>
      <c r="F364" s="113" t="s">
        <v>1099</v>
      </c>
      <c r="G364" s="113">
        <v>835.63801497000009</v>
      </c>
      <c r="H364" s="113">
        <v>1616.6877123751299</v>
      </c>
      <c r="I364" s="113">
        <v>2452.32572734513</v>
      </c>
    </row>
    <row r="365" spans="1:9" x14ac:dyDescent="0.35">
      <c r="A365" s="109">
        <v>10698745000120</v>
      </c>
      <c r="B365" s="110" t="s">
        <v>20</v>
      </c>
      <c r="C365" s="110" t="s">
        <v>1097</v>
      </c>
      <c r="D365" s="111" t="s">
        <v>1072</v>
      </c>
      <c r="E365" s="112"/>
      <c r="F365" s="113" t="s">
        <v>1099</v>
      </c>
      <c r="G365" s="113">
        <v>1724.3993484699999</v>
      </c>
      <c r="H365" s="113">
        <v>1744.5191406564099</v>
      </c>
      <c r="I365" s="113">
        <v>3468.9184891264099</v>
      </c>
    </row>
    <row r="366" spans="1:9" x14ac:dyDescent="0.35">
      <c r="A366" s="109">
        <v>10829445000132</v>
      </c>
      <c r="B366" s="110" t="s">
        <v>20</v>
      </c>
      <c r="C366" s="110" t="s">
        <v>1097</v>
      </c>
      <c r="D366" s="111" t="s">
        <v>1072</v>
      </c>
      <c r="E366" s="112"/>
      <c r="F366" s="113" t="s">
        <v>1099</v>
      </c>
      <c r="G366" s="113">
        <v>1094.3429774899998</v>
      </c>
      <c r="H366" s="113">
        <v>974.67117449412501</v>
      </c>
      <c r="I366" s="113">
        <v>2069.014151984125</v>
      </c>
    </row>
    <row r="367" spans="1:9" x14ac:dyDescent="0.35">
      <c r="A367" s="109">
        <v>11119143000133</v>
      </c>
      <c r="B367" s="110" t="s">
        <v>20</v>
      </c>
      <c r="C367" s="110" t="s">
        <v>1097</v>
      </c>
      <c r="D367" s="111" t="s">
        <v>1072</v>
      </c>
      <c r="E367" s="112"/>
      <c r="F367" s="113" t="s">
        <v>1099</v>
      </c>
      <c r="G367" s="113">
        <v>957.27409987999999</v>
      </c>
      <c r="H367" s="113">
        <v>1261.23986497854</v>
      </c>
      <c r="I367" s="113">
        <v>2218.51396485854</v>
      </c>
    </row>
    <row r="368" spans="1:9" x14ac:dyDescent="0.35">
      <c r="A368" s="109">
        <v>12881115000111</v>
      </c>
      <c r="B368" s="110" t="s">
        <v>33</v>
      </c>
      <c r="C368" s="110" t="s">
        <v>1095</v>
      </c>
      <c r="D368" s="111" t="s">
        <v>1072</v>
      </c>
      <c r="E368" s="112"/>
      <c r="F368" s="113" t="s">
        <v>1099</v>
      </c>
      <c r="G368" s="113">
        <v>1099.24196749</v>
      </c>
      <c r="H368" s="113">
        <v>497.71210710696903</v>
      </c>
      <c r="I368" s="113">
        <v>1596.9540745969689</v>
      </c>
    </row>
    <row r="369" spans="1:9" x14ac:dyDescent="0.35">
      <c r="A369" s="109">
        <v>13475688000108</v>
      </c>
      <c r="B369" s="110" t="s">
        <v>64</v>
      </c>
      <c r="C369" s="110" t="s">
        <v>1095</v>
      </c>
      <c r="D369" s="111" t="s">
        <v>1072</v>
      </c>
      <c r="E369" s="112"/>
      <c r="F369" s="113" t="s">
        <v>1099</v>
      </c>
      <c r="G369" s="113">
        <v>788.94295635000003</v>
      </c>
      <c r="H369" s="113">
        <v>516.22387307384906</v>
      </c>
      <c r="I369" s="113">
        <v>1305.1668294238491</v>
      </c>
    </row>
    <row r="370" spans="1:9" x14ac:dyDescent="0.35">
      <c r="A370" s="109">
        <v>17581013000102</v>
      </c>
      <c r="B370" s="110" t="s">
        <v>20</v>
      </c>
      <c r="C370" s="110" t="s">
        <v>1097</v>
      </c>
      <c r="D370" s="111" t="s">
        <v>1072</v>
      </c>
      <c r="E370" s="112"/>
      <c r="F370" s="113" t="s">
        <v>1099</v>
      </c>
      <c r="G370" s="113">
        <v>2608.9277845699999</v>
      </c>
      <c r="H370" s="113">
        <v>1884.08233728245</v>
      </c>
      <c r="I370" s="113">
        <v>4493.0101218524496</v>
      </c>
    </row>
    <row r="371" spans="1:9" x14ac:dyDescent="0.35">
      <c r="A371" s="109">
        <v>18919955000293</v>
      </c>
      <c r="B371" s="110" t="s">
        <v>20</v>
      </c>
      <c r="C371" s="110" t="s">
        <v>1097</v>
      </c>
      <c r="D371" s="111" t="s">
        <v>1072</v>
      </c>
      <c r="E371" s="112"/>
      <c r="F371" s="113" t="s">
        <v>1099</v>
      </c>
      <c r="G371" s="113">
        <v>4096.6356507800001</v>
      </c>
      <c r="H371" s="113">
        <v>2578.7442586452698</v>
      </c>
      <c r="I371" s="113">
        <v>6675.3799094252699</v>
      </c>
    </row>
    <row r="372" spans="1:9" x14ac:dyDescent="0.35">
      <c r="A372" s="109">
        <v>20397408000156</v>
      </c>
      <c r="B372" s="110" t="s">
        <v>20</v>
      </c>
      <c r="C372" s="110" t="s">
        <v>1097</v>
      </c>
      <c r="D372" s="111" t="s">
        <v>1072</v>
      </c>
      <c r="E372" s="112"/>
      <c r="F372" s="113" t="s">
        <v>1099</v>
      </c>
      <c r="G372" s="113">
        <v>1328.1291860399999</v>
      </c>
      <c r="H372" s="113">
        <v>1030.764281183011</v>
      </c>
      <c r="I372" s="113">
        <v>2358.8934672230107</v>
      </c>
    </row>
    <row r="373" spans="1:9" x14ac:dyDescent="0.35">
      <c r="A373" s="109">
        <v>23288222000157</v>
      </c>
      <c r="B373" s="110" t="s">
        <v>36</v>
      </c>
      <c r="C373" s="110" t="s">
        <v>1095</v>
      </c>
      <c r="D373" s="111" t="s">
        <v>1072</v>
      </c>
      <c r="E373" s="112"/>
      <c r="F373" s="113" t="s">
        <v>1099</v>
      </c>
      <c r="G373" s="113">
        <v>836.35887405999983</v>
      </c>
      <c r="H373" s="113">
        <v>1259.0974040722799</v>
      </c>
      <c r="I373" s="113">
        <v>2095.4562781322797</v>
      </c>
    </row>
    <row r="374" spans="1:9" x14ac:dyDescent="0.35">
      <c r="A374" s="109">
        <v>27704045000101</v>
      </c>
      <c r="B374" s="110" t="s">
        <v>20</v>
      </c>
      <c r="C374" s="110" t="s">
        <v>1097</v>
      </c>
      <c r="D374" s="111" t="s">
        <v>1072</v>
      </c>
      <c r="E374" s="112"/>
      <c r="F374" s="113" t="s">
        <v>1099</v>
      </c>
      <c r="G374" s="113">
        <v>256.53337862000001</v>
      </c>
      <c r="H374" s="113">
        <v>456.652812090238</v>
      </c>
      <c r="I374" s="113">
        <v>713.18619071023795</v>
      </c>
    </row>
    <row r="375" spans="1:9" x14ac:dyDescent="0.35">
      <c r="A375" s="109">
        <v>29668395000187</v>
      </c>
      <c r="B375" s="110" t="s">
        <v>16</v>
      </c>
      <c r="C375" s="110" t="s">
        <v>1095</v>
      </c>
      <c r="D375" s="111" t="s">
        <v>1072</v>
      </c>
      <c r="E375" s="112"/>
      <c r="F375" s="113" t="s">
        <v>1099</v>
      </c>
      <c r="G375" s="113">
        <v>1126.36655333</v>
      </c>
      <c r="H375" s="113">
        <v>1624.35510297002</v>
      </c>
      <c r="I375" s="113">
        <v>2750.7216563000202</v>
      </c>
    </row>
    <row r="376" spans="1:9" x14ac:dyDescent="0.35">
      <c r="A376" s="109">
        <v>30049938000167</v>
      </c>
      <c r="B376" s="110" t="s">
        <v>36</v>
      </c>
      <c r="C376" s="110" t="s">
        <v>1095</v>
      </c>
      <c r="D376" s="111" t="s">
        <v>1072</v>
      </c>
      <c r="E376" s="112"/>
      <c r="F376" s="113" t="s">
        <v>1099</v>
      </c>
      <c r="G376" s="113">
        <v>4051.3229894900001</v>
      </c>
      <c r="H376" s="113">
        <v>2261.6574881910501</v>
      </c>
      <c r="I376" s="113">
        <v>6312.9804776810506</v>
      </c>
    </row>
    <row r="377" spans="1:9" x14ac:dyDescent="0.35">
      <c r="A377" s="109">
        <v>31836867000105</v>
      </c>
      <c r="B377" s="110" t="s">
        <v>20</v>
      </c>
      <c r="C377" s="110" t="s">
        <v>1097</v>
      </c>
      <c r="D377" s="111" t="s">
        <v>1072</v>
      </c>
      <c r="E377" s="112"/>
      <c r="F377" s="113" t="s">
        <v>1099</v>
      </c>
      <c r="G377" s="113">
        <v>1888.73396905</v>
      </c>
      <c r="H377" s="113">
        <v>3316.5302374585299</v>
      </c>
      <c r="I377" s="113">
        <v>5205.2642065085302</v>
      </c>
    </row>
    <row r="378" spans="1:9" x14ac:dyDescent="0.35">
      <c r="A378" s="109">
        <v>33540619000148</v>
      </c>
      <c r="B378" s="110" t="s">
        <v>38</v>
      </c>
      <c r="C378" s="110" t="s">
        <v>1095</v>
      </c>
      <c r="D378" s="111" t="s">
        <v>1072</v>
      </c>
      <c r="E378" s="112"/>
      <c r="F378" s="113" t="s">
        <v>1099</v>
      </c>
      <c r="G378" s="113">
        <v>5659.5183848400002</v>
      </c>
      <c r="H378" s="113">
        <v>5897.4425378084698</v>
      </c>
      <c r="I378" s="113">
        <v>11556.96092264847</v>
      </c>
    </row>
    <row r="379" spans="1:9" x14ac:dyDescent="0.35">
      <c r="A379" s="109">
        <v>34700354000160</v>
      </c>
      <c r="B379" s="110" t="s">
        <v>20</v>
      </c>
      <c r="C379" s="110" t="s">
        <v>1097</v>
      </c>
      <c r="D379" s="111" t="s">
        <v>1072</v>
      </c>
      <c r="E379" s="112"/>
      <c r="F379" s="113" t="s">
        <v>1099</v>
      </c>
      <c r="G379" s="113">
        <v>488.52376518</v>
      </c>
      <c r="H379" s="113">
        <v>1253.6537900651269</v>
      </c>
      <c r="I379" s="113">
        <v>1742.177555245127</v>
      </c>
    </row>
    <row r="380" spans="1:9" x14ac:dyDescent="0.35">
      <c r="A380" s="109">
        <v>36886133000154</v>
      </c>
      <c r="B380" s="110" t="s">
        <v>20</v>
      </c>
      <c r="C380" s="110" t="s">
        <v>1097</v>
      </c>
      <c r="D380" s="111" t="s">
        <v>1072</v>
      </c>
      <c r="E380" s="112"/>
      <c r="F380" s="113" t="s">
        <v>1099</v>
      </c>
      <c r="G380" s="113">
        <v>4058.07439737</v>
      </c>
      <c r="H380" s="113">
        <v>1993.9173164035799</v>
      </c>
      <c r="I380" s="113">
        <v>6051.9917137735802</v>
      </c>
    </row>
    <row r="381" spans="1:9" x14ac:dyDescent="0.35">
      <c r="A381" s="109">
        <v>39350015000115</v>
      </c>
      <c r="B381" s="110" t="s">
        <v>74</v>
      </c>
      <c r="C381" s="110" t="s">
        <v>1095</v>
      </c>
      <c r="D381" s="111" t="s">
        <v>1072</v>
      </c>
      <c r="E381" s="112"/>
      <c r="F381" s="113" t="s">
        <v>1099</v>
      </c>
      <c r="G381" s="113">
        <v>3003.2327143500002</v>
      </c>
      <c r="H381" s="113">
        <v>3144.58927207432</v>
      </c>
      <c r="I381" s="113">
        <v>6147.8219864243201</v>
      </c>
    </row>
    <row r="382" spans="1:9" x14ac:dyDescent="0.35">
      <c r="A382" s="109">
        <v>41008901000107</v>
      </c>
      <c r="B382" s="110" t="s">
        <v>33</v>
      </c>
      <c r="C382" s="110" t="s">
        <v>1095</v>
      </c>
      <c r="D382" s="111" t="s">
        <v>1072</v>
      </c>
      <c r="E382" s="112"/>
      <c r="F382" s="113" t="s">
        <v>1099</v>
      </c>
      <c r="G382" s="113">
        <v>1506.2352151800001</v>
      </c>
      <c r="H382" s="113">
        <v>2499.2534090029899</v>
      </c>
      <c r="I382" s="113">
        <v>4005.48862418299</v>
      </c>
    </row>
    <row r="383" spans="1:9" x14ac:dyDescent="0.35">
      <c r="A383" s="109">
        <v>42038804000120</v>
      </c>
      <c r="B383" s="110" t="s">
        <v>16</v>
      </c>
      <c r="C383" s="110" t="s">
        <v>1095</v>
      </c>
      <c r="D383" s="111" t="s">
        <v>1072</v>
      </c>
      <c r="E383" s="112"/>
      <c r="F383" s="113" t="s">
        <v>1099</v>
      </c>
      <c r="G383" s="113">
        <v>1502.73466091</v>
      </c>
      <c r="H383" s="113">
        <v>2080.3764983727201</v>
      </c>
      <c r="I383" s="113">
        <v>3583.1111592827201</v>
      </c>
    </row>
    <row r="384" spans="1:9" x14ac:dyDescent="0.35">
      <c r="A384" s="109">
        <v>43491146000190</v>
      </c>
      <c r="B384" s="110" t="s">
        <v>16</v>
      </c>
      <c r="C384" s="110" t="s">
        <v>1095</v>
      </c>
      <c r="D384" s="111" t="s">
        <v>1072</v>
      </c>
      <c r="E384" s="112"/>
      <c r="F384" s="113" t="s">
        <v>1099</v>
      </c>
      <c r="G384" s="113">
        <v>1534.5481375899999</v>
      </c>
      <c r="H384" s="113">
        <v>2169.4872374450001</v>
      </c>
      <c r="I384" s="113">
        <v>3704.035375035</v>
      </c>
    </row>
    <row r="385" spans="1:9" x14ac:dyDescent="0.35">
      <c r="A385" s="109">
        <v>46365701000125</v>
      </c>
      <c r="B385" s="110" t="s">
        <v>20</v>
      </c>
      <c r="C385" s="110" t="s">
        <v>1097</v>
      </c>
      <c r="D385" s="111" t="s">
        <v>1072</v>
      </c>
      <c r="E385" s="112"/>
      <c r="F385" s="113" t="s">
        <v>1099</v>
      </c>
      <c r="G385" s="113">
        <v>1134.76172187</v>
      </c>
      <c r="H385" s="113">
        <v>1773.7211402798002</v>
      </c>
      <c r="I385" s="113">
        <v>2908.4828621498</v>
      </c>
    </row>
    <row r="386" spans="1:9" x14ac:dyDescent="0.35">
      <c r="A386" s="109">
        <v>46943757000110</v>
      </c>
      <c r="B386" s="110" t="s">
        <v>36</v>
      </c>
      <c r="C386" s="110" t="s">
        <v>1095</v>
      </c>
      <c r="D386" s="111" t="s">
        <v>1072</v>
      </c>
      <c r="E386" s="112"/>
      <c r="F386" s="113" t="s">
        <v>1099</v>
      </c>
      <c r="G386" s="113">
        <v>462.19008009999999</v>
      </c>
      <c r="H386" s="113">
        <v>551.60799917597706</v>
      </c>
      <c r="I386" s="113">
        <v>1013.798079275977</v>
      </c>
    </row>
    <row r="387" spans="1:9" x14ac:dyDescent="0.35">
      <c r="A387" s="109">
        <v>49581378000115</v>
      </c>
      <c r="B387" s="110" t="s">
        <v>20</v>
      </c>
      <c r="C387" s="110" t="s">
        <v>1097</v>
      </c>
      <c r="D387" s="111" t="s">
        <v>1072</v>
      </c>
      <c r="E387" s="112"/>
      <c r="F387" s="113" t="s">
        <v>1099</v>
      </c>
      <c r="G387" s="113">
        <v>143.91193082000001</v>
      </c>
      <c r="H387" s="113">
        <v>563.55664783021302</v>
      </c>
      <c r="I387" s="113">
        <v>707.46857865021298</v>
      </c>
    </row>
    <row r="388" spans="1:9" x14ac:dyDescent="0.35">
      <c r="A388" s="109">
        <v>51041632000134</v>
      </c>
      <c r="B388" s="110" t="s">
        <v>16</v>
      </c>
      <c r="C388" s="110" t="s">
        <v>1095</v>
      </c>
      <c r="D388" s="111" t="s">
        <v>1072</v>
      </c>
      <c r="E388" s="112"/>
      <c r="F388" s="113" t="s">
        <v>1099</v>
      </c>
      <c r="G388" s="113">
        <v>614.87775679000003</v>
      </c>
      <c r="H388" s="113">
        <v>1116.5572865074791</v>
      </c>
      <c r="I388" s="113">
        <v>1731.4350432974793</v>
      </c>
    </row>
    <row r="389" spans="1:9" x14ac:dyDescent="0.35">
      <c r="A389" s="109">
        <v>51601157000103</v>
      </c>
      <c r="B389" s="110" t="s">
        <v>33</v>
      </c>
      <c r="C389" s="110" t="s">
        <v>1095</v>
      </c>
      <c r="D389" s="111" t="s">
        <v>1072</v>
      </c>
      <c r="E389" s="112"/>
      <c r="F389" s="113" t="s">
        <v>1099</v>
      </c>
      <c r="G389" s="113">
        <v>3001.8888871700001</v>
      </c>
      <c r="H389" s="113">
        <v>2512.4120888058401</v>
      </c>
      <c r="I389" s="113">
        <v>5514.3009759758406</v>
      </c>
    </row>
    <row r="390" spans="1:9" x14ac:dyDescent="0.35">
      <c r="A390" s="109">
        <v>51905753000187</v>
      </c>
      <c r="B390" s="110" t="s">
        <v>20</v>
      </c>
      <c r="C390" s="110" t="s">
        <v>1097</v>
      </c>
      <c r="D390" s="111" t="s">
        <v>1072</v>
      </c>
      <c r="E390" s="112"/>
      <c r="F390" s="113" t="s">
        <v>1099</v>
      </c>
      <c r="G390" s="113">
        <v>5733.8276834299995</v>
      </c>
      <c r="H390" s="113">
        <v>6527.2424815039503</v>
      </c>
      <c r="I390" s="113">
        <v>12261.07016493395</v>
      </c>
    </row>
    <row r="391" spans="1:9" x14ac:dyDescent="0.35">
      <c r="A391" s="109">
        <v>52189626000191</v>
      </c>
      <c r="B391" s="110" t="s">
        <v>20</v>
      </c>
      <c r="C391" s="110" t="s">
        <v>1097</v>
      </c>
      <c r="D391" s="111" t="s">
        <v>1072</v>
      </c>
      <c r="E391" s="112"/>
      <c r="F391" s="113" t="s">
        <v>1099</v>
      </c>
      <c r="G391" s="113">
        <v>1204.83847578</v>
      </c>
      <c r="H391" s="113">
        <v>1555.1174918929901</v>
      </c>
      <c r="I391" s="113">
        <v>2759.95596767299</v>
      </c>
    </row>
    <row r="392" spans="1:9" x14ac:dyDescent="0.35">
      <c r="A392" s="109">
        <v>52479223000187</v>
      </c>
      <c r="B392" s="110" t="s">
        <v>74</v>
      </c>
      <c r="C392" s="110" t="s">
        <v>1095</v>
      </c>
      <c r="D392" s="111" t="s">
        <v>1072</v>
      </c>
      <c r="E392" s="112"/>
      <c r="F392" s="113" t="s">
        <v>1099</v>
      </c>
      <c r="G392" s="113">
        <v>839.49143413999991</v>
      </c>
      <c r="H392" s="113">
        <v>1152.664060241123</v>
      </c>
      <c r="I392" s="113">
        <v>1992.1554943811229</v>
      </c>
    </row>
    <row r="393" spans="1:9" x14ac:dyDescent="0.35">
      <c r="A393" s="109">
        <v>53062463000144</v>
      </c>
      <c r="B393" s="110" t="s">
        <v>64</v>
      </c>
      <c r="C393" s="110" t="s">
        <v>1095</v>
      </c>
      <c r="D393" s="111" t="s">
        <v>1072</v>
      </c>
      <c r="E393" s="112"/>
      <c r="F393" s="113" t="s">
        <v>1099</v>
      </c>
      <c r="G393" s="113">
        <v>3702.3329156400005</v>
      </c>
      <c r="H393" s="113">
        <v>2295.2009813424702</v>
      </c>
      <c r="I393" s="113">
        <v>5997.5338969824707</v>
      </c>
    </row>
    <row r="394" spans="1:9" x14ac:dyDescent="0.35">
      <c r="A394" s="109">
        <v>55913843000170</v>
      </c>
      <c r="B394" s="110" t="s">
        <v>64</v>
      </c>
      <c r="C394" s="110" t="s">
        <v>1095</v>
      </c>
      <c r="D394" s="111" t="s">
        <v>1072</v>
      </c>
      <c r="E394" s="112"/>
      <c r="F394" s="113" t="s">
        <v>1099</v>
      </c>
      <c r="G394" s="113">
        <v>484.17093075999998</v>
      </c>
      <c r="H394" s="113">
        <v>654.43406670581703</v>
      </c>
      <c r="I394" s="113">
        <v>1138.604997465817</v>
      </c>
    </row>
    <row r="395" spans="1:9" x14ac:dyDescent="0.35">
      <c r="A395" s="109">
        <v>61723222000208</v>
      </c>
      <c r="B395" s="110" t="s">
        <v>20</v>
      </c>
      <c r="C395" s="110" t="s">
        <v>1097</v>
      </c>
      <c r="D395" s="111" t="s">
        <v>1072</v>
      </c>
      <c r="E395" s="112"/>
      <c r="F395" s="113" t="s">
        <v>1099</v>
      </c>
      <c r="G395" s="113">
        <v>2248.1838312099999</v>
      </c>
      <c r="H395" s="113">
        <v>2871.2654492670799</v>
      </c>
      <c r="I395" s="113">
        <v>5119.4492804770798</v>
      </c>
    </row>
    <row r="396" spans="1:9" x14ac:dyDescent="0.35">
      <c r="A396" s="109">
        <v>62670020000127</v>
      </c>
      <c r="B396" s="110" t="s">
        <v>20</v>
      </c>
      <c r="C396" s="110" t="s">
        <v>1097</v>
      </c>
      <c r="D396" s="111" t="s">
        <v>1072</v>
      </c>
      <c r="E396" s="112"/>
      <c r="F396" s="113" t="s">
        <v>1099</v>
      </c>
      <c r="G396" s="113">
        <v>661.70802795999998</v>
      </c>
      <c r="H396" s="113">
        <v>986.55313046276808</v>
      </c>
      <c r="I396" s="113">
        <v>1648.2611584227679</v>
      </c>
    </row>
    <row r="397" spans="1:9" x14ac:dyDescent="0.35">
      <c r="A397" s="109">
        <v>63102694000198</v>
      </c>
      <c r="B397" s="110" t="s">
        <v>20</v>
      </c>
      <c r="C397" s="110" t="s">
        <v>1097</v>
      </c>
      <c r="D397" s="111" t="s">
        <v>1072</v>
      </c>
      <c r="E397" s="112"/>
      <c r="F397" s="113" t="s">
        <v>1096</v>
      </c>
      <c r="G397" s="113">
        <v>13.7013196</v>
      </c>
      <c r="H397" s="113">
        <v>0</v>
      </c>
      <c r="I397" s="113">
        <v>13.7013196</v>
      </c>
    </row>
    <row r="398" spans="1:9" x14ac:dyDescent="0.35">
      <c r="A398" s="109">
        <v>10341045001589</v>
      </c>
      <c r="B398" s="110" t="s">
        <v>9</v>
      </c>
      <c r="C398" s="110" t="s">
        <v>1095</v>
      </c>
      <c r="D398" s="111" t="s">
        <v>1066</v>
      </c>
      <c r="E398" s="112" t="s">
        <v>995</v>
      </c>
      <c r="F398" s="113" t="s">
        <v>1098</v>
      </c>
      <c r="G398" s="113">
        <v>1158.52841939</v>
      </c>
      <c r="H398" s="113">
        <v>2833.963635090473</v>
      </c>
      <c r="I398" s="113">
        <v>3992.4920544804727</v>
      </c>
    </row>
    <row r="399" spans="1:9" x14ac:dyDescent="0.35">
      <c r="A399" s="109">
        <v>49007687000186</v>
      </c>
      <c r="B399" s="110" t="s">
        <v>36</v>
      </c>
      <c r="C399" s="110" t="s">
        <v>1095</v>
      </c>
      <c r="D399" s="111" t="s">
        <v>1066</v>
      </c>
      <c r="E399" s="112"/>
      <c r="F399" s="113" t="s">
        <v>1096</v>
      </c>
      <c r="G399" s="113">
        <v>1531.2877063899998</v>
      </c>
      <c r="H399" s="113">
        <v>0</v>
      </c>
      <c r="I399" s="113">
        <v>1531.2877063899998</v>
      </c>
    </row>
    <row r="400" spans="1:9" x14ac:dyDescent="0.35">
      <c r="A400" s="109">
        <v>24920461000221</v>
      </c>
      <c r="B400" s="110" t="s">
        <v>64</v>
      </c>
      <c r="C400" s="110" t="s">
        <v>1095</v>
      </c>
      <c r="D400" s="111" t="s">
        <v>1066</v>
      </c>
      <c r="E400" s="112"/>
      <c r="F400" s="113" t="s">
        <v>1096</v>
      </c>
      <c r="G400" s="113">
        <v>631.82327399000008</v>
      </c>
      <c r="H400" s="113">
        <v>0</v>
      </c>
      <c r="I400" s="113">
        <v>631.82327399000008</v>
      </c>
    </row>
    <row r="401" spans="1:9" x14ac:dyDescent="0.35">
      <c r="A401" s="109">
        <v>10341045002046</v>
      </c>
      <c r="B401" s="110" t="s">
        <v>9</v>
      </c>
      <c r="C401" s="110" t="s">
        <v>1095</v>
      </c>
      <c r="D401" s="111" t="s">
        <v>1066</v>
      </c>
      <c r="E401" s="112" t="s">
        <v>995</v>
      </c>
      <c r="F401" s="113" t="s">
        <v>1098</v>
      </c>
      <c r="G401" s="113">
        <v>7517.3196978999995</v>
      </c>
      <c r="H401" s="113">
        <v>2833.963635090473</v>
      </c>
      <c r="I401" s="113">
        <v>10351.283332990472</v>
      </c>
    </row>
    <row r="402" spans="1:9" x14ac:dyDescent="0.35">
      <c r="A402" s="109">
        <v>24920461000140</v>
      </c>
      <c r="B402" s="110" t="s">
        <v>64</v>
      </c>
      <c r="C402" s="110" t="s">
        <v>1095</v>
      </c>
      <c r="D402" s="111" t="s">
        <v>1066</v>
      </c>
      <c r="E402" s="112"/>
      <c r="F402" s="113" t="s">
        <v>1099</v>
      </c>
      <c r="G402" s="113">
        <v>3458.5490089099994</v>
      </c>
      <c r="H402" s="113">
        <v>487.12352126685983</v>
      </c>
      <c r="I402" s="113">
        <v>3945.6725301768593</v>
      </c>
    </row>
    <row r="403" spans="1:9" x14ac:dyDescent="0.35">
      <c r="A403" s="109">
        <v>33019679000381</v>
      </c>
      <c r="B403" s="110" t="s">
        <v>64</v>
      </c>
      <c r="C403" s="110" t="s">
        <v>1095</v>
      </c>
      <c r="D403" s="111" t="s">
        <v>1066</v>
      </c>
      <c r="E403" s="112"/>
      <c r="F403" s="113" t="s">
        <v>1099</v>
      </c>
      <c r="G403" s="113">
        <v>125.85989643000016</v>
      </c>
      <c r="H403" s="113">
        <v>368.46106550461394</v>
      </c>
      <c r="I403" s="113">
        <v>494.3209619346141</v>
      </c>
    </row>
    <row r="404" spans="1:9" x14ac:dyDescent="0.35">
      <c r="A404" s="109">
        <v>10341045002399</v>
      </c>
      <c r="B404" s="110" t="s">
        <v>9</v>
      </c>
      <c r="C404" s="110" t="s">
        <v>1095</v>
      </c>
      <c r="D404" s="111" t="s">
        <v>1066</v>
      </c>
      <c r="E404" s="112" t="s">
        <v>995</v>
      </c>
      <c r="F404" s="113" t="s">
        <v>1098</v>
      </c>
      <c r="G404" s="113">
        <v>12545.267180700001</v>
      </c>
      <c r="H404" s="113">
        <v>2833.963635090473</v>
      </c>
      <c r="I404" s="113">
        <v>15379.230815790474</v>
      </c>
    </row>
    <row r="405" spans="1:9" x14ac:dyDescent="0.35">
      <c r="A405" s="109">
        <v>53494508000150</v>
      </c>
      <c r="B405" s="110" t="s">
        <v>36</v>
      </c>
      <c r="C405" s="110" t="s">
        <v>1095</v>
      </c>
      <c r="D405" s="111" t="s">
        <v>1066</v>
      </c>
      <c r="E405" s="112" t="s">
        <v>1007</v>
      </c>
      <c r="F405" s="113" t="s">
        <v>1098</v>
      </c>
      <c r="G405" s="113">
        <v>10357.415493966664</v>
      </c>
      <c r="H405" s="113">
        <v>574.98441336770975</v>
      </c>
      <c r="I405" s="113">
        <v>10932.399907334373</v>
      </c>
    </row>
    <row r="406" spans="1:9" x14ac:dyDescent="0.35">
      <c r="A406" s="109">
        <v>27545412000406</v>
      </c>
      <c r="B406" s="110" t="s">
        <v>9</v>
      </c>
      <c r="C406" s="110" t="s">
        <v>1095</v>
      </c>
      <c r="D406" s="111" t="s">
        <v>1066</v>
      </c>
      <c r="E406" s="112" t="s">
        <v>991</v>
      </c>
      <c r="F406" s="113" t="s">
        <v>1098</v>
      </c>
      <c r="G406" s="113">
        <v>653.77653180999914</v>
      </c>
      <c r="H406" s="113">
        <v>2077.939289418453</v>
      </c>
      <c r="I406" s="113">
        <v>2731.7158212284521</v>
      </c>
    </row>
    <row r="407" spans="1:9" x14ac:dyDescent="0.35">
      <c r="A407" s="109">
        <v>50031125000157</v>
      </c>
      <c r="B407" s="110" t="s">
        <v>20</v>
      </c>
      <c r="C407" s="110" t="s">
        <v>1097</v>
      </c>
      <c r="D407" s="111" t="s">
        <v>1066</v>
      </c>
      <c r="E407" s="112"/>
      <c r="F407" s="113" t="s">
        <v>1096</v>
      </c>
      <c r="G407" s="113">
        <v>457.76554085999999</v>
      </c>
      <c r="H407" s="113">
        <v>0</v>
      </c>
      <c r="I407" s="113">
        <v>457.76554085999999</v>
      </c>
    </row>
    <row r="408" spans="1:9" x14ac:dyDescent="0.35">
      <c r="A408" s="109">
        <v>23829894000122</v>
      </c>
      <c r="B408" s="110" t="s">
        <v>36</v>
      </c>
      <c r="C408" s="110" t="s">
        <v>1095</v>
      </c>
      <c r="D408" s="111" t="s">
        <v>1066</v>
      </c>
      <c r="E408" s="112"/>
      <c r="F408" s="113" t="s">
        <v>1099</v>
      </c>
      <c r="G408" s="113">
        <v>6175.4500270600001</v>
      </c>
      <c r="H408" s="113">
        <v>364.40858584330999</v>
      </c>
      <c r="I408" s="113">
        <v>6539.8586129033101</v>
      </c>
    </row>
    <row r="409" spans="1:9" x14ac:dyDescent="0.35">
      <c r="A409" s="109">
        <v>1738769000174</v>
      </c>
      <c r="B409" s="110" t="s">
        <v>20</v>
      </c>
      <c r="C409" s="110" t="s">
        <v>1097</v>
      </c>
      <c r="D409" s="111" t="s">
        <v>1066</v>
      </c>
      <c r="E409" s="112"/>
      <c r="F409" s="113" t="s">
        <v>1099</v>
      </c>
      <c r="G409" s="113">
        <v>1370.5559425699998</v>
      </c>
      <c r="H409" s="113">
        <v>271.9871491202731</v>
      </c>
      <c r="I409" s="113">
        <v>1642.5430916902728</v>
      </c>
    </row>
    <row r="410" spans="1:9" x14ac:dyDescent="0.35">
      <c r="A410" s="109">
        <v>10341045002127</v>
      </c>
      <c r="B410" s="110" t="s">
        <v>9</v>
      </c>
      <c r="C410" s="110" t="s">
        <v>1095</v>
      </c>
      <c r="D410" s="111" t="s">
        <v>1066</v>
      </c>
      <c r="E410" s="112" t="s">
        <v>995</v>
      </c>
      <c r="F410" s="113" t="s">
        <v>1098</v>
      </c>
      <c r="G410" s="113">
        <v>6604.6620301699995</v>
      </c>
      <c r="H410" s="113">
        <v>2833.963635090473</v>
      </c>
      <c r="I410" s="113">
        <v>9438.6256652604716</v>
      </c>
    </row>
    <row r="411" spans="1:9" x14ac:dyDescent="0.35">
      <c r="A411" s="109">
        <v>35447691000150</v>
      </c>
      <c r="B411" s="110" t="s">
        <v>20</v>
      </c>
      <c r="C411" s="110" t="s">
        <v>1097</v>
      </c>
      <c r="D411" s="111" t="s">
        <v>1066</v>
      </c>
      <c r="E411" s="112"/>
      <c r="F411" s="113" t="s">
        <v>1099</v>
      </c>
      <c r="G411" s="113">
        <v>262.09314160999998</v>
      </c>
      <c r="H411" s="113">
        <v>161.607677646365</v>
      </c>
      <c r="I411" s="113">
        <v>423.70081925636498</v>
      </c>
    </row>
    <row r="412" spans="1:9" x14ac:dyDescent="0.35">
      <c r="A412" s="109">
        <v>14782944000253</v>
      </c>
      <c r="B412" s="110" t="s">
        <v>20</v>
      </c>
      <c r="C412" s="110" t="s">
        <v>1097</v>
      </c>
      <c r="D412" s="111" t="s">
        <v>1066</v>
      </c>
      <c r="E412" s="112"/>
      <c r="F412" s="113" t="s">
        <v>1099</v>
      </c>
      <c r="G412" s="113">
        <v>410.39748358999998</v>
      </c>
      <c r="H412" s="113">
        <v>312.02682172909897</v>
      </c>
      <c r="I412" s="113">
        <v>722.42430531909895</v>
      </c>
    </row>
    <row r="413" spans="1:9" x14ac:dyDescent="0.35">
      <c r="A413" s="109">
        <v>10341045001902</v>
      </c>
      <c r="B413" s="110" t="s">
        <v>9</v>
      </c>
      <c r="C413" s="110" t="s">
        <v>1095</v>
      </c>
      <c r="D413" s="111" t="s">
        <v>1066</v>
      </c>
      <c r="E413" s="112" t="s">
        <v>995</v>
      </c>
      <c r="F413" s="113" t="s">
        <v>1098</v>
      </c>
      <c r="G413" s="113">
        <v>10977.57929274</v>
      </c>
      <c r="H413" s="113">
        <v>2833.963635090473</v>
      </c>
      <c r="I413" s="113">
        <v>13811.542927830473</v>
      </c>
    </row>
    <row r="414" spans="1:9" x14ac:dyDescent="0.35">
      <c r="A414" s="109">
        <v>2440068000117</v>
      </c>
      <c r="B414" s="110" t="s">
        <v>64</v>
      </c>
      <c r="C414" s="110" t="s">
        <v>1095</v>
      </c>
      <c r="D414" s="111" t="s">
        <v>1066</v>
      </c>
      <c r="E414" s="112"/>
      <c r="F414" s="113" t="s">
        <v>1099</v>
      </c>
      <c r="G414" s="113">
        <v>1633.1634265500006</v>
      </c>
      <c r="H414" s="113">
        <v>1163.2780881599501</v>
      </c>
      <c r="I414" s="113">
        <v>2796.4415147099508</v>
      </c>
    </row>
    <row r="415" spans="1:9" x14ac:dyDescent="0.35">
      <c r="A415" s="109">
        <v>27545412000325</v>
      </c>
      <c r="B415" s="110" t="s">
        <v>9</v>
      </c>
      <c r="C415" s="110" t="s">
        <v>1095</v>
      </c>
      <c r="D415" s="111" t="s">
        <v>1066</v>
      </c>
      <c r="E415" s="112" t="s">
        <v>991</v>
      </c>
      <c r="F415" s="113" t="s">
        <v>1098</v>
      </c>
      <c r="G415" s="113">
        <v>5325.6207129499999</v>
      </c>
      <c r="H415" s="113">
        <v>2077.939289418453</v>
      </c>
      <c r="I415" s="113">
        <v>7403.5600023684528</v>
      </c>
    </row>
    <row r="416" spans="1:9" x14ac:dyDescent="0.35">
      <c r="A416" s="109">
        <v>20103913000221</v>
      </c>
      <c r="B416" s="110" t="s">
        <v>36</v>
      </c>
      <c r="C416" s="110" t="s">
        <v>1095</v>
      </c>
      <c r="D416" s="111" t="s">
        <v>1066</v>
      </c>
      <c r="E416" s="112" t="s">
        <v>1007</v>
      </c>
      <c r="F416" s="113" t="s">
        <v>1098</v>
      </c>
      <c r="G416" s="113">
        <v>32284.53902235999</v>
      </c>
      <c r="H416" s="113">
        <v>12782.159258758598</v>
      </c>
      <c r="I416" s="113">
        <v>45066.698281118588</v>
      </c>
    </row>
    <row r="417" spans="1:9" x14ac:dyDescent="0.35">
      <c r="A417" s="109">
        <v>15116990000103</v>
      </c>
      <c r="B417" s="110" t="s">
        <v>20</v>
      </c>
      <c r="C417" s="110" t="s">
        <v>1097</v>
      </c>
      <c r="D417" s="111" t="s">
        <v>1066</v>
      </c>
      <c r="E417" s="112"/>
      <c r="F417" s="113" t="s">
        <v>1099</v>
      </c>
      <c r="G417" s="113">
        <v>1433.6701955700003</v>
      </c>
      <c r="H417" s="113">
        <v>842.87642182184004</v>
      </c>
      <c r="I417" s="113">
        <v>2276.5466173918403</v>
      </c>
    </row>
    <row r="418" spans="1:9" x14ac:dyDescent="0.35">
      <c r="A418" s="109">
        <v>1678322000157</v>
      </c>
      <c r="B418" s="110" t="s">
        <v>9</v>
      </c>
      <c r="C418" s="110" t="s">
        <v>1095</v>
      </c>
      <c r="D418" s="111" t="s">
        <v>1066</v>
      </c>
      <c r="E418" s="112"/>
      <c r="F418" s="113" t="s">
        <v>1099</v>
      </c>
      <c r="G418" s="113">
        <v>2866.0883682500007</v>
      </c>
      <c r="H418" s="113">
        <v>801.95500867107012</v>
      </c>
      <c r="I418" s="113">
        <v>3668.0433769210708</v>
      </c>
    </row>
    <row r="419" spans="1:9" x14ac:dyDescent="0.35">
      <c r="A419" s="109">
        <v>25064025000180</v>
      </c>
      <c r="B419" s="110" t="s">
        <v>20</v>
      </c>
      <c r="C419" s="110" t="s">
        <v>1097</v>
      </c>
      <c r="D419" s="111" t="s">
        <v>1066</v>
      </c>
      <c r="E419" s="112"/>
      <c r="F419" s="113" t="s">
        <v>1099</v>
      </c>
      <c r="G419" s="113">
        <v>2319.3573307399997</v>
      </c>
      <c r="H419" s="113">
        <v>1198.4768290644697</v>
      </c>
      <c r="I419" s="113">
        <v>3517.8341598044694</v>
      </c>
    </row>
    <row r="420" spans="1:9" x14ac:dyDescent="0.35">
      <c r="A420" s="109">
        <v>260180000140</v>
      </c>
      <c r="B420" s="110" t="s">
        <v>36</v>
      </c>
      <c r="C420" s="110" t="s">
        <v>1095</v>
      </c>
      <c r="D420" s="111" t="s">
        <v>1066</v>
      </c>
      <c r="E420" s="112"/>
      <c r="F420" s="113" t="s">
        <v>1099</v>
      </c>
      <c r="G420" s="113">
        <v>2062.3291408800001</v>
      </c>
      <c r="H420" s="113">
        <v>339.09584127053995</v>
      </c>
      <c r="I420" s="113">
        <v>2401.42498215054</v>
      </c>
    </row>
    <row r="421" spans="1:9" x14ac:dyDescent="0.35">
      <c r="A421" s="109">
        <v>4993223000158</v>
      </c>
      <c r="B421" s="110" t="s">
        <v>20</v>
      </c>
      <c r="C421" s="110" t="s">
        <v>1097</v>
      </c>
      <c r="D421" s="111" t="s">
        <v>1066</v>
      </c>
      <c r="E421" s="112"/>
      <c r="F421" s="113" t="s">
        <v>1099</v>
      </c>
      <c r="G421" s="113">
        <v>3611.1562102800008</v>
      </c>
      <c r="H421" s="113">
        <v>1976.2370590791998</v>
      </c>
      <c r="I421" s="113">
        <v>5587.3932693592005</v>
      </c>
    </row>
    <row r="422" spans="1:9" x14ac:dyDescent="0.35">
      <c r="A422" s="109">
        <v>5465757000174</v>
      </c>
      <c r="B422" s="110" t="s">
        <v>36</v>
      </c>
      <c r="C422" s="110" t="s">
        <v>1095</v>
      </c>
      <c r="D422" s="111" t="s">
        <v>1066</v>
      </c>
      <c r="E422" s="112"/>
      <c r="F422" s="113" t="s">
        <v>1099</v>
      </c>
      <c r="G422" s="113">
        <v>1079.1416729800003</v>
      </c>
      <c r="H422" s="113">
        <v>16.789801673943884</v>
      </c>
      <c r="I422" s="113">
        <v>1095.9314746539442</v>
      </c>
    </row>
    <row r="423" spans="1:9" x14ac:dyDescent="0.35">
      <c r="A423" s="109">
        <v>5328012000163</v>
      </c>
      <c r="B423" s="110" t="s">
        <v>16</v>
      </c>
      <c r="C423" s="110" t="s">
        <v>1095</v>
      </c>
      <c r="D423" s="111" t="s">
        <v>1066</v>
      </c>
      <c r="E423" s="112"/>
      <c r="F423" s="113" t="s">
        <v>1099</v>
      </c>
      <c r="G423" s="113">
        <v>720.50467931000003</v>
      </c>
      <c r="H423" s="113">
        <v>1232.0703366633998</v>
      </c>
      <c r="I423" s="113">
        <v>1952.5750159733998</v>
      </c>
    </row>
    <row r="424" spans="1:9" x14ac:dyDescent="0.35">
      <c r="A424" s="109">
        <v>33780608000135</v>
      </c>
      <c r="B424" s="110" t="s">
        <v>20</v>
      </c>
      <c r="C424" s="110" t="s">
        <v>1097</v>
      </c>
      <c r="D424" s="111" t="s">
        <v>1066</v>
      </c>
      <c r="E424" s="112"/>
      <c r="F424" s="113" t="s">
        <v>1099</v>
      </c>
      <c r="G424" s="113">
        <v>2402.1679646900002</v>
      </c>
      <c r="H424" s="113">
        <v>771.82795103596027</v>
      </c>
      <c r="I424" s="113">
        <v>3173.9959157259605</v>
      </c>
    </row>
    <row r="425" spans="1:9" x14ac:dyDescent="0.35">
      <c r="A425" s="109">
        <v>2330544000147</v>
      </c>
      <c r="B425" s="110" t="s">
        <v>16</v>
      </c>
      <c r="C425" s="110" t="s">
        <v>1095</v>
      </c>
      <c r="D425" s="111" t="s">
        <v>1066</v>
      </c>
      <c r="E425" s="112"/>
      <c r="F425" s="113" t="s">
        <v>1099</v>
      </c>
      <c r="G425" s="113">
        <v>947.11602419999997</v>
      </c>
      <c r="H425" s="113">
        <v>395.33176764816398</v>
      </c>
      <c r="I425" s="113">
        <v>1342.4477918481639</v>
      </c>
    </row>
    <row r="426" spans="1:9" x14ac:dyDescent="0.35">
      <c r="A426" s="109">
        <v>31525761000190</v>
      </c>
      <c r="B426" s="110" t="s">
        <v>20</v>
      </c>
      <c r="C426" s="110" t="s">
        <v>1097</v>
      </c>
      <c r="D426" s="111" t="s">
        <v>1066</v>
      </c>
      <c r="E426" s="112"/>
      <c r="F426" s="113" t="s">
        <v>1099</v>
      </c>
      <c r="G426" s="113">
        <v>4848.1206977599995</v>
      </c>
      <c r="H426" s="113">
        <v>2912.51935166357</v>
      </c>
      <c r="I426" s="113">
        <v>7760.6400494235695</v>
      </c>
    </row>
    <row r="427" spans="1:9" x14ac:dyDescent="0.35">
      <c r="A427" s="109">
        <v>33019679000209</v>
      </c>
      <c r="B427" s="110" t="s">
        <v>64</v>
      </c>
      <c r="C427" s="110" t="s">
        <v>1095</v>
      </c>
      <c r="D427" s="111" t="s">
        <v>1066</v>
      </c>
      <c r="E427" s="112"/>
      <c r="F427" s="113" t="s">
        <v>1099</v>
      </c>
      <c r="G427" s="113">
        <v>2391.8477185499996</v>
      </c>
      <c r="H427" s="113">
        <v>374.24222852672801</v>
      </c>
      <c r="I427" s="113">
        <v>2766.0899470767276</v>
      </c>
    </row>
    <row r="428" spans="1:9" x14ac:dyDescent="0.35">
      <c r="A428" s="109">
        <v>18806193000723</v>
      </c>
      <c r="B428" s="110" t="s">
        <v>9</v>
      </c>
      <c r="C428" s="110" t="s">
        <v>1095</v>
      </c>
      <c r="D428" s="111" t="s">
        <v>1066</v>
      </c>
      <c r="E428" s="112" t="s">
        <v>992</v>
      </c>
      <c r="F428" s="113" t="s">
        <v>1098</v>
      </c>
      <c r="G428" s="113">
        <v>882.12172405999991</v>
      </c>
      <c r="H428" s="113">
        <v>90.138725463210449</v>
      </c>
      <c r="I428" s="113">
        <v>972.26044952321035</v>
      </c>
    </row>
    <row r="429" spans="1:9" x14ac:dyDescent="0.35">
      <c r="A429" s="109">
        <v>27769234000154</v>
      </c>
      <c r="B429" s="110" t="s">
        <v>9</v>
      </c>
      <c r="C429" s="110" t="s">
        <v>1095</v>
      </c>
      <c r="D429" s="111" t="s">
        <v>1066</v>
      </c>
      <c r="E429" s="112"/>
      <c r="F429" s="113" t="s">
        <v>1099</v>
      </c>
      <c r="G429" s="113">
        <v>2500.9969789800002</v>
      </c>
      <c r="H429" s="113">
        <v>3560.65427754956</v>
      </c>
      <c r="I429" s="113">
        <v>6061.6512565295598</v>
      </c>
    </row>
    <row r="430" spans="1:9" x14ac:dyDescent="0.35">
      <c r="A430" s="109">
        <v>20787984000703</v>
      </c>
      <c r="B430" s="110" t="s">
        <v>62</v>
      </c>
      <c r="C430" s="110" t="s">
        <v>1095</v>
      </c>
      <c r="D430" s="111" t="s">
        <v>1066</v>
      </c>
      <c r="E430" s="112" t="s">
        <v>60</v>
      </c>
      <c r="F430" s="113" t="s">
        <v>1098</v>
      </c>
      <c r="G430" s="113">
        <v>453.64315668999996</v>
      </c>
      <c r="H430" s="113">
        <v>1226.0144953973902</v>
      </c>
      <c r="I430" s="113">
        <v>1679.65765208739</v>
      </c>
    </row>
    <row r="431" spans="1:9" x14ac:dyDescent="0.35">
      <c r="A431" s="109">
        <v>64096542000192</v>
      </c>
      <c r="B431" s="110" t="s">
        <v>20</v>
      </c>
      <c r="C431" s="110" t="s">
        <v>1097</v>
      </c>
      <c r="D431" s="111" t="s">
        <v>1066</v>
      </c>
      <c r="E431" s="112"/>
      <c r="F431" s="113" t="s">
        <v>1099</v>
      </c>
      <c r="G431" s="113">
        <v>322.86563609999996</v>
      </c>
      <c r="H431" s="113">
        <v>246.96660178209896</v>
      </c>
      <c r="I431" s="113">
        <v>569.83223788209898</v>
      </c>
    </row>
    <row r="432" spans="1:9" x14ac:dyDescent="0.35">
      <c r="A432" s="109">
        <v>28032369000103</v>
      </c>
      <c r="B432" s="110" t="s">
        <v>74</v>
      </c>
      <c r="C432" s="110" t="s">
        <v>1095</v>
      </c>
      <c r="D432" s="111" t="s">
        <v>1066</v>
      </c>
      <c r="E432" s="112"/>
      <c r="F432" s="113" t="s">
        <v>1099</v>
      </c>
      <c r="G432" s="113">
        <v>3401.3791855200002</v>
      </c>
      <c r="H432" s="113">
        <v>2410.4473543589702</v>
      </c>
      <c r="I432" s="113">
        <v>5811.8265398789699</v>
      </c>
    </row>
    <row r="433" spans="1:9" x14ac:dyDescent="0.35">
      <c r="A433" s="109">
        <v>20787984000614</v>
      </c>
      <c r="B433" s="110" t="s">
        <v>62</v>
      </c>
      <c r="C433" s="110" t="s">
        <v>1095</v>
      </c>
      <c r="D433" s="111" t="s">
        <v>1066</v>
      </c>
      <c r="E433" s="112" t="s">
        <v>60</v>
      </c>
      <c r="F433" s="113" t="s">
        <v>1098</v>
      </c>
      <c r="G433" s="113">
        <v>2680.3033910499998</v>
      </c>
      <c r="H433" s="113">
        <v>1358.5601659791901</v>
      </c>
      <c r="I433" s="113">
        <v>4038.8635570291899</v>
      </c>
    </row>
    <row r="434" spans="1:9" x14ac:dyDescent="0.35">
      <c r="A434" s="109">
        <v>12909312000100</v>
      </c>
      <c r="B434" s="110" t="s">
        <v>36</v>
      </c>
      <c r="C434" s="110" t="s">
        <v>1095</v>
      </c>
      <c r="D434" s="111" t="s">
        <v>1066</v>
      </c>
      <c r="E434" s="112"/>
      <c r="F434" s="113" t="s">
        <v>1099</v>
      </c>
      <c r="G434" s="113">
        <v>1396.2383701799999</v>
      </c>
      <c r="H434" s="113">
        <v>902.54943971888042</v>
      </c>
      <c r="I434" s="113">
        <v>2298.7878098988804</v>
      </c>
    </row>
    <row r="435" spans="1:9" x14ac:dyDescent="0.35">
      <c r="A435" s="109">
        <v>9571632000180</v>
      </c>
      <c r="B435" s="110" t="s">
        <v>9</v>
      </c>
      <c r="C435" s="110" t="s">
        <v>1095</v>
      </c>
      <c r="D435" s="111" t="s">
        <v>1066</v>
      </c>
      <c r="E435" s="112"/>
      <c r="F435" s="113" t="s">
        <v>1099</v>
      </c>
      <c r="G435" s="113">
        <v>2674.3759700199998</v>
      </c>
      <c r="H435" s="113">
        <v>1776.4449398373195</v>
      </c>
      <c r="I435" s="113">
        <v>4450.8209098573188</v>
      </c>
    </row>
    <row r="436" spans="1:9" x14ac:dyDescent="0.35">
      <c r="A436" s="109">
        <v>11740637000130</v>
      </c>
      <c r="B436" s="110" t="s">
        <v>279</v>
      </c>
      <c r="C436" s="110" t="s">
        <v>1095</v>
      </c>
      <c r="D436" s="111" t="s">
        <v>1066</v>
      </c>
      <c r="E436" s="112"/>
      <c r="F436" s="113" t="s">
        <v>1099</v>
      </c>
      <c r="G436" s="113">
        <v>2574.3621864499996</v>
      </c>
      <c r="H436" s="113">
        <v>815.49570502749293</v>
      </c>
      <c r="I436" s="113">
        <v>3389.8578914774926</v>
      </c>
    </row>
    <row r="437" spans="1:9" x14ac:dyDescent="0.35">
      <c r="A437" s="109">
        <v>36876993000107</v>
      </c>
      <c r="B437" s="110" t="s">
        <v>36</v>
      </c>
      <c r="C437" s="110" t="s">
        <v>1095</v>
      </c>
      <c r="D437" s="111" t="s">
        <v>1066</v>
      </c>
      <c r="E437" s="112"/>
      <c r="F437" s="113" t="s">
        <v>1099</v>
      </c>
      <c r="G437" s="113">
        <v>2119.6521871600003</v>
      </c>
      <c r="H437" s="113">
        <v>709.50502704505993</v>
      </c>
      <c r="I437" s="113">
        <v>2829.15721420506</v>
      </c>
    </row>
    <row r="438" spans="1:9" x14ac:dyDescent="0.35">
      <c r="A438" s="109">
        <v>50970969000163</v>
      </c>
      <c r="B438" s="110" t="s">
        <v>20</v>
      </c>
      <c r="C438" s="110" t="s">
        <v>1097</v>
      </c>
      <c r="D438" s="111" t="s">
        <v>1066</v>
      </c>
      <c r="E438" s="112"/>
      <c r="F438" s="113" t="s">
        <v>1099</v>
      </c>
      <c r="G438" s="113">
        <v>167.56010678000001</v>
      </c>
      <c r="H438" s="113">
        <v>907.19895372441897</v>
      </c>
      <c r="I438" s="113">
        <v>1074.759060504419</v>
      </c>
    </row>
    <row r="439" spans="1:9" x14ac:dyDescent="0.35">
      <c r="A439" s="109">
        <v>7217112000300</v>
      </c>
      <c r="B439" s="110" t="s">
        <v>20</v>
      </c>
      <c r="C439" s="110" t="s">
        <v>1097</v>
      </c>
      <c r="D439" s="111" t="s">
        <v>1066</v>
      </c>
      <c r="E439" s="112" t="s">
        <v>1002</v>
      </c>
      <c r="F439" s="113" t="s">
        <v>1098</v>
      </c>
      <c r="G439" s="113">
        <v>83.243109219999951</v>
      </c>
      <c r="H439" s="113">
        <v>2101.3289082842598</v>
      </c>
      <c r="I439" s="113">
        <v>2184.5720175042597</v>
      </c>
    </row>
    <row r="440" spans="1:9" x14ac:dyDescent="0.35">
      <c r="A440" s="109">
        <v>938969000108</v>
      </c>
      <c r="B440" s="110" t="s">
        <v>20</v>
      </c>
      <c r="C440" s="110" t="s">
        <v>1097</v>
      </c>
      <c r="D440" s="111" t="s">
        <v>1066</v>
      </c>
      <c r="E440" s="112"/>
      <c r="F440" s="113" t="s">
        <v>1099</v>
      </c>
      <c r="G440" s="113">
        <v>2187.2674959800001</v>
      </c>
      <c r="H440" s="113">
        <v>488.70953663289197</v>
      </c>
      <c r="I440" s="113">
        <v>2675.9770326128919</v>
      </c>
    </row>
    <row r="441" spans="1:9" x14ac:dyDescent="0.35">
      <c r="A441" s="109">
        <v>18806193000642</v>
      </c>
      <c r="B441" s="110" t="s">
        <v>9</v>
      </c>
      <c r="C441" s="110" t="s">
        <v>1095</v>
      </c>
      <c r="D441" s="111" t="s">
        <v>1066</v>
      </c>
      <c r="E441" s="112" t="s">
        <v>992</v>
      </c>
      <c r="F441" s="113" t="s">
        <v>1098</v>
      </c>
      <c r="G441" s="113">
        <v>1210.1325018299999</v>
      </c>
      <c r="H441" s="113">
        <v>352.90577666829995</v>
      </c>
      <c r="I441" s="113">
        <v>1563.0382784982999</v>
      </c>
    </row>
    <row r="442" spans="1:9" x14ac:dyDescent="0.35">
      <c r="A442" s="109">
        <v>11210256000140</v>
      </c>
      <c r="B442" s="110" t="s">
        <v>33</v>
      </c>
      <c r="C442" s="110" t="s">
        <v>1095</v>
      </c>
      <c r="D442" s="111" t="s">
        <v>1066</v>
      </c>
      <c r="E442" s="112"/>
      <c r="F442" s="113" t="s">
        <v>1099</v>
      </c>
      <c r="G442" s="113">
        <v>885.71550776000004</v>
      </c>
      <c r="H442" s="113">
        <v>808.60621316404013</v>
      </c>
      <c r="I442" s="113">
        <v>1694.3217209240402</v>
      </c>
    </row>
    <row r="443" spans="1:9" x14ac:dyDescent="0.35">
      <c r="A443" s="109">
        <v>49340554000127</v>
      </c>
      <c r="B443" s="110" t="s">
        <v>33</v>
      </c>
      <c r="C443" s="110" t="s">
        <v>1095</v>
      </c>
      <c r="D443" s="111" t="s">
        <v>1066</v>
      </c>
      <c r="E443" s="112"/>
      <c r="F443" s="113" t="s">
        <v>1099</v>
      </c>
      <c r="G443" s="113">
        <v>2795.1182362899999</v>
      </c>
      <c r="H443" s="113">
        <v>1692.4145155877304</v>
      </c>
      <c r="I443" s="113">
        <v>4487.5327518777303</v>
      </c>
    </row>
    <row r="444" spans="1:9" x14ac:dyDescent="0.35">
      <c r="A444" s="109">
        <v>27127481000157</v>
      </c>
      <c r="B444" s="110" t="s">
        <v>20</v>
      </c>
      <c r="C444" s="110" t="s">
        <v>1097</v>
      </c>
      <c r="D444" s="111" t="s">
        <v>1066</v>
      </c>
      <c r="E444" s="112"/>
      <c r="F444" s="113" t="s">
        <v>1099</v>
      </c>
      <c r="G444" s="113">
        <v>271.47330352000006</v>
      </c>
      <c r="H444" s="113">
        <v>654.29250285073397</v>
      </c>
      <c r="I444" s="113">
        <v>925.76580637073403</v>
      </c>
    </row>
    <row r="445" spans="1:9" x14ac:dyDescent="0.35">
      <c r="A445" s="109">
        <v>27545412000244</v>
      </c>
      <c r="B445" s="110" t="s">
        <v>9</v>
      </c>
      <c r="C445" s="110" t="s">
        <v>1095</v>
      </c>
      <c r="D445" s="111" t="s">
        <v>1066</v>
      </c>
      <c r="E445" s="112" t="s">
        <v>991</v>
      </c>
      <c r="F445" s="113" t="s">
        <v>1098</v>
      </c>
      <c r="G445" s="113">
        <v>3214.0132106100004</v>
      </c>
      <c r="H445" s="113">
        <v>2077.939289418453</v>
      </c>
      <c r="I445" s="113">
        <v>5291.9525000284539</v>
      </c>
    </row>
    <row r="446" spans="1:9" x14ac:dyDescent="0.35">
      <c r="A446" s="109">
        <v>7217112000571</v>
      </c>
      <c r="B446" s="110" t="s">
        <v>64</v>
      </c>
      <c r="C446" s="110" t="s">
        <v>1095</v>
      </c>
      <c r="D446" s="111" t="s">
        <v>1066</v>
      </c>
      <c r="E446" s="112" t="s">
        <v>1002</v>
      </c>
      <c r="F446" s="113" t="s">
        <v>1098</v>
      </c>
      <c r="G446" s="113">
        <v>2213.7822618500004</v>
      </c>
      <c r="H446" s="113">
        <v>876.44337564709031</v>
      </c>
      <c r="I446" s="113">
        <v>3090.2256374970907</v>
      </c>
    </row>
    <row r="447" spans="1:9" x14ac:dyDescent="0.35">
      <c r="A447" s="109">
        <v>10341045001236</v>
      </c>
      <c r="B447" s="110" t="s">
        <v>9</v>
      </c>
      <c r="C447" s="110" t="s">
        <v>1095</v>
      </c>
      <c r="D447" s="111" t="s">
        <v>1066</v>
      </c>
      <c r="E447" s="112" t="s">
        <v>995</v>
      </c>
      <c r="F447" s="113" t="s">
        <v>1098</v>
      </c>
      <c r="G447" s="113">
        <v>4190.384124369999</v>
      </c>
      <c r="H447" s="113">
        <v>2833.963635090473</v>
      </c>
      <c r="I447" s="113">
        <v>7024.3477594604719</v>
      </c>
    </row>
    <row r="448" spans="1:9" x14ac:dyDescent="0.35">
      <c r="A448" s="109">
        <v>16465328000113</v>
      </c>
      <c r="B448" s="110" t="s">
        <v>36</v>
      </c>
      <c r="C448" s="110" t="s">
        <v>1095</v>
      </c>
      <c r="D448" s="111" t="s">
        <v>1066</v>
      </c>
      <c r="E448" s="112"/>
      <c r="F448" s="113" t="s">
        <v>1099</v>
      </c>
      <c r="G448" s="113">
        <v>511.27863444000002</v>
      </c>
      <c r="H448" s="113">
        <v>661.37483242224994</v>
      </c>
      <c r="I448" s="113">
        <v>1172.6534668622498</v>
      </c>
    </row>
    <row r="449" spans="1:9" x14ac:dyDescent="0.35">
      <c r="A449" s="109">
        <v>7217112000148</v>
      </c>
      <c r="B449" s="110" t="s">
        <v>20</v>
      </c>
      <c r="C449" s="110" t="s">
        <v>1097</v>
      </c>
      <c r="D449" s="111" t="s">
        <v>1066</v>
      </c>
      <c r="E449" s="112" t="s">
        <v>1002</v>
      </c>
      <c r="F449" s="113" t="s">
        <v>1098</v>
      </c>
      <c r="G449" s="113">
        <v>2304.34067585</v>
      </c>
      <c r="H449" s="113">
        <v>2251.0173623825003</v>
      </c>
      <c r="I449" s="113">
        <v>4555.3580382324999</v>
      </c>
    </row>
    <row r="450" spans="1:9" x14ac:dyDescent="0.35">
      <c r="A450" s="109">
        <v>1282599000166</v>
      </c>
      <c r="B450" s="110" t="s">
        <v>36</v>
      </c>
      <c r="C450" s="110" t="s">
        <v>1095</v>
      </c>
      <c r="D450" s="111" t="s">
        <v>1066</v>
      </c>
      <c r="E450" s="112"/>
      <c r="F450" s="113" t="s">
        <v>1099</v>
      </c>
      <c r="G450" s="113">
        <v>2242.0511498699998</v>
      </c>
      <c r="H450" s="113">
        <v>1375.8486644963398</v>
      </c>
      <c r="I450" s="113">
        <v>3617.8998143663393</v>
      </c>
    </row>
    <row r="451" spans="1:9" x14ac:dyDescent="0.35">
      <c r="A451" s="109">
        <v>20787984000100</v>
      </c>
      <c r="B451" s="110" t="s">
        <v>62</v>
      </c>
      <c r="C451" s="110" t="s">
        <v>1095</v>
      </c>
      <c r="D451" s="111" t="s">
        <v>1066</v>
      </c>
      <c r="E451" s="112" t="s">
        <v>60</v>
      </c>
      <c r="F451" s="113" t="s">
        <v>1098</v>
      </c>
      <c r="G451" s="113">
        <v>2103.0850215</v>
      </c>
      <c r="H451" s="113">
        <v>2337.3860528612204</v>
      </c>
      <c r="I451" s="113">
        <v>4440.4710743612204</v>
      </c>
    </row>
    <row r="452" spans="1:9" x14ac:dyDescent="0.35">
      <c r="A452" s="109">
        <v>18806193000308</v>
      </c>
      <c r="B452" s="110" t="s">
        <v>9</v>
      </c>
      <c r="C452" s="110" t="s">
        <v>1095</v>
      </c>
      <c r="D452" s="111" t="s">
        <v>1066</v>
      </c>
      <c r="E452" s="112" t="s">
        <v>992</v>
      </c>
      <c r="F452" s="113" t="s">
        <v>1098</v>
      </c>
      <c r="G452" s="113">
        <v>1617.69600339</v>
      </c>
      <c r="H452" s="113">
        <v>1157.2110893911395</v>
      </c>
      <c r="I452" s="113">
        <v>2774.9070927811395</v>
      </c>
    </row>
    <row r="453" spans="1:9" x14ac:dyDescent="0.35">
      <c r="A453" s="109">
        <v>14782944000172</v>
      </c>
      <c r="B453" s="110" t="s">
        <v>20</v>
      </c>
      <c r="C453" s="110" t="s">
        <v>1097</v>
      </c>
      <c r="D453" s="111" t="s">
        <v>1066</v>
      </c>
      <c r="E453" s="112"/>
      <c r="F453" s="113" t="s">
        <v>1099</v>
      </c>
      <c r="G453" s="113">
        <v>795.15324386000009</v>
      </c>
      <c r="H453" s="113">
        <v>665.48711005773794</v>
      </c>
      <c r="I453" s="113">
        <v>1460.6403539177381</v>
      </c>
    </row>
    <row r="454" spans="1:9" x14ac:dyDescent="0.35">
      <c r="A454" s="109">
        <v>18806193000138</v>
      </c>
      <c r="B454" s="110" t="s">
        <v>9</v>
      </c>
      <c r="C454" s="110" t="s">
        <v>1095</v>
      </c>
      <c r="D454" s="111" t="s">
        <v>1066</v>
      </c>
      <c r="E454" s="112" t="s">
        <v>992</v>
      </c>
      <c r="F454" s="113" t="s">
        <v>1098</v>
      </c>
      <c r="G454" s="113">
        <v>2253.50945108</v>
      </c>
      <c r="H454" s="113">
        <v>578.87855068159024</v>
      </c>
      <c r="I454" s="113">
        <v>2832.3880017615902</v>
      </c>
    </row>
    <row r="455" spans="1:9" x14ac:dyDescent="0.35">
      <c r="A455" s="109">
        <v>44556106000141</v>
      </c>
      <c r="B455" s="110" t="s">
        <v>550</v>
      </c>
      <c r="C455" s="110" t="s">
        <v>1095</v>
      </c>
      <c r="D455" s="111" t="s">
        <v>1066</v>
      </c>
      <c r="E455" s="112"/>
      <c r="F455" s="113" t="s">
        <v>1099</v>
      </c>
      <c r="G455" s="113">
        <v>1038.16076815</v>
      </c>
      <c r="H455" s="113">
        <v>874.59224128164988</v>
      </c>
      <c r="I455" s="113">
        <v>1912.7530094316498</v>
      </c>
    </row>
    <row r="456" spans="1:9" x14ac:dyDescent="0.35">
      <c r="A456" s="109">
        <v>18806193000995</v>
      </c>
      <c r="B456" s="110" t="s">
        <v>9</v>
      </c>
      <c r="C456" s="110" t="s">
        <v>1095</v>
      </c>
      <c r="D456" s="111" t="s">
        <v>1066</v>
      </c>
      <c r="E456" s="112" t="s">
        <v>992</v>
      </c>
      <c r="F456" s="113" t="s">
        <v>1098</v>
      </c>
      <c r="G456" s="113">
        <v>1540.61382812375</v>
      </c>
      <c r="H456" s="113">
        <v>456.57845563225987</v>
      </c>
      <c r="I456" s="113">
        <v>1997.1922837560098</v>
      </c>
    </row>
    <row r="457" spans="1:9" x14ac:dyDescent="0.35">
      <c r="A457" s="109">
        <v>33019679000110</v>
      </c>
      <c r="B457" s="110" t="s">
        <v>64</v>
      </c>
      <c r="C457" s="110" t="s">
        <v>1095</v>
      </c>
      <c r="D457" s="111" t="s">
        <v>1066</v>
      </c>
      <c r="E457" s="112"/>
      <c r="F457" s="113" t="s">
        <v>1099</v>
      </c>
      <c r="G457" s="113">
        <v>4583.5943782699997</v>
      </c>
      <c r="H457" s="113">
        <v>3502.6463321695692</v>
      </c>
      <c r="I457" s="113">
        <v>8086.2407104395688</v>
      </c>
    </row>
    <row r="458" spans="1:9" x14ac:dyDescent="0.35">
      <c r="A458" s="109">
        <v>8600885000171</v>
      </c>
      <c r="B458" s="110" t="s">
        <v>36</v>
      </c>
      <c r="C458" s="110" t="s">
        <v>1095</v>
      </c>
      <c r="D458" s="111" t="s">
        <v>1066</v>
      </c>
      <c r="E458" s="112"/>
      <c r="F458" s="113" t="s">
        <v>1099</v>
      </c>
      <c r="G458" s="113">
        <v>2383.2479902300001</v>
      </c>
      <c r="H458" s="113">
        <v>558.97863806429973</v>
      </c>
      <c r="I458" s="113">
        <v>2942.2266282943001</v>
      </c>
    </row>
    <row r="459" spans="1:9" x14ac:dyDescent="0.35">
      <c r="A459" s="109">
        <v>24769226000110</v>
      </c>
      <c r="B459" s="110" t="s">
        <v>9</v>
      </c>
      <c r="C459" s="110" t="s">
        <v>1095</v>
      </c>
      <c r="D459" s="111" t="s">
        <v>1066</v>
      </c>
      <c r="E459" s="112" t="s">
        <v>995</v>
      </c>
      <c r="F459" s="113" t="s">
        <v>1098</v>
      </c>
      <c r="G459" s="113">
        <v>23869.910740560001</v>
      </c>
      <c r="H459" s="113">
        <v>2833.963635090473</v>
      </c>
      <c r="I459" s="113">
        <v>26703.874375650474</v>
      </c>
    </row>
    <row r="460" spans="1:9" x14ac:dyDescent="0.35">
      <c r="A460" s="109">
        <v>58080762000125</v>
      </c>
      <c r="B460" s="110" t="s">
        <v>36</v>
      </c>
      <c r="C460" s="110" t="s">
        <v>1095</v>
      </c>
      <c r="D460" s="111" t="s">
        <v>1066</v>
      </c>
      <c r="E460" s="112"/>
      <c r="F460" s="113" t="s">
        <v>1099</v>
      </c>
      <c r="G460" s="113">
        <v>993.88685084999986</v>
      </c>
      <c r="H460" s="113">
        <v>808.60791234596195</v>
      </c>
      <c r="I460" s="113">
        <v>1802.4947631959617</v>
      </c>
    </row>
    <row r="461" spans="1:9" x14ac:dyDescent="0.35">
      <c r="A461" s="109">
        <v>10341045000698</v>
      </c>
      <c r="B461" s="110" t="s">
        <v>9</v>
      </c>
      <c r="C461" s="110" t="s">
        <v>1095</v>
      </c>
      <c r="D461" s="111" t="s">
        <v>1066</v>
      </c>
      <c r="E461" s="112" t="s">
        <v>995</v>
      </c>
      <c r="F461" s="113" t="s">
        <v>1098</v>
      </c>
      <c r="G461" s="113">
        <v>1911.1318695099999</v>
      </c>
      <c r="H461" s="113">
        <v>2833.963635090473</v>
      </c>
      <c r="I461" s="113">
        <v>4745.0955046004729</v>
      </c>
    </row>
    <row r="462" spans="1:9" x14ac:dyDescent="0.35">
      <c r="A462" s="109">
        <v>2440068000206</v>
      </c>
      <c r="B462" s="110" t="s">
        <v>64</v>
      </c>
      <c r="C462" s="110" t="s">
        <v>1095</v>
      </c>
      <c r="D462" s="111" t="s">
        <v>1066</v>
      </c>
      <c r="E462" s="112"/>
      <c r="F462" s="113" t="s">
        <v>1099</v>
      </c>
      <c r="G462" s="113">
        <v>5496.4699108300001</v>
      </c>
      <c r="H462" s="113">
        <v>3709.5950661752495</v>
      </c>
      <c r="I462" s="113">
        <v>9206.0649770052496</v>
      </c>
    </row>
    <row r="463" spans="1:9" x14ac:dyDescent="0.35">
      <c r="A463" s="109">
        <v>13435712000185</v>
      </c>
      <c r="B463" s="110" t="s">
        <v>74</v>
      </c>
      <c r="C463" s="110" t="s">
        <v>1095</v>
      </c>
      <c r="D463" s="111" t="s">
        <v>1066</v>
      </c>
      <c r="E463" s="112"/>
      <c r="F463" s="113" t="s">
        <v>1099</v>
      </c>
      <c r="G463" s="113">
        <v>28190.294330039997</v>
      </c>
      <c r="H463" s="113">
        <v>10368.81046315367</v>
      </c>
      <c r="I463" s="113">
        <v>38559.104793193663</v>
      </c>
    </row>
    <row r="464" spans="1:9" x14ac:dyDescent="0.35">
      <c r="A464" s="109">
        <v>10341045000507</v>
      </c>
      <c r="B464" s="110" t="s">
        <v>9</v>
      </c>
      <c r="C464" s="110" t="s">
        <v>1095</v>
      </c>
      <c r="D464" s="111" t="s">
        <v>1066</v>
      </c>
      <c r="E464" s="112" t="s">
        <v>995</v>
      </c>
      <c r="F464" s="113" t="s">
        <v>1098</v>
      </c>
      <c r="G464" s="113">
        <v>6399.8660444899997</v>
      </c>
      <c r="H464" s="113">
        <v>2833.963635090473</v>
      </c>
      <c r="I464" s="113">
        <v>9233.8296795804727</v>
      </c>
    </row>
    <row r="465" spans="1:9" x14ac:dyDescent="0.35">
      <c r="A465" s="109">
        <v>12050037000103</v>
      </c>
      <c r="B465" s="110" t="s">
        <v>16</v>
      </c>
      <c r="C465" s="110" t="s">
        <v>1095</v>
      </c>
      <c r="D465" s="111" t="s">
        <v>1066</v>
      </c>
      <c r="E465" s="112"/>
      <c r="F465" s="113" t="s">
        <v>1099</v>
      </c>
      <c r="G465" s="113">
        <v>864.78488661000006</v>
      </c>
      <c r="H465" s="113">
        <v>586.20118259551089</v>
      </c>
      <c r="I465" s="113">
        <v>1450.9860692055108</v>
      </c>
    </row>
    <row r="466" spans="1:9" x14ac:dyDescent="0.35">
      <c r="A466" s="109">
        <v>4837150000105</v>
      </c>
      <c r="B466" s="110" t="s">
        <v>16</v>
      </c>
      <c r="C466" s="110" t="s">
        <v>1095</v>
      </c>
      <c r="D466" s="111" t="s">
        <v>1066</v>
      </c>
      <c r="E466" s="112"/>
      <c r="F466" s="113" t="s">
        <v>1099</v>
      </c>
      <c r="G466" s="113">
        <v>1692.5451095199999</v>
      </c>
      <c r="H466" s="113">
        <v>547.9955250927203</v>
      </c>
      <c r="I466" s="113">
        <v>2240.5406346127202</v>
      </c>
    </row>
    <row r="467" spans="1:9" x14ac:dyDescent="0.35">
      <c r="A467" s="109">
        <v>10341045000183</v>
      </c>
      <c r="B467" s="110" t="s">
        <v>9</v>
      </c>
      <c r="C467" s="110" t="s">
        <v>1095</v>
      </c>
      <c r="D467" s="111" t="s">
        <v>1066</v>
      </c>
      <c r="E467" s="112" t="s">
        <v>995</v>
      </c>
      <c r="F467" s="113" t="s">
        <v>1098</v>
      </c>
      <c r="G467" s="113">
        <v>31402.837738589995</v>
      </c>
      <c r="H467" s="113">
        <v>2833.963635090473</v>
      </c>
      <c r="I467" s="113">
        <v>34236.801373680471</v>
      </c>
    </row>
    <row r="468" spans="1:9" x14ac:dyDescent="0.35">
      <c r="A468" s="109">
        <v>10779654000119</v>
      </c>
      <c r="B468" s="110" t="s">
        <v>20</v>
      </c>
      <c r="C468" s="110" t="s">
        <v>1097</v>
      </c>
      <c r="D468" s="111" t="s">
        <v>1066</v>
      </c>
      <c r="E468" s="112"/>
      <c r="F468" s="113" t="s">
        <v>1099</v>
      </c>
      <c r="G468" s="113">
        <v>854.06091606000018</v>
      </c>
      <c r="H468" s="113">
        <v>715.38723302948699</v>
      </c>
      <c r="I468" s="113">
        <v>1569.4481490894873</v>
      </c>
    </row>
    <row r="469" spans="1:9" x14ac:dyDescent="0.35">
      <c r="A469" s="109">
        <v>20787984000290</v>
      </c>
      <c r="B469" s="110" t="s">
        <v>62</v>
      </c>
      <c r="C469" s="110" t="s">
        <v>1095</v>
      </c>
      <c r="D469" s="111" t="s">
        <v>1066</v>
      </c>
      <c r="E469" s="112" t="s">
        <v>60</v>
      </c>
      <c r="F469" s="113" t="s">
        <v>1098</v>
      </c>
      <c r="G469" s="113">
        <v>3098.0712422799998</v>
      </c>
      <c r="H469" s="113">
        <v>3451.2596091181595</v>
      </c>
      <c r="I469" s="113">
        <v>6549.3308513981592</v>
      </c>
    </row>
    <row r="470" spans="1:9" x14ac:dyDescent="0.35">
      <c r="A470" s="109">
        <v>10341045000426</v>
      </c>
      <c r="B470" s="110" t="s">
        <v>9</v>
      </c>
      <c r="C470" s="110" t="s">
        <v>1095</v>
      </c>
      <c r="D470" s="111" t="s">
        <v>1066</v>
      </c>
      <c r="E470" s="112" t="s">
        <v>995</v>
      </c>
      <c r="F470" s="113" t="s">
        <v>1098</v>
      </c>
      <c r="G470" s="113">
        <v>6365.5326303800002</v>
      </c>
      <c r="H470" s="113">
        <v>2833.963635090473</v>
      </c>
      <c r="I470" s="113">
        <v>9199.4962654704723</v>
      </c>
    </row>
    <row r="471" spans="1:9" x14ac:dyDescent="0.35">
      <c r="A471" s="109">
        <v>18806193000804</v>
      </c>
      <c r="B471" s="110" t="s">
        <v>9</v>
      </c>
      <c r="C471" s="110" t="s">
        <v>1095</v>
      </c>
      <c r="D471" s="111" t="s">
        <v>1066</v>
      </c>
      <c r="E471" s="112" t="s">
        <v>992</v>
      </c>
      <c r="F471" s="113" t="s">
        <v>1098</v>
      </c>
      <c r="G471" s="113">
        <v>381.96143931999995</v>
      </c>
      <c r="H471" s="113">
        <v>496.89005269499035</v>
      </c>
      <c r="I471" s="113">
        <v>878.8514920149903</v>
      </c>
    </row>
    <row r="472" spans="1:9" x14ac:dyDescent="0.35">
      <c r="A472" s="109">
        <v>9496232000238</v>
      </c>
      <c r="B472" s="110" t="s">
        <v>279</v>
      </c>
      <c r="C472" s="110" t="s">
        <v>1095</v>
      </c>
      <c r="D472" s="111" t="s">
        <v>1066</v>
      </c>
      <c r="E472" s="112"/>
      <c r="F472" s="113" t="s">
        <v>1099</v>
      </c>
      <c r="G472" s="113">
        <v>2799.9322784699993</v>
      </c>
      <c r="H472" s="113">
        <v>1232.96898620099</v>
      </c>
      <c r="I472" s="113">
        <v>4032.9012646709893</v>
      </c>
    </row>
    <row r="473" spans="1:9" x14ac:dyDescent="0.35">
      <c r="A473" s="109">
        <v>7217112000490</v>
      </c>
      <c r="B473" s="110" t="s">
        <v>20</v>
      </c>
      <c r="C473" s="110" t="s">
        <v>1097</v>
      </c>
      <c r="D473" s="111" t="s">
        <v>1066</v>
      </c>
      <c r="E473" s="112" t="s">
        <v>1002</v>
      </c>
      <c r="F473" s="113" t="s">
        <v>1098</v>
      </c>
      <c r="G473" s="113">
        <v>2978.3535897199999</v>
      </c>
      <c r="H473" s="113">
        <v>1679.1230781563704</v>
      </c>
      <c r="I473" s="113">
        <v>4657.4766678763699</v>
      </c>
    </row>
    <row r="474" spans="1:9" x14ac:dyDescent="0.35">
      <c r="A474" s="109">
        <v>27545412000163</v>
      </c>
      <c r="B474" s="110" t="s">
        <v>9</v>
      </c>
      <c r="C474" s="110" t="s">
        <v>1095</v>
      </c>
      <c r="D474" s="111" t="s">
        <v>1066</v>
      </c>
      <c r="E474" s="112" t="s">
        <v>991</v>
      </c>
      <c r="F474" s="113" t="s">
        <v>1098</v>
      </c>
      <c r="G474" s="113">
        <v>3544.2668149000001</v>
      </c>
      <c r="H474" s="113">
        <v>2077.939289418453</v>
      </c>
      <c r="I474" s="113">
        <v>5622.2061043184531</v>
      </c>
    </row>
    <row r="475" spans="1:9" x14ac:dyDescent="0.35">
      <c r="A475" s="109">
        <v>17334086000191</v>
      </c>
      <c r="B475" s="110" t="s">
        <v>20</v>
      </c>
      <c r="C475" s="110" t="s">
        <v>1097</v>
      </c>
      <c r="D475" s="111" t="s">
        <v>1066</v>
      </c>
      <c r="E475" s="112"/>
      <c r="F475" s="113" t="s">
        <v>1099</v>
      </c>
      <c r="G475" s="113">
        <v>363.93804331000001</v>
      </c>
      <c r="H475" s="113">
        <v>535.74978706984507</v>
      </c>
      <c r="I475" s="113">
        <v>899.68783037984508</v>
      </c>
    </row>
    <row r="476" spans="1:9" x14ac:dyDescent="0.35">
      <c r="A476" s="109">
        <v>9496232000157</v>
      </c>
      <c r="B476" s="110" t="s">
        <v>279</v>
      </c>
      <c r="C476" s="110" t="s">
        <v>1095</v>
      </c>
      <c r="D476" s="111" t="s">
        <v>1066</v>
      </c>
      <c r="E476" s="112"/>
      <c r="F476" s="113" t="s">
        <v>1099</v>
      </c>
      <c r="G476" s="113">
        <v>14677.570574499998</v>
      </c>
      <c r="H476" s="113">
        <v>6004.1055461466103</v>
      </c>
      <c r="I476" s="113">
        <v>20681.676120646607</v>
      </c>
    </row>
    <row r="477" spans="1:9" x14ac:dyDescent="0.35">
      <c r="A477" s="109">
        <v>20787984000886</v>
      </c>
      <c r="B477" s="110" t="s">
        <v>62</v>
      </c>
      <c r="C477" s="110" t="s">
        <v>1095</v>
      </c>
      <c r="D477" s="111" t="s">
        <v>1066</v>
      </c>
      <c r="E477" s="112" t="s">
        <v>60</v>
      </c>
      <c r="F477" s="113" t="s">
        <v>1098</v>
      </c>
      <c r="G477" s="113">
        <v>2136.8613183300004</v>
      </c>
      <c r="H477" s="113">
        <v>3278.5241397680702</v>
      </c>
      <c r="I477" s="113">
        <v>5415.3854580980706</v>
      </c>
    </row>
    <row r="478" spans="1:9" x14ac:dyDescent="0.35">
      <c r="A478" s="109">
        <v>20787984000967</v>
      </c>
      <c r="B478" s="110" t="s">
        <v>62</v>
      </c>
      <c r="C478" s="110" t="s">
        <v>1095</v>
      </c>
      <c r="D478" s="111" t="s">
        <v>1066</v>
      </c>
      <c r="E478" s="112" t="s">
        <v>60</v>
      </c>
      <c r="F478" s="113" t="s">
        <v>1098</v>
      </c>
      <c r="G478" s="113">
        <v>1615.1414662699999</v>
      </c>
      <c r="H478" s="113">
        <v>3664.6978583980103</v>
      </c>
      <c r="I478" s="113">
        <v>5279.8393246680098</v>
      </c>
    </row>
    <row r="479" spans="1:9" x14ac:dyDescent="0.35">
      <c r="A479" s="109">
        <v>10341045000264</v>
      </c>
      <c r="B479" s="110" t="s">
        <v>9</v>
      </c>
      <c r="C479" s="110" t="s">
        <v>1095</v>
      </c>
      <c r="D479" s="111" t="s">
        <v>1066</v>
      </c>
      <c r="E479" s="112" t="s">
        <v>995</v>
      </c>
      <c r="F479" s="113" t="s">
        <v>1098</v>
      </c>
      <c r="G479" s="113">
        <v>3140.50989635</v>
      </c>
      <c r="H479" s="113">
        <v>2833.963635090473</v>
      </c>
      <c r="I479" s="113">
        <v>5974.4735314404734</v>
      </c>
    </row>
    <row r="480" spans="1:9" x14ac:dyDescent="0.35">
      <c r="A480" s="109">
        <v>18346337000110</v>
      </c>
      <c r="B480" s="110" t="s">
        <v>64</v>
      </c>
      <c r="C480" s="110" t="s">
        <v>1095</v>
      </c>
      <c r="D480" s="111" t="s">
        <v>1066</v>
      </c>
      <c r="E480" s="112"/>
      <c r="F480" s="113" t="s">
        <v>1099</v>
      </c>
      <c r="G480" s="113">
        <v>1216.6318034199999</v>
      </c>
      <c r="H480" s="113">
        <v>607.82725117075893</v>
      </c>
      <c r="I480" s="113">
        <v>1824.4590545907588</v>
      </c>
    </row>
    <row r="481" spans="1:9" x14ac:dyDescent="0.35">
      <c r="A481" s="109">
        <v>18806193000219</v>
      </c>
      <c r="B481" s="110" t="s">
        <v>9</v>
      </c>
      <c r="C481" s="110" t="s">
        <v>1095</v>
      </c>
      <c r="D481" s="111" t="s">
        <v>1066</v>
      </c>
      <c r="E481" s="112" t="s">
        <v>992</v>
      </c>
      <c r="F481" s="113" t="s">
        <v>1098</v>
      </c>
      <c r="G481" s="113">
        <v>1945.1094868</v>
      </c>
      <c r="H481" s="113">
        <v>1609.2446451411104</v>
      </c>
      <c r="I481" s="113">
        <v>3554.3541319411106</v>
      </c>
    </row>
    <row r="482" spans="1:9" x14ac:dyDescent="0.35">
      <c r="A482" s="109">
        <v>18806193000561</v>
      </c>
      <c r="B482" s="110" t="s">
        <v>9</v>
      </c>
      <c r="C482" s="110" t="s">
        <v>1095</v>
      </c>
      <c r="D482" s="111" t="s">
        <v>1066</v>
      </c>
      <c r="E482" s="112" t="s">
        <v>992</v>
      </c>
      <c r="F482" s="113" t="s">
        <v>1098</v>
      </c>
      <c r="G482" s="113">
        <v>4158.2774131899996</v>
      </c>
      <c r="H482" s="113">
        <v>1048.5133747075001</v>
      </c>
      <c r="I482" s="113">
        <v>5206.7907878975002</v>
      </c>
    </row>
    <row r="483" spans="1:9" x14ac:dyDescent="0.35">
      <c r="A483" s="109">
        <v>14913432000106</v>
      </c>
      <c r="B483" s="110" t="s">
        <v>16</v>
      </c>
      <c r="C483" s="110" t="s">
        <v>1095</v>
      </c>
      <c r="D483" s="111" t="s">
        <v>1066</v>
      </c>
      <c r="E483" s="112"/>
      <c r="F483" s="113" t="s">
        <v>1099</v>
      </c>
      <c r="G483" s="113">
        <v>2369.8155462300001</v>
      </c>
      <c r="H483" s="113">
        <v>1684.90013789764</v>
      </c>
      <c r="I483" s="113">
        <v>4054.7156841276401</v>
      </c>
    </row>
    <row r="484" spans="1:9" x14ac:dyDescent="0.35">
      <c r="A484" s="109">
        <v>5562705000116</v>
      </c>
      <c r="B484" s="110" t="s">
        <v>36</v>
      </c>
      <c r="C484" s="110" t="s">
        <v>1095</v>
      </c>
      <c r="D484" s="111" t="s">
        <v>1066</v>
      </c>
      <c r="E484" s="112"/>
      <c r="F484" s="113" t="s">
        <v>1099</v>
      </c>
      <c r="G484" s="113">
        <v>1624.7576744600001</v>
      </c>
      <c r="H484" s="113">
        <v>1954.9075555777904</v>
      </c>
      <c r="I484" s="113">
        <v>3579.6652300377905</v>
      </c>
    </row>
    <row r="485" spans="1:9" x14ac:dyDescent="0.35">
      <c r="A485" s="109">
        <v>18070710000153</v>
      </c>
      <c r="B485" s="110" t="s">
        <v>20</v>
      </c>
      <c r="C485" s="110" t="s">
        <v>1097</v>
      </c>
      <c r="D485" s="111" t="s">
        <v>1066</v>
      </c>
      <c r="E485" s="112"/>
      <c r="F485" s="113" t="s">
        <v>1099</v>
      </c>
      <c r="G485" s="113">
        <v>1107.09367733</v>
      </c>
      <c r="H485" s="113">
        <v>1717.0730016847199</v>
      </c>
      <c r="I485" s="113">
        <v>2824.1666790147201</v>
      </c>
    </row>
    <row r="486" spans="1:9" x14ac:dyDescent="0.35">
      <c r="A486" s="109">
        <v>19825473000156</v>
      </c>
      <c r="B486" s="110" t="s">
        <v>33</v>
      </c>
      <c r="C486" s="110" t="s">
        <v>1095</v>
      </c>
      <c r="D486" s="111" t="s">
        <v>1066</v>
      </c>
      <c r="E486" s="112"/>
      <c r="F486" s="113" t="s">
        <v>1099</v>
      </c>
      <c r="G486" s="113">
        <v>1161.10117143</v>
      </c>
      <c r="H486" s="113">
        <v>1015.124727044928</v>
      </c>
      <c r="I486" s="113">
        <v>2176.2258984749278</v>
      </c>
    </row>
    <row r="487" spans="1:9" x14ac:dyDescent="0.35">
      <c r="A487" s="109">
        <v>19825473000237</v>
      </c>
      <c r="B487" s="110" t="s">
        <v>33</v>
      </c>
      <c r="C487" s="110" t="s">
        <v>1095</v>
      </c>
      <c r="D487" s="111" t="s">
        <v>1066</v>
      </c>
      <c r="E487" s="112"/>
      <c r="F487" s="113" t="s">
        <v>1099</v>
      </c>
      <c r="G487" s="113">
        <v>1990.4821504799997</v>
      </c>
      <c r="H487" s="113">
        <v>2677.0154677929704</v>
      </c>
      <c r="I487" s="113">
        <v>4667.4976182729697</v>
      </c>
    </row>
    <row r="488" spans="1:9" x14ac:dyDescent="0.35">
      <c r="A488" s="109">
        <v>14314400000186</v>
      </c>
      <c r="B488" s="110" t="s">
        <v>20</v>
      </c>
      <c r="C488" s="110" t="s">
        <v>1097</v>
      </c>
      <c r="D488" s="111" t="s">
        <v>1066</v>
      </c>
      <c r="E488" s="112"/>
      <c r="F488" s="113" t="s">
        <v>1099</v>
      </c>
      <c r="G488" s="113">
        <v>2325.3931166299999</v>
      </c>
      <c r="H488" s="113">
        <v>1529.1942929143499</v>
      </c>
      <c r="I488" s="113">
        <v>3854.5874095443496</v>
      </c>
    </row>
    <row r="489" spans="1:9" x14ac:dyDescent="0.35">
      <c r="A489" s="109">
        <v>57741120000167</v>
      </c>
      <c r="B489" s="110" t="s">
        <v>550</v>
      </c>
      <c r="C489" s="110" t="s">
        <v>1095</v>
      </c>
      <c r="D489" s="111" t="s">
        <v>1066</v>
      </c>
      <c r="E489" s="112"/>
      <c r="F489" s="113" t="s">
        <v>1099</v>
      </c>
      <c r="G489" s="113">
        <v>1387.6530307099999</v>
      </c>
      <c r="H489" s="113">
        <v>987.97698366177201</v>
      </c>
      <c r="I489" s="113">
        <v>2375.6300143717717</v>
      </c>
    </row>
    <row r="490" spans="1:9" x14ac:dyDescent="0.35">
      <c r="A490" s="109">
        <v>9496232000319</v>
      </c>
      <c r="B490" s="110" t="s">
        <v>279</v>
      </c>
      <c r="C490" s="110" t="s">
        <v>1095</v>
      </c>
      <c r="D490" s="111" t="s">
        <v>1066</v>
      </c>
      <c r="E490" s="112"/>
      <c r="F490" s="113" t="s">
        <v>1099</v>
      </c>
      <c r="G490" s="113">
        <v>2906.2364549499998</v>
      </c>
      <c r="H490" s="113">
        <v>2141.4721266454499</v>
      </c>
      <c r="I490" s="113">
        <v>5047.7085815954497</v>
      </c>
    </row>
    <row r="491" spans="1:9" x14ac:dyDescent="0.35">
      <c r="A491" s="109">
        <v>7217112000229</v>
      </c>
      <c r="B491" s="110" t="s">
        <v>20</v>
      </c>
      <c r="C491" s="110" t="s">
        <v>1097</v>
      </c>
      <c r="D491" s="111" t="s">
        <v>1066</v>
      </c>
      <c r="E491" s="112" t="s">
        <v>1002</v>
      </c>
      <c r="F491" s="113" t="s">
        <v>1098</v>
      </c>
      <c r="G491" s="113">
        <v>888.11259979999977</v>
      </c>
      <c r="H491" s="113">
        <v>1191.2499231354172</v>
      </c>
      <c r="I491" s="113">
        <v>2079.362522935417</v>
      </c>
    </row>
    <row r="492" spans="1:9" x14ac:dyDescent="0.35">
      <c r="A492" s="109">
        <v>1053206000142</v>
      </c>
      <c r="B492" s="110" t="s">
        <v>20</v>
      </c>
      <c r="C492" s="110" t="s">
        <v>1097</v>
      </c>
      <c r="D492" s="111" t="s">
        <v>1066</v>
      </c>
      <c r="E492" s="112"/>
      <c r="F492" s="113" t="s">
        <v>1099</v>
      </c>
      <c r="G492" s="113">
        <v>3696.6934554499999</v>
      </c>
      <c r="H492" s="113">
        <v>1401.4175769210492</v>
      </c>
      <c r="I492" s="113">
        <v>5098.1110323710491</v>
      </c>
    </row>
    <row r="493" spans="1:9" x14ac:dyDescent="0.35">
      <c r="A493" s="109">
        <v>1335144000161</v>
      </c>
      <c r="B493" s="110" t="s">
        <v>20</v>
      </c>
      <c r="C493" s="110" t="s">
        <v>1097</v>
      </c>
      <c r="D493" s="111" t="s">
        <v>1066</v>
      </c>
      <c r="E493" s="112"/>
      <c r="F493" s="113" t="s">
        <v>1099</v>
      </c>
      <c r="G493" s="113">
        <v>650.19519465999997</v>
      </c>
      <c r="H493" s="113">
        <v>429.61735423283199</v>
      </c>
      <c r="I493" s="113">
        <v>1079.812548892832</v>
      </c>
    </row>
    <row r="494" spans="1:9" x14ac:dyDescent="0.35">
      <c r="A494" s="109">
        <v>4077499000196</v>
      </c>
      <c r="B494" s="110" t="s">
        <v>20</v>
      </c>
      <c r="C494" s="110" t="s">
        <v>1097</v>
      </c>
      <c r="D494" s="111" t="s">
        <v>1066</v>
      </c>
      <c r="E494" s="112"/>
      <c r="F494" s="113" t="s">
        <v>1099</v>
      </c>
      <c r="G494" s="113">
        <v>878.98944208000012</v>
      </c>
      <c r="H494" s="113">
        <v>991.42010018859207</v>
      </c>
      <c r="I494" s="113">
        <v>1870.4095422685923</v>
      </c>
    </row>
    <row r="495" spans="1:9" x14ac:dyDescent="0.35">
      <c r="A495" s="109">
        <v>4641689000194</v>
      </c>
      <c r="B495" s="110" t="s">
        <v>16</v>
      </c>
      <c r="C495" s="110" t="s">
        <v>1095</v>
      </c>
      <c r="D495" s="111" t="s">
        <v>1066</v>
      </c>
      <c r="E495" s="112"/>
      <c r="F495" s="113" t="s">
        <v>1099</v>
      </c>
      <c r="G495" s="113">
        <v>1471.7544413200001</v>
      </c>
      <c r="H495" s="113">
        <v>2034.01379290159</v>
      </c>
      <c r="I495" s="113">
        <v>3505.7682342215903</v>
      </c>
    </row>
    <row r="496" spans="1:9" x14ac:dyDescent="0.35">
      <c r="A496" s="109">
        <v>5939112000126</v>
      </c>
      <c r="B496" s="110" t="s">
        <v>9</v>
      </c>
      <c r="C496" s="110" t="s">
        <v>1095</v>
      </c>
      <c r="D496" s="111" t="s">
        <v>1066</v>
      </c>
      <c r="E496" s="112"/>
      <c r="F496" s="113" t="s">
        <v>1099</v>
      </c>
      <c r="G496" s="113">
        <v>5070.7239772599996</v>
      </c>
      <c r="H496" s="113">
        <v>6509.3737423513494</v>
      </c>
      <c r="I496" s="113">
        <v>11580.097719611349</v>
      </c>
    </row>
    <row r="497" spans="1:9" x14ac:dyDescent="0.35">
      <c r="A497" s="109">
        <v>7504369000180</v>
      </c>
      <c r="B497" s="110" t="s">
        <v>16</v>
      </c>
      <c r="C497" s="110" t="s">
        <v>1095</v>
      </c>
      <c r="D497" s="111" t="s">
        <v>1066</v>
      </c>
      <c r="E497" s="112"/>
      <c r="F497" s="113" t="s">
        <v>1099</v>
      </c>
      <c r="G497" s="113">
        <v>570.82824804000006</v>
      </c>
      <c r="H497" s="113">
        <v>845.54269096452003</v>
      </c>
      <c r="I497" s="113">
        <v>1416.3709390045201</v>
      </c>
    </row>
    <row r="498" spans="1:9" x14ac:dyDescent="0.35">
      <c r="A498" s="109">
        <v>9033695000182</v>
      </c>
      <c r="B498" s="110" t="s">
        <v>20</v>
      </c>
      <c r="C498" s="110" t="s">
        <v>1097</v>
      </c>
      <c r="D498" s="111" t="s">
        <v>1066</v>
      </c>
      <c r="E498" s="112"/>
      <c r="F498" s="113" t="s">
        <v>1099</v>
      </c>
      <c r="G498" s="113">
        <v>2710.7258301700008</v>
      </c>
      <c r="H498" s="113">
        <v>2538.9388154080102</v>
      </c>
      <c r="I498" s="113">
        <v>5249.664645578011</v>
      </c>
    </row>
    <row r="499" spans="1:9" x14ac:dyDescent="0.35">
      <c r="A499" s="109">
        <v>9465779000195</v>
      </c>
      <c r="B499" s="110" t="s">
        <v>20</v>
      </c>
      <c r="C499" s="110" t="s">
        <v>1097</v>
      </c>
      <c r="D499" s="111" t="s">
        <v>1066</v>
      </c>
      <c r="E499" s="112"/>
      <c r="F499" s="113" t="s">
        <v>1099</v>
      </c>
      <c r="G499" s="113">
        <v>504.63756947999991</v>
      </c>
      <c r="H499" s="113">
        <v>533.73735278900597</v>
      </c>
      <c r="I499" s="113">
        <v>1038.3749222690058</v>
      </c>
    </row>
    <row r="500" spans="1:9" x14ac:dyDescent="0.35">
      <c r="A500" s="109">
        <v>15272871000131</v>
      </c>
      <c r="B500" s="110" t="s">
        <v>20</v>
      </c>
      <c r="C500" s="110" t="s">
        <v>1097</v>
      </c>
      <c r="D500" s="111" t="s">
        <v>1066</v>
      </c>
      <c r="E500" s="112"/>
      <c r="F500" s="113" t="s">
        <v>1099</v>
      </c>
      <c r="G500" s="113">
        <v>720.35781810000003</v>
      </c>
      <c r="H500" s="113">
        <v>852.43690024462398</v>
      </c>
      <c r="I500" s="113">
        <v>1572.794718344624</v>
      </c>
    </row>
    <row r="501" spans="1:9" x14ac:dyDescent="0.35">
      <c r="A501" s="109">
        <v>16735647000100</v>
      </c>
      <c r="B501" s="110" t="s">
        <v>20</v>
      </c>
      <c r="C501" s="110" t="s">
        <v>1097</v>
      </c>
      <c r="D501" s="111" t="s">
        <v>1066</v>
      </c>
      <c r="E501" s="112"/>
      <c r="F501" s="113" t="s">
        <v>1099</v>
      </c>
      <c r="G501" s="113">
        <v>554.98760425</v>
      </c>
      <c r="H501" s="113">
        <v>608.65057662342099</v>
      </c>
      <c r="I501" s="113">
        <v>1163.6381808734209</v>
      </c>
    </row>
    <row r="502" spans="1:9" x14ac:dyDescent="0.35">
      <c r="A502" s="109">
        <v>16735647000282</v>
      </c>
      <c r="B502" s="110" t="s">
        <v>20</v>
      </c>
      <c r="C502" s="110" t="s">
        <v>1097</v>
      </c>
      <c r="D502" s="111" t="s">
        <v>1066</v>
      </c>
      <c r="E502" s="112"/>
      <c r="F502" s="113" t="s">
        <v>1099</v>
      </c>
      <c r="G502" s="113">
        <v>590.05765685999995</v>
      </c>
      <c r="H502" s="113">
        <v>1074.4267418044019</v>
      </c>
      <c r="I502" s="113">
        <v>1664.4843986644019</v>
      </c>
    </row>
    <row r="503" spans="1:9" x14ac:dyDescent="0.35">
      <c r="A503" s="109">
        <v>19325814000124</v>
      </c>
      <c r="B503" s="110" t="s">
        <v>20</v>
      </c>
      <c r="C503" s="110" t="s">
        <v>1097</v>
      </c>
      <c r="D503" s="111" t="s">
        <v>1066</v>
      </c>
      <c r="E503" s="112"/>
      <c r="F503" s="113" t="s">
        <v>1099</v>
      </c>
      <c r="G503" s="113">
        <v>29.294691759999999</v>
      </c>
      <c r="H503" s="113">
        <v>12.940721093310501</v>
      </c>
      <c r="I503" s="113">
        <v>42.2354128533105</v>
      </c>
    </row>
    <row r="504" spans="1:9" x14ac:dyDescent="0.35">
      <c r="A504" s="109">
        <v>19909093000108</v>
      </c>
      <c r="B504" s="110" t="s">
        <v>9</v>
      </c>
      <c r="C504" s="110" t="s">
        <v>1095</v>
      </c>
      <c r="D504" s="111" t="s">
        <v>1066</v>
      </c>
      <c r="E504" s="112"/>
      <c r="F504" s="113" t="s">
        <v>1099</v>
      </c>
      <c r="G504" s="113">
        <v>6717.4924579500002</v>
      </c>
      <c r="H504" s="113">
        <v>7494.8715064189801</v>
      </c>
      <c r="I504" s="113">
        <v>14212.36396436898</v>
      </c>
    </row>
    <row r="505" spans="1:9" x14ac:dyDescent="0.35">
      <c r="A505" s="109">
        <v>19909093000280</v>
      </c>
      <c r="B505" s="110" t="s">
        <v>9</v>
      </c>
      <c r="C505" s="110" t="s">
        <v>1095</v>
      </c>
      <c r="D505" s="111" t="s">
        <v>1066</v>
      </c>
      <c r="E505" s="112"/>
      <c r="F505" s="113" t="s">
        <v>1099</v>
      </c>
      <c r="G505" s="113">
        <v>463.62896733000002</v>
      </c>
      <c r="H505" s="113">
        <v>731.39717049104001</v>
      </c>
      <c r="I505" s="113">
        <v>1195.02613782104</v>
      </c>
    </row>
    <row r="506" spans="1:9" x14ac:dyDescent="0.35">
      <c r="A506" s="109">
        <v>21769166000309</v>
      </c>
      <c r="B506" s="110" t="s">
        <v>16</v>
      </c>
      <c r="C506" s="110" t="s">
        <v>1095</v>
      </c>
      <c r="D506" s="111" t="s">
        <v>1066</v>
      </c>
      <c r="E506" s="112"/>
      <c r="F506" s="113" t="s">
        <v>1099</v>
      </c>
      <c r="G506" s="113">
        <v>942.61833924000007</v>
      </c>
      <c r="H506" s="113">
        <v>921.77627996304693</v>
      </c>
      <c r="I506" s="113">
        <v>1864.3946192030471</v>
      </c>
    </row>
    <row r="507" spans="1:9" x14ac:dyDescent="0.35">
      <c r="A507" s="109">
        <v>22954090000192</v>
      </c>
      <c r="B507" s="110" t="s">
        <v>20</v>
      </c>
      <c r="C507" s="110" t="s">
        <v>1097</v>
      </c>
      <c r="D507" s="111" t="s">
        <v>1066</v>
      </c>
      <c r="E507" s="112"/>
      <c r="F507" s="113" t="s">
        <v>1099</v>
      </c>
      <c r="G507" s="113">
        <v>584.25434739000002</v>
      </c>
      <c r="H507" s="113">
        <v>1111.5885922120301</v>
      </c>
      <c r="I507" s="113">
        <v>1695.8429396020301</v>
      </c>
    </row>
    <row r="508" spans="1:9" x14ac:dyDescent="0.35">
      <c r="A508" s="109">
        <v>26543256000139</v>
      </c>
      <c r="B508" s="110" t="s">
        <v>20</v>
      </c>
      <c r="C508" s="110" t="s">
        <v>1097</v>
      </c>
      <c r="D508" s="111" t="s">
        <v>1066</v>
      </c>
      <c r="E508" s="112"/>
      <c r="F508" s="113" t="s">
        <v>1099</v>
      </c>
      <c r="G508" s="113">
        <v>1351.2172913700001</v>
      </c>
      <c r="H508" s="113">
        <v>1153.8210820201271</v>
      </c>
      <c r="I508" s="113">
        <v>2505.0383733901272</v>
      </c>
    </row>
    <row r="509" spans="1:9" x14ac:dyDescent="0.35">
      <c r="A509" s="109">
        <v>29041586000114</v>
      </c>
      <c r="B509" s="110" t="s">
        <v>20</v>
      </c>
      <c r="C509" s="110" t="s">
        <v>1097</v>
      </c>
      <c r="D509" s="111" t="s">
        <v>1066</v>
      </c>
      <c r="E509" s="112"/>
      <c r="F509" s="113" t="s">
        <v>1099</v>
      </c>
      <c r="G509" s="113">
        <v>266.77287176999999</v>
      </c>
      <c r="H509" s="113">
        <v>459.74560923784895</v>
      </c>
      <c r="I509" s="113">
        <v>726.518481007849</v>
      </c>
    </row>
    <row r="510" spans="1:9" x14ac:dyDescent="0.35">
      <c r="A510" s="109">
        <v>34975101000108</v>
      </c>
      <c r="B510" s="110" t="s">
        <v>36</v>
      </c>
      <c r="C510" s="110" t="s">
        <v>1095</v>
      </c>
      <c r="D510" s="111" t="s">
        <v>1066</v>
      </c>
      <c r="E510" s="112"/>
      <c r="F510" s="113" t="s">
        <v>1099</v>
      </c>
      <c r="G510" s="113">
        <v>1806.32168862</v>
      </c>
      <c r="H510" s="113">
        <v>2454.1401305550298</v>
      </c>
      <c r="I510" s="113">
        <v>4260.4618191750296</v>
      </c>
    </row>
    <row r="511" spans="1:9" x14ac:dyDescent="0.35">
      <c r="A511" s="109">
        <v>35720208000160</v>
      </c>
      <c r="B511" s="110" t="s">
        <v>33</v>
      </c>
      <c r="C511" s="110" t="s">
        <v>1095</v>
      </c>
      <c r="D511" s="111" t="s">
        <v>1066</v>
      </c>
      <c r="E511" s="112"/>
      <c r="F511" s="113" t="s">
        <v>1099</v>
      </c>
      <c r="G511" s="113">
        <v>659.77647394000007</v>
      </c>
      <c r="H511" s="113">
        <v>693.90061043938795</v>
      </c>
      <c r="I511" s="113">
        <v>1353.6770843793879</v>
      </c>
    </row>
    <row r="512" spans="1:9" x14ac:dyDescent="0.35">
      <c r="A512" s="109">
        <v>36883544000196</v>
      </c>
      <c r="B512" s="110" t="s">
        <v>20</v>
      </c>
      <c r="C512" s="110" t="s">
        <v>1097</v>
      </c>
      <c r="D512" s="111" t="s">
        <v>1066</v>
      </c>
      <c r="E512" s="112"/>
      <c r="F512" s="113" t="s">
        <v>1099</v>
      </c>
      <c r="G512" s="113">
        <v>3069.0836547599997</v>
      </c>
      <c r="H512" s="113">
        <v>3477.9862559984199</v>
      </c>
      <c r="I512" s="113">
        <v>6547.0699107584196</v>
      </c>
    </row>
    <row r="513" spans="1:9" x14ac:dyDescent="0.35">
      <c r="A513" s="109">
        <v>48669698000169</v>
      </c>
      <c r="B513" s="110" t="s">
        <v>74</v>
      </c>
      <c r="C513" s="110" t="s">
        <v>1095</v>
      </c>
      <c r="D513" s="111" t="s">
        <v>1066</v>
      </c>
      <c r="E513" s="112"/>
      <c r="F513" s="113" t="s">
        <v>1099</v>
      </c>
      <c r="G513" s="113">
        <v>1989.3514729600001</v>
      </c>
      <c r="H513" s="113">
        <v>2645.6746286860498</v>
      </c>
      <c r="I513" s="113">
        <v>4635.0261016460499</v>
      </c>
    </row>
    <row r="514" spans="1:9" x14ac:dyDescent="0.35">
      <c r="A514" s="109">
        <v>52837594000193</v>
      </c>
      <c r="B514" s="110" t="s">
        <v>20</v>
      </c>
      <c r="C514" s="110" t="s">
        <v>1097</v>
      </c>
      <c r="D514" s="111" t="s">
        <v>1066</v>
      </c>
      <c r="E514" s="112"/>
      <c r="F514" s="113" t="s">
        <v>1099</v>
      </c>
      <c r="G514" s="113">
        <v>2769.4919642899999</v>
      </c>
      <c r="H514" s="113">
        <v>2282.4903408424602</v>
      </c>
      <c r="I514" s="113">
        <v>5051.9823051324602</v>
      </c>
    </row>
    <row r="515" spans="1:9" x14ac:dyDescent="0.35">
      <c r="A515" s="109">
        <v>53933707000117</v>
      </c>
      <c r="B515" s="110" t="s">
        <v>20</v>
      </c>
      <c r="C515" s="110" t="s">
        <v>1097</v>
      </c>
      <c r="D515" s="111" t="s">
        <v>1066</v>
      </c>
      <c r="E515" s="112"/>
      <c r="F515" s="113" t="s">
        <v>1099</v>
      </c>
      <c r="G515" s="113">
        <v>1505.58032787</v>
      </c>
      <c r="H515" s="113">
        <v>1091.5338477965261</v>
      </c>
      <c r="I515" s="113">
        <v>2597.1141756665261</v>
      </c>
    </row>
    <row r="516" spans="1:9" x14ac:dyDescent="0.35">
      <c r="A516" s="109">
        <v>57338966000150</v>
      </c>
      <c r="B516" s="110" t="s">
        <v>74</v>
      </c>
      <c r="C516" s="110" t="s">
        <v>1095</v>
      </c>
      <c r="D516" s="111" t="s">
        <v>1066</v>
      </c>
      <c r="E516" s="112"/>
      <c r="F516" s="113" t="s">
        <v>1099</v>
      </c>
      <c r="G516" s="113">
        <v>364.28211220999998</v>
      </c>
      <c r="H516" s="113">
        <v>452.98482080607903</v>
      </c>
      <c r="I516" s="113">
        <v>817.26693301607907</v>
      </c>
    </row>
    <row r="517" spans="1:9" x14ac:dyDescent="0.35">
      <c r="A517" s="109">
        <v>61585281000186</v>
      </c>
      <c r="B517" s="110" t="s">
        <v>16</v>
      </c>
      <c r="C517" s="110" t="s">
        <v>1095</v>
      </c>
      <c r="D517" s="111" t="s">
        <v>1066</v>
      </c>
      <c r="E517" s="112"/>
      <c r="F517" s="113" t="s">
        <v>1099</v>
      </c>
      <c r="G517" s="113">
        <v>199.59505257999999</v>
      </c>
      <c r="H517" s="113">
        <v>192.12311445198301</v>
      </c>
      <c r="I517" s="113">
        <v>391.718167031983</v>
      </c>
    </row>
    <row r="518" spans="1:9" x14ac:dyDescent="0.35">
      <c r="A518" s="109">
        <v>63882511000102</v>
      </c>
      <c r="B518" s="110" t="s">
        <v>20</v>
      </c>
      <c r="C518" s="110" t="s">
        <v>1097</v>
      </c>
      <c r="D518" s="111" t="s">
        <v>1066</v>
      </c>
      <c r="E518" s="112"/>
      <c r="F518" s="113" t="s">
        <v>1099</v>
      </c>
      <c r="G518" s="113">
        <v>383.58944747999999</v>
      </c>
      <c r="H518" s="113">
        <v>202.59885005369398</v>
      </c>
      <c r="I518" s="113">
        <v>586.18829753369391</v>
      </c>
    </row>
    <row r="519" spans="1:9" x14ac:dyDescent="0.35">
      <c r="A519" s="109">
        <v>64621083000119</v>
      </c>
      <c r="B519" s="110" t="s">
        <v>20</v>
      </c>
      <c r="C519" s="110" t="s">
        <v>1097</v>
      </c>
      <c r="D519" s="111" t="s">
        <v>1066</v>
      </c>
      <c r="E519" s="112"/>
      <c r="F519" s="113" t="s">
        <v>1099</v>
      </c>
      <c r="G519" s="113">
        <v>616.99016512000003</v>
      </c>
      <c r="H519" s="113">
        <v>475.45926200338693</v>
      </c>
      <c r="I519" s="113">
        <v>1092.4494271233871</v>
      </c>
    </row>
    <row r="520" spans="1:9" x14ac:dyDescent="0.35">
      <c r="A520" s="109">
        <v>66160225000113</v>
      </c>
      <c r="B520" s="110" t="s">
        <v>20</v>
      </c>
      <c r="C520" s="110" t="s">
        <v>1097</v>
      </c>
      <c r="D520" s="111" t="s">
        <v>1066</v>
      </c>
      <c r="E520" s="112"/>
      <c r="F520" s="113" t="s">
        <v>1099</v>
      </c>
      <c r="G520" s="113">
        <v>65.869851780000005</v>
      </c>
      <c r="H520" s="113">
        <v>191.939241115546</v>
      </c>
      <c r="I520" s="113">
        <v>257.80909289554597</v>
      </c>
    </row>
    <row r="521" spans="1:9" x14ac:dyDescent="0.35">
      <c r="A521" s="109">
        <v>19651628000851</v>
      </c>
      <c r="B521" s="110" t="s">
        <v>20</v>
      </c>
      <c r="C521" s="110" t="s">
        <v>1097</v>
      </c>
      <c r="D521" s="111" t="s">
        <v>1070</v>
      </c>
      <c r="E521" s="112" t="s">
        <v>993</v>
      </c>
      <c r="F521" s="113" t="s">
        <v>1098</v>
      </c>
      <c r="G521" s="113">
        <v>13.43852877</v>
      </c>
      <c r="H521" s="113">
        <v>1111.6055042457963</v>
      </c>
      <c r="I521" s="113">
        <v>1125.0440330157962</v>
      </c>
    </row>
    <row r="522" spans="1:9" x14ac:dyDescent="0.35">
      <c r="A522" s="109">
        <v>21013882000361</v>
      </c>
      <c r="B522" s="110" t="s">
        <v>64</v>
      </c>
      <c r="C522" s="110" t="s">
        <v>1095</v>
      </c>
      <c r="D522" s="111" t="s">
        <v>1070</v>
      </c>
      <c r="E522" s="112" t="s">
        <v>1008</v>
      </c>
      <c r="F522" s="113" t="s">
        <v>1098</v>
      </c>
      <c r="G522" s="113">
        <v>5.4868301899998642</v>
      </c>
      <c r="H522" s="113">
        <v>287.68993866005798</v>
      </c>
      <c r="I522" s="113">
        <v>293.17676885005784</v>
      </c>
    </row>
    <row r="523" spans="1:9" x14ac:dyDescent="0.35">
      <c r="A523" s="109">
        <v>27545412000597</v>
      </c>
      <c r="B523" s="110" t="s">
        <v>9</v>
      </c>
      <c r="C523" s="110" t="s">
        <v>1095</v>
      </c>
      <c r="D523" s="111" t="s">
        <v>1070</v>
      </c>
      <c r="E523" s="112" t="s">
        <v>991</v>
      </c>
      <c r="F523" s="113" t="s">
        <v>1098</v>
      </c>
      <c r="G523" s="113">
        <v>129.82334169000001</v>
      </c>
      <c r="H523" s="113">
        <v>2077.939289418453</v>
      </c>
      <c r="I523" s="113">
        <v>2207.7626311084532</v>
      </c>
    </row>
    <row r="524" spans="1:9" x14ac:dyDescent="0.35">
      <c r="A524" s="109">
        <v>4972853000146</v>
      </c>
      <c r="B524" s="110" t="s">
        <v>135</v>
      </c>
      <c r="C524" s="110" t="s">
        <v>1097</v>
      </c>
      <c r="D524" s="111" t="s">
        <v>1070</v>
      </c>
      <c r="E524" s="112" t="s">
        <v>135</v>
      </c>
      <c r="F524" s="113" t="s">
        <v>1098</v>
      </c>
      <c r="G524" s="113">
        <v>1295.5956060500002</v>
      </c>
      <c r="H524" s="113">
        <v>743.98642146673092</v>
      </c>
      <c r="I524" s="113">
        <v>2039.5820275167312</v>
      </c>
    </row>
    <row r="525" spans="1:9" x14ac:dyDescent="0.35">
      <c r="A525" s="109">
        <v>21013882000280</v>
      </c>
      <c r="B525" s="110" t="s">
        <v>64</v>
      </c>
      <c r="C525" s="110" t="s">
        <v>1095</v>
      </c>
      <c r="D525" s="111" t="s">
        <v>1070</v>
      </c>
      <c r="E525" s="112" t="s">
        <v>1008</v>
      </c>
      <c r="F525" s="113" t="s">
        <v>1098</v>
      </c>
      <c r="G525" s="113">
        <v>685.41485048999994</v>
      </c>
      <c r="H525" s="113">
        <v>287.68993866005798</v>
      </c>
      <c r="I525" s="113">
        <v>973.10478915005797</v>
      </c>
    </row>
    <row r="526" spans="1:9" x14ac:dyDescent="0.35">
      <c r="A526" s="109">
        <v>4972853000227</v>
      </c>
      <c r="B526" s="110" t="s">
        <v>135</v>
      </c>
      <c r="C526" s="110" t="s">
        <v>1097</v>
      </c>
      <c r="D526" s="111" t="s">
        <v>1070</v>
      </c>
      <c r="E526" s="112" t="s">
        <v>135</v>
      </c>
      <c r="F526" s="113" t="s">
        <v>1098</v>
      </c>
      <c r="G526" s="113">
        <v>482.89418107000165</v>
      </c>
      <c r="H526" s="113">
        <v>743.98642146673092</v>
      </c>
      <c r="I526" s="113">
        <v>1226.8806025367326</v>
      </c>
    </row>
    <row r="527" spans="1:9" x14ac:dyDescent="0.35">
      <c r="A527" s="109">
        <v>27545412000678</v>
      </c>
      <c r="B527" s="110" t="s">
        <v>9</v>
      </c>
      <c r="C527" s="110" t="s">
        <v>1095</v>
      </c>
      <c r="D527" s="111" t="s">
        <v>1070</v>
      </c>
      <c r="E527" s="112" t="s">
        <v>991</v>
      </c>
      <c r="F527" s="113" t="s">
        <v>1098</v>
      </c>
      <c r="G527" s="113">
        <v>153.99121259000003</v>
      </c>
      <c r="H527" s="113">
        <v>2077.939289418453</v>
      </c>
      <c r="I527" s="113">
        <v>2231.930502008453</v>
      </c>
    </row>
    <row r="528" spans="1:9" x14ac:dyDescent="0.35">
      <c r="A528" s="109">
        <v>64494102000193</v>
      </c>
      <c r="B528" s="110" t="s">
        <v>33</v>
      </c>
      <c r="C528" s="110" t="s">
        <v>1095</v>
      </c>
      <c r="D528" s="111" t="s">
        <v>1070</v>
      </c>
      <c r="E528" s="112"/>
      <c r="F528" s="113" t="s">
        <v>1096</v>
      </c>
      <c r="G528" s="113">
        <v>1044.10613784</v>
      </c>
      <c r="H528" s="113">
        <v>0</v>
      </c>
      <c r="I528" s="113">
        <v>1044.10613784</v>
      </c>
    </row>
    <row r="529" spans="1:9" x14ac:dyDescent="0.35">
      <c r="A529" s="109">
        <v>9039622000360</v>
      </c>
      <c r="B529" s="110" t="s">
        <v>36</v>
      </c>
      <c r="C529" s="110" t="s">
        <v>1095</v>
      </c>
      <c r="D529" s="111" t="s">
        <v>1070</v>
      </c>
      <c r="E529" s="112" t="s">
        <v>1004</v>
      </c>
      <c r="F529" s="113" t="s">
        <v>1098</v>
      </c>
      <c r="G529" s="113">
        <v>760.67152169000019</v>
      </c>
      <c r="H529" s="113">
        <v>60.861900174089897</v>
      </c>
      <c r="I529" s="113">
        <v>821.53342186409009</v>
      </c>
    </row>
    <row r="530" spans="1:9" x14ac:dyDescent="0.35">
      <c r="A530" s="109">
        <v>29606556000108</v>
      </c>
      <c r="B530" s="110" t="s">
        <v>20</v>
      </c>
      <c r="C530" s="110" t="s">
        <v>1097</v>
      </c>
      <c r="D530" s="111" t="s">
        <v>1070</v>
      </c>
      <c r="E530" s="112"/>
      <c r="F530" s="113" t="s">
        <v>1100</v>
      </c>
      <c r="G530" s="113">
        <v>0</v>
      </c>
      <c r="H530" s="113">
        <v>343.66650873228991</v>
      </c>
      <c r="I530" s="113">
        <v>343.66650873228991</v>
      </c>
    </row>
    <row r="531" spans="1:9" x14ac:dyDescent="0.35">
      <c r="A531" s="109">
        <v>9492647000152</v>
      </c>
      <c r="B531" s="110" t="s">
        <v>9</v>
      </c>
      <c r="C531" s="110" t="s">
        <v>1095</v>
      </c>
      <c r="D531" s="111" t="s">
        <v>1070</v>
      </c>
      <c r="E531" s="112"/>
      <c r="F531" s="113" t="s">
        <v>1099</v>
      </c>
      <c r="G531" s="113">
        <v>394.43999402000009</v>
      </c>
      <c r="H531" s="113">
        <v>2437.6581388994291</v>
      </c>
      <c r="I531" s="113">
        <v>2832.0981329194292</v>
      </c>
    </row>
    <row r="532" spans="1:9" x14ac:dyDescent="0.35">
      <c r="A532" s="109">
        <v>19651628000690</v>
      </c>
      <c r="B532" s="110" t="s">
        <v>9</v>
      </c>
      <c r="C532" s="110" t="s">
        <v>1095</v>
      </c>
      <c r="D532" s="111" t="s">
        <v>1070</v>
      </c>
      <c r="E532" s="112" t="s">
        <v>993</v>
      </c>
      <c r="F532" s="113" t="s">
        <v>1098</v>
      </c>
      <c r="G532" s="113">
        <v>5790.9234248799994</v>
      </c>
      <c r="H532" s="113">
        <v>1111.6055042457963</v>
      </c>
      <c r="I532" s="113">
        <v>6902.5289291257959</v>
      </c>
    </row>
    <row r="533" spans="1:9" x14ac:dyDescent="0.35">
      <c r="A533" s="109">
        <v>9492647000314</v>
      </c>
      <c r="B533" s="110" t="s">
        <v>9</v>
      </c>
      <c r="C533" s="110" t="s">
        <v>1095</v>
      </c>
      <c r="D533" s="111" t="s">
        <v>1070</v>
      </c>
      <c r="E533" s="112"/>
      <c r="F533" s="113" t="s">
        <v>1099</v>
      </c>
      <c r="G533" s="113">
        <v>340.65693304999968</v>
      </c>
      <c r="H533" s="113">
        <v>1826.6808521001994</v>
      </c>
      <c r="I533" s="113">
        <v>2167.3377851501991</v>
      </c>
    </row>
    <row r="534" spans="1:9" x14ac:dyDescent="0.35">
      <c r="A534" s="109">
        <v>19651628000428</v>
      </c>
      <c r="B534" s="110" t="s">
        <v>9</v>
      </c>
      <c r="C534" s="110" t="s">
        <v>1095</v>
      </c>
      <c r="D534" s="111" t="s">
        <v>1070</v>
      </c>
      <c r="E534" s="112" t="s">
        <v>993</v>
      </c>
      <c r="F534" s="113" t="s">
        <v>1098</v>
      </c>
      <c r="G534" s="113">
        <v>956.28239284000028</v>
      </c>
      <c r="H534" s="113">
        <v>1111.6055042457963</v>
      </c>
      <c r="I534" s="113">
        <v>2067.8878970857968</v>
      </c>
    </row>
    <row r="535" spans="1:9" x14ac:dyDescent="0.35">
      <c r="A535" s="109">
        <v>21013882000108</v>
      </c>
      <c r="B535" s="110" t="s">
        <v>64</v>
      </c>
      <c r="C535" s="110" t="s">
        <v>1095</v>
      </c>
      <c r="D535" s="111" t="s">
        <v>1070</v>
      </c>
      <c r="E535" s="112" t="s">
        <v>1008</v>
      </c>
      <c r="F535" s="113" t="s">
        <v>1098</v>
      </c>
      <c r="G535" s="113">
        <v>3256.9985828300014</v>
      </c>
      <c r="H535" s="113">
        <v>287.68993866005798</v>
      </c>
      <c r="I535" s="113">
        <v>3544.6885214900594</v>
      </c>
    </row>
    <row r="536" spans="1:9" x14ac:dyDescent="0.35">
      <c r="A536" s="109">
        <v>33184266000271</v>
      </c>
      <c r="B536" s="110" t="s">
        <v>20</v>
      </c>
      <c r="C536" s="110" t="s">
        <v>1097</v>
      </c>
      <c r="D536" s="111" t="s">
        <v>1070</v>
      </c>
      <c r="E536" s="112"/>
      <c r="F536" s="113" t="s">
        <v>1096</v>
      </c>
      <c r="G536" s="113">
        <v>1092.2974413300001</v>
      </c>
      <c r="H536" s="113">
        <v>0</v>
      </c>
      <c r="I536" s="113">
        <v>1092.2974413300001</v>
      </c>
    </row>
    <row r="537" spans="1:9" x14ac:dyDescent="0.35">
      <c r="A537" s="109">
        <v>4972853000812</v>
      </c>
      <c r="B537" s="110" t="s">
        <v>135</v>
      </c>
      <c r="C537" s="110" t="s">
        <v>1097</v>
      </c>
      <c r="D537" s="111" t="s">
        <v>1070</v>
      </c>
      <c r="E537" s="112" t="s">
        <v>135</v>
      </c>
      <c r="F537" s="113" t="s">
        <v>1098</v>
      </c>
      <c r="G537" s="113">
        <v>4211.9840894900008</v>
      </c>
      <c r="H537" s="113">
        <v>743.98642146673092</v>
      </c>
      <c r="I537" s="113">
        <v>4955.9705109567312</v>
      </c>
    </row>
    <row r="538" spans="1:9" x14ac:dyDescent="0.35">
      <c r="A538" s="109">
        <v>4972853000308</v>
      </c>
      <c r="B538" s="110" t="s">
        <v>135</v>
      </c>
      <c r="C538" s="110" t="s">
        <v>1097</v>
      </c>
      <c r="D538" s="111" t="s">
        <v>1070</v>
      </c>
      <c r="E538" s="112" t="s">
        <v>135</v>
      </c>
      <c r="F538" s="113" t="s">
        <v>1098</v>
      </c>
      <c r="G538" s="113">
        <v>4320.5561083300017</v>
      </c>
      <c r="H538" s="113">
        <v>743.98642146673092</v>
      </c>
      <c r="I538" s="113">
        <v>5064.5425297967322</v>
      </c>
    </row>
    <row r="539" spans="1:9" x14ac:dyDescent="0.35">
      <c r="A539" s="109">
        <v>19651628000347</v>
      </c>
      <c r="B539" s="110" t="s">
        <v>9</v>
      </c>
      <c r="C539" s="110" t="s">
        <v>1095</v>
      </c>
      <c r="D539" s="111" t="s">
        <v>1070</v>
      </c>
      <c r="E539" s="112" t="s">
        <v>993</v>
      </c>
      <c r="F539" s="113" t="s">
        <v>1098</v>
      </c>
      <c r="G539" s="113">
        <v>1909.4567403700003</v>
      </c>
      <c r="H539" s="113">
        <v>1111.6055042457963</v>
      </c>
      <c r="I539" s="113">
        <v>3021.0622446157968</v>
      </c>
    </row>
    <row r="540" spans="1:9" x14ac:dyDescent="0.35">
      <c r="A540" s="109">
        <v>8087667000428</v>
      </c>
      <c r="B540" s="110" t="s">
        <v>36</v>
      </c>
      <c r="C540" s="110" t="s">
        <v>1095</v>
      </c>
      <c r="D540" s="111" t="s">
        <v>1070</v>
      </c>
      <c r="E540" s="112" t="s">
        <v>1001</v>
      </c>
      <c r="F540" s="113" t="s">
        <v>1098</v>
      </c>
      <c r="G540" s="113">
        <v>2758.3327352990004</v>
      </c>
      <c r="H540" s="113">
        <v>2352.0449964791724</v>
      </c>
      <c r="I540" s="113">
        <v>5110.3777317781733</v>
      </c>
    </row>
    <row r="541" spans="1:9" x14ac:dyDescent="0.35">
      <c r="A541" s="109">
        <v>3142759000105</v>
      </c>
      <c r="B541" s="110" t="s">
        <v>9</v>
      </c>
      <c r="C541" s="110" t="s">
        <v>1095</v>
      </c>
      <c r="D541" s="111" t="s">
        <v>1070</v>
      </c>
      <c r="E541" s="112"/>
      <c r="F541" s="113" t="s">
        <v>1099</v>
      </c>
      <c r="G541" s="113">
        <v>2381.7204305399991</v>
      </c>
      <c r="H541" s="113">
        <v>3112.2329456288489</v>
      </c>
      <c r="I541" s="113">
        <v>5493.9533761688481</v>
      </c>
    </row>
    <row r="542" spans="1:9" x14ac:dyDescent="0.35">
      <c r="A542" s="109">
        <v>1357742000131</v>
      </c>
      <c r="B542" s="110" t="s">
        <v>135</v>
      </c>
      <c r="C542" s="110" t="s">
        <v>1097</v>
      </c>
      <c r="D542" s="111" t="s">
        <v>1070</v>
      </c>
      <c r="E542" s="112" t="s">
        <v>135</v>
      </c>
      <c r="F542" s="113" t="s">
        <v>1098</v>
      </c>
      <c r="G542" s="113">
        <v>10795.214612409996</v>
      </c>
      <c r="H542" s="113">
        <v>743.98642146673092</v>
      </c>
      <c r="I542" s="113">
        <v>11539.201033876727</v>
      </c>
    </row>
    <row r="543" spans="1:9" x14ac:dyDescent="0.35">
      <c r="A543" s="109">
        <v>4972853000650</v>
      </c>
      <c r="B543" s="110" t="s">
        <v>135</v>
      </c>
      <c r="C543" s="110" t="s">
        <v>1097</v>
      </c>
      <c r="D543" s="111" t="s">
        <v>1070</v>
      </c>
      <c r="E543" s="112" t="s">
        <v>135</v>
      </c>
      <c r="F543" s="113" t="s">
        <v>1098</v>
      </c>
      <c r="G543" s="113">
        <v>1993.3829268000009</v>
      </c>
      <c r="H543" s="113">
        <v>743.98642146673092</v>
      </c>
      <c r="I543" s="113">
        <v>2737.3693482667318</v>
      </c>
    </row>
    <row r="544" spans="1:9" x14ac:dyDescent="0.35">
      <c r="A544" s="109">
        <v>11190148000233</v>
      </c>
      <c r="B544" s="110" t="s">
        <v>33</v>
      </c>
      <c r="C544" s="110" t="s">
        <v>1095</v>
      </c>
      <c r="D544" s="111" t="s">
        <v>1070</v>
      </c>
      <c r="E544" s="112"/>
      <c r="F544" s="113" t="s">
        <v>1099</v>
      </c>
      <c r="G544" s="113">
        <v>519.38577531999999</v>
      </c>
      <c r="H544" s="113">
        <v>804.21059138788996</v>
      </c>
      <c r="I544" s="113">
        <v>1323.59636670789</v>
      </c>
    </row>
    <row r="545" spans="1:9" x14ac:dyDescent="0.35">
      <c r="A545" s="109">
        <v>4972853000499</v>
      </c>
      <c r="B545" s="110" t="s">
        <v>135</v>
      </c>
      <c r="C545" s="110" t="s">
        <v>1097</v>
      </c>
      <c r="D545" s="111" t="s">
        <v>1070</v>
      </c>
      <c r="E545" s="112" t="s">
        <v>135</v>
      </c>
      <c r="F545" s="113" t="s">
        <v>1098</v>
      </c>
      <c r="G545" s="113">
        <v>1040.2988723599997</v>
      </c>
      <c r="H545" s="113">
        <v>743.98642146673092</v>
      </c>
      <c r="I545" s="113">
        <v>1784.2852938267306</v>
      </c>
    </row>
    <row r="546" spans="1:9" x14ac:dyDescent="0.35">
      <c r="A546" s="109">
        <v>4972853000731</v>
      </c>
      <c r="B546" s="110" t="s">
        <v>135</v>
      </c>
      <c r="C546" s="110" t="s">
        <v>1097</v>
      </c>
      <c r="D546" s="111" t="s">
        <v>1070</v>
      </c>
      <c r="E546" s="112" t="s">
        <v>135</v>
      </c>
      <c r="F546" s="113" t="s">
        <v>1098</v>
      </c>
      <c r="G546" s="113">
        <v>263.28617379999969</v>
      </c>
      <c r="H546" s="113">
        <v>743.98642146673092</v>
      </c>
      <c r="I546" s="113">
        <v>1007.2725952667306</v>
      </c>
    </row>
    <row r="547" spans="1:9" x14ac:dyDescent="0.35">
      <c r="A547" s="109">
        <v>11780832000194</v>
      </c>
      <c r="B547" s="110" t="s">
        <v>9</v>
      </c>
      <c r="C547" s="110" t="s">
        <v>1095</v>
      </c>
      <c r="D547" s="111" t="s">
        <v>1070</v>
      </c>
      <c r="E547" s="112"/>
      <c r="F547" s="113" t="s">
        <v>1099</v>
      </c>
      <c r="G547" s="113">
        <v>1475.9980417799998</v>
      </c>
      <c r="H547" s="113">
        <v>1909.0843001822504</v>
      </c>
      <c r="I547" s="113">
        <v>3385.0823419622502</v>
      </c>
    </row>
    <row r="548" spans="1:9" x14ac:dyDescent="0.35">
      <c r="A548" s="109">
        <v>8087667000690</v>
      </c>
      <c r="B548" s="110" t="s">
        <v>36</v>
      </c>
      <c r="C548" s="110" t="s">
        <v>1095</v>
      </c>
      <c r="D548" s="111" t="s">
        <v>1070</v>
      </c>
      <c r="E548" s="112" t="s">
        <v>1001</v>
      </c>
      <c r="F548" s="113" t="s">
        <v>1098</v>
      </c>
      <c r="G548" s="113">
        <v>2758.3327352990004</v>
      </c>
      <c r="H548" s="113">
        <v>2352.0449964791724</v>
      </c>
      <c r="I548" s="113">
        <v>5110.3777317781733</v>
      </c>
    </row>
    <row r="549" spans="1:9" x14ac:dyDescent="0.35">
      <c r="A549" s="109">
        <v>19651628000185</v>
      </c>
      <c r="B549" s="110" t="s">
        <v>9</v>
      </c>
      <c r="C549" s="110" t="s">
        <v>1095</v>
      </c>
      <c r="D549" s="111" t="s">
        <v>1070</v>
      </c>
      <c r="E549" s="112" t="s">
        <v>993</v>
      </c>
      <c r="F549" s="113" t="s">
        <v>1098</v>
      </c>
      <c r="G549" s="113">
        <v>1267.5736704600004</v>
      </c>
      <c r="H549" s="113">
        <v>1111.6055042457963</v>
      </c>
      <c r="I549" s="113">
        <v>2379.1791747057969</v>
      </c>
    </row>
    <row r="550" spans="1:9" x14ac:dyDescent="0.35">
      <c r="A550" s="109">
        <v>42390075000176</v>
      </c>
      <c r="B550" s="110" t="s">
        <v>20</v>
      </c>
      <c r="C550" s="110" t="s">
        <v>1097</v>
      </c>
      <c r="D550" s="111" t="s">
        <v>1070</v>
      </c>
      <c r="E550" s="112"/>
      <c r="F550" s="113" t="s">
        <v>1100</v>
      </c>
      <c r="G550" s="113">
        <v>0</v>
      </c>
      <c r="H550" s="113">
        <v>1544.3722339785299</v>
      </c>
      <c r="I550" s="113">
        <v>1544.3722339785299</v>
      </c>
    </row>
    <row r="551" spans="1:9" x14ac:dyDescent="0.35">
      <c r="A551" s="109">
        <v>20330018000169</v>
      </c>
      <c r="B551" s="110" t="s">
        <v>9</v>
      </c>
      <c r="C551" s="110" t="s">
        <v>1095</v>
      </c>
      <c r="D551" s="111" t="s">
        <v>1070</v>
      </c>
      <c r="E551" s="112"/>
      <c r="F551" s="113" t="s">
        <v>1099</v>
      </c>
      <c r="G551" s="113">
        <v>1586.1902835799992</v>
      </c>
      <c r="H551" s="113">
        <v>1116.9062339616794</v>
      </c>
      <c r="I551" s="113">
        <v>2703.0965175416786</v>
      </c>
    </row>
    <row r="552" spans="1:9" x14ac:dyDescent="0.35">
      <c r="A552" s="109">
        <v>8087667000932</v>
      </c>
      <c r="B552" s="110" t="s">
        <v>36</v>
      </c>
      <c r="C552" s="110" t="s">
        <v>1095</v>
      </c>
      <c r="D552" s="111" t="s">
        <v>1070</v>
      </c>
      <c r="E552" s="112" t="s">
        <v>1001</v>
      </c>
      <c r="F552" s="113" t="s">
        <v>1098</v>
      </c>
      <c r="G552" s="113">
        <v>5311.9532912900013</v>
      </c>
      <c r="H552" s="113">
        <v>2352.0449964791724</v>
      </c>
      <c r="I552" s="113">
        <v>7663.9982877691737</v>
      </c>
    </row>
    <row r="553" spans="1:9" x14ac:dyDescent="0.35">
      <c r="A553" s="109">
        <v>4972853000570</v>
      </c>
      <c r="B553" s="110" t="s">
        <v>135</v>
      </c>
      <c r="C553" s="110" t="s">
        <v>1097</v>
      </c>
      <c r="D553" s="111" t="s">
        <v>1070</v>
      </c>
      <c r="E553" s="112" t="s">
        <v>135</v>
      </c>
      <c r="F553" s="113" t="s">
        <v>1098</v>
      </c>
      <c r="G553" s="113">
        <v>2965.5455167800001</v>
      </c>
      <c r="H553" s="113">
        <v>743.98642146673092</v>
      </c>
      <c r="I553" s="113">
        <v>3709.531938246731</v>
      </c>
    </row>
    <row r="554" spans="1:9" x14ac:dyDescent="0.35">
      <c r="A554" s="109">
        <v>15558177000347</v>
      </c>
      <c r="B554" s="110" t="s">
        <v>20</v>
      </c>
      <c r="C554" s="110" t="s">
        <v>1097</v>
      </c>
      <c r="D554" s="111" t="s">
        <v>1070</v>
      </c>
      <c r="E554" s="112"/>
      <c r="F554" s="113" t="s">
        <v>1099</v>
      </c>
      <c r="G554" s="113">
        <v>328.09429542000009</v>
      </c>
      <c r="H554" s="113">
        <v>274.33796224278501</v>
      </c>
      <c r="I554" s="113">
        <v>602.4322576627851</v>
      </c>
    </row>
    <row r="555" spans="1:9" x14ac:dyDescent="0.35">
      <c r="A555" s="109">
        <v>9492647000829</v>
      </c>
      <c r="B555" s="110" t="s">
        <v>9</v>
      </c>
      <c r="C555" s="110" t="s">
        <v>1095</v>
      </c>
      <c r="D555" s="111" t="s">
        <v>1070</v>
      </c>
      <c r="E555" s="112"/>
      <c r="F555" s="113" t="s">
        <v>1099</v>
      </c>
      <c r="G555" s="113">
        <v>3090.0597119699996</v>
      </c>
      <c r="H555" s="113">
        <v>2478.9617722487001</v>
      </c>
      <c r="I555" s="113">
        <v>5569.0214842186997</v>
      </c>
    </row>
    <row r="556" spans="1:9" x14ac:dyDescent="0.35">
      <c r="A556" s="109">
        <v>9492647000667</v>
      </c>
      <c r="B556" s="110" t="s">
        <v>9</v>
      </c>
      <c r="C556" s="110" t="s">
        <v>1095</v>
      </c>
      <c r="D556" s="111" t="s">
        <v>1070</v>
      </c>
      <c r="E556" s="112"/>
      <c r="F556" s="113" t="s">
        <v>1099</v>
      </c>
      <c r="G556" s="113">
        <v>1853.0617171000008</v>
      </c>
      <c r="H556" s="113">
        <v>1974.3684573620603</v>
      </c>
      <c r="I556" s="113">
        <v>3827.4301744620611</v>
      </c>
    </row>
    <row r="557" spans="1:9" x14ac:dyDescent="0.35">
      <c r="A557" s="109">
        <v>9492647000403</v>
      </c>
      <c r="B557" s="110" t="s">
        <v>9</v>
      </c>
      <c r="C557" s="110" t="s">
        <v>1095</v>
      </c>
      <c r="D557" s="111" t="s">
        <v>1070</v>
      </c>
      <c r="E557" s="112"/>
      <c r="F557" s="113" t="s">
        <v>1099</v>
      </c>
      <c r="G557" s="113">
        <v>1309.8954081500001</v>
      </c>
      <c r="H557" s="113">
        <v>2918.6587318257207</v>
      </c>
      <c r="I557" s="113">
        <v>4228.5541399757203</v>
      </c>
    </row>
    <row r="558" spans="1:9" x14ac:dyDescent="0.35">
      <c r="A558" s="109">
        <v>23585408000178</v>
      </c>
      <c r="B558" s="110" t="s">
        <v>9</v>
      </c>
      <c r="C558" s="110" t="s">
        <v>1095</v>
      </c>
      <c r="D558" s="111" t="s">
        <v>1070</v>
      </c>
      <c r="E558" s="112"/>
      <c r="F558" s="113" t="s">
        <v>1099</v>
      </c>
      <c r="G558" s="113">
        <v>5386.1635599500005</v>
      </c>
      <c r="H558" s="113">
        <v>2773.7256312508398</v>
      </c>
      <c r="I558" s="113">
        <v>8159.8891912008403</v>
      </c>
    </row>
    <row r="559" spans="1:9" x14ac:dyDescent="0.35">
      <c r="A559" s="109">
        <v>9492647001205</v>
      </c>
      <c r="B559" s="110" t="s">
        <v>9</v>
      </c>
      <c r="C559" s="110" t="s">
        <v>1095</v>
      </c>
      <c r="D559" s="111" t="s">
        <v>1070</v>
      </c>
      <c r="E559" s="112"/>
      <c r="F559" s="113" t="s">
        <v>1099</v>
      </c>
      <c r="G559" s="113">
        <v>2309.6819074800001</v>
      </c>
      <c r="H559" s="113">
        <v>1775.1658867552201</v>
      </c>
      <c r="I559" s="113">
        <v>4084.8477942352201</v>
      </c>
    </row>
    <row r="560" spans="1:9" x14ac:dyDescent="0.35">
      <c r="A560" s="109">
        <v>10341045001821</v>
      </c>
      <c r="B560" s="110" t="s">
        <v>9</v>
      </c>
      <c r="C560" s="110" t="s">
        <v>1095</v>
      </c>
      <c r="D560" s="111" t="s">
        <v>1070</v>
      </c>
      <c r="E560" s="112" t="s">
        <v>995</v>
      </c>
      <c r="F560" s="113" t="s">
        <v>1098</v>
      </c>
      <c r="G560" s="113">
        <v>8638.7857312899996</v>
      </c>
      <c r="H560" s="113">
        <v>2833.963635090473</v>
      </c>
      <c r="I560" s="113">
        <v>11472.749366380473</v>
      </c>
    </row>
    <row r="561" spans="1:9" x14ac:dyDescent="0.35">
      <c r="A561" s="109">
        <v>7629833000246</v>
      </c>
      <c r="B561" s="110" t="s">
        <v>36</v>
      </c>
      <c r="C561" s="110" t="s">
        <v>1095</v>
      </c>
      <c r="D561" s="111" t="s">
        <v>1070</v>
      </c>
      <c r="E561" s="112"/>
      <c r="F561" s="113" t="s">
        <v>1099</v>
      </c>
      <c r="G561" s="113">
        <v>1456.8521188100008</v>
      </c>
      <c r="H561" s="113">
        <v>1242.5842091198799</v>
      </c>
      <c r="I561" s="113">
        <v>2699.4363279298805</v>
      </c>
    </row>
    <row r="562" spans="1:9" x14ac:dyDescent="0.35">
      <c r="A562" s="109">
        <v>7629833000165</v>
      </c>
      <c r="B562" s="110" t="s">
        <v>33</v>
      </c>
      <c r="C562" s="110" t="s">
        <v>1095</v>
      </c>
      <c r="D562" s="111" t="s">
        <v>1070</v>
      </c>
      <c r="E562" s="112"/>
      <c r="F562" s="113" t="s">
        <v>1099</v>
      </c>
      <c r="G562" s="113">
        <v>5270.944213589999</v>
      </c>
      <c r="H562" s="113">
        <v>3982.2553360289699</v>
      </c>
      <c r="I562" s="113">
        <v>9253.1995496189684</v>
      </c>
    </row>
    <row r="563" spans="1:9" x14ac:dyDescent="0.35">
      <c r="A563" s="109">
        <v>8087667000509</v>
      </c>
      <c r="B563" s="110" t="s">
        <v>36</v>
      </c>
      <c r="C563" s="110" t="s">
        <v>1095</v>
      </c>
      <c r="D563" s="111" t="s">
        <v>1070</v>
      </c>
      <c r="E563" s="112" t="s">
        <v>1001</v>
      </c>
      <c r="F563" s="113" t="s">
        <v>1098</v>
      </c>
      <c r="G563" s="113">
        <v>4481.9293286599996</v>
      </c>
      <c r="H563" s="113">
        <v>2352.0449964791724</v>
      </c>
      <c r="I563" s="113">
        <v>6833.9743251391719</v>
      </c>
    </row>
    <row r="564" spans="1:9" x14ac:dyDescent="0.35">
      <c r="A564" s="109">
        <v>9492647000900</v>
      </c>
      <c r="B564" s="110" t="s">
        <v>9</v>
      </c>
      <c r="C564" s="110" t="s">
        <v>1095</v>
      </c>
      <c r="D564" s="111" t="s">
        <v>1070</v>
      </c>
      <c r="E564" s="112"/>
      <c r="F564" s="113" t="s">
        <v>1099</v>
      </c>
      <c r="G564" s="113">
        <v>3151.6391282100003</v>
      </c>
      <c r="H564" s="113">
        <v>2453.2803872415789</v>
      </c>
      <c r="I564" s="113">
        <v>5604.9195154515792</v>
      </c>
    </row>
    <row r="565" spans="1:9" x14ac:dyDescent="0.35">
      <c r="A565" s="109">
        <v>3577994000282</v>
      </c>
      <c r="B565" s="110" t="s">
        <v>36</v>
      </c>
      <c r="C565" s="110" t="s">
        <v>1095</v>
      </c>
      <c r="D565" s="111" t="s">
        <v>1070</v>
      </c>
      <c r="E565" s="112"/>
      <c r="F565" s="113" t="s">
        <v>1096</v>
      </c>
      <c r="G565" s="113">
        <v>1847.42661744</v>
      </c>
      <c r="H565" s="113">
        <v>0</v>
      </c>
      <c r="I565" s="113">
        <v>1847.42661744</v>
      </c>
    </row>
    <row r="566" spans="1:9" x14ac:dyDescent="0.35">
      <c r="A566" s="109">
        <v>21013882000442</v>
      </c>
      <c r="B566" s="110" t="s">
        <v>64</v>
      </c>
      <c r="C566" s="110" t="s">
        <v>1095</v>
      </c>
      <c r="D566" s="111" t="s">
        <v>1070</v>
      </c>
      <c r="E566" s="112" t="s">
        <v>1008</v>
      </c>
      <c r="F566" s="113" t="s">
        <v>1098</v>
      </c>
      <c r="G566" s="113">
        <v>4237.6808503499997</v>
      </c>
      <c r="H566" s="113">
        <v>287.68993866005798</v>
      </c>
      <c r="I566" s="113">
        <v>4525.3707890100577</v>
      </c>
    </row>
    <row r="567" spans="1:9" x14ac:dyDescent="0.35">
      <c r="A567" s="109">
        <v>8087667000185</v>
      </c>
      <c r="B567" s="110" t="s">
        <v>36</v>
      </c>
      <c r="C567" s="110" t="s">
        <v>1095</v>
      </c>
      <c r="D567" s="111" t="s">
        <v>1070</v>
      </c>
      <c r="E567" s="112" t="s">
        <v>1001</v>
      </c>
      <c r="F567" s="113" t="s">
        <v>1098</v>
      </c>
      <c r="G567" s="113">
        <v>2920.83956124</v>
      </c>
      <c r="H567" s="113">
        <v>2352.0449964791724</v>
      </c>
      <c r="I567" s="113">
        <v>5272.8845577191723</v>
      </c>
    </row>
    <row r="568" spans="1:9" x14ac:dyDescent="0.35">
      <c r="A568" s="109">
        <v>8087667000266</v>
      </c>
      <c r="B568" s="110" t="s">
        <v>36</v>
      </c>
      <c r="C568" s="110" t="s">
        <v>1095</v>
      </c>
      <c r="D568" s="111" t="s">
        <v>1070</v>
      </c>
      <c r="E568" s="112" t="s">
        <v>1001</v>
      </c>
      <c r="F568" s="113" t="s">
        <v>1098</v>
      </c>
      <c r="G568" s="113">
        <v>5883.8873902599989</v>
      </c>
      <c r="H568" s="113">
        <v>2352.0449964791724</v>
      </c>
      <c r="I568" s="113">
        <v>8235.9323867391722</v>
      </c>
    </row>
    <row r="569" spans="1:9" x14ac:dyDescent="0.35">
      <c r="A569" s="109">
        <v>28846852000113</v>
      </c>
      <c r="B569" s="110" t="s">
        <v>20</v>
      </c>
      <c r="C569" s="110" t="s">
        <v>1097</v>
      </c>
      <c r="D569" s="111" t="s">
        <v>1070</v>
      </c>
      <c r="E569" s="112"/>
      <c r="F569" s="113" t="s">
        <v>1099</v>
      </c>
      <c r="G569" s="113">
        <v>4433.735503500001</v>
      </c>
      <c r="H569" s="113">
        <v>1577.3993457408101</v>
      </c>
      <c r="I569" s="113">
        <v>6011.1348492408106</v>
      </c>
    </row>
    <row r="570" spans="1:9" x14ac:dyDescent="0.35">
      <c r="A570" s="109">
        <v>8087667001076</v>
      </c>
      <c r="B570" s="110" t="s">
        <v>36</v>
      </c>
      <c r="C570" s="110" t="s">
        <v>1095</v>
      </c>
      <c r="D570" s="111" t="s">
        <v>1070</v>
      </c>
      <c r="E570" s="112" t="s">
        <v>1001</v>
      </c>
      <c r="F570" s="113" t="s">
        <v>1098</v>
      </c>
      <c r="G570" s="113">
        <v>2113.17246578</v>
      </c>
      <c r="H570" s="113">
        <v>2352.0449964791724</v>
      </c>
      <c r="I570" s="113">
        <v>4465.217462259172</v>
      </c>
    </row>
    <row r="571" spans="1:9" x14ac:dyDescent="0.35">
      <c r="A571" s="109">
        <v>19651628000770</v>
      </c>
      <c r="B571" s="110" t="s">
        <v>9</v>
      </c>
      <c r="C571" s="110" t="s">
        <v>1095</v>
      </c>
      <c r="D571" s="111" t="s">
        <v>1070</v>
      </c>
      <c r="E571" s="112" t="s">
        <v>993</v>
      </c>
      <c r="F571" s="113" t="s">
        <v>1098</v>
      </c>
      <c r="G571" s="113">
        <v>2411.0037240500001</v>
      </c>
      <c r="H571" s="113">
        <v>1111.6055042457963</v>
      </c>
      <c r="I571" s="113">
        <v>3522.6092282957961</v>
      </c>
    </row>
    <row r="572" spans="1:9" x14ac:dyDescent="0.35">
      <c r="A572" s="109">
        <v>8954952000318</v>
      </c>
      <c r="B572" s="110" t="s">
        <v>16</v>
      </c>
      <c r="C572" s="110" t="s">
        <v>1095</v>
      </c>
      <c r="D572" s="111" t="s">
        <v>1070</v>
      </c>
      <c r="E572" s="112" t="s">
        <v>227</v>
      </c>
      <c r="F572" s="113" t="s">
        <v>1098</v>
      </c>
      <c r="G572" s="113">
        <v>8594.6811944299989</v>
      </c>
      <c r="H572" s="113">
        <v>578.42990841477433</v>
      </c>
      <c r="I572" s="113">
        <v>9173.111102844774</v>
      </c>
    </row>
    <row r="573" spans="1:9" x14ac:dyDescent="0.35">
      <c r="A573" s="109">
        <v>26476385000151</v>
      </c>
      <c r="B573" s="110" t="s">
        <v>9</v>
      </c>
      <c r="C573" s="110" t="s">
        <v>1095</v>
      </c>
      <c r="D573" s="111" t="s">
        <v>1070</v>
      </c>
      <c r="E573" s="112"/>
      <c r="F573" s="113" t="s">
        <v>1099</v>
      </c>
      <c r="G573" s="113">
        <v>4840.9377323899998</v>
      </c>
      <c r="H573" s="113">
        <v>784.06024881234998</v>
      </c>
      <c r="I573" s="113">
        <v>5624.9979812023503</v>
      </c>
    </row>
    <row r="574" spans="1:9" x14ac:dyDescent="0.35">
      <c r="A574" s="109">
        <v>10732561000139</v>
      </c>
      <c r="B574" s="110" t="s">
        <v>36</v>
      </c>
      <c r="C574" s="110" t="s">
        <v>1095</v>
      </c>
      <c r="D574" s="111" t="s">
        <v>1070</v>
      </c>
      <c r="E574" s="112"/>
      <c r="F574" s="113" t="s">
        <v>1099</v>
      </c>
      <c r="G574" s="113">
        <v>2359.1308457</v>
      </c>
      <c r="H574" s="113">
        <v>910.47965340581004</v>
      </c>
      <c r="I574" s="113">
        <v>3269.61049910581</v>
      </c>
    </row>
    <row r="575" spans="1:9" x14ac:dyDescent="0.35">
      <c r="A575" s="109">
        <v>8087667000851</v>
      </c>
      <c r="B575" s="110" t="s">
        <v>36</v>
      </c>
      <c r="C575" s="110" t="s">
        <v>1095</v>
      </c>
      <c r="D575" s="111" t="s">
        <v>1070</v>
      </c>
      <c r="E575" s="112" t="s">
        <v>1001</v>
      </c>
      <c r="F575" s="113" t="s">
        <v>1098</v>
      </c>
      <c r="G575" s="113">
        <v>2823.4955422499997</v>
      </c>
      <c r="H575" s="113">
        <v>2352.0449964791724</v>
      </c>
      <c r="I575" s="113">
        <v>5175.5405387291721</v>
      </c>
    </row>
    <row r="576" spans="1:9" x14ac:dyDescent="0.35">
      <c r="A576" s="109">
        <v>3577994000100</v>
      </c>
      <c r="B576" s="110" t="s">
        <v>16</v>
      </c>
      <c r="C576" s="110" t="s">
        <v>1095</v>
      </c>
      <c r="D576" s="111" t="s">
        <v>1070</v>
      </c>
      <c r="E576" s="112"/>
      <c r="F576" s="113" t="s">
        <v>1099</v>
      </c>
      <c r="G576" s="113">
        <v>1598.3183751700003</v>
      </c>
      <c r="H576" s="113">
        <v>1385.4259840291099</v>
      </c>
      <c r="I576" s="113">
        <v>2983.7443591991105</v>
      </c>
    </row>
    <row r="577" spans="1:9" x14ac:dyDescent="0.35">
      <c r="A577" s="109">
        <v>9272038000198</v>
      </c>
      <c r="B577" s="110" t="s">
        <v>16</v>
      </c>
      <c r="C577" s="110" t="s">
        <v>1095</v>
      </c>
      <c r="D577" s="111" t="s">
        <v>1070</v>
      </c>
      <c r="E577" s="112"/>
      <c r="F577" s="113" t="s">
        <v>1099</v>
      </c>
      <c r="G577" s="113">
        <v>1857.6921668399996</v>
      </c>
      <c r="H577" s="113">
        <v>555.39184292561299</v>
      </c>
      <c r="I577" s="113">
        <v>2413.0840097656128</v>
      </c>
    </row>
    <row r="578" spans="1:9" x14ac:dyDescent="0.35">
      <c r="A578" s="109">
        <v>19651628000266</v>
      </c>
      <c r="B578" s="110" t="s">
        <v>9</v>
      </c>
      <c r="C578" s="110" t="s">
        <v>1095</v>
      </c>
      <c r="D578" s="111" t="s">
        <v>1070</v>
      </c>
      <c r="E578" s="112" t="s">
        <v>993</v>
      </c>
      <c r="F578" s="113" t="s">
        <v>1098</v>
      </c>
      <c r="G578" s="113">
        <v>4436.5146476299997</v>
      </c>
      <c r="H578" s="113">
        <v>1111.6055042457963</v>
      </c>
      <c r="I578" s="113">
        <v>5548.1201518757962</v>
      </c>
    </row>
    <row r="579" spans="1:9" x14ac:dyDescent="0.35">
      <c r="A579" s="109">
        <v>14876562000108</v>
      </c>
      <c r="B579" s="110" t="s">
        <v>16</v>
      </c>
      <c r="C579" s="110" t="s">
        <v>1095</v>
      </c>
      <c r="D579" s="111" t="s">
        <v>1070</v>
      </c>
      <c r="E579" s="112"/>
      <c r="F579" s="113" t="s">
        <v>1099</v>
      </c>
      <c r="G579" s="113">
        <v>3148.9077538299998</v>
      </c>
      <c r="H579" s="113">
        <v>1905.41559737639</v>
      </c>
      <c r="I579" s="113">
        <v>5054.3233512063898</v>
      </c>
    </row>
    <row r="580" spans="1:9" x14ac:dyDescent="0.35">
      <c r="A580" s="109">
        <v>8087667000347</v>
      </c>
      <c r="B580" s="110" t="s">
        <v>36</v>
      </c>
      <c r="C580" s="110" t="s">
        <v>1095</v>
      </c>
      <c r="D580" s="111" t="s">
        <v>1070</v>
      </c>
      <c r="E580" s="112" t="s">
        <v>1001</v>
      </c>
      <c r="F580" s="113" t="s">
        <v>1098</v>
      </c>
      <c r="G580" s="113">
        <v>2815.5909837700001</v>
      </c>
      <c r="H580" s="113">
        <v>2352.0449964791724</v>
      </c>
      <c r="I580" s="113">
        <v>5167.6359802491725</v>
      </c>
    </row>
    <row r="581" spans="1:9" x14ac:dyDescent="0.35">
      <c r="A581" s="109">
        <v>26661675000175</v>
      </c>
      <c r="B581" s="110" t="s">
        <v>190</v>
      </c>
      <c r="C581" s="110" t="s">
        <v>1095</v>
      </c>
      <c r="D581" s="111" t="s">
        <v>1070</v>
      </c>
      <c r="E581" s="112"/>
      <c r="F581" s="113" t="s">
        <v>1099</v>
      </c>
      <c r="G581" s="113">
        <v>7949.5803103300013</v>
      </c>
      <c r="H581" s="113">
        <v>563.39777782858982</v>
      </c>
      <c r="I581" s="113">
        <v>8512.9780881585903</v>
      </c>
    </row>
    <row r="582" spans="1:9" x14ac:dyDescent="0.35">
      <c r="A582" s="109">
        <v>8954952000237</v>
      </c>
      <c r="B582" s="110" t="s">
        <v>16</v>
      </c>
      <c r="C582" s="110" t="s">
        <v>1095</v>
      </c>
      <c r="D582" s="111" t="s">
        <v>1070</v>
      </c>
      <c r="E582" s="112" t="s">
        <v>227</v>
      </c>
      <c r="F582" s="113" t="s">
        <v>1098</v>
      </c>
      <c r="G582" s="113">
        <v>8347.1993504500006</v>
      </c>
      <c r="H582" s="113">
        <v>578.42990841477433</v>
      </c>
      <c r="I582" s="113">
        <v>8925.6292588647757</v>
      </c>
    </row>
    <row r="583" spans="1:9" x14ac:dyDescent="0.35">
      <c r="A583" s="109">
        <v>9039622000106</v>
      </c>
      <c r="B583" s="110" t="s">
        <v>33</v>
      </c>
      <c r="C583" s="110" t="s">
        <v>1095</v>
      </c>
      <c r="D583" s="111" t="s">
        <v>1070</v>
      </c>
      <c r="E583" s="112" t="s">
        <v>1004</v>
      </c>
      <c r="F583" s="113" t="s">
        <v>1098</v>
      </c>
      <c r="G583" s="113">
        <v>8643.8216227299999</v>
      </c>
      <c r="H583" s="113">
        <v>6383.326011786201</v>
      </c>
      <c r="I583" s="113">
        <v>15027.147634516201</v>
      </c>
    </row>
    <row r="584" spans="1:9" x14ac:dyDescent="0.35">
      <c r="A584" s="109">
        <v>8087667000770</v>
      </c>
      <c r="B584" s="110" t="s">
        <v>36</v>
      </c>
      <c r="C584" s="110" t="s">
        <v>1095</v>
      </c>
      <c r="D584" s="111" t="s">
        <v>1070</v>
      </c>
      <c r="E584" s="112" t="s">
        <v>1001</v>
      </c>
      <c r="F584" s="113" t="s">
        <v>1098</v>
      </c>
      <c r="G584" s="113">
        <v>1986.3596319100002</v>
      </c>
      <c r="H584" s="113">
        <v>2352.0449964791724</v>
      </c>
      <c r="I584" s="113">
        <v>4338.404628389173</v>
      </c>
    </row>
    <row r="585" spans="1:9" x14ac:dyDescent="0.35">
      <c r="A585" s="109">
        <v>33184266000352</v>
      </c>
      <c r="B585" s="110" t="s">
        <v>20</v>
      </c>
      <c r="C585" s="110" t="s">
        <v>1097</v>
      </c>
      <c r="D585" s="111" t="s">
        <v>1070</v>
      </c>
      <c r="E585" s="112"/>
      <c r="F585" s="113" t="s">
        <v>1099</v>
      </c>
      <c r="G585" s="113">
        <v>2279.5318762100001</v>
      </c>
      <c r="H585" s="113">
        <v>1818.1702101881299</v>
      </c>
      <c r="I585" s="113">
        <v>4097.7020863981297</v>
      </c>
    </row>
    <row r="586" spans="1:9" x14ac:dyDescent="0.35">
      <c r="A586" s="109">
        <v>8954952000407</v>
      </c>
      <c r="B586" s="110" t="s">
        <v>16</v>
      </c>
      <c r="C586" s="110" t="s">
        <v>1095</v>
      </c>
      <c r="D586" s="111" t="s">
        <v>1070</v>
      </c>
      <c r="E586" s="112" t="s">
        <v>227</v>
      </c>
      <c r="F586" s="113" t="s">
        <v>1098</v>
      </c>
      <c r="G586" s="113">
        <v>5413.8509307000004</v>
      </c>
      <c r="H586" s="113">
        <v>578.42990841477433</v>
      </c>
      <c r="I586" s="113">
        <v>5992.2808391147746</v>
      </c>
    </row>
    <row r="587" spans="1:9" x14ac:dyDescent="0.35">
      <c r="A587" s="109">
        <v>8298153000179</v>
      </c>
      <c r="B587" s="110" t="s">
        <v>20</v>
      </c>
      <c r="C587" s="110" t="s">
        <v>1097</v>
      </c>
      <c r="D587" s="111" t="s">
        <v>1070</v>
      </c>
      <c r="E587" s="112"/>
      <c r="F587" s="113" t="s">
        <v>1099</v>
      </c>
      <c r="G587" s="113">
        <v>684.04204054000002</v>
      </c>
      <c r="H587" s="113">
        <v>183.331879432184</v>
      </c>
      <c r="I587" s="113">
        <v>867.37391997218401</v>
      </c>
    </row>
    <row r="588" spans="1:9" x14ac:dyDescent="0.35">
      <c r="A588" s="109">
        <v>45924995000115</v>
      </c>
      <c r="B588" s="110" t="s">
        <v>33</v>
      </c>
      <c r="C588" s="110" t="s">
        <v>1095</v>
      </c>
      <c r="D588" s="111" t="s">
        <v>1070</v>
      </c>
      <c r="E588" s="112"/>
      <c r="F588" s="113" t="s">
        <v>1099</v>
      </c>
      <c r="G588" s="113">
        <v>1735.7072015599997</v>
      </c>
      <c r="H588" s="113">
        <v>769.44574333608966</v>
      </c>
      <c r="I588" s="113">
        <v>2505.1529448960891</v>
      </c>
    </row>
    <row r="589" spans="1:9" x14ac:dyDescent="0.35">
      <c r="A589" s="109">
        <v>9039622000289</v>
      </c>
      <c r="B589" s="110" t="s">
        <v>33</v>
      </c>
      <c r="C589" s="110" t="s">
        <v>1095</v>
      </c>
      <c r="D589" s="111" t="s">
        <v>1070</v>
      </c>
      <c r="E589" s="112" t="s">
        <v>1004</v>
      </c>
      <c r="F589" s="113" t="s">
        <v>1098</v>
      </c>
      <c r="G589" s="113">
        <v>49004.121015319994</v>
      </c>
      <c r="H589" s="113">
        <v>22935.747112566503</v>
      </c>
      <c r="I589" s="113">
        <v>71939.868127886497</v>
      </c>
    </row>
    <row r="590" spans="1:9" x14ac:dyDescent="0.35">
      <c r="A590" s="109">
        <v>14492828000119</v>
      </c>
      <c r="B590" s="110" t="s">
        <v>20</v>
      </c>
      <c r="C590" s="110" t="s">
        <v>1097</v>
      </c>
      <c r="D590" s="111" t="s">
        <v>1070</v>
      </c>
      <c r="E590" s="112"/>
      <c r="F590" s="113" t="s">
        <v>1099</v>
      </c>
      <c r="G590" s="113">
        <v>969.20301101999996</v>
      </c>
      <c r="H590" s="113">
        <v>619.45322075763602</v>
      </c>
      <c r="I590" s="113">
        <v>1588.6562317776361</v>
      </c>
    </row>
    <row r="591" spans="1:9" x14ac:dyDescent="0.35">
      <c r="A591" s="109">
        <v>15946916000106</v>
      </c>
      <c r="B591" s="110" t="s">
        <v>33</v>
      </c>
      <c r="C591" s="110" t="s">
        <v>1095</v>
      </c>
      <c r="D591" s="111" t="s">
        <v>1070</v>
      </c>
      <c r="E591" s="112"/>
      <c r="F591" s="113" t="s">
        <v>1099</v>
      </c>
      <c r="G591" s="113">
        <v>3678.5170898599999</v>
      </c>
      <c r="H591" s="113">
        <v>1854.3613580871197</v>
      </c>
      <c r="I591" s="113">
        <v>5532.8784479471196</v>
      </c>
    </row>
    <row r="592" spans="1:9" x14ac:dyDescent="0.35">
      <c r="A592" s="109">
        <v>7549438000172</v>
      </c>
      <c r="B592" s="110" t="s">
        <v>20</v>
      </c>
      <c r="C592" s="110" t="s">
        <v>1097</v>
      </c>
      <c r="D592" s="111" t="s">
        <v>1070</v>
      </c>
      <c r="E592" s="112"/>
      <c r="F592" s="113" t="s">
        <v>1099</v>
      </c>
      <c r="G592" s="113">
        <v>855.84890545000007</v>
      </c>
      <c r="H592" s="113">
        <v>1561.2525468193801</v>
      </c>
      <c r="I592" s="113">
        <v>2417.1014522693804</v>
      </c>
    </row>
    <row r="593" spans="1:9" x14ac:dyDescent="0.35">
      <c r="A593" s="109">
        <v>19713710000430</v>
      </c>
      <c r="B593" s="110" t="s">
        <v>9</v>
      </c>
      <c r="C593" s="110" t="s">
        <v>1095</v>
      </c>
      <c r="D593" s="111" t="s">
        <v>1070</v>
      </c>
      <c r="E593" s="112" t="s">
        <v>1009</v>
      </c>
      <c r="F593" s="113" t="s">
        <v>1098</v>
      </c>
      <c r="G593" s="113">
        <v>2290.8854719299998</v>
      </c>
      <c r="H593" s="113">
        <v>3555.9091933142104</v>
      </c>
      <c r="I593" s="113">
        <v>5846.7946652442097</v>
      </c>
    </row>
    <row r="594" spans="1:9" x14ac:dyDescent="0.35">
      <c r="A594" s="109">
        <v>33909525000101</v>
      </c>
      <c r="B594" s="110" t="s">
        <v>38</v>
      </c>
      <c r="C594" s="110" t="s">
        <v>1095</v>
      </c>
      <c r="D594" s="111" t="s">
        <v>1070</v>
      </c>
      <c r="E594" s="112"/>
      <c r="F594" s="113" t="s">
        <v>1099</v>
      </c>
      <c r="G594" s="113">
        <v>1505.9505499100001</v>
      </c>
      <c r="H594" s="113">
        <v>306.42260428388204</v>
      </c>
      <c r="I594" s="113">
        <v>1812.3731541938821</v>
      </c>
    </row>
    <row r="595" spans="1:9" x14ac:dyDescent="0.35">
      <c r="A595" s="109">
        <v>10341045001740</v>
      </c>
      <c r="B595" s="110" t="s">
        <v>9</v>
      </c>
      <c r="C595" s="110" t="s">
        <v>1095</v>
      </c>
      <c r="D595" s="111" t="s">
        <v>1070</v>
      </c>
      <c r="E595" s="112" t="s">
        <v>995</v>
      </c>
      <c r="F595" s="113" t="s">
        <v>1098</v>
      </c>
      <c r="G595" s="113">
        <v>2673.23225804</v>
      </c>
      <c r="H595" s="113">
        <v>2833.963635090473</v>
      </c>
      <c r="I595" s="113">
        <v>5507.1958931304725</v>
      </c>
    </row>
    <row r="596" spans="1:9" x14ac:dyDescent="0.35">
      <c r="A596" s="109">
        <v>37629799000190</v>
      </c>
      <c r="B596" s="110" t="s">
        <v>20</v>
      </c>
      <c r="C596" s="110" t="s">
        <v>1097</v>
      </c>
      <c r="D596" s="111" t="s">
        <v>1070</v>
      </c>
      <c r="E596" s="112"/>
      <c r="F596" s="113" t="s">
        <v>1099</v>
      </c>
      <c r="G596" s="113">
        <v>3021.5426905399995</v>
      </c>
      <c r="H596" s="113">
        <v>1970.6308468040702</v>
      </c>
      <c r="I596" s="113">
        <v>4992.1735373440697</v>
      </c>
    </row>
    <row r="597" spans="1:9" x14ac:dyDescent="0.35">
      <c r="A597" s="109">
        <v>19713710000278</v>
      </c>
      <c r="B597" s="110" t="s">
        <v>9</v>
      </c>
      <c r="C597" s="110" t="s">
        <v>1095</v>
      </c>
      <c r="D597" s="111" t="s">
        <v>1070</v>
      </c>
      <c r="E597" s="112" t="s">
        <v>1009</v>
      </c>
      <c r="F597" s="113" t="s">
        <v>1098</v>
      </c>
      <c r="G597" s="113">
        <v>4614.2119760300002</v>
      </c>
      <c r="H597" s="113">
        <v>4431.7563245065903</v>
      </c>
      <c r="I597" s="113">
        <v>9045.9683005365914</v>
      </c>
    </row>
    <row r="598" spans="1:9" x14ac:dyDescent="0.35">
      <c r="A598" s="109">
        <v>1134776000167</v>
      </c>
      <c r="B598" s="110" t="s">
        <v>36</v>
      </c>
      <c r="C598" s="110" t="s">
        <v>1095</v>
      </c>
      <c r="D598" s="111" t="s">
        <v>1070</v>
      </c>
      <c r="E598" s="112"/>
      <c r="F598" s="113" t="s">
        <v>1099</v>
      </c>
      <c r="G598" s="113">
        <v>6881.7534217799994</v>
      </c>
      <c r="H598" s="113">
        <v>865.71846708193016</v>
      </c>
      <c r="I598" s="113">
        <v>7747.47188886193</v>
      </c>
    </row>
    <row r="599" spans="1:9" x14ac:dyDescent="0.35">
      <c r="A599" s="109">
        <v>19713710000359</v>
      </c>
      <c r="B599" s="110" t="s">
        <v>9</v>
      </c>
      <c r="C599" s="110" t="s">
        <v>1095</v>
      </c>
      <c r="D599" s="111" t="s">
        <v>1070</v>
      </c>
      <c r="E599" s="112" t="s">
        <v>1009</v>
      </c>
      <c r="F599" s="113" t="s">
        <v>1098</v>
      </c>
      <c r="G599" s="113">
        <v>4169.5899371599999</v>
      </c>
      <c r="H599" s="113">
        <v>3543.8083603263199</v>
      </c>
      <c r="I599" s="113">
        <v>7713.3982974863193</v>
      </c>
    </row>
    <row r="600" spans="1:9" x14ac:dyDescent="0.35">
      <c r="A600" s="109">
        <v>7236140000102</v>
      </c>
      <c r="B600" s="110" t="s">
        <v>190</v>
      </c>
      <c r="C600" s="110" t="s">
        <v>1095</v>
      </c>
      <c r="D600" s="111" t="s">
        <v>1070</v>
      </c>
      <c r="E600" s="112"/>
      <c r="F600" s="113" t="s">
        <v>1099</v>
      </c>
      <c r="G600" s="113">
        <v>4436.5422151800003</v>
      </c>
      <c r="H600" s="113">
        <v>9274.3753582910595</v>
      </c>
      <c r="I600" s="113">
        <v>13710.917573471059</v>
      </c>
    </row>
    <row r="601" spans="1:9" x14ac:dyDescent="0.35">
      <c r="A601" s="109">
        <v>19651628000509</v>
      </c>
      <c r="B601" s="110" t="s">
        <v>9</v>
      </c>
      <c r="C601" s="110" t="s">
        <v>1095</v>
      </c>
      <c r="D601" s="111" t="s">
        <v>1070</v>
      </c>
      <c r="E601" s="112" t="s">
        <v>993</v>
      </c>
      <c r="F601" s="113" t="s">
        <v>1098</v>
      </c>
      <c r="G601" s="113">
        <v>3683.7866936399996</v>
      </c>
      <c r="H601" s="113">
        <v>1111.6055042457963</v>
      </c>
      <c r="I601" s="113">
        <v>4795.3921978857961</v>
      </c>
    </row>
    <row r="602" spans="1:9" x14ac:dyDescent="0.35">
      <c r="A602" s="109">
        <v>13874468000157</v>
      </c>
      <c r="B602" s="110" t="s">
        <v>279</v>
      </c>
      <c r="C602" s="110" t="s">
        <v>1095</v>
      </c>
      <c r="D602" s="111" t="s">
        <v>1070</v>
      </c>
      <c r="E602" s="112"/>
      <c r="F602" s="113" t="s">
        <v>1099</v>
      </c>
      <c r="G602" s="113">
        <v>4634.3601622900005</v>
      </c>
      <c r="H602" s="113">
        <v>1987.7034131178302</v>
      </c>
      <c r="I602" s="113">
        <v>6622.0635754078303</v>
      </c>
    </row>
    <row r="603" spans="1:9" x14ac:dyDescent="0.35">
      <c r="A603" s="109">
        <v>10341045001660</v>
      </c>
      <c r="B603" s="110" t="s">
        <v>9</v>
      </c>
      <c r="C603" s="110" t="s">
        <v>1095</v>
      </c>
      <c r="D603" s="111" t="s">
        <v>1070</v>
      </c>
      <c r="E603" s="112" t="s">
        <v>995</v>
      </c>
      <c r="F603" s="113" t="s">
        <v>1098</v>
      </c>
      <c r="G603" s="113">
        <v>2698.7382449300003</v>
      </c>
      <c r="H603" s="113">
        <v>2833.963635090473</v>
      </c>
      <c r="I603" s="113">
        <v>5532.7018800204733</v>
      </c>
    </row>
    <row r="604" spans="1:9" x14ac:dyDescent="0.35">
      <c r="A604" s="109">
        <v>23952661000112</v>
      </c>
      <c r="B604" s="110" t="s">
        <v>20</v>
      </c>
      <c r="C604" s="110" t="s">
        <v>1097</v>
      </c>
      <c r="D604" s="111" t="s">
        <v>1070</v>
      </c>
      <c r="E604" s="112"/>
      <c r="F604" s="113" t="s">
        <v>1099</v>
      </c>
      <c r="G604" s="113">
        <v>1561.09276533</v>
      </c>
      <c r="H604" s="113">
        <v>2710.29041666284</v>
      </c>
      <c r="I604" s="113">
        <v>4271.38318199284</v>
      </c>
    </row>
    <row r="605" spans="1:9" x14ac:dyDescent="0.35">
      <c r="A605" s="109">
        <v>49760647000100</v>
      </c>
      <c r="B605" s="110" t="s">
        <v>33</v>
      </c>
      <c r="C605" s="110" t="s">
        <v>1095</v>
      </c>
      <c r="D605" s="111" t="s">
        <v>1070</v>
      </c>
      <c r="E605" s="112"/>
      <c r="F605" s="113" t="s">
        <v>1099</v>
      </c>
      <c r="G605" s="113">
        <v>3139.9928558700003</v>
      </c>
      <c r="H605" s="113">
        <v>1429.7461392053801</v>
      </c>
      <c r="I605" s="113">
        <v>4569.7389950753804</v>
      </c>
    </row>
    <row r="606" spans="1:9" x14ac:dyDescent="0.35">
      <c r="A606" s="109">
        <v>19713710000197</v>
      </c>
      <c r="B606" s="110" t="s">
        <v>9</v>
      </c>
      <c r="C606" s="110" t="s">
        <v>1095</v>
      </c>
      <c r="D606" s="111" t="s">
        <v>1070</v>
      </c>
      <c r="E606" s="112" t="s">
        <v>1009</v>
      </c>
      <c r="F606" s="113" t="s">
        <v>1098</v>
      </c>
      <c r="G606" s="113">
        <v>25425.704517009999</v>
      </c>
      <c r="H606" s="113">
        <v>16498.365595935</v>
      </c>
      <c r="I606" s="113">
        <v>41924.070112945003</v>
      </c>
    </row>
    <row r="607" spans="1:9" x14ac:dyDescent="0.35">
      <c r="A607" s="109">
        <v>22977550000106</v>
      </c>
      <c r="B607" s="110" t="s">
        <v>16</v>
      </c>
      <c r="C607" s="110" t="s">
        <v>1095</v>
      </c>
      <c r="D607" s="111" t="s">
        <v>1070</v>
      </c>
      <c r="E607" s="112"/>
      <c r="F607" s="113" t="s">
        <v>1099</v>
      </c>
      <c r="G607" s="113">
        <v>525.37829460000012</v>
      </c>
      <c r="H607" s="113">
        <v>981.97739862861499</v>
      </c>
      <c r="I607" s="113">
        <v>1507.3556932286151</v>
      </c>
    </row>
    <row r="608" spans="1:9" x14ac:dyDescent="0.35">
      <c r="A608" s="109">
        <v>8954952000156</v>
      </c>
      <c r="B608" s="110" t="s">
        <v>16</v>
      </c>
      <c r="C608" s="110" t="s">
        <v>1095</v>
      </c>
      <c r="D608" s="111" t="s">
        <v>1070</v>
      </c>
      <c r="E608" s="112" t="s">
        <v>227</v>
      </c>
      <c r="F608" s="113" t="s">
        <v>1098</v>
      </c>
      <c r="G608" s="113">
        <v>4275.566883120001</v>
      </c>
      <c r="H608" s="113">
        <v>578.42990841477433</v>
      </c>
      <c r="I608" s="113">
        <v>4853.9967915347752</v>
      </c>
    </row>
    <row r="609" spans="1:9" x14ac:dyDescent="0.35">
      <c r="A609" s="109">
        <v>5088829000101</v>
      </c>
      <c r="B609" s="110" t="s">
        <v>20</v>
      </c>
      <c r="C609" s="110" t="s">
        <v>1097</v>
      </c>
      <c r="D609" s="111" t="s">
        <v>1070</v>
      </c>
      <c r="E609" s="112"/>
      <c r="F609" s="113" t="s">
        <v>1099</v>
      </c>
      <c r="G609" s="113">
        <v>5807.4646897399998</v>
      </c>
      <c r="H609" s="113">
        <v>3073.5802015221702</v>
      </c>
      <c r="I609" s="113">
        <v>8881.0448912621705</v>
      </c>
    </row>
    <row r="610" spans="1:9" x14ac:dyDescent="0.35">
      <c r="A610" s="109">
        <v>50963555000107</v>
      </c>
      <c r="B610" s="110" t="s">
        <v>20</v>
      </c>
      <c r="C610" s="110" t="s">
        <v>1097</v>
      </c>
      <c r="D610" s="111" t="s">
        <v>1070</v>
      </c>
      <c r="E610" s="112"/>
      <c r="F610" s="113" t="s">
        <v>1099</v>
      </c>
      <c r="G610" s="113">
        <v>4814.6259412199997</v>
      </c>
      <c r="H610" s="113">
        <v>729.49059228941996</v>
      </c>
      <c r="I610" s="113">
        <v>5544.1165335094192</v>
      </c>
    </row>
    <row r="611" spans="1:9" x14ac:dyDescent="0.35">
      <c r="A611" s="109">
        <v>8776885000127</v>
      </c>
      <c r="B611" s="110" t="s">
        <v>33</v>
      </c>
      <c r="C611" s="110" t="s">
        <v>1095</v>
      </c>
      <c r="D611" s="111" t="s">
        <v>1070</v>
      </c>
      <c r="E611" s="112"/>
      <c r="F611" s="113" t="s">
        <v>1099</v>
      </c>
      <c r="G611" s="113">
        <v>1157.10734078</v>
      </c>
      <c r="H611" s="113">
        <v>2377.5860485683097</v>
      </c>
      <c r="I611" s="113">
        <v>3534.6933893483097</v>
      </c>
    </row>
    <row r="612" spans="1:9" x14ac:dyDescent="0.35">
      <c r="A612" s="109">
        <v>8856967000181</v>
      </c>
      <c r="B612" s="110" t="s">
        <v>64</v>
      </c>
      <c r="C612" s="110" t="s">
        <v>1095</v>
      </c>
      <c r="D612" s="111" t="s">
        <v>1070</v>
      </c>
      <c r="E612" s="112"/>
      <c r="F612" s="113" t="s">
        <v>1099</v>
      </c>
      <c r="G612" s="113">
        <v>7285.083142219999</v>
      </c>
      <c r="H612" s="113">
        <v>4467.0084953507303</v>
      </c>
      <c r="I612" s="113">
        <v>11752.091637570729</v>
      </c>
    </row>
    <row r="613" spans="1:9" x14ac:dyDescent="0.35">
      <c r="A613" s="109">
        <v>13874468000238</v>
      </c>
      <c r="B613" s="110" t="s">
        <v>279</v>
      </c>
      <c r="C613" s="110" t="s">
        <v>1095</v>
      </c>
      <c r="D613" s="111" t="s">
        <v>1070</v>
      </c>
      <c r="E613" s="112"/>
      <c r="F613" s="113" t="s">
        <v>1099</v>
      </c>
      <c r="G613" s="113">
        <v>2344.8800676599994</v>
      </c>
      <c r="H613" s="113">
        <v>1795.19355522566</v>
      </c>
      <c r="I613" s="113">
        <v>4140.0736228856595</v>
      </c>
    </row>
    <row r="614" spans="1:9" x14ac:dyDescent="0.35">
      <c r="A614" s="109">
        <v>1894476000186</v>
      </c>
      <c r="B614" s="110" t="s">
        <v>36</v>
      </c>
      <c r="C614" s="110" t="s">
        <v>1095</v>
      </c>
      <c r="D614" s="111" t="s">
        <v>1070</v>
      </c>
      <c r="E614" s="112"/>
      <c r="F614" s="113" t="s">
        <v>1099</v>
      </c>
      <c r="G614" s="113">
        <v>4178.3760982599997</v>
      </c>
      <c r="H614" s="113">
        <v>1647.3967554195599</v>
      </c>
      <c r="I614" s="113">
        <v>5825.7728536795594</v>
      </c>
    </row>
    <row r="615" spans="1:9" x14ac:dyDescent="0.35">
      <c r="A615" s="109">
        <v>22073444000190</v>
      </c>
      <c r="B615" s="110" t="s">
        <v>16</v>
      </c>
      <c r="C615" s="110" t="s">
        <v>1095</v>
      </c>
      <c r="D615" s="111" t="s">
        <v>1070</v>
      </c>
      <c r="E615" s="112"/>
      <c r="F615" s="113" t="s">
        <v>1099</v>
      </c>
      <c r="G615" s="113">
        <v>1002.7985191800002</v>
      </c>
      <c r="H615" s="113">
        <v>830.71200306534308</v>
      </c>
      <c r="I615" s="113">
        <v>1833.5105222453433</v>
      </c>
    </row>
    <row r="616" spans="1:9" x14ac:dyDescent="0.35">
      <c r="A616" s="109">
        <v>6940115000142</v>
      </c>
      <c r="B616" s="110" t="s">
        <v>197</v>
      </c>
      <c r="C616" s="110" t="s">
        <v>1095</v>
      </c>
      <c r="D616" s="111" t="s">
        <v>1070</v>
      </c>
      <c r="E616" s="112"/>
      <c r="F616" s="113" t="s">
        <v>1099</v>
      </c>
      <c r="G616" s="113">
        <v>1370.3556408900001</v>
      </c>
      <c r="H616" s="113">
        <v>2063.47587019813</v>
      </c>
      <c r="I616" s="113">
        <v>3433.8315110881304</v>
      </c>
    </row>
    <row r="617" spans="1:9" x14ac:dyDescent="0.35">
      <c r="A617" s="109">
        <v>52950355000145</v>
      </c>
      <c r="B617" s="110" t="s">
        <v>74</v>
      </c>
      <c r="C617" s="110" t="s">
        <v>1095</v>
      </c>
      <c r="D617" s="111" t="s">
        <v>1070</v>
      </c>
      <c r="E617" s="112"/>
      <c r="F617" s="113" t="s">
        <v>1099</v>
      </c>
      <c r="G617" s="113">
        <v>5790.1917330699998</v>
      </c>
      <c r="H617" s="113">
        <v>4534.9817129651701</v>
      </c>
      <c r="I617" s="113">
        <v>10325.173446035169</v>
      </c>
    </row>
    <row r="618" spans="1:9" x14ac:dyDescent="0.35">
      <c r="A618" s="109">
        <v>41651815000118</v>
      </c>
      <c r="B618" s="110" t="s">
        <v>9</v>
      </c>
      <c r="C618" s="110" t="s">
        <v>1095</v>
      </c>
      <c r="D618" s="111" t="s">
        <v>1070</v>
      </c>
      <c r="E618" s="112"/>
      <c r="F618" s="113" t="s">
        <v>1099</v>
      </c>
      <c r="G618" s="113">
        <v>3393.1562302299999</v>
      </c>
      <c r="H618" s="113">
        <v>3904.3617913877497</v>
      </c>
      <c r="I618" s="113">
        <v>7297.5180216177496</v>
      </c>
    </row>
    <row r="619" spans="1:9" x14ac:dyDescent="0.35">
      <c r="A619" s="109">
        <v>2486244000151</v>
      </c>
      <c r="B619" s="110" t="s">
        <v>20</v>
      </c>
      <c r="C619" s="110" t="s">
        <v>1097</v>
      </c>
      <c r="D619" s="111" t="s">
        <v>1070</v>
      </c>
      <c r="E619" s="112"/>
      <c r="F619" s="113" t="s">
        <v>1099</v>
      </c>
      <c r="G619" s="113">
        <v>565.14076290999992</v>
      </c>
      <c r="H619" s="113">
        <v>699.20883067571208</v>
      </c>
      <c r="I619" s="113">
        <v>1264.349593585712</v>
      </c>
    </row>
    <row r="620" spans="1:9" x14ac:dyDescent="0.35">
      <c r="A620" s="109">
        <v>2703345000137</v>
      </c>
      <c r="B620" s="110" t="s">
        <v>20</v>
      </c>
      <c r="C620" s="110" t="s">
        <v>1097</v>
      </c>
      <c r="D620" s="111" t="s">
        <v>1070</v>
      </c>
      <c r="E620" s="112"/>
      <c r="F620" s="113" t="s">
        <v>1099</v>
      </c>
      <c r="G620" s="113">
        <v>1824.4154360299999</v>
      </c>
      <c r="H620" s="113">
        <v>2667.9432846393597</v>
      </c>
      <c r="I620" s="113">
        <v>4492.3587206693592</v>
      </c>
    </row>
    <row r="621" spans="1:9" x14ac:dyDescent="0.35">
      <c r="A621" s="109">
        <v>4201690000106</v>
      </c>
      <c r="B621" s="110" t="s">
        <v>20</v>
      </c>
      <c r="C621" s="110" t="s">
        <v>1097</v>
      </c>
      <c r="D621" s="111" t="s">
        <v>1070</v>
      </c>
      <c r="E621" s="112"/>
      <c r="F621" s="113" t="s">
        <v>1099</v>
      </c>
      <c r="G621" s="113">
        <v>3941.8776680599999</v>
      </c>
      <c r="H621" s="113">
        <v>1933.6793318576299</v>
      </c>
      <c r="I621" s="113">
        <v>5875.5569999176296</v>
      </c>
    </row>
    <row r="622" spans="1:9" x14ac:dyDescent="0.35">
      <c r="A622" s="109">
        <v>5072221000199</v>
      </c>
      <c r="B622" s="110" t="s">
        <v>16</v>
      </c>
      <c r="C622" s="110" t="s">
        <v>1095</v>
      </c>
      <c r="D622" s="111" t="s">
        <v>1070</v>
      </c>
      <c r="E622" s="112"/>
      <c r="F622" s="113" t="s">
        <v>1099</v>
      </c>
      <c r="G622" s="113">
        <v>1286.0719117799999</v>
      </c>
      <c r="H622" s="113">
        <v>734.64986112484007</v>
      </c>
      <c r="I622" s="113">
        <v>2020.72177290484</v>
      </c>
    </row>
    <row r="623" spans="1:9" x14ac:dyDescent="0.35">
      <c r="A623" s="109">
        <v>5558461000106</v>
      </c>
      <c r="B623" s="110" t="s">
        <v>20</v>
      </c>
      <c r="C623" s="110" t="s">
        <v>1097</v>
      </c>
      <c r="D623" s="111" t="s">
        <v>1070</v>
      </c>
      <c r="E623" s="112"/>
      <c r="F623" s="113" t="s">
        <v>1099</v>
      </c>
      <c r="G623" s="113">
        <v>331.9052269</v>
      </c>
      <c r="H623" s="113">
        <v>264.51094591977801</v>
      </c>
      <c r="I623" s="113">
        <v>596.41617281977801</v>
      </c>
    </row>
    <row r="624" spans="1:9" x14ac:dyDescent="0.35">
      <c r="A624" s="109">
        <v>6368293000140</v>
      </c>
      <c r="B624" s="110" t="s">
        <v>20</v>
      </c>
      <c r="C624" s="110" t="s">
        <v>1097</v>
      </c>
      <c r="D624" s="111" t="s">
        <v>1070</v>
      </c>
      <c r="E624" s="112"/>
      <c r="F624" s="113" t="s">
        <v>1099</v>
      </c>
      <c r="G624" s="113">
        <v>5324.7945951000002</v>
      </c>
      <c r="H624" s="113">
        <v>4072.9363765579701</v>
      </c>
      <c r="I624" s="113">
        <v>9397.7309716579693</v>
      </c>
    </row>
    <row r="625" spans="1:9" x14ac:dyDescent="0.35">
      <c r="A625" s="109">
        <v>7056130000195</v>
      </c>
      <c r="B625" s="110" t="s">
        <v>38</v>
      </c>
      <c r="C625" s="110" t="s">
        <v>1095</v>
      </c>
      <c r="D625" s="111" t="s">
        <v>1070</v>
      </c>
      <c r="E625" s="112"/>
      <c r="F625" s="113" t="s">
        <v>1099</v>
      </c>
      <c r="G625" s="113">
        <v>568.37588276000008</v>
      </c>
      <c r="H625" s="113">
        <v>750.96159210505903</v>
      </c>
      <c r="I625" s="113">
        <v>1319.337474865059</v>
      </c>
    </row>
    <row r="626" spans="1:9" x14ac:dyDescent="0.35">
      <c r="A626" s="109">
        <v>8793169000158</v>
      </c>
      <c r="B626" s="110" t="s">
        <v>16</v>
      </c>
      <c r="C626" s="110" t="s">
        <v>1095</v>
      </c>
      <c r="D626" s="111" t="s">
        <v>1070</v>
      </c>
      <c r="E626" s="112"/>
      <c r="F626" s="113" t="s">
        <v>1099</v>
      </c>
      <c r="G626" s="113">
        <v>448.51298161</v>
      </c>
      <c r="H626" s="113">
        <v>545.60610065001504</v>
      </c>
      <c r="I626" s="113">
        <v>994.11908226001503</v>
      </c>
    </row>
    <row r="627" spans="1:9" x14ac:dyDescent="0.35">
      <c r="A627" s="109">
        <v>8856967000262</v>
      </c>
      <c r="B627" s="110" t="s">
        <v>64</v>
      </c>
      <c r="C627" s="110" t="s">
        <v>1095</v>
      </c>
      <c r="D627" s="111" t="s">
        <v>1070</v>
      </c>
      <c r="E627" s="112"/>
      <c r="F627" s="113" t="s">
        <v>1099</v>
      </c>
      <c r="G627" s="113">
        <v>8160.7973644599997</v>
      </c>
      <c r="H627" s="113">
        <v>3030.7638361317504</v>
      </c>
      <c r="I627" s="113">
        <v>11191.56120059175</v>
      </c>
    </row>
    <row r="628" spans="1:9" x14ac:dyDescent="0.35">
      <c r="A628" s="109">
        <v>8856967000343</v>
      </c>
      <c r="B628" s="110" t="s">
        <v>64</v>
      </c>
      <c r="C628" s="110" t="s">
        <v>1095</v>
      </c>
      <c r="D628" s="111" t="s">
        <v>1070</v>
      </c>
      <c r="E628" s="112"/>
      <c r="F628" s="113" t="s">
        <v>1099</v>
      </c>
      <c r="G628" s="113">
        <v>4215.8202436199999</v>
      </c>
      <c r="H628" s="113">
        <v>2835.3051988079801</v>
      </c>
      <c r="I628" s="113">
        <v>7051.1254424279796</v>
      </c>
    </row>
    <row r="629" spans="1:9" x14ac:dyDescent="0.35">
      <c r="A629" s="109">
        <v>9539583000106</v>
      </c>
      <c r="B629" s="110" t="s">
        <v>20</v>
      </c>
      <c r="C629" s="110" t="s">
        <v>1097</v>
      </c>
      <c r="D629" s="111" t="s">
        <v>1070</v>
      </c>
      <c r="E629" s="112"/>
      <c r="F629" s="113" t="s">
        <v>1099</v>
      </c>
      <c r="G629" s="113">
        <v>3198.7404951499998</v>
      </c>
      <c r="H629" s="113">
        <v>5155.9735214632801</v>
      </c>
      <c r="I629" s="113">
        <v>8354.7140166132795</v>
      </c>
    </row>
    <row r="630" spans="1:9" x14ac:dyDescent="0.35">
      <c r="A630" s="109">
        <v>10280518000180</v>
      </c>
      <c r="B630" s="110" t="s">
        <v>20</v>
      </c>
      <c r="C630" s="110" t="s">
        <v>1097</v>
      </c>
      <c r="D630" s="111" t="s">
        <v>1070</v>
      </c>
      <c r="E630" s="112"/>
      <c r="F630" s="113" t="s">
        <v>1099</v>
      </c>
      <c r="G630" s="113">
        <v>78.830543690000013</v>
      </c>
      <c r="H630" s="113">
        <v>246.09884532659498</v>
      </c>
      <c r="I630" s="113">
        <v>324.929389016595</v>
      </c>
    </row>
    <row r="631" spans="1:9" x14ac:dyDescent="0.35">
      <c r="A631" s="109">
        <v>10440010000100</v>
      </c>
      <c r="B631" s="110" t="s">
        <v>20</v>
      </c>
      <c r="C631" s="110" t="s">
        <v>1097</v>
      </c>
      <c r="D631" s="111" t="s">
        <v>1070</v>
      </c>
      <c r="E631" s="112"/>
      <c r="F631" s="113" t="s">
        <v>1099</v>
      </c>
      <c r="G631" s="113">
        <v>4674.4371887500001</v>
      </c>
      <c r="H631" s="113">
        <v>1577.1437102154941</v>
      </c>
      <c r="I631" s="113">
        <v>6251.5808989654943</v>
      </c>
    </row>
    <row r="632" spans="1:9" x14ac:dyDescent="0.35">
      <c r="A632" s="109">
        <v>10673419000168</v>
      </c>
      <c r="B632" s="110" t="s">
        <v>20</v>
      </c>
      <c r="C632" s="110" t="s">
        <v>1097</v>
      </c>
      <c r="D632" s="111" t="s">
        <v>1070</v>
      </c>
      <c r="E632" s="112"/>
      <c r="F632" s="113" t="s">
        <v>1099</v>
      </c>
      <c r="G632" s="113">
        <v>345.76591719999999</v>
      </c>
      <c r="H632" s="113">
        <v>491.99289136655295</v>
      </c>
      <c r="I632" s="113">
        <v>837.75880856655294</v>
      </c>
    </row>
    <row r="633" spans="1:9" x14ac:dyDescent="0.35">
      <c r="A633" s="109">
        <v>10742383000127</v>
      </c>
      <c r="B633" s="110" t="s">
        <v>20</v>
      </c>
      <c r="C633" s="110" t="s">
        <v>1097</v>
      </c>
      <c r="D633" s="111" t="s">
        <v>1070</v>
      </c>
      <c r="E633" s="112"/>
      <c r="F633" s="113" t="s">
        <v>1099</v>
      </c>
      <c r="G633" s="113">
        <v>45.221552699999997</v>
      </c>
      <c r="H633" s="113">
        <v>52.271815149103304</v>
      </c>
      <c r="I633" s="113">
        <v>97.493367849103294</v>
      </c>
    </row>
    <row r="634" spans="1:9" x14ac:dyDescent="0.35">
      <c r="A634" s="109">
        <v>13289540000189</v>
      </c>
      <c r="B634" s="110" t="s">
        <v>36</v>
      </c>
      <c r="C634" s="110" t="s">
        <v>1095</v>
      </c>
      <c r="D634" s="111" t="s">
        <v>1070</v>
      </c>
      <c r="E634" s="112"/>
      <c r="F634" s="113" t="s">
        <v>1099</v>
      </c>
      <c r="G634" s="113">
        <v>1095.7651623100001</v>
      </c>
      <c r="H634" s="113">
        <v>1197.8071963597999</v>
      </c>
      <c r="I634" s="113">
        <v>2293.5723586698</v>
      </c>
    </row>
    <row r="635" spans="1:9" x14ac:dyDescent="0.35">
      <c r="A635" s="109">
        <v>15558177000185</v>
      </c>
      <c r="B635" s="110" t="s">
        <v>279</v>
      </c>
      <c r="C635" s="110" t="s">
        <v>1095</v>
      </c>
      <c r="D635" s="111" t="s">
        <v>1070</v>
      </c>
      <c r="E635" s="112"/>
      <c r="F635" s="113" t="s">
        <v>1099</v>
      </c>
      <c r="G635" s="113">
        <v>1583.7788174500001</v>
      </c>
      <c r="H635" s="113">
        <v>1568.38454893679</v>
      </c>
      <c r="I635" s="113">
        <v>3152.1633663867901</v>
      </c>
    </row>
    <row r="636" spans="1:9" x14ac:dyDescent="0.35">
      <c r="A636" s="109">
        <v>19713710000510</v>
      </c>
      <c r="B636" s="110" t="s">
        <v>9</v>
      </c>
      <c r="C636" s="110" t="s">
        <v>1095</v>
      </c>
      <c r="D636" s="111" t="s">
        <v>1070</v>
      </c>
      <c r="E636" s="112"/>
      <c r="F636" s="113" t="s">
        <v>1099</v>
      </c>
      <c r="G636" s="113">
        <v>454.18801388000003</v>
      </c>
      <c r="H636" s="113">
        <v>136.0395739951507</v>
      </c>
      <c r="I636" s="113">
        <v>590.22758787515068</v>
      </c>
    </row>
    <row r="637" spans="1:9" x14ac:dyDescent="0.35">
      <c r="A637" s="109">
        <v>21483918000109</v>
      </c>
      <c r="B637" s="110" t="s">
        <v>918</v>
      </c>
      <c r="C637" s="110" t="s">
        <v>1095</v>
      </c>
      <c r="D637" s="111" t="s">
        <v>1070</v>
      </c>
      <c r="E637" s="112"/>
      <c r="F637" s="113" t="s">
        <v>1099</v>
      </c>
      <c r="G637" s="113">
        <v>495.28164622000003</v>
      </c>
      <c r="H637" s="113">
        <v>515.139229701619</v>
      </c>
      <c r="I637" s="113">
        <v>1010.420875921619</v>
      </c>
    </row>
    <row r="638" spans="1:9" x14ac:dyDescent="0.35">
      <c r="A638" s="109">
        <v>23339848000145</v>
      </c>
      <c r="B638" s="110" t="s">
        <v>16</v>
      </c>
      <c r="C638" s="110" t="s">
        <v>1095</v>
      </c>
      <c r="D638" s="111" t="s">
        <v>1070</v>
      </c>
      <c r="E638" s="112"/>
      <c r="F638" s="113" t="s">
        <v>1099</v>
      </c>
      <c r="G638" s="113">
        <v>2212.91600578</v>
      </c>
      <c r="H638" s="113">
        <v>2957.8810327957499</v>
      </c>
      <c r="I638" s="113">
        <v>5170.7970385757499</v>
      </c>
    </row>
    <row r="639" spans="1:9" x14ac:dyDescent="0.35">
      <c r="A639" s="109">
        <v>29710511000189</v>
      </c>
      <c r="B639" s="110" t="s">
        <v>279</v>
      </c>
      <c r="C639" s="110" t="s">
        <v>1095</v>
      </c>
      <c r="D639" s="111" t="s">
        <v>1070</v>
      </c>
      <c r="E639" s="112"/>
      <c r="F639" s="113" t="s">
        <v>1099</v>
      </c>
      <c r="G639" s="113">
        <v>1698.3615728300001</v>
      </c>
      <c r="H639" s="113">
        <v>2050.0079261839401</v>
      </c>
      <c r="I639" s="113">
        <v>3748.3694990139402</v>
      </c>
    </row>
    <row r="640" spans="1:9" x14ac:dyDescent="0.35">
      <c r="A640" s="109">
        <v>30425108000197</v>
      </c>
      <c r="B640" s="110" t="s">
        <v>20</v>
      </c>
      <c r="C640" s="110" t="s">
        <v>1097</v>
      </c>
      <c r="D640" s="111" t="s">
        <v>1070</v>
      </c>
      <c r="E640" s="112"/>
      <c r="F640" s="113" t="s">
        <v>1099</v>
      </c>
      <c r="G640" s="113">
        <v>558.92585123999993</v>
      </c>
      <c r="H640" s="113">
        <v>707.61142181869593</v>
      </c>
      <c r="I640" s="113">
        <v>1266.537273058696</v>
      </c>
    </row>
    <row r="641" spans="1:9" x14ac:dyDescent="0.35">
      <c r="A641" s="109">
        <v>30425108000278</v>
      </c>
      <c r="B641" s="110" t="s">
        <v>20</v>
      </c>
      <c r="C641" s="110" t="s">
        <v>1097</v>
      </c>
      <c r="D641" s="111" t="s">
        <v>1070</v>
      </c>
      <c r="E641" s="112"/>
      <c r="F641" s="113" t="s">
        <v>1099</v>
      </c>
      <c r="G641" s="113">
        <v>731.25518886999998</v>
      </c>
      <c r="H641" s="113">
        <v>1027.430627119372</v>
      </c>
      <c r="I641" s="113">
        <v>1758.685815989372</v>
      </c>
    </row>
    <row r="642" spans="1:9" x14ac:dyDescent="0.35">
      <c r="A642" s="109">
        <v>32409163000119</v>
      </c>
      <c r="B642" s="110" t="s">
        <v>36</v>
      </c>
      <c r="C642" s="110" t="s">
        <v>1095</v>
      </c>
      <c r="D642" s="111" t="s">
        <v>1070</v>
      </c>
      <c r="E642" s="112"/>
      <c r="F642" s="113" t="s">
        <v>1099</v>
      </c>
      <c r="G642" s="113">
        <v>270.87619519000003</v>
      </c>
      <c r="H642" s="113">
        <v>302.83235669588601</v>
      </c>
      <c r="I642" s="113">
        <v>573.70855188588598</v>
      </c>
    </row>
    <row r="643" spans="1:9" x14ac:dyDescent="0.35">
      <c r="A643" s="109">
        <v>33586036000158</v>
      </c>
      <c r="B643" s="110" t="s">
        <v>20</v>
      </c>
      <c r="C643" s="110" t="s">
        <v>1097</v>
      </c>
      <c r="D643" s="111" t="s">
        <v>1070</v>
      </c>
      <c r="E643" s="112"/>
      <c r="F643" s="113" t="s">
        <v>1099</v>
      </c>
      <c r="G643" s="113">
        <v>221.68960285</v>
      </c>
      <c r="H643" s="113">
        <v>70.028866571992097</v>
      </c>
      <c r="I643" s="113">
        <v>291.7184694219921</v>
      </c>
    </row>
    <row r="644" spans="1:9" x14ac:dyDescent="0.35">
      <c r="A644" s="109">
        <v>35595811000167</v>
      </c>
      <c r="B644" s="110" t="s">
        <v>20</v>
      </c>
      <c r="C644" s="110" t="s">
        <v>1097</v>
      </c>
      <c r="D644" s="111" t="s">
        <v>1070</v>
      </c>
      <c r="E644" s="112"/>
      <c r="F644" s="113" t="s">
        <v>1099</v>
      </c>
      <c r="G644" s="113">
        <v>4121.9037300700002</v>
      </c>
      <c r="H644" s="113">
        <v>3769.3275238115302</v>
      </c>
      <c r="I644" s="113">
        <v>7891.2312538815304</v>
      </c>
    </row>
    <row r="645" spans="1:9" x14ac:dyDescent="0.35">
      <c r="A645" s="109">
        <v>40735109000191</v>
      </c>
      <c r="B645" s="110" t="s">
        <v>38</v>
      </c>
      <c r="C645" s="110" t="s">
        <v>1095</v>
      </c>
      <c r="D645" s="111" t="s">
        <v>1070</v>
      </c>
      <c r="E645" s="112"/>
      <c r="F645" s="113" t="s">
        <v>1099</v>
      </c>
      <c r="G645" s="113">
        <v>506.45383294999999</v>
      </c>
      <c r="H645" s="113">
        <v>578.06326062094104</v>
      </c>
      <c r="I645" s="113">
        <v>1084.5170935709411</v>
      </c>
    </row>
    <row r="646" spans="1:9" x14ac:dyDescent="0.35">
      <c r="A646" s="109">
        <v>40883240000104</v>
      </c>
      <c r="B646" s="110" t="s">
        <v>20</v>
      </c>
      <c r="C646" s="110" t="s">
        <v>1097</v>
      </c>
      <c r="D646" s="111" t="s">
        <v>1070</v>
      </c>
      <c r="E646" s="112"/>
      <c r="F646" s="113" t="s">
        <v>1099</v>
      </c>
      <c r="G646" s="113">
        <v>1825.10850783</v>
      </c>
      <c r="H646" s="113">
        <v>2073.40333064378</v>
      </c>
      <c r="I646" s="113">
        <v>3898.5118384737798</v>
      </c>
    </row>
    <row r="647" spans="1:9" x14ac:dyDescent="0.35">
      <c r="A647" s="109">
        <v>46726427000172</v>
      </c>
      <c r="B647" s="110" t="s">
        <v>20</v>
      </c>
      <c r="C647" s="110" t="s">
        <v>1097</v>
      </c>
      <c r="D647" s="111" t="s">
        <v>1070</v>
      </c>
      <c r="E647" s="112"/>
      <c r="F647" s="113" t="s">
        <v>1099</v>
      </c>
      <c r="G647" s="113">
        <v>172.57337931999999</v>
      </c>
      <c r="H647" s="113">
        <v>289.29039464897596</v>
      </c>
      <c r="I647" s="113">
        <v>461.86377396897592</v>
      </c>
    </row>
    <row r="648" spans="1:9" x14ac:dyDescent="0.35">
      <c r="A648" s="109">
        <v>49413331000142</v>
      </c>
      <c r="B648" s="110" t="s">
        <v>64</v>
      </c>
      <c r="C648" s="110" t="s">
        <v>1095</v>
      </c>
      <c r="D648" s="111" t="s">
        <v>1070</v>
      </c>
      <c r="E648" s="112"/>
      <c r="F648" s="113" t="s">
        <v>1099</v>
      </c>
      <c r="G648" s="113">
        <v>868.32226981999997</v>
      </c>
      <c r="H648" s="113">
        <v>1152.520827880802</v>
      </c>
      <c r="I648" s="113">
        <v>2020.843097700802</v>
      </c>
    </row>
    <row r="649" spans="1:9" x14ac:dyDescent="0.35">
      <c r="A649" s="109">
        <v>52950355000226</v>
      </c>
      <c r="B649" s="110" t="s">
        <v>74</v>
      </c>
      <c r="C649" s="110" t="s">
        <v>1095</v>
      </c>
      <c r="D649" s="111" t="s">
        <v>1070</v>
      </c>
      <c r="E649" s="112"/>
      <c r="F649" s="113" t="s">
        <v>1099</v>
      </c>
      <c r="G649" s="113">
        <v>2770.1109387699998</v>
      </c>
      <c r="H649" s="113">
        <v>2366.1422596935099</v>
      </c>
      <c r="I649" s="113">
        <v>5136.2531984635098</v>
      </c>
    </row>
    <row r="650" spans="1:9" x14ac:dyDescent="0.35">
      <c r="A650" s="109">
        <v>53284997000115</v>
      </c>
      <c r="B650" s="110" t="s">
        <v>279</v>
      </c>
      <c r="C650" s="110" t="s">
        <v>1095</v>
      </c>
      <c r="D650" s="111" t="s">
        <v>1070</v>
      </c>
      <c r="E650" s="112"/>
      <c r="F650" s="113" t="s">
        <v>1099</v>
      </c>
      <c r="G650" s="113">
        <v>2173.2267172900001</v>
      </c>
      <c r="H650" s="113">
        <v>1185.2460651846579</v>
      </c>
      <c r="I650" s="113">
        <v>3358.4727824746578</v>
      </c>
    </row>
    <row r="651" spans="1:9" x14ac:dyDescent="0.35">
      <c r="A651" s="109">
        <v>54806695000122</v>
      </c>
      <c r="B651" s="110" t="s">
        <v>74</v>
      </c>
      <c r="C651" s="110" t="s">
        <v>1095</v>
      </c>
      <c r="D651" s="111" t="s">
        <v>1070</v>
      </c>
      <c r="E651" s="112"/>
      <c r="F651" s="113" t="s">
        <v>1099</v>
      </c>
      <c r="G651" s="113">
        <v>348.16100134000004</v>
      </c>
      <c r="H651" s="113">
        <v>268.70208917421303</v>
      </c>
      <c r="I651" s="113">
        <v>616.86309051421313</v>
      </c>
    </row>
    <row r="652" spans="1:9" x14ac:dyDescent="0.35">
      <c r="A652" s="109">
        <v>55133314000154</v>
      </c>
      <c r="B652" s="110" t="s">
        <v>64</v>
      </c>
      <c r="C652" s="110" t="s">
        <v>1095</v>
      </c>
      <c r="D652" s="111" t="s">
        <v>1070</v>
      </c>
      <c r="E652" s="112"/>
      <c r="F652" s="113" t="s">
        <v>1099</v>
      </c>
      <c r="G652" s="113">
        <v>222.34991664999998</v>
      </c>
      <c r="H652" s="113">
        <v>195.90677612876098</v>
      </c>
      <c r="I652" s="113">
        <v>418.25669277876096</v>
      </c>
    </row>
    <row r="653" spans="1:9" x14ac:dyDescent="0.35">
      <c r="A653" s="109">
        <v>55994018000148</v>
      </c>
      <c r="B653" s="110" t="s">
        <v>20</v>
      </c>
      <c r="C653" s="110" t="s">
        <v>1097</v>
      </c>
      <c r="D653" s="111" t="s">
        <v>1070</v>
      </c>
      <c r="E653" s="112"/>
      <c r="F653" s="113" t="s">
        <v>1099</v>
      </c>
      <c r="G653" s="113">
        <v>792.85467584000003</v>
      </c>
      <c r="H653" s="113">
        <v>1188.389712212145</v>
      </c>
      <c r="I653" s="113">
        <v>1981.244388052145</v>
      </c>
    </row>
    <row r="654" spans="1:9" x14ac:dyDescent="0.35">
      <c r="A654" s="109">
        <v>57680804000104</v>
      </c>
      <c r="B654" s="110" t="s">
        <v>33</v>
      </c>
      <c r="C654" s="110" t="s">
        <v>1095</v>
      </c>
      <c r="D654" s="111" t="s">
        <v>1070</v>
      </c>
      <c r="E654" s="112"/>
      <c r="F654" s="113" t="s">
        <v>1099</v>
      </c>
      <c r="G654" s="113">
        <v>1049.84720595</v>
      </c>
      <c r="H654" s="113">
        <v>1433.3608905788719</v>
      </c>
      <c r="I654" s="113">
        <v>2483.2080965288719</v>
      </c>
    </row>
    <row r="655" spans="1:9" x14ac:dyDescent="0.35">
      <c r="A655" s="109">
        <v>59472205000112</v>
      </c>
      <c r="B655" s="110" t="s">
        <v>16</v>
      </c>
      <c r="C655" s="110" t="s">
        <v>1095</v>
      </c>
      <c r="D655" s="111" t="s">
        <v>1070</v>
      </c>
      <c r="E655" s="112"/>
      <c r="F655" s="113" t="s">
        <v>1099</v>
      </c>
      <c r="G655" s="113">
        <v>284.31438004</v>
      </c>
      <c r="H655" s="113">
        <v>277.62748592884901</v>
      </c>
      <c r="I655" s="113">
        <v>561.94186596884902</v>
      </c>
    </row>
    <row r="656" spans="1:9" x14ac:dyDescent="0.35">
      <c r="A656" s="109">
        <v>10601751000117</v>
      </c>
      <c r="B656" s="110" t="s">
        <v>16</v>
      </c>
      <c r="C656" s="110" t="s">
        <v>1095</v>
      </c>
      <c r="D656" s="111" t="s">
        <v>1068</v>
      </c>
      <c r="E656" s="112"/>
      <c r="F656" s="113" t="s">
        <v>1096</v>
      </c>
      <c r="G656" s="113">
        <v>101.77376509999999</v>
      </c>
      <c r="H656" s="113">
        <v>0</v>
      </c>
      <c r="I656" s="113">
        <v>101.77376509999999</v>
      </c>
    </row>
    <row r="657" spans="1:9" x14ac:dyDescent="0.35">
      <c r="A657" s="109">
        <v>7382151000109</v>
      </c>
      <c r="B657" s="110" t="s">
        <v>33</v>
      </c>
      <c r="C657" s="110" t="s">
        <v>1095</v>
      </c>
      <c r="D657" s="111" t="s">
        <v>1068</v>
      </c>
      <c r="E657" s="112"/>
      <c r="F657" s="113" t="s">
        <v>1096</v>
      </c>
      <c r="G657" s="113">
        <v>385.98734852000007</v>
      </c>
      <c r="H657" s="113">
        <v>0</v>
      </c>
      <c r="I657" s="113">
        <v>385.98734852000007</v>
      </c>
    </row>
    <row r="658" spans="1:9" x14ac:dyDescent="0.35">
      <c r="A658" s="109">
        <v>27201095000168</v>
      </c>
      <c r="B658" s="110" t="s">
        <v>9</v>
      </c>
      <c r="C658" s="110" t="s">
        <v>1095</v>
      </c>
      <c r="D658" s="111" t="s">
        <v>1068</v>
      </c>
      <c r="E658" s="112"/>
      <c r="F658" s="113" t="s">
        <v>1096</v>
      </c>
      <c r="G658" s="113">
        <v>1688.45530508</v>
      </c>
      <c r="H658" s="113">
        <v>0</v>
      </c>
      <c r="I658" s="113">
        <v>1688.45530508</v>
      </c>
    </row>
    <row r="659" spans="1:9" x14ac:dyDescent="0.35">
      <c r="A659" s="109">
        <v>38662089000124</v>
      </c>
      <c r="B659" s="110" t="s">
        <v>550</v>
      </c>
      <c r="C659" s="110" t="s">
        <v>1095</v>
      </c>
      <c r="D659" s="111" t="s">
        <v>1068</v>
      </c>
      <c r="E659" s="112"/>
      <c r="F659" s="113" t="s">
        <v>1099</v>
      </c>
      <c r="G659" s="113">
        <v>263.83765046999991</v>
      </c>
      <c r="H659" s="113">
        <v>81.685118218789967</v>
      </c>
      <c r="I659" s="113">
        <v>345.52276868878988</v>
      </c>
    </row>
    <row r="660" spans="1:9" x14ac:dyDescent="0.35">
      <c r="A660" s="109">
        <v>3997842000158</v>
      </c>
      <c r="B660" s="110" t="s">
        <v>550</v>
      </c>
      <c r="C660" s="110" t="s">
        <v>1095</v>
      </c>
      <c r="D660" s="111" t="s">
        <v>1068</v>
      </c>
      <c r="E660" s="112"/>
      <c r="F660" s="113" t="s">
        <v>1099</v>
      </c>
      <c r="G660" s="113">
        <v>538.95086446000005</v>
      </c>
      <c r="H660" s="113">
        <v>33.49489350911972</v>
      </c>
      <c r="I660" s="113">
        <v>572.44575796911977</v>
      </c>
    </row>
    <row r="661" spans="1:9" x14ac:dyDescent="0.35">
      <c r="A661" s="109">
        <v>29974778000183</v>
      </c>
      <c r="B661" s="110" t="s">
        <v>36</v>
      </c>
      <c r="C661" s="110" t="s">
        <v>1095</v>
      </c>
      <c r="D661" s="111" t="s">
        <v>1068</v>
      </c>
      <c r="E661" s="112"/>
      <c r="F661" s="113" t="s">
        <v>1099</v>
      </c>
      <c r="G661" s="113">
        <v>2014.3238279399998</v>
      </c>
      <c r="H661" s="113">
        <v>1021.19780565665</v>
      </c>
      <c r="I661" s="113">
        <v>3035.5216335966497</v>
      </c>
    </row>
    <row r="662" spans="1:9" x14ac:dyDescent="0.35">
      <c r="A662" s="109">
        <v>33007949000172</v>
      </c>
      <c r="B662" s="110" t="s">
        <v>36</v>
      </c>
      <c r="C662" s="110" t="s">
        <v>1095</v>
      </c>
      <c r="D662" s="111" t="s">
        <v>1068</v>
      </c>
      <c r="E662" s="112"/>
      <c r="F662" s="113" t="s">
        <v>1099</v>
      </c>
      <c r="G662" s="113">
        <v>921.52702676999979</v>
      </c>
      <c r="H662" s="113">
        <v>409.67672054206014</v>
      </c>
      <c r="I662" s="113">
        <v>1331.2037473120599</v>
      </c>
    </row>
    <row r="663" spans="1:9" x14ac:dyDescent="0.35">
      <c r="A663" s="109">
        <v>9269723000165</v>
      </c>
      <c r="B663" s="110" t="s">
        <v>64</v>
      </c>
      <c r="C663" s="110" t="s">
        <v>1095</v>
      </c>
      <c r="D663" s="111" t="s">
        <v>1068</v>
      </c>
      <c r="E663" s="112"/>
      <c r="F663" s="113" t="s">
        <v>1099</v>
      </c>
      <c r="G663" s="113">
        <v>867.15301318000002</v>
      </c>
      <c r="H663" s="113">
        <v>342.58552823579998</v>
      </c>
      <c r="I663" s="113">
        <v>1209.7385414158</v>
      </c>
    </row>
    <row r="664" spans="1:9" x14ac:dyDescent="0.35">
      <c r="A664" s="109">
        <v>10693312000181</v>
      </c>
      <c r="B664" s="110" t="s">
        <v>64</v>
      </c>
      <c r="C664" s="110" t="s">
        <v>1095</v>
      </c>
      <c r="D664" s="111" t="s">
        <v>1068</v>
      </c>
      <c r="E664" s="112"/>
      <c r="F664" s="113" t="s">
        <v>1099</v>
      </c>
      <c r="G664" s="113">
        <v>1819.6216511700004</v>
      </c>
      <c r="H664" s="113">
        <v>431.17189543209997</v>
      </c>
      <c r="I664" s="113">
        <v>2250.7935466021004</v>
      </c>
    </row>
    <row r="665" spans="1:9" x14ac:dyDescent="0.35">
      <c r="A665" s="109">
        <v>18645755000109</v>
      </c>
      <c r="B665" s="110" t="s">
        <v>9</v>
      </c>
      <c r="C665" s="110" t="s">
        <v>1095</v>
      </c>
      <c r="D665" s="111" t="s">
        <v>1068</v>
      </c>
      <c r="E665" s="112" t="s">
        <v>1005</v>
      </c>
      <c r="F665" s="113" t="s">
        <v>1098</v>
      </c>
      <c r="G665" s="113">
        <v>1782.1589800799998</v>
      </c>
      <c r="H665" s="113">
        <v>1648.563291074372</v>
      </c>
      <c r="I665" s="113">
        <v>3430.7222711543718</v>
      </c>
    </row>
    <row r="666" spans="1:9" x14ac:dyDescent="0.35">
      <c r="A666" s="109">
        <v>7211143000191</v>
      </c>
      <c r="B666" s="110" t="s">
        <v>38</v>
      </c>
      <c r="C666" s="110" t="s">
        <v>1095</v>
      </c>
      <c r="D666" s="111" t="s">
        <v>1068</v>
      </c>
      <c r="E666" s="112"/>
      <c r="F666" s="113" t="s">
        <v>1100</v>
      </c>
      <c r="G666" s="113">
        <v>0</v>
      </c>
      <c r="H666" s="113">
        <v>352.59590272180799</v>
      </c>
      <c r="I666" s="113">
        <v>352.59590272180799</v>
      </c>
    </row>
    <row r="667" spans="1:9" x14ac:dyDescent="0.35">
      <c r="A667" s="109">
        <v>10693312000505</v>
      </c>
      <c r="B667" s="110" t="s">
        <v>64</v>
      </c>
      <c r="C667" s="110" t="s">
        <v>1095</v>
      </c>
      <c r="D667" s="111" t="s">
        <v>1068</v>
      </c>
      <c r="E667" s="112"/>
      <c r="F667" s="113" t="s">
        <v>1099</v>
      </c>
      <c r="G667" s="113">
        <v>6616.8265300599996</v>
      </c>
      <c r="H667" s="113">
        <v>2109.3062791763296</v>
      </c>
      <c r="I667" s="113">
        <v>8726.1328092363292</v>
      </c>
    </row>
    <row r="668" spans="1:9" x14ac:dyDescent="0.35">
      <c r="A668" s="109">
        <v>10588126000263</v>
      </c>
      <c r="B668" s="110" t="s">
        <v>20</v>
      </c>
      <c r="C668" s="110" t="s">
        <v>1097</v>
      </c>
      <c r="D668" s="111" t="s">
        <v>1068</v>
      </c>
      <c r="E668" s="112"/>
      <c r="F668" s="113" t="s">
        <v>1099</v>
      </c>
      <c r="G668" s="113">
        <v>6982.6986500399998</v>
      </c>
      <c r="H668" s="113">
        <v>1526.78618702329</v>
      </c>
      <c r="I668" s="113">
        <v>8509.4848370632899</v>
      </c>
    </row>
    <row r="669" spans="1:9" x14ac:dyDescent="0.35">
      <c r="A669" s="109">
        <v>13079901000162</v>
      </c>
      <c r="B669" s="110" t="s">
        <v>20</v>
      </c>
      <c r="C669" s="110" t="s">
        <v>1097</v>
      </c>
      <c r="D669" s="111" t="s">
        <v>1068</v>
      </c>
      <c r="E669" s="112"/>
      <c r="F669" s="113" t="s">
        <v>1099</v>
      </c>
      <c r="G669" s="113">
        <v>261.43891451000002</v>
      </c>
      <c r="H669" s="113">
        <v>465.18014666601891</v>
      </c>
      <c r="I669" s="113">
        <v>726.61906117601893</v>
      </c>
    </row>
    <row r="670" spans="1:9" x14ac:dyDescent="0.35">
      <c r="A670" s="109">
        <v>18645755000290</v>
      </c>
      <c r="B670" s="110" t="s">
        <v>9</v>
      </c>
      <c r="C670" s="110" t="s">
        <v>1095</v>
      </c>
      <c r="D670" s="111" t="s">
        <v>1068</v>
      </c>
      <c r="E670" s="112" t="s">
        <v>1005</v>
      </c>
      <c r="F670" s="113" t="s">
        <v>1098</v>
      </c>
      <c r="G670" s="113">
        <v>3138.54026849</v>
      </c>
      <c r="H670" s="113">
        <v>1648.563291074372</v>
      </c>
      <c r="I670" s="113">
        <v>4787.1035595643716</v>
      </c>
    </row>
    <row r="671" spans="1:9" x14ac:dyDescent="0.35">
      <c r="A671" s="109">
        <v>8464650000108</v>
      </c>
      <c r="B671" s="110" t="s">
        <v>36</v>
      </c>
      <c r="C671" s="110" t="s">
        <v>1095</v>
      </c>
      <c r="D671" s="111" t="s">
        <v>1068</v>
      </c>
      <c r="E671" s="112"/>
      <c r="F671" s="113" t="s">
        <v>1099</v>
      </c>
      <c r="G671" s="113">
        <v>1344.73415041</v>
      </c>
      <c r="H671" s="113">
        <v>359.33830209073221</v>
      </c>
      <c r="I671" s="113">
        <v>1704.0724525007322</v>
      </c>
    </row>
    <row r="672" spans="1:9" x14ac:dyDescent="0.35">
      <c r="A672" s="109">
        <v>546706000153</v>
      </c>
      <c r="B672" s="110" t="s">
        <v>20</v>
      </c>
      <c r="C672" s="110" t="s">
        <v>1097</v>
      </c>
      <c r="D672" s="111" t="s">
        <v>1068</v>
      </c>
      <c r="E672" s="112"/>
      <c r="F672" s="113" t="s">
        <v>1099</v>
      </c>
      <c r="G672" s="113">
        <v>2413.1882279199999</v>
      </c>
      <c r="H672" s="113">
        <v>621.48093251326009</v>
      </c>
      <c r="I672" s="113">
        <v>3034.66916043326</v>
      </c>
    </row>
    <row r="673" spans="1:9" x14ac:dyDescent="0.35">
      <c r="A673" s="109">
        <v>10588126000182</v>
      </c>
      <c r="B673" s="110" t="s">
        <v>20</v>
      </c>
      <c r="C673" s="110" t="s">
        <v>1097</v>
      </c>
      <c r="D673" s="111" t="s">
        <v>1068</v>
      </c>
      <c r="E673" s="112"/>
      <c r="F673" s="113" t="s">
        <v>1099</v>
      </c>
      <c r="G673" s="113">
        <v>6756.9737970700007</v>
      </c>
      <c r="H673" s="113">
        <v>6992.2026695737404</v>
      </c>
      <c r="I673" s="113">
        <v>13749.176466643741</v>
      </c>
    </row>
    <row r="674" spans="1:9" x14ac:dyDescent="0.35">
      <c r="A674" s="109">
        <v>18723666000133</v>
      </c>
      <c r="B674" s="110" t="s">
        <v>33</v>
      </c>
      <c r="C674" s="110" t="s">
        <v>1095</v>
      </c>
      <c r="D674" s="111" t="s">
        <v>1068</v>
      </c>
      <c r="E674" s="112"/>
      <c r="F674" s="113" t="s">
        <v>1099</v>
      </c>
      <c r="G674" s="113">
        <v>3086.9839214399999</v>
      </c>
      <c r="H674" s="113">
        <v>1848.3398885101103</v>
      </c>
      <c r="I674" s="113">
        <v>4935.3238099501104</v>
      </c>
    </row>
    <row r="675" spans="1:9" x14ac:dyDescent="0.35">
      <c r="A675" s="109">
        <v>11051538000141</v>
      </c>
      <c r="B675" s="110" t="s">
        <v>9</v>
      </c>
      <c r="C675" s="110" t="s">
        <v>1095</v>
      </c>
      <c r="D675" s="111" t="s">
        <v>1068</v>
      </c>
      <c r="E675" s="112"/>
      <c r="F675" s="113" t="s">
        <v>1099</v>
      </c>
      <c r="G675" s="113">
        <v>4956.52374323</v>
      </c>
      <c r="H675" s="113">
        <v>2864.3494789552606</v>
      </c>
      <c r="I675" s="113">
        <v>7820.8732221852606</v>
      </c>
    </row>
    <row r="676" spans="1:9" x14ac:dyDescent="0.35">
      <c r="A676" s="109">
        <v>7243216000127</v>
      </c>
      <c r="B676" s="110" t="s">
        <v>38</v>
      </c>
      <c r="C676" s="110" t="s">
        <v>1095</v>
      </c>
      <c r="D676" s="111" t="s">
        <v>1068</v>
      </c>
      <c r="E676" s="112"/>
      <c r="F676" s="113" t="s">
        <v>1099</v>
      </c>
      <c r="G676" s="113">
        <v>1228.2422100199997</v>
      </c>
      <c r="H676" s="113">
        <v>1481.6116200112699</v>
      </c>
      <c r="I676" s="113">
        <v>2709.8538300312694</v>
      </c>
    </row>
    <row r="677" spans="1:9" x14ac:dyDescent="0.35">
      <c r="A677" s="109">
        <v>28031224000180</v>
      </c>
      <c r="B677" s="110" t="s">
        <v>16</v>
      </c>
      <c r="C677" s="110" t="s">
        <v>1095</v>
      </c>
      <c r="D677" s="111" t="s">
        <v>1068</v>
      </c>
      <c r="E677" s="112"/>
      <c r="F677" s="113" t="s">
        <v>1099</v>
      </c>
      <c r="G677" s="113">
        <v>2574.8959252200002</v>
      </c>
      <c r="H677" s="113">
        <v>2445.6573980419003</v>
      </c>
      <c r="I677" s="113">
        <v>5020.5533232619</v>
      </c>
    </row>
    <row r="678" spans="1:9" x14ac:dyDescent="0.35">
      <c r="A678" s="109">
        <v>18645755000451</v>
      </c>
      <c r="B678" s="110" t="s">
        <v>9</v>
      </c>
      <c r="C678" s="110" t="s">
        <v>1095</v>
      </c>
      <c r="D678" s="111" t="s">
        <v>1068</v>
      </c>
      <c r="E678" s="112" t="s">
        <v>1005</v>
      </c>
      <c r="F678" s="113" t="s">
        <v>1098</v>
      </c>
      <c r="G678" s="113">
        <v>2674.1836007599995</v>
      </c>
      <c r="H678" s="113">
        <v>1648.563291074372</v>
      </c>
      <c r="I678" s="113">
        <v>4322.7468918343711</v>
      </c>
    </row>
    <row r="679" spans="1:9" x14ac:dyDescent="0.35">
      <c r="A679" s="109">
        <v>51945744000110</v>
      </c>
      <c r="B679" s="110" t="s">
        <v>74</v>
      </c>
      <c r="C679" s="110" t="s">
        <v>1095</v>
      </c>
      <c r="D679" s="111" t="s">
        <v>1068</v>
      </c>
      <c r="E679" s="112"/>
      <c r="F679" s="113" t="s">
        <v>1099</v>
      </c>
      <c r="G679" s="113">
        <v>1492.2448012099999</v>
      </c>
      <c r="H679" s="113">
        <v>667.06598804153418</v>
      </c>
      <c r="I679" s="113">
        <v>2159.3107892515341</v>
      </c>
    </row>
    <row r="680" spans="1:9" x14ac:dyDescent="0.35">
      <c r="A680" s="109">
        <v>23088454000161</v>
      </c>
      <c r="B680" s="110" t="s">
        <v>36</v>
      </c>
      <c r="C680" s="110" t="s">
        <v>1095</v>
      </c>
      <c r="D680" s="111" t="s">
        <v>1068</v>
      </c>
      <c r="E680" s="112"/>
      <c r="F680" s="113" t="s">
        <v>1099</v>
      </c>
      <c r="G680" s="113">
        <v>1278.8433878000001</v>
      </c>
      <c r="H680" s="113">
        <v>1377.7259320559297</v>
      </c>
      <c r="I680" s="113">
        <v>2656.5693198559297</v>
      </c>
    </row>
    <row r="681" spans="1:9" x14ac:dyDescent="0.35">
      <c r="A681" s="109">
        <v>32162131000161</v>
      </c>
      <c r="B681" s="110" t="s">
        <v>9</v>
      </c>
      <c r="C681" s="110" t="s">
        <v>1095</v>
      </c>
      <c r="D681" s="111" t="s">
        <v>1068</v>
      </c>
      <c r="E681" s="112"/>
      <c r="F681" s="113" t="s">
        <v>1099</v>
      </c>
      <c r="G681" s="113">
        <v>6278.7155584100001</v>
      </c>
      <c r="H681" s="113">
        <v>2712.4015116389005</v>
      </c>
      <c r="I681" s="113">
        <v>8991.1170700489001</v>
      </c>
    </row>
    <row r="682" spans="1:9" x14ac:dyDescent="0.35">
      <c r="A682" s="109">
        <v>26495088000153</v>
      </c>
      <c r="B682" s="110" t="s">
        <v>16</v>
      </c>
      <c r="C682" s="110" t="s">
        <v>1095</v>
      </c>
      <c r="D682" s="111" t="s">
        <v>1068</v>
      </c>
      <c r="E682" s="112"/>
      <c r="F682" s="113" t="s">
        <v>1099</v>
      </c>
      <c r="G682" s="113">
        <v>1098.3508311999999</v>
      </c>
      <c r="H682" s="113">
        <v>1057.86276812197</v>
      </c>
      <c r="I682" s="113">
        <v>2156.2135993219699</v>
      </c>
    </row>
    <row r="683" spans="1:9" x14ac:dyDescent="0.35">
      <c r="A683" s="109">
        <v>4965393000129</v>
      </c>
      <c r="B683" s="110" t="s">
        <v>74</v>
      </c>
      <c r="C683" s="110" t="s">
        <v>1095</v>
      </c>
      <c r="D683" s="111" t="s">
        <v>1068</v>
      </c>
      <c r="E683" s="112"/>
      <c r="F683" s="113" t="s">
        <v>1099</v>
      </c>
      <c r="G683" s="113">
        <v>8813.0222580499994</v>
      </c>
      <c r="H683" s="113">
        <v>3097.9103289514396</v>
      </c>
      <c r="I683" s="113">
        <v>11910.93258700144</v>
      </c>
    </row>
    <row r="684" spans="1:9" x14ac:dyDescent="0.35">
      <c r="A684" s="109">
        <v>2736133000156</v>
      </c>
      <c r="B684" s="110" t="s">
        <v>190</v>
      </c>
      <c r="C684" s="110" t="s">
        <v>1095</v>
      </c>
      <c r="D684" s="111" t="s">
        <v>1068</v>
      </c>
      <c r="E684" s="112"/>
      <c r="F684" s="113" t="s">
        <v>1099</v>
      </c>
      <c r="G684" s="113">
        <v>908.14792152999996</v>
      </c>
      <c r="H684" s="113">
        <v>929.80676122990212</v>
      </c>
      <c r="I684" s="113">
        <v>1837.954682759902</v>
      </c>
    </row>
    <row r="685" spans="1:9" x14ac:dyDescent="0.35">
      <c r="A685" s="109">
        <v>4252211000172</v>
      </c>
      <c r="B685" s="110" t="s">
        <v>16</v>
      </c>
      <c r="C685" s="110" t="s">
        <v>1095</v>
      </c>
      <c r="D685" s="111" t="s">
        <v>1068</v>
      </c>
      <c r="E685" s="112"/>
      <c r="F685" s="113" t="s">
        <v>1099</v>
      </c>
      <c r="G685" s="113">
        <v>4977.601854909999</v>
      </c>
      <c r="H685" s="113">
        <v>3307.6472960938499</v>
      </c>
      <c r="I685" s="113">
        <v>8285.249151003849</v>
      </c>
    </row>
    <row r="686" spans="1:9" x14ac:dyDescent="0.35">
      <c r="A686" s="109">
        <v>7220741000127</v>
      </c>
      <c r="B686" s="110" t="s">
        <v>36</v>
      </c>
      <c r="C686" s="110" t="s">
        <v>1095</v>
      </c>
      <c r="D686" s="111" t="s">
        <v>1068</v>
      </c>
      <c r="E686" s="112"/>
      <c r="F686" s="113" t="s">
        <v>1099</v>
      </c>
      <c r="G686" s="113">
        <v>2643.9633024899999</v>
      </c>
      <c r="H686" s="113">
        <v>1416.8035503168203</v>
      </c>
      <c r="I686" s="113">
        <v>4060.7668528068202</v>
      </c>
    </row>
    <row r="687" spans="1:9" x14ac:dyDescent="0.35">
      <c r="A687" s="109">
        <v>1987999000177</v>
      </c>
      <c r="B687" s="110" t="s">
        <v>621</v>
      </c>
      <c r="C687" s="110" t="s">
        <v>1095</v>
      </c>
      <c r="D687" s="111" t="s">
        <v>1068</v>
      </c>
      <c r="E687" s="112"/>
      <c r="F687" s="113" t="s">
        <v>1099</v>
      </c>
      <c r="G687" s="113">
        <v>1481.66749635</v>
      </c>
      <c r="H687" s="113">
        <v>1417.5976753206398</v>
      </c>
      <c r="I687" s="113">
        <v>2899.2651716706396</v>
      </c>
    </row>
    <row r="688" spans="1:9" x14ac:dyDescent="0.35">
      <c r="A688" s="109">
        <v>45665886000120</v>
      </c>
      <c r="B688" s="110" t="s">
        <v>36</v>
      </c>
      <c r="C688" s="110" t="s">
        <v>1095</v>
      </c>
      <c r="D688" s="111" t="s">
        <v>1068</v>
      </c>
      <c r="E688" s="112"/>
      <c r="F688" s="113" t="s">
        <v>1099</v>
      </c>
      <c r="G688" s="113">
        <v>3583.3580801799999</v>
      </c>
      <c r="H688" s="113">
        <v>953.81185211007414</v>
      </c>
      <c r="I688" s="113">
        <v>4537.169932290074</v>
      </c>
    </row>
    <row r="689" spans="1:9" x14ac:dyDescent="0.35">
      <c r="A689" s="109">
        <v>18645755000532</v>
      </c>
      <c r="B689" s="110" t="s">
        <v>9</v>
      </c>
      <c r="C689" s="110" t="s">
        <v>1095</v>
      </c>
      <c r="D689" s="111" t="s">
        <v>1068</v>
      </c>
      <c r="E689" s="112" t="s">
        <v>1005</v>
      </c>
      <c r="F689" s="113" t="s">
        <v>1098</v>
      </c>
      <c r="G689" s="113">
        <v>706.56958960000009</v>
      </c>
      <c r="H689" s="113">
        <v>1648.563291074372</v>
      </c>
      <c r="I689" s="113">
        <v>2355.1328806743722</v>
      </c>
    </row>
    <row r="690" spans="1:9" x14ac:dyDescent="0.35">
      <c r="A690" s="109">
        <v>1069181000175</v>
      </c>
      <c r="B690" s="110" t="s">
        <v>20</v>
      </c>
      <c r="C690" s="110" t="s">
        <v>1097</v>
      </c>
      <c r="D690" s="111" t="s">
        <v>1068</v>
      </c>
      <c r="E690" s="112"/>
      <c r="F690" s="113" t="s">
        <v>1099</v>
      </c>
      <c r="G690" s="113">
        <v>261.03171959999997</v>
      </c>
      <c r="H690" s="113">
        <v>132.128950047431</v>
      </c>
      <c r="I690" s="113">
        <v>393.16066964743095</v>
      </c>
    </row>
    <row r="691" spans="1:9" x14ac:dyDescent="0.35">
      <c r="A691" s="109">
        <v>1323294000155</v>
      </c>
      <c r="B691" s="110" t="s">
        <v>20</v>
      </c>
      <c r="C691" s="110" t="s">
        <v>1097</v>
      </c>
      <c r="D691" s="111" t="s">
        <v>1068</v>
      </c>
      <c r="E691" s="112"/>
      <c r="F691" s="113" t="s">
        <v>1099</v>
      </c>
      <c r="G691" s="113">
        <v>295.01427142999995</v>
      </c>
      <c r="H691" s="113">
        <v>99.761717673242103</v>
      </c>
      <c r="I691" s="113">
        <v>394.77598910324207</v>
      </c>
    </row>
    <row r="692" spans="1:9" x14ac:dyDescent="0.35">
      <c r="A692" s="109">
        <v>1897271000154</v>
      </c>
      <c r="B692" s="110" t="s">
        <v>20</v>
      </c>
      <c r="C692" s="110" t="s">
        <v>1097</v>
      </c>
      <c r="D692" s="111" t="s">
        <v>1068</v>
      </c>
      <c r="E692" s="112"/>
      <c r="F692" s="113" t="s">
        <v>1099</v>
      </c>
      <c r="G692" s="113">
        <v>956.97962138000003</v>
      </c>
      <c r="H692" s="113">
        <v>1072.0010432860079</v>
      </c>
      <c r="I692" s="113">
        <v>2028.9806646660079</v>
      </c>
    </row>
    <row r="693" spans="1:9" x14ac:dyDescent="0.35">
      <c r="A693" s="109">
        <v>2553791000102</v>
      </c>
      <c r="B693" s="110" t="s">
        <v>20</v>
      </c>
      <c r="C693" s="110" t="s">
        <v>1097</v>
      </c>
      <c r="D693" s="111" t="s">
        <v>1068</v>
      </c>
      <c r="E693" s="112"/>
      <c r="F693" s="113" t="s">
        <v>1099</v>
      </c>
      <c r="G693" s="113">
        <v>1484.3100289700001</v>
      </c>
      <c r="H693" s="113">
        <v>1380.0765339151699</v>
      </c>
      <c r="I693" s="113">
        <v>2864.38656288517</v>
      </c>
    </row>
    <row r="694" spans="1:9" x14ac:dyDescent="0.35">
      <c r="A694" s="109">
        <v>3110652000177</v>
      </c>
      <c r="B694" s="110" t="s">
        <v>33</v>
      </c>
      <c r="C694" s="110" t="s">
        <v>1095</v>
      </c>
      <c r="D694" s="111" t="s">
        <v>1068</v>
      </c>
      <c r="E694" s="112"/>
      <c r="F694" s="113" t="s">
        <v>1099</v>
      </c>
      <c r="G694" s="113">
        <v>809.48020039000005</v>
      </c>
      <c r="H694" s="113">
        <v>1135.7207861841989</v>
      </c>
      <c r="I694" s="113">
        <v>1945.2009865741989</v>
      </c>
    </row>
    <row r="695" spans="1:9" x14ac:dyDescent="0.35">
      <c r="A695" s="109">
        <v>3141355000199</v>
      </c>
      <c r="B695" s="110" t="s">
        <v>20</v>
      </c>
      <c r="C695" s="110" t="s">
        <v>1097</v>
      </c>
      <c r="D695" s="111" t="s">
        <v>1068</v>
      </c>
      <c r="E695" s="112"/>
      <c r="F695" s="113" t="s">
        <v>1099</v>
      </c>
      <c r="G695" s="113">
        <v>345.24238564999996</v>
      </c>
      <c r="H695" s="113">
        <v>580.78624023651798</v>
      </c>
      <c r="I695" s="113">
        <v>926.02862588651794</v>
      </c>
    </row>
    <row r="696" spans="1:9" x14ac:dyDescent="0.35">
      <c r="A696" s="109">
        <v>4225403000190</v>
      </c>
      <c r="B696" s="110" t="s">
        <v>20</v>
      </c>
      <c r="C696" s="110" t="s">
        <v>1097</v>
      </c>
      <c r="D696" s="111" t="s">
        <v>1068</v>
      </c>
      <c r="E696" s="112"/>
      <c r="F696" s="113" t="s">
        <v>1099</v>
      </c>
      <c r="G696" s="113">
        <v>2497.6074880600004</v>
      </c>
      <c r="H696" s="113">
        <v>1198.5281097637449</v>
      </c>
      <c r="I696" s="113">
        <v>3696.1355978237452</v>
      </c>
    </row>
    <row r="697" spans="1:9" x14ac:dyDescent="0.35">
      <c r="A697" s="109">
        <v>4986853000103</v>
      </c>
      <c r="B697" s="110" t="s">
        <v>20</v>
      </c>
      <c r="C697" s="110" t="s">
        <v>1097</v>
      </c>
      <c r="D697" s="111" t="s">
        <v>1068</v>
      </c>
      <c r="E697" s="112"/>
      <c r="F697" s="113" t="s">
        <v>1099</v>
      </c>
      <c r="G697" s="113">
        <v>5496.473924670001</v>
      </c>
      <c r="H697" s="113">
        <v>2776.3903252714304</v>
      </c>
      <c r="I697" s="113">
        <v>8272.8642499414309</v>
      </c>
    </row>
    <row r="698" spans="1:9" x14ac:dyDescent="0.35">
      <c r="A698" s="109">
        <v>5006001000167</v>
      </c>
      <c r="B698" s="110" t="s">
        <v>20</v>
      </c>
      <c r="C698" s="110" t="s">
        <v>1097</v>
      </c>
      <c r="D698" s="111" t="s">
        <v>1068</v>
      </c>
      <c r="E698" s="112"/>
      <c r="F698" s="113" t="s">
        <v>1099</v>
      </c>
      <c r="G698" s="113">
        <v>5124.7153821299999</v>
      </c>
      <c r="H698" s="113">
        <v>4373.2968299987397</v>
      </c>
      <c r="I698" s="113">
        <v>9498.0122121287386</v>
      </c>
    </row>
    <row r="699" spans="1:9" x14ac:dyDescent="0.35">
      <c r="A699" s="109">
        <v>5528457000197</v>
      </c>
      <c r="B699" s="110" t="s">
        <v>20</v>
      </c>
      <c r="C699" s="110" t="s">
        <v>1097</v>
      </c>
      <c r="D699" s="111" t="s">
        <v>1068</v>
      </c>
      <c r="E699" s="112"/>
      <c r="F699" s="113" t="s">
        <v>1099</v>
      </c>
      <c r="G699" s="113">
        <v>636.99667261000002</v>
      </c>
      <c r="H699" s="113">
        <v>1003.237830570093</v>
      </c>
      <c r="I699" s="113">
        <v>1640.234503180093</v>
      </c>
    </row>
    <row r="700" spans="1:9" x14ac:dyDescent="0.35">
      <c r="A700" s="109">
        <v>5639734000139</v>
      </c>
      <c r="B700" s="110" t="s">
        <v>33</v>
      </c>
      <c r="C700" s="110" t="s">
        <v>1095</v>
      </c>
      <c r="D700" s="111" t="s">
        <v>1068</v>
      </c>
      <c r="E700" s="112"/>
      <c r="F700" s="113" t="s">
        <v>1099</v>
      </c>
      <c r="G700" s="113">
        <v>648.59850055000004</v>
      </c>
      <c r="H700" s="113">
        <v>785.93639525711399</v>
      </c>
      <c r="I700" s="113">
        <v>1434.534895807114</v>
      </c>
    </row>
    <row r="701" spans="1:9" x14ac:dyDescent="0.35">
      <c r="A701" s="109">
        <v>6350948000153</v>
      </c>
      <c r="B701" s="110" t="s">
        <v>9</v>
      </c>
      <c r="C701" s="110" t="s">
        <v>1095</v>
      </c>
      <c r="D701" s="111" t="s">
        <v>1068</v>
      </c>
      <c r="E701" s="112"/>
      <c r="F701" s="113" t="s">
        <v>1099</v>
      </c>
      <c r="G701" s="113">
        <v>4977.5250704700002</v>
      </c>
      <c r="H701" s="113">
        <v>1903.5884780525701</v>
      </c>
      <c r="I701" s="113">
        <v>6881.1135485225705</v>
      </c>
    </row>
    <row r="702" spans="1:9" x14ac:dyDescent="0.35">
      <c r="A702" s="109">
        <v>7113333000176</v>
      </c>
      <c r="B702" s="110" t="s">
        <v>229</v>
      </c>
      <c r="C702" s="110" t="s">
        <v>1095</v>
      </c>
      <c r="D702" s="111" t="s">
        <v>1068</v>
      </c>
      <c r="E702" s="112"/>
      <c r="F702" s="113" t="s">
        <v>1099</v>
      </c>
      <c r="G702" s="113">
        <v>1549.8824243199999</v>
      </c>
      <c r="H702" s="113">
        <v>1191.875906251415</v>
      </c>
      <c r="I702" s="113">
        <v>2741.7583305714152</v>
      </c>
    </row>
    <row r="703" spans="1:9" x14ac:dyDescent="0.35">
      <c r="A703" s="109">
        <v>7272090000119</v>
      </c>
      <c r="B703" s="110" t="s">
        <v>20</v>
      </c>
      <c r="C703" s="110" t="s">
        <v>1097</v>
      </c>
      <c r="D703" s="111" t="s">
        <v>1068</v>
      </c>
      <c r="E703" s="112"/>
      <c r="F703" s="113" t="s">
        <v>1099</v>
      </c>
      <c r="G703" s="113">
        <v>883.56944288</v>
      </c>
      <c r="H703" s="113">
        <v>888.51727144717506</v>
      </c>
      <c r="I703" s="113">
        <v>1772.0867143271751</v>
      </c>
    </row>
    <row r="704" spans="1:9" x14ac:dyDescent="0.35">
      <c r="A704" s="109">
        <v>7754019000172</v>
      </c>
      <c r="B704" s="110" t="s">
        <v>20</v>
      </c>
      <c r="C704" s="110" t="s">
        <v>1097</v>
      </c>
      <c r="D704" s="111" t="s">
        <v>1068</v>
      </c>
      <c r="E704" s="112"/>
      <c r="F704" s="113" t="s">
        <v>1099</v>
      </c>
      <c r="G704" s="113">
        <v>912.94311674000005</v>
      </c>
      <c r="H704" s="113">
        <v>900.40852103682596</v>
      </c>
      <c r="I704" s="113">
        <v>1813.351637776826</v>
      </c>
    </row>
    <row r="705" spans="1:9" x14ac:dyDescent="0.35">
      <c r="A705" s="109">
        <v>7917231000103</v>
      </c>
      <c r="B705" s="110" t="s">
        <v>20</v>
      </c>
      <c r="C705" s="110" t="s">
        <v>1097</v>
      </c>
      <c r="D705" s="111" t="s">
        <v>1068</v>
      </c>
      <c r="E705" s="112"/>
      <c r="F705" s="113" t="s">
        <v>1099</v>
      </c>
      <c r="G705" s="113">
        <v>1371.9469294099999</v>
      </c>
      <c r="H705" s="113">
        <v>1061.919407621458</v>
      </c>
      <c r="I705" s="113">
        <v>2433.866337031458</v>
      </c>
    </row>
    <row r="706" spans="1:9" x14ac:dyDescent="0.35">
      <c r="A706" s="109">
        <v>8954076000168</v>
      </c>
      <c r="B706" s="110" t="s">
        <v>64</v>
      </c>
      <c r="C706" s="110" t="s">
        <v>1095</v>
      </c>
      <c r="D706" s="111" t="s">
        <v>1068</v>
      </c>
      <c r="E706" s="112"/>
      <c r="F706" s="113" t="s">
        <v>1099</v>
      </c>
      <c r="G706" s="113">
        <v>1664.1956980699999</v>
      </c>
      <c r="H706" s="113">
        <v>1981.7965482191801</v>
      </c>
      <c r="I706" s="113">
        <v>3645.99224628918</v>
      </c>
    </row>
    <row r="707" spans="1:9" x14ac:dyDescent="0.35">
      <c r="A707" s="109">
        <v>8954076000320</v>
      </c>
      <c r="B707" s="110" t="s">
        <v>64</v>
      </c>
      <c r="C707" s="110" t="s">
        <v>1095</v>
      </c>
      <c r="D707" s="111" t="s">
        <v>1068</v>
      </c>
      <c r="E707" s="112"/>
      <c r="F707" s="113" t="s">
        <v>1099</v>
      </c>
      <c r="G707" s="113">
        <v>2682.3151511800002</v>
      </c>
      <c r="H707" s="113">
        <v>3322.9301596038999</v>
      </c>
      <c r="I707" s="113">
        <v>6005.2453107839001</v>
      </c>
    </row>
    <row r="708" spans="1:9" x14ac:dyDescent="0.35">
      <c r="A708" s="109">
        <v>8954076000400</v>
      </c>
      <c r="B708" s="110" t="s">
        <v>64</v>
      </c>
      <c r="C708" s="110" t="s">
        <v>1095</v>
      </c>
      <c r="D708" s="111" t="s">
        <v>1068</v>
      </c>
      <c r="E708" s="112"/>
      <c r="F708" s="113" t="s">
        <v>1099</v>
      </c>
      <c r="G708" s="113">
        <v>1252.5576014800001</v>
      </c>
      <c r="H708" s="113">
        <v>896.11331975626899</v>
      </c>
      <c r="I708" s="113">
        <v>2148.6709212362694</v>
      </c>
    </row>
    <row r="709" spans="1:9" x14ac:dyDescent="0.35">
      <c r="A709" s="109">
        <v>9112212000216</v>
      </c>
      <c r="B709" s="110" t="s">
        <v>36</v>
      </c>
      <c r="C709" s="110" t="s">
        <v>1095</v>
      </c>
      <c r="D709" s="111" t="s">
        <v>1068</v>
      </c>
      <c r="E709" s="112"/>
      <c r="F709" s="113" t="s">
        <v>1099</v>
      </c>
      <c r="G709" s="113">
        <v>4277.72613963</v>
      </c>
      <c r="H709" s="113">
        <v>4749.81733495567</v>
      </c>
      <c r="I709" s="113">
        <v>9027.5434745856692</v>
      </c>
    </row>
    <row r="710" spans="1:9" x14ac:dyDescent="0.35">
      <c r="A710" s="109">
        <v>9137352000168</v>
      </c>
      <c r="B710" s="110" t="s">
        <v>20</v>
      </c>
      <c r="C710" s="110" t="s">
        <v>1097</v>
      </c>
      <c r="D710" s="111" t="s">
        <v>1068</v>
      </c>
      <c r="E710" s="112"/>
      <c r="F710" s="113" t="s">
        <v>1099</v>
      </c>
      <c r="G710" s="113">
        <v>32.16809507</v>
      </c>
      <c r="H710" s="113">
        <v>119.14948048855899</v>
      </c>
      <c r="I710" s="113">
        <v>151.31757555855899</v>
      </c>
    </row>
    <row r="711" spans="1:9" x14ac:dyDescent="0.35">
      <c r="A711" s="109">
        <v>9364347000198</v>
      </c>
      <c r="B711" s="110" t="s">
        <v>20</v>
      </c>
      <c r="C711" s="110" t="s">
        <v>1097</v>
      </c>
      <c r="D711" s="111" t="s">
        <v>1068</v>
      </c>
      <c r="E711" s="112"/>
      <c r="F711" s="113" t="s">
        <v>1099</v>
      </c>
      <c r="G711" s="113">
        <v>672.12521275999995</v>
      </c>
      <c r="H711" s="113">
        <v>1070.853407659999</v>
      </c>
      <c r="I711" s="113">
        <v>1742.9786204199991</v>
      </c>
    </row>
    <row r="712" spans="1:9" x14ac:dyDescent="0.35">
      <c r="A712" s="109">
        <v>9559619000105</v>
      </c>
      <c r="B712" s="110" t="s">
        <v>36</v>
      </c>
      <c r="C712" s="110" t="s">
        <v>1095</v>
      </c>
      <c r="D712" s="111" t="s">
        <v>1068</v>
      </c>
      <c r="E712" s="112"/>
      <c r="F712" s="113" t="s">
        <v>1099</v>
      </c>
      <c r="G712" s="113">
        <v>2431.0307455499997</v>
      </c>
      <c r="H712" s="113">
        <v>2154.9186788052598</v>
      </c>
      <c r="I712" s="113">
        <v>4585.9494243552599</v>
      </c>
    </row>
    <row r="713" spans="1:9" x14ac:dyDescent="0.35">
      <c r="A713" s="109">
        <v>9583797000171</v>
      </c>
      <c r="B713" s="110" t="s">
        <v>20</v>
      </c>
      <c r="C713" s="110" t="s">
        <v>1097</v>
      </c>
      <c r="D713" s="111" t="s">
        <v>1068</v>
      </c>
      <c r="E713" s="112"/>
      <c r="F713" s="113" t="s">
        <v>1099</v>
      </c>
      <c r="G713" s="113">
        <v>544.84306708999998</v>
      </c>
      <c r="H713" s="113">
        <v>1208.3451927322299</v>
      </c>
      <c r="I713" s="113">
        <v>1753.1882598222298</v>
      </c>
    </row>
    <row r="714" spans="1:9" x14ac:dyDescent="0.35">
      <c r="A714" s="109">
        <v>9607825000143</v>
      </c>
      <c r="B714" s="110" t="s">
        <v>20</v>
      </c>
      <c r="C714" s="110" t="s">
        <v>1097</v>
      </c>
      <c r="D714" s="111" t="s">
        <v>1068</v>
      </c>
      <c r="E714" s="112"/>
      <c r="F714" s="113" t="s">
        <v>1099</v>
      </c>
      <c r="G714" s="113">
        <v>228.54592479999999</v>
      </c>
      <c r="H714" s="113">
        <v>276.28745052211599</v>
      </c>
      <c r="I714" s="113">
        <v>504.83337532211601</v>
      </c>
    </row>
    <row r="715" spans="1:9" x14ac:dyDescent="0.35">
      <c r="A715" s="109">
        <v>10392940000127</v>
      </c>
      <c r="B715" s="110" t="s">
        <v>20</v>
      </c>
      <c r="C715" s="110" t="s">
        <v>1097</v>
      </c>
      <c r="D715" s="111" t="s">
        <v>1068</v>
      </c>
      <c r="E715" s="112"/>
      <c r="F715" s="113" t="s">
        <v>1099</v>
      </c>
      <c r="G715" s="113">
        <v>153.33543633000002</v>
      </c>
      <c r="H715" s="113">
        <v>125.6046966151961</v>
      </c>
      <c r="I715" s="113">
        <v>278.94013294519613</v>
      </c>
    </row>
    <row r="716" spans="1:9" x14ac:dyDescent="0.35">
      <c r="A716" s="109">
        <v>10689094000101</v>
      </c>
      <c r="B716" s="110" t="s">
        <v>36</v>
      </c>
      <c r="C716" s="110" t="s">
        <v>1095</v>
      </c>
      <c r="D716" s="111" t="s">
        <v>1068</v>
      </c>
      <c r="E716" s="112"/>
      <c r="F716" s="113" t="s">
        <v>1099</v>
      </c>
      <c r="G716" s="113">
        <v>1560.9014993400001</v>
      </c>
      <c r="H716" s="113">
        <v>470.31262481692301</v>
      </c>
      <c r="I716" s="113">
        <v>2031.2141241569232</v>
      </c>
    </row>
    <row r="717" spans="1:9" x14ac:dyDescent="0.35">
      <c r="A717" s="109">
        <v>11453021000189</v>
      </c>
      <c r="B717" s="110" t="s">
        <v>20</v>
      </c>
      <c r="C717" s="110" t="s">
        <v>1097</v>
      </c>
      <c r="D717" s="111" t="s">
        <v>1068</v>
      </c>
      <c r="E717" s="112"/>
      <c r="F717" s="113" t="s">
        <v>1099</v>
      </c>
      <c r="G717" s="113">
        <v>413.2366083</v>
      </c>
      <c r="H717" s="113">
        <v>1470.23743480395</v>
      </c>
      <c r="I717" s="113">
        <v>1883.47404310395</v>
      </c>
    </row>
    <row r="718" spans="1:9" x14ac:dyDescent="0.35">
      <c r="A718" s="109">
        <v>12804850000121</v>
      </c>
      <c r="B718" s="110" t="s">
        <v>36</v>
      </c>
      <c r="C718" s="110" t="s">
        <v>1095</v>
      </c>
      <c r="D718" s="111" t="s">
        <v>1068</v>
      </c>
      <c r="E718" s="112"/>
      <c r="F718" s="113" t="s">
        <v>1099</v>
      </c>
      <c r="G718" s="113">
        <v>1623.22208174</v>
      </c>
      <c r="H718" s="113">
        <v>1158.0771414321009</v>
      </c>
      <c r="I718" s="113">
        <v>2781.2992231721009</v>
      </c>
    </row>
    <row r="719" spans="1:9" x14ac:dyDescent="0.35">
      <c r="A719" s="109">
        <v>13110601000107</v>
      </c>
      <c r="B719" s="110" t="s">
        <v>20</v>
      </c>
      <c r="C719" s="110" t="s">
        <v>1097</v>
      </c>
      <c r="D719" s="111" t="s">
        <v>1068</v>
      </c>
      <c r="E719" s="112"/>
      <c r="F719" s="113" t="s">
        <v>1099</v>
      </c>
      <c r="G719" s="113">
        <v>703.79949609000005</v>
      </c>
      <c r="H719" s="113">
        <v>1109.4149151061858</v>
      </c>
      <c r="I719" s="113">
        <v>1813.2144111961859</v>
      </c>
    </row>
    <row r="720" spans="1:9" x14ac:dyDescent="0.35">
      <c r="A720" s="109">
        <v>13367286000190</v>
      </c>
      <c r="B720" s="110" t="s">
        <v>33</v>
      </c>
      <c r="C720" s="110" t="s">
        <v>1095</v>
      </c>
      <c r="D720" s="111" t="s">
        <v>1068</v>
      </c>
      <c r="E720" s="112"/>
      <c r="F720" s="113" t="s">
        <v>1099</v>
      </c>
      <c r="G720" s="113">
        <v>733.62747028000013</v>
      </c>
      <c r="H720" s="113">
        <v>300.143560469053</v>
      </c>
      <c r="I720" s="113">
        <v>1033.7710307490531</v>
      </c>
    </row>
    <row r="721" spans="1:9" x14ac:dyDescent="0.35">
      <c r="A721" s="109">
        <v>13412480000140</v>
      </c>
      <c r="B721" s="110" t="s">
        <v>20</v>
      </c>
      <c r="C721" s="110" t="s">
        <v>1097</v>
      </c>
      <c r="D721" s="111" t="s">
        <v>1068</v>
      </c>
      <c r="E721" s="112"/>
      <c r="F721" s="113" t="s">
        <v>1099</v>
      </c>
      <c r="G721" s="113">
        <v>857.70445536</v>
      </c>
      <c r="H721" s="113">
        <v>629.521528293899</v>
      </c>
      <c r="I721" s="113">
        <v>1487.225983653899</v>
      </c>
    </row>
    <row r="722" spans="1:9" x14ac:dyDescent="0.35">
      <c r="A722" s="109">
        <v>13470278000174</v>
      </c>
      <c r="B722" s="110" t="s">
        <v>20</v>
      </c>
      <c r="C722" s="110" t="s">
        <v>1097</v>
      </c>
      <c r="D722" s="111" t="s">
        <v>1068</v>
      </c>
      <c r="E722" s="112"/>
      <c r="F722" s="113" t="s">
        <v>1099</v>
      </c>
      <c r="G722" s="113">
        <v>238.48429515000021</v>
      </c>
      <c r="H722" s="113">
        <v>728.42652399915391</v>
      </c>
      <c r="I722" s="113">
        <v>966.91081914915412</v>
      </c>
    </row>
    <row r="723" spans="1:9" x14ac:dyDescent="0.35">
      <c r="A723" s="109">
        <v>14648568000128</v>
      </c>
      <c r="B723" s="110" t="s">
        <v>36</v>
      </c>
      <c r="C723" s="110" t="s">
        <v>1095</v>
      </c>
      <c r="D723" s="111" t="s">
        <v>1068</v>
      </c>
      <c r="E723" s="112"/>
      <c r="F723" s="113" t="s">
        <v>1099</v>
      </c>
      <c r="G723" s="113">
        <v>2661.3579442700002</v>
      </c>
      <c r="H723" s="113">
        <v>3121.6912953470701</v>
      </c>
      <c r="I723" s="113">
        <v>5783.0492396170703</v>
      </c>
    </row>
    <row r="724" spans="1:9" x14ac:dyDescent="0.35">
      <c r="A724" s="109">
        <v>15059340000165</v>
      </c>
      <c r="B724" s="110" t="s">
        <v>16</v>
      </c>
      <c r="C724" s="110" t="s">
        <v>1095</v>
      </c>
      <c r="D724" s="111" t="s">
        <v>1068</v>
      </c>
      <c r="E724" s="112"/>
      <c r="F724" s="113" t="s">
        <v>1099</v>
      </c>
      <c r="G724" s="113">
        <v>1457.7578871600001</v>
      </c>
      <c r="H724" s="113">
        <v>2500.11088579644</v>
      </c>
      <c r="I724" s="113">
        <v>3957.8687729564399</v>
      </c>
    </row>
    <row r="725" spans="1:9" x14ac:dyDescent="0.35">
      <c r="A725" s="109">
        <v>15794259000200</v>
      </c>
      <c r="B725" s="110" t="s">
        <v>36</v>
      </c>
      <c r="C725" s="110" t="s">
        <v>1095</v>
      </c>
      <c r="D725" s="111" t="s">
        <v>1068</v>
      </c>
      <c r="E725" s="112"/>
      <c r="F725" s="113" t="s">
        <v>1099</v>
      </c>
      <c r="G725" s="113">
        <v>550.81642938999994</v>
      </c>
      <c r="H725" s="113">
        <v>950.49224340784701</v>
      </c>
      <c r="I725" s="113">
        <v>1501.3086727978471</v>
      </c>
    </row>
    <row r="726" spans="1:9" x14ac:dyDescent="0.35">
      <c r="A726" s="109">
        <v>17476547000241</v>
      </c>
      <c r="B726" s="110" t="s">
        <v>16</v>
      </c>
      <c r="C726" s="110" t="s">
        <v>1095</v>
      </c>
      <c r="D726" s="111" t="s">
        <v>1068</v>
      </c>
      <c r="E726" s="112"/>
      <c r="F726" s="113" t="s">
        <v>1099</v>
      </c>
      <c r="G726" s="113">
        <v>4933.4042177699994</v>
      </c>
      <c r="H726" s="113">
        <v>4924.1434106854795</v>
      </c>
      <c r="I726" s="113">
        <v>9857.5476284554788</v>
      </c>
    </row>
    <row r="727" spans="1:9" x14ac:dyDescent="0.35">
      <c r="A727" s="109">
        <v>19955526000153</v>
      </c>
      <c r="B727" s="110" t="s">
        <v>20</v>
      </c>
      <c r="C727" s="110" t="s">
        <v>1097</v>
      </c>
      <c r="D727" s="111" t="s">
        <v>1068</v>
      </c>
      <c r="E727" s="112"/>
      <c r="F727" s="113" t="s">
        <v>1099</v>
      </c>
      <c r="G727" s="113">
        <v>721.36947401999987</v>
      </c>
      <c r="H727" s="113">
        <v>513.61107154162096</v>
      </c>
      <c r="I727" s="113">
        <v>1234.9805455616208</v>
      </c>
    </row>
    <row r="728" spans="1:9" x14ac:dyDescent="0.35">
      <c r="A728" s="109">
        <v>20759443000178</v>
      </c>
      <c r="B728" s="110" t="s">
        <v>36</v>
      </c>
      <c r="C728" s="110" t="s">
        <v>1095</v>
      </c>
      <c r="D728" s="111" t="s">
        <v>1068</v>
      </c>
      <c r="E728" s="112"/>
      <c r="F728" s="113" t="s">
        <v>1099</v>
      </c>
      <c r="G728" s="113">
        <v>268.75289628999997</v>
      </c>
      <c r="H728" s="113">
        <v>162.54859398023399</v>
      </c>
      <c r="I728" s="113">
        <v>431.30149027023396</v>
      </c>
    </row>
    <row r="729" spans="1:9" x14ac:dyDescent="0.35">
      <c r="A729" s="109">
        <v>21746348000100</v>
      </c>
      <c r="B729" s="110" t="s">
        <v>9</v>
      </c>
      <c r="C729" s="110" t="s">
        <v>1095</v>
      </c>
      <c r="D729" s="111" t="s">
        <v>1068</v>
      </c>
      <c r="E729" s="112"/>
      <c r="F729" s="113" t="s">
        <v>1099</v>
      </c>
      <c r="G729" s="113">
        <v>9030.5474630300014</v>
      </c>
      <c r="H729" s="113">
        <v>6294.0390059475294</v>
      </c>
      <c r="I729" s="113">
        <v>15324.58646897753</v>
      </c>
    </row>
    <row r="730" spans="1:9" x14ac:dyDescent="0.35">
      <c r="A730" s="109">
        <v>22054397000137</v>
      </c>
      <c r="B730" s="110" t="s">
        <v>74</v>
      </c>
      <c r="C730" s="110" t="s">
        <v>1095</v>
      </c>
      <c r="D730" s="111" t="s">
        <v>1068</v>
      </c>
      <c r="E730" s="112"/>
      <c r="F730" s="113" t="s">
        <v>1099</v>
      </c>
      <c r="G730" s="113">
        <v>1771.7608109</v>
      </c>
      <c r="H730" s="113">
        <v>1320.032557407013</v>
      </c>
      <c r="I730" s="113">
        <v>3091.7933683070132</v>
      </c>
    </row>
    <row r="731" spans="1:9" x14ac:dyDescent="0.35">
      <c r="A731" s="109">
        <v>22457961000162</v>
      </c>
      <c r="B731" s="110" t="s">
        <v>20</v>
      </c>
      <c r="C731" s="110" t="s">
        <v>1097</v>
      </c>
      <c r="D731" s="111" t="s">
        <v>1068</v>
      </c>
      <c r="E731" s="112"/>
      <c r="F731" s="113" t="s">
        <v>1099</v>
      </c>
      <c r="G731" s="113">
        <v>589.65267859000005</v>
      </c>
      <c r="H731" s="113">
        <v>845.43021107585298</v>
      </c>
      <c r="I731" s="113">
        <v>1435.0828896658531</v>
      </c>
    </row>
    <row r="732" spans="1:9" x14ac:dyDescent="0.35">
      <c r="A732" s="109">
        <v>22836127000188</v>
      </c>
      <c r="B732" s="110" t="s">
        <v>646</v>
      </c>
      <c r="C732" s="110" t="s">
        <v>1095</v>
      </c>
      <c r="D732" s="111" t="s">
        <v>1068</v>
      </c>
      <c r="E732" s="112"/>
      <c r="F732" s="113" t="s">
        <v>1099</v>
      </c>
      <c r="G732" s="113">
        <v>491.94663850999996</v>
      </c>
      <c r="H732" s="113">
        <v>474.44083338869899</v>
      </c>
      <c r="I732" s="113">
        <v>966.387471898699</v>
      </c>
    </row>
    <row r="733" spans="1:9" x14ac:dyDescent="0.35">
      <c r="A733" s="109">
        <v>23255059000126</v>
      </c>
      <c r="B733" s="110" t="s">
        <v>64</v>
      </c>
      <c r="C733" s="110" t="s">
        <v>1095</v>
      </c>
      <c r="D733" s="111" t="s">
        <v>1068</v>
      </c>
      <c r="E733" s="112"/>
      <c r="F733" s="113" t="s">
        <v>1099</v>
      </c>
      <c r="G733" s="113">
        <v>1793.57392703</v>
      </c>
      <c r="H733" s="113">
        <v>1350.9682095558101</v>
      </c>
      <c r="I733" s="113">
        <v>3144.5421365858101</v>
      </c>
    </row>
    <row r="734" spans="1:9" x14ac:dyDescent="0.35">
      <c r="A734" s="109">
        <v>23716744000102</v>
      </c>
      <c r="B734" s="110" t="s">
        <v>20</v>
      </c>
      <c r="C734" s="110" t="s">
        <v>1097</v>
      </c>
      <c r="D734" s="111" t="s">
        <v>1068</v>
      </c>
      <c r="E734" s="112"/>
      <c r="F734" s="113" t="s">
        <v>1099</v>
      </c>
      <c r="G734" s="113">
        <v>2168.62838491</v>
      </c>
      <c r="H734" s="113">
        <v>1802.8308244464799</v>
      </c>
      <c r="I734" s="113">
        <v>3971.4592093564797</v>
      </c>
    </row>
    <row r="735" spans="1:9" x14ac:dyDescent="0.35">
      <c r="A735" s="109">
        <v>24724080000196</v>
      </c>
      <c r="B735" s="110" t="s">
        <v>20</v>
      </c>
      <c r="C735" s="110" t="s">
        <v>1097</v>
      </c>
      <c r="D735" s="111" t="s">
        <v>1068</v>
      </c>
      <c r="E735" s="112"/>
      <c r="F735" s="113" t="s">
        <v>1099</v>
      </c>
      <c r="G735" s="113">
        <v>756.40915786000005</v>
      </c>
      <c r="H735" s="113">
        <v>779.98525286020401</v>
      </c>
      <c r="I735" s="113">
        <v>1536.3944107202042</v>
      </c>
    </row>
    <row r="736" spans="1:9" x14ac:dyDescent="0.35">
      <c r="A736" s="109">
        <v>25043201000105</v>
      </c>
      <c r="B736" s="110" t="s">
        <v>64</v>
      </c>
      <c r="C736" s="110" t="s">
        <v>1095</v>
      </c>
      <c r="D736" s="111" t="s">
        <v>1068</v>
      </c>
      <c r="E736" s="112"/>
      <c r="F736" s="113" t="s">
        <v>1099</v>
      </c>
      <c r="G736" s="113">
        <v>2159.8151728300004</v>
      </c>
      <c r="H736" s="113">
        <v>1900.2987770176001</v>
      </c>
      <c r="I736" s="113">
        <v>4060.1139498476005</v>
      </c>
    </row>
    <row r="737" spans="1:9" x14ac:dyDescent="0.35">
      <c r="A737" s="109">
        <v>25204663000159</v>
      </c>
      <c r="B737" s="110" t="s">
        <v>20</v>
      </c>
      <c r="C737" s="110" t="s">
        <v>1097</v>
      </c>
      <c r="D737" s="111" t="s">
        <v>1068</v>
      </c>
      <c r="E737" s="112"/>
      <c r="F737" s="113" t="s">
        <v>1099</v>
      </c>
      <c r="G737" s="113">
        <v>290.85845440999998</v>
      </c>
      <c r="H737" s="113">
        <v>378.56444463553703</v>
      </c>
      <c r="I737" s="113">
        <v>669.42289904553695</v>
      </c>
    </row>
    <row r="738" spans="1:9" x14ac:dyDescent="0.35">
      <c r="A738" s="109">
        <v>26437890000197</v>
      </c>
      <c r="B738" s="110" t="s">
        <v>33</v>
      </c>
      <c r="C738" s="110" t="s">
        <v>1095</v>
      </c>
      <c r="D738" s="111" t="s">
        <v>1068</v>
      </c>
      <c r="E738" s="112"/>
      <c r="F738" s="113" t="s">
        <v>1099</v>
      </c>
      <c r="G738" s="113">
        <v>2214.1398100900005</v>
      </c>
      <c r="H738" s="113">
        <v>2479.9571904909999</v>
      </c>
      <c r="I738" s="113">
        <v>4694.0970005810004</v>
      </c>
    </row>
    <row r="739" spans="1:9" x14ac:dyDescent="0.35">
      <c r="A739" s="109">
        <v>26609370000114</v>
      </c>
      <c r="B739" s="110" t="s">
        <v>20</v>
      </c>
      <c r="C739" s="110" t="s">
        <v>1097</v>
      </c>
      <c r="D739" s="111" t="s">
        <v>1068</v>
      </c>
      <c r="E739" s="112"/>
      <c r="F739" s="113" t="s">
        <v>1099</v>
      </c>
      <c r="G739" s="113">
        <v>360.55634126000001</v>
      </c>
      <c r="H739" s="113">
        <v>155.87161772794337</v>
      </c>
      <c r="I739" s="113">
        <v>516.42795898794338</v>
      </c>
    </row>
    <row r="740" spans="1:9" x14ac:dyDescent="0.35">
      <c r="A740" s="109">
        <v>27899501000108</v>
      </c>
      <c r="B740" s="110" t="s">
        <v>20</v>
      </c>
      <c r="C740" s="110" t="s">
        <v>1097</v>
      </c>
      <c r="D740" s="111" t="s">
        <v>1068</v>
      </c>
      <c r="E740" s="112"/>
      <c r="F740" s="113" t="s">
        <v>1099</v>
      </c>
      <c r="G740" s="113">
        <v>958.25473943999998</v>
      </c>
      <c r="H740" s="113">
        <v>860.5133963777721</v>
      </c>
      <c r="I740" s="113">
        <v>1818.768135817772</v>
      </c>
    </row>
    <row r="741" spans="1:9" x14ac:dyDescent="0.35">
      <c r="A741" s="109">
        <v>28760598000136</v>
      </c>
      <c r="B741" s="110" t="s">
        <v>20</v>
      </c>
      <c r="C741" s="110" t="s">
        <v>1097</v>
      </c>
      <c r="D741" s="111" t="s">
        <v>1068</v>
      </c>
      <c r="E741" s="112"/>
      <c r="F741" s="113" t="s">
        <v>1099</v>
      </c>
      <c r="G741" s="113">
        <v>999.88602946000003</v>
      </c>
      <c r="H741" s="113">
        <v>2444.7737286247998</v>
      </c>
      <c r="I741" s="113">
        <v>3444.6597580847997</v>
      </c>
    </row>
    <row r="742" spans="1:9" x14ac:dyDescent="0.35">
      <c r="A742" s="109">
        <v>29303719000183</v>
      </c>
      <c r="B742" s="110" t="s">
        <v>74</v>
      </c>
      <c r="C742" s="110" t="s">
        <v>1095</v>
      </c>
      <c r="D742" s="111" t="s">
        <v>1068</v>
      </c>
      <c r="E742" s="112"/>
      <c r="F742" s="113" t="s">
        <v>1099</v>
      </c>
      <c r="G742" s="113">
        <v>6451.8071325699993</v>
      </c>
      <c r="H742" s="113">
        <v>3954.8566404526896</v>
      </c>
      <c r="I742" s="113">
        <v>10406.663773022688</v>
      </c>
    </row>
    <row r="743" spans="1:9" x14ac:dyDescent="0.35">
      <c r="A743" s="109">
        <v>29809750000190</v>
      </c>
      <c r="B743" s="110" t="s">
        <v>20</v>
      </c>
      <c r="C743" s="110" t="s">
        <v>1097</v>
      </c>
      <c r="D743" s="111" t="s">
        <v>1068</v>
      </c>
      <c r="E743" s="112"/>
      <c r="F743" s="113" t="s">
        <v>1099</v>
      </c>
      <c r="G743" s="113">
        <v>197.24145164999999</v>
      </c>
      <c r="H743" s="113">
        <v>397.25309983574596</v>
      </c>
      <c r="I743" s="113">
        <v>594.49455148574589</v>
      </c>
    </row>
    <row r="744" spans="1:9" x14ac:dyDescent="0.35">
      <c r="A744" s="109">
        <v>29946302000139</v>
      </c>
      <c r="B744" s="110" t="s">
        <v>36</v>
      </c>
      <c r="C744" s="110" t="s">
        <v>1095</v>
      </c>
      <c r="D744" s="111" t="s">
        <v>1068</v>
      </c>
      <c r="E744" s="112"/>
      <c r="F744" s="113" t="s">
        <v>1099</v>
      </c>
      <c r="G744" s="113">
        <v>7610.4639541200004</v>
      </c>
      <c r="H744" s="113">
        <v>5215.0004257057499</v>
      </c>
      <c r="I744" s="113">
        <v>12825.464379825749</v>
      </c>
    </row>
    <row r="745" spans="1:9" x14ac:dyDescent="0.35">
      <c r="A745" s="109">
        <v>30516011000190</v>
      </c>
      <c r="B745" s="110" t="s">
        <v>20</v>
      </c>
      <c r="C745" s="110" t="s">
        <v>1097</v>
      </c>
      <c r="D745" s="111" t="s">
        <v>1068</v>
      </c>
      <c r="E745" s="112"/>
      <c r="F745" s="113" t="s">
        <v>1099</v>
      </c>
      <c r="G745" s="113">
        <v>2958.1912602299999</v>
      </c>
      <c r="H745" s="113">
        <v>1097.815136083668</v>
      </c>
      <c r="I745" s="113">
        <v>4056.0063963136681</v>
      </c>
    </row>
    <row r="746" spans="1:9" x14ac:dyDescent="0.35">
      <c r="A746" s="109">
        <v>30658717000196</v>
      </c>
      <c r="B746" s="110" t="s">
        <v>20</v>
      </c>
      <c r="C746" s="110" t="s">
        <v>1097</v>
      </c>
      <c r="D746" s="111" t="s">
        <v>1068</v>
      </c>
      <c r="E746" s="112"/>
      <c r="F746" s="113" t="s">
        <v>1099</v>
      </c>
      <c r="G746" s="113">
        <v>942.0242483799999</v>
      </c>
      <c r="H746" s="113">
        <v>1488.08455073561</v>
      </c>
      <c r="I746" s="113">
        <v>2430.1087991156101</v>
      </c>
    </row>
    <row r="747" spans="1:9" x14ac:dyDescent="0.35">
      <c r="A747" s="109">
        <v>32338157000118</v>
      </c>
      <c r="B747" s="110" t="s">
        <v>20</v>
      </c>
      <c r="C747" s="110" t="s">
        <v>1097</v>
      </c>
      <c r="D747" s="111" t="s">
        <v>1068</v>
      </c>
      <c r="E747" s="112"/>
      <c r="F747" s="113" t="s">
        <v>1099</v>
      </c>
      <c r="G747" s="113">
        <v>429.30223030000002</v>
      </c>
      <c r="H747" s="113">
        <v>596.01472588884292</v>
      </c>
      <c r="I747" s="113">
        <v>1025.3169561888431</v>
      </c>
    </row>
    <row r="748" spans="1:9" x14ac:dyDescent="0.35">
      <c r="A748" s="109">
        <v>32975740000130</v>
      </c>
      <c r="B748" s="110" t="s">
        <v>20</v>
      </c>
      <c r="C748" s="110" t="s">
        <v>1097</v>
      </c>
      <c r="D748" s="111" t="s">
        <v>1068</v>
      </c>
      <c r="E748" s="112"/>
      <c r="F748" s="113" t="s">
        <v>1099</v>
      </c>
      <c r="G748" s="113">
        <v>3392.6287751299997</v>
      </c>
      <c r="H748" s="113">
        <v>1428.90610009845</v>
      </c>
      <c r="I748" s="113">
        <v>4821.5348752284499</v>
      </c>
    </row>
    <row r="749" spans="1:9" x14ac:dyDescent="0.35">
      <c r="A749" s="109">
        <v>33675901000132</v>
      </c>
      <c r="B749" s="110" t="s">
        <v>16</v>
      </c>
      <c r="C749" s="110" t="s">
        <v>1095</v>
      </c>
      <c r="D749" s="111" t="s">
        <v>1068</v>
      </c>
      <c r="E749" s="112"/>
      <c r="F749" s="113" t="s">
        <v>1099</v>
      </c>
      <c r="G749" s="113">
        <v>2082.4019326900002</v>
      </c>
      <c r="H749" s="113">
        <v>1395.1955149714299</v>
      </c>
      <c r="I749" s="113">
        <v>3477.5974476614301</v>
      </c>
    </row>
    <row r="750" spans="1:9" x14ac:dyDescent="0.35">
      <c r="A750" s="109">
        <v>33694076000113</v>
      </c>
      <c r="B750" s="110" t="s">
        <v>20</v>
      </c>
      <c r="C750" s="110" t="s">
        <v>1097</v>
      </c>
      <c r="D750" s="111" t="s">
        <v>1068</v>
      </c>
      <c r="E750" s="112"/>
      <c r="F750" s="113" t="s">
        <v>1099</v>
      </c>
      <c r="G750" s="113">
        <v>1281.2310309</v>
      </c>
      <c r="H750" s="113">
        <v>300.95029858010201</v>
      </c>
      <c r="I750" s="113">
        <v>1582.181329480102</v>
      </c>
    </row>
    <row r="751" spans="1:9" x14ac:dyDescent="0.35">
      <c r="A751" s="109">
        <v>34508395000150</v>
      </c>
      <c r="B751" s="110" t="s">
        <v>20</v>
      </c>
      <c r="C751" s="110" t="s">
        <v>1097</v>
      </c>
      <c r="D751" s="111" t="s">
        <v>1068</v>
      </c>
      <c r="E751" s="112"/>
      <c r="F751" s="113" t="s">
        <v>1099</v>
      </c>
      <c r="G751" s="113">
        <v>183.11687137999999</v>
      </c>
      <c r="H751" s="113">
        <v>450.106709580776</v>
      </c>
      <c r="I751" s="113">
        <v>633.22358096077596</v>
      </c>
    </row>
    <row r="752" spans="1:9" x14ac:dyDescent="0.35">
      <c r="A752" s="109">
        <v>35652065000104</v>
      </c>
      <c r="B752" s="110" t="s">
        <v>20</v>
      </c>
      <c r="C752" s="110" t="s">
        <v>1097</v>
      </c>
      <c r="D752" s="111" t="s">
        <v>1068</v>
      </c>
      <c r="E752" s="112"/>
      <c r="F752" s="113" t="s">
        <v>1099</v>
      </c>
      <c r="G752" s="113">
        <v>84.990370439999992</v>
      </c>
      <c r="H752" s="113">
        <v>209.22788395516199</v>
      </c>
      <c r="I752" s="113">
        <v>294.21825439516198</v>
      </c>
    </row>
    <row r="753" spans="1:9" x14ac:dyDescent="0.35">
      <c r="A753" s="109">
        <v>36004691000149</v>
      </c>
      <c r="B753" s="110" t="s">
        <v>33</v>
      </c>
      <c r="C753" s="110" t="s">
        <v>1095</v>
      </c>
      <c r="D753" s="111" t="s">
        <v>1068</v>
      </c>
      <c r="E753" s="112"/>
      <c r="F753" s="113" t="s">
        <v>1099</v>
      </c>
      <c r="G753" s="113">
        <v>3874.4227020400003</v>
      </c>
      <c r="H753" s="113">
        <v>1920.69911305644</v>
      </c>
      <c r="I753" s="113">
        <v>5795.1218150964405</v>
      </c>
    </row>
    <row r="754" spans="1:9" x14ac:dyDescent="0.35">
      <c r="A754" s="109">
        <v>37447212000121</v>
      </c>
      <c r="B754" s="110" t="s">
        <v>20</v>
      </c>
      <c r="C754" s="110" t="s">
        <v>1097</v>
      </c>
      <c r="D754" s="111" t="s">
        <v>1068</v>
      </c>
      <c r="E754" s="112"/>
      <c r="F754" s="113" t="s">
        <v>1099</v>
      </c>
      <c r="G754" s="113">
        <v>1409.6098886500001</v>
      </c>
      <c r="H754" s="113">
        <v>1314.245147357004</v>
      </c>
      <c r="I754" s="113">
        <v>2723.8550360070039</v>
      </c>
    </row>
    <row r="755" spans="1:9" x14ac:dyDescent="0.35">
      <c r="A755" s="109">
        <v>37489689000170</v>
      </c>
      <c r="B755" s="110" t="s">
        <v>36</v>
      </c>
      <c r="C755" s="110" t="s">
        <v>1095</v>
      </c>
      <c r="D755" s="111" t="s">
        <v>1068</v>
      </c>
      <c r="E755" s="112"/>
      <c r="F755" s="113" t="s">
        <v>1099</v>
      </c>
      <c r="G755" s="113">
        <v>94.27412206000001</v>
      </c>
      <c r="H755" s="113">
        <v>507.44417185535002</v>
      </c>
      <c r="I755" s="113">
        <v>601.71829391535005</v>
      </c>
    </row>
    <row r="756" spans="1:9" x14ac:dyDescent="0.35">
      <c r="A756" s="109">
        <v>37963302000175</v>
      </c>
      <c r="B756" s="110" t="s">
        <v>20</v>
      </c>
      <c r="C756" s="110" t="s">
        <v>1097</v>
      </c>
      <c r="D756" s="111" t="s">
        <v>1068</v>
      </c>
      <c r="E756" s="112"/>
      <c r="F756" s="113" t="s">
        <v>1099</v>
      </c>
      <c r="G756" s="113">
        <v>742.14472423999996</v>
      </c>
      <c r="H756" s="113">
        <v>847.11383485867702</v>
      </c>
      <c r="I756" s="113">
        <v>1589.2585590986769</v>
      </c>
    </row>
    <row r="757" spans="1:9" x14ac:dyDescent="0.35">
      <c r="A757" s="109">
        <v>39999923000134</v>
      </c>
      <c r="B757" s="110" t="s">
        <v>16</v>
      </c>
      <c r="C757" s="110" t="s">
        <v>1095</v>
      </c>
      <c r="D757" s="111" t="s">
        <v>1068</v>
      </c>
      <c r="E757" s="112"/>
      <c r="F757" s="113" t="s">
        <v>1099</v>
      </c>
      <c r="G757" s="113">
        <v>1488.5594361600001</v>
      </c>
      <c r="H757" s="113">
        <v>2293.3965419647402</v>
      </c>
      <c r="I757" s="113">
        <v>3781.9559781247403</v>
      </c>
    </row>
    <row r="758" spans="1:9" x14ac:dyDescent="0.35">
      <c r="A758" s="109">
        <v>40190327000198</v>
      </c>
      <c r="B758" s="110" t="s">
        <v>20</v>
      </c>
      <c r="C758" s="110" t="s">
        <v>1097</v>
      </c>
      <c r="D758" s="111" t="s">
        <v>1068</v>
      </c>
      <c r="E758" s="112"/>
      <c r="F758" s="113" t="s">
        <v>1099</v>
      </c>
      <c r="G758" s="113">
        <v>363.38598580000001</v>
      </c>
      <c r="H758" s="113">
        <v>930.83040890664597</v>
      </c>
      <c r="I758" s="113">
        <v>1294.216394706646</v>
      </c>
    </row>
    <row r="759" spans="1:9" x14ac:dyDescent="0.35">
      <c r="A759" s="109">
        <v>41140364000154</v>
      </c>
      <c r="B759" s="110" t="s">
        <v>20</v>
      </c>
      <c r="C759" s="110" t="s">
        <v>1097</v>
      </c>
      <c r="D759" s="111" t="s">
        <v>1068</v>
      </c>
      <c r="E759" s="112"/>
      <c r="F759" s="113" t="s">
        <v>1099</v>
      </c>
      <c r="G759" s="113">
        <v>125.18805042999998</v>
      </c>
      <c r="H759" s="113">
        <v>108.6627638396732</v>
      </c>
      <c r="I759" s="113">
        <v>233.85081426967318</v>
      </c>
    </row>
    <row r="760" spans="1:9" x14ac:dyDescent="0.35">
      <c r="A760" s="109">
        <v>42327542000113</v>
      </c>
      <c r="B760" s="110" t="s">
        <v>20</v>
      </c>
      <c r="C760" s="110" t="s">
        <v>1097</v>
      </c>
      <c r="D760" s="111" t="s">
        <v>1068</v>
      </c>
      <c r="E760" s="112"/>
      <c r="F760" s="113" t="s">
        <v>1099</v>
      </c>
      <c r="G760" s="113">
        <v>753.76464118000001</v>
      </c>
      <c r="H760" s="113">
        <v>1085.3691395438468</v>
      </c>
      <c r="I760" s="113">
        <v>1839.1337807238469</v>
      </c>
    </row>
    <row r="761" spans="1:9" x14ac:dyDescent="0.35">
      <c r="A761" s="109">
        <v>43857147000105</v>
      </c>
      <c r="B761" s="110" t="s">
        <v>16</v>
      </c>
      <c r="C761" s="110" t="s">
        <v>1095</v>
      </c>
      <c r="D761" s="111" t="s">
        <v>1068</v>
      </c>
      <c r="E761" s="112"/>
      <c r="F761" s="113" t="s">
        <v>1099</v>
      </c>
      <c r="G761" s="113">
        <v>189.29231214000001</v>
      </c>
      <c r="H761" s="113">
        <v>237.36167261353501</v>
      </c>
      <c r="I761" s="113">
        <v>426.65398475353504</v>
      </c>
    </row>
    <row r="762" spans="1:9" x14ac:dyDescent="0.35">
      <c r="A762" s="109">
        <v>47216701000126</v>
      </c>
      <c r="B762" s="110" t="s">
        <v>36</v>
      </c>
      <c r="C762" s="110" t="s">
        <v>1095</v>
      </c>
      <c r="D762" s="111" t="s">
        <v>1068</v>
      </c>
      <c r="E762" s="112"/>
      <c r="F762" s="113" t="s">
        <v>1099</v>
      </c>
      <c r="G762" s="113">
        <v>1408.7988211900001</v>
      </c>
      <c r="H762" s="113">
        <v>1295.49967965634</v>
      </c>
      <c r="I762" s="113">
        <v>2704.2985008463402</v>
      </c>
    </row>
    <row r="763" spans="1:9" x14ac:dyDescent="0.35">
      <c r="A763" s="109">
        <v>47541257000114</v>
      </c>
      <c r="B763" s="110" t="s">
        <v>20</v>
      </c>
      <c r="C763" s="110" t="s">
        <v>1097</v>
      </c>
      <c r="D763" s="111" t="s">
        <v>1068</v>
      </c>
      <c r="E763" s="112"/>
      <c r="F763" s="113" t="s">
        <v>1099</v>
      </c>
      <c r="G763" s="113">
        <v>2042.0114210199999</v>
      </c>
      <c r="H763" s="113">
        <v>1911.3427407311799</v>
      </c>
      <c r="I763" s="113">
        <v>3953.3541617511801</v>
      </c>
    </row>
    <row r="764" spans="1:9" x14ac:dyDescent="0.35">
      <c r="A764" s="109">
        <v>47614350000101</v>
      </c>
      <c r="B764" s="110" t="s">
        <v>20</v>
      </c>
      <c r="C764" s="110" t="s">
        <v>1097</v>
      </c>
      <c r="D764" s="111" t="s">
        <v>1068</v>
      </c>
      <c r="E764" s="112"/>
      <c r="F764" s="113" t="s">
        <v>1099</v>
      </c>
      <c r="G764" s="113">
        <v>272.32015729</v>
      </c>
      <c r="H764" s="113">
        <v>303.98517954656097</v>
      </c>
      <c r="I764" s="113">
        <v>576.30533683656097</v>
      </c>
    </row>
    <row r="765" spans="1:9" x14ac:dyDescent="0.35">
      <c r="A765" s="109">
        <v>48130762000139</v>
      </c>
      <c r="B765" s="110" t="s">
        <v>33</v>
      </c>
      <c r="C765" s="110" t="s">
        <v>1095</v>
      </c>
      <c r="D765" s="111" t="s">
        <v>1068</v>
      </c>
      <c r="E765" s="112"/>
      <c r="F765" s="113" t="s">
        <v>1099</v>
      </c>
      <c r="G765" s="113">
        <v>258.29684036000003</v>
      </c>
      <c r="H765" s="113">
        <v>745.82639037960701</v>
      </c>
      <c r="I765" s="113">
        <v>1004.123230739607</v>
      </c>
    </row>
    <row r="766" spans="1:9" x14ac:dyDescent="0.35">
      <c r="A766" s="109">
        <v>48210177000149</v>
      </c>
      <c r="B766" s="110" t="s">
        <v>62</v>
      </c>
      <c r="C766" s="110" t="s">
        <v>1095</v>
      </c>
      <c r="D766" s="111" t="s">
        <v>1068</v>
      </c>
      <c r="E766" s="112"/>
      <c r="F766" s="113" t="s">
        <v>1099</v>
      </c>
      <c r="G766" s="113">
        <v>1070.76646269</v>
      </c>
      <c r="H766" s="113">
        <v>1092.4594766132921</v>
      </c>
      <c r="I766" s="113">
        <v>2163.2259393032919</v>
      </c>
    </row>
    <row r="767" spans="1:9" x14ac:dyDescent="0.35">
      <c r="A767" s="109">
        <v>48892332000154</v>
      </c>
      <c r="B767" s="110" t="s">
        <v>36</v>
      </c>
      <c r="C767" s="110" t="s">
        <v>1095</v>
      </c>
      <c r="D767" s="111" t="s">
        <v>1068</v>
      </c>
      <c r="E767" s="112"/>
      <c r="F767" s="113" t="s">
        <v>1099</v>
      </c>
      <c r="G767" s="113">
        <v>519.80770419000009</v>
      </c>
      <c r="H767" s="113">
        <v>1057.2711268537539</v>
      </c>
      <c r="I767" s="113">
        <v>1577.078831043754</v>
      </c>
    </row>
    <row r="768" spans="1:9" x14ac:dyDescent="0.35">
      <c r="A768" s="109">
        <v>49133299000141</v>
      </c>
      <c r="B768" s="110" t="s">
        <v>74</v>
      </c>
      <c r="C768" s="110" t="s">
        <v>1095</v>
      </c>
      <c r="D768" s="111" t="s">
        <v>1068</v>
      </c>
      <c r="E768" s="112"/>
      <c r="F768" s="113" t="s">
        <v>1099</v>
      </c>
      <c r="G768" s="113">
        <v>1594.40593076</v>
      </c>
      <c r="H768" s="113">
        <v>955.34107992798909</v>
      </c>
      <c r="I768" s="113">
        <v>2549.7470106879891</v>
      </c>
    </row>
    <row r="769" spans="1:9" x14ac:dyDescent="0.35">
      <c r="A769" s="109">
        <v>49685257000113</v>
      </c>
      <c r="B769" s="110" t="s">
        <v>20</v>
      </c>
      <c r="C769" s="110" t="s">
        <v>1097</v>
      </c>
      <c r="D769" s="111" t="s">
        <v>1068</v>
      </c>
      <c r="E769" s="112"/>
      <c r="F769" s="113" t="s">
        <v>1099</v>
      </c>
      <c r="G769" s="113">
        <v>62.999251729999997</v>
      </c>
      <c r="H769" s="113">
        <v>246.03421051229498</v>
      </c>
      <c r="I769" s="113">
        <v>309.03346224229495</v>
      </c>
    </row>
    <row r="770" spans="1:9" x14ac:dyDescent="0.35">
      <c r="A770" s="109">
        <v>49835112000151</v>
      </c>
      <c r="B770" s="110" t="s">
        <v>36</v>
      </c>
      <c r="C770" s="110" t="s">
        <v>1095</v>
      </c>
      <c r="D770" s="111" t="s">
        <v>1068</v>
      </c>
      <c r="E770" s="112"/>
      <c r="F770" s="113" t="s">
        <v>1099</v>
      </c>
      <c r="G770" s="113">
        <v>2022.1263678300002</v>
      </c>
      <c r="H770" s="113">
        <v>1001.7338588980469</v>
      </c>
      <c r="I770" s="113">
        <v>3023.8602267280471</v>
      </c>
    </row>
    <row r="771" spans="1:9" x14ac:dyDescent="0.35">
      <c r="A771" s="109">
        <v>50346593000110</v>
      </c>
      <c r="B771" s="110" t="s">
        <v>550</v>
      </c>
      <c r="C771" s="110" t="s">
        <v>1095</v>
      </c>
      <c r="D771" s="111" t="s">
        <v>1068</v>
      </c>
      <c r="E771" s="112"/>
      <c r="F771" s="113" t="s">
        <v>1099</v>
      </c>
      <c r="G771" s="113">
        <v>765.55291695999995</v>
      </c>
      <c r="H771" s="113">
        <v>1492.2521185478699</v>
      </c>
      <c r="I771" s="113">
        <v>2257.8050355078699</v>
      </c>
    </row>
    <row r="772" spans="1:9" x14ac:dyDescent="0.35">
      <c r="A772" s="109">
        <v>51398846000162</v>
      </c>
      <c r="B772" s="110" t="s">
        <v>16</v>
      </c>
      <c r="C772" s="110" t="s">
        <v>1095</v>
      </c>
      <c r="D772" s="111" t="s">
        <v>1068</v>
      </c>
      <c r="E772" s="112"/>
      <c r="F772" s="113" t="s">
        <v>1099</v>
      </c>
      <c r="G772" s="113">
        <v>1555.3904448400001</v>
      </c>
      <c r="H772" s="113">
        <v>853.81797015338293</v>
      </c>
      <c r="I772" s="113">
        <v>2409.208414993383</v>
      </c>
    </row>
    <row r="773" spans="1:9" x14ac:dyDescent="0.35">
      <c r="A773" s="109">
        <v>52834325000173</v>
      </c>
      <c r="B773" s="110" t="s">
        <v>74</v>
      </c>
      <c r="C773" s="110" t="s">
        <v>1095</v>
      </c>
      <c r="D773" s="111" t="s">
        <v>1068</v>
      </c>
      <c r="E773" s="112"/>
      <c r="F773" s="113" t="s">
        <v>1099</v>
      </c>
      <c r="G773" s="113">
        <v>2475.3763338200001</v>
      </c>
      <c r="H773" s="113">
        <v>2021.46978123542</v>
      </c>
      <c r="I773" s="113">
        <v>4496.8461150554203</v>
      </c>
    </row>
    <row r="774" spans="1:9" x14ac:dyDescent="0.35">
      <c r="A774" s="109">
        <v>53446228000176</v>
      </c>
      <c r="B774" s="110" t="s">
        <v>74</v>
      </c>
      <c r="C774" s="110" t="s">
        <v>1095</v>
      </c>
      <c r="D774" s="111" t="s">
        <v>1068</v>
      </c>
      <c r="E774" s="112"/>
      <c r="F774" s="113" t="s">
        <v>1099</v>
      </c>
      <c r="G774" s="113">
        <v>844.92654963999996</v>
      </c>
      <c r="H774" s="113">
        <v>923.08742200425706</v>
      </c>
      <c r="I774" s="113">
        <v>1768.013971644257</v>
      </c>
    </row>
    <row r="775" spans="1:9" x14ac:dyDescent="0.35">
      <c r="A775" s="109">
        <v>53548149000176</v>
      </c>
      <c r="B775" s="110" t="s">
        <v>20</v>
      </c>
      <c r="C775" s="110" t="s">
        <v>1097</v>
      </c>
      <c r="D775" s="111" t="s">
        <v>1068</v>
      </c>
      <c r="E775" s="112"/>
      <c r="F775" s="113" t="s">
        <v>1099</v>
      </c>
      <c r="G775" s="113">
        <v>798.47614385999998</v>
      </c>
      <c r="H775" s="113">
        <v>1122.807682205912</v>
      </c>
      <c r="I775" s="113">
        <v>1921.2838260659119</v>
      </c>
    </row>
    <row r="776" spans="1:9" x14ac:dyDescent="0.35">
      <c r="A776" s="109">
        <v>59454115000107</v>
      </c>
      <c r="B776" s="110" t="s">
        <v>36</v>
      </c>
      <c r="C776" s="110" t="s">
        <v>1095</v>
      </c>
      <c r="D776" s="111" t="s">
        <v>1068</v>
      </c>
      <c r="E776" s="112"/>
      <c r="F776" s="113" t="s">
        <v>1099</v>
      </c>
      <c r="G776" s="113">
        <v>664.11604616</v>
      </c>
      <c r="H776" s="113">
        <v>596.92328668254402</v>
      </c>
      <c r="I776" s="113">
        <v>1261.0393328425439</v>
      </c>
    </row>
    <row r="777" spans="1:9" x14ac:dyDescent="0.35">
      <c r="A777" s="109">
        <v>59535889000154</v>
      </c>
      <c r="B777" s="110" t="s">
        <v>33</v>
      </c>
      <c r="C777" s="110" t="s">
        <v>1095</v>
      </c>
      <c r="D777" s="111" t="s">
        <v>1068</v>
      </c>
      <c r="E777" s="112"/>
      <c r="F777" s="113" t="s">
        <v>1099</v>
      </c>
      <c r="G777" s="113">
        <v>1014.9532817700001</v>
      </c>
      <c r="H777" s="113">
        <v>741.82392724733302</v>
      </c>
      <c r="I777" s="113">
        <v>1756.777209017333</v>
      </c>
    </row>
    <row r="778" spans="1:9" x14ac:dyDescent="0.35">
      <c r="A778" s="109">
        <v>62145174000108</v>
      </c>
      <c r="B778" s="110" t="s">
        <v>20</v>
      </c>
      <c r="C778" s="110" t="s">
        <v>1097</v>
      </c>
      <c r="D778" s="111" t="s">
        <v>1068</v>
      </c>
      <c r="E778" s="112"/>
      <c r="F778" s="113" t="s">
        <v>1099</v>
      </c>
      <c r="G778" s="113">
        <v>822.67557377000003</v>
      </c>
      <c r="H778" s="113">
        <v>1241.1805428361681</v>
      </c>
      <c r="I778" s="113">
        <v>2063.8561166061681</v>
      </c>
    </row>
    <row r="779" spans="1:9" x14ac:dyDescent="0.35">
      <c r="A779" s="109">
        <v>62510454000160</v>
      </c>
      <c r="B779" s="110" t="s">
        <v>20</v>
      </c>
      <c r="C779" s="110" t="s">
        <v>1097</v>
      </c>
      <c r="D779" s="111" t="s">
        <v>1068</v>
      </c>
      <c r="E779" s="112"/>
      <c r="F779" s="113" t="s">
        <v>1099</v>
      </c>
      <c r="G779" s="113">
        <v>683.52497366</v>
      </c>
      <c r="H779" s="113">
        <v>1516.8740034115008</v>
      </c>
      <c r="I779" s="113">
        <v>2200.3989770715007</v>
      </c>
    </row>
    <row r="780" spans="1:9" x14ac:dyDescent="0.35">
      <c r="A780" s="109">
        <v>62569939000129</v>
      </c>
      <c r="B780" s="110" t="s">
        <v>486</v>
      </c>
      <c r="C780" s="110" t="s">
        <v>1095</v>
      </c>
      <c r="D780" s="111" t="s">
        <v>1068</v>
      </c>
      <c r="E780" s="112"/>
      <c r="F780" s="113" t="s">
        <v>1099</v>
      </c>
      <c r="G780" s="113">
        <v>253.80537731000001</v>
      </c>
      <c r="H780" s="113">
        <v>240.18632216769001</v>
      </c>
      <c r="I780" s="113">
        <v>493.99169947769002</v>
      </c>
    </row>
    <row r="781" spans="1:9" x14ac:dyDescent="0.35">
      <c r="A781" s="109">
        <v>4834843000578</v>
      </c>
      <c r="B781" s="110" t="s">
        <v>92</v>
      </c>
      <c r="C781" s="110" t="s">
        <v>1101</v>
      </c>
      <c r="D781" s="111" t="s">
        <v>1071</v>
      </c>
      <c r="E781" s="112" t="s">
        <v>994</v>
      </c>
      <c r="F781" s="113" t="s">
        <v>1098</v>
      </c>
      <c r="G781" s="113">
        <v>3269.2776488873687</v>
      </c>
      <c r="H781" s="113">
        <v>1276.2196519461827</v>
      </c>
      <c r="I781" s="113">
        <v>4545.497300833551</v>
      </c>
    </row>
    <row r="782" spans="1:9" x14ac:dyDescent="0.35">
      <c r="A782" s="109">
        <v>4834843003321</v>
      </c>
      <c r="B782" s="110" t="s">
        <v>92</v>
      </c>
      <c r="C782" s="110" t="s">
        <v>1101</v>
      </c>
      <c r="D782" s="111" t="s">
        <v>1071</v>
      </c>
      <c r="E782" s="112" t="s">
        <v>994</v>
      </c>
      <c r="F782" s="113" t="s">
        <v>1098</v>
      </c>
      <c r="G782" s="113">
        <v>115.70943883999996</v>
      </c>
      <c r="H782" s="113">
        <v>1276.2196519461827</v>
      </c>
      <c r="I782" s="113">
        <v>1391.9290907861828</v>
      </c>
    </row>
    <row r="783" spans="1:9" x14ac:dyDescent="0.35">
      <c r="A783" s="109">
        <v>4834843001116</v>
      </c>
      <c r="B783" s="110" t="s">
        <v>92</v>
      </c>
      <c r="C783" s="110" t="s">
        <v>1101</v>
      </c>
      <c r="D783" s="111" t="s">
        <v>1071</v>
      </c>
      <c r="E783" s="112" t="s">
        <v>994</v>
      </c>
      <c r="F783" s="113" t="s">
        <v>1098</v>
      </c>
      <c r="G783" s="113">
        <v>3269.2776488873687</v>
      </c>
      <c r="H783" s="113">
        <v>1276.2196519461827</v>
      </c>
      <c r="I783" s="113">
        <v>4545.497300833551</v>
      </c>
    </row>
    <row r="784" spans="1:9" x14ac:dyDescent="0.35">
      <c r="A784" s="109">
        <v>4834843000144</v>
      </c>
      <c r="B784" s="110" t="s">
        <v>92</v>
      </c>
      <c r="C784" s="110" t="s">
        <v>1101</v>
      </c>
      <c r="D784" s="111" t="s">
        <v>1071</v>
      </c>
      <c r="E784" s="112" t="s">
        <v>994</v>
      </c>
      <c r="F784" s="113" t="s">
        <v>1098</v>
      </c>
      <c r="G784" s="113">
        <v>3269.2776488873687</v>
      </c>
      <c r="H784" s="113">
        <v>1276.2196519461827</v>
      </c>
      <c r="I784" s="113">
        <v>4545.497300833551</v>
      </c>
    </row>
    <row r="785" spans="1:9" x14ac:dyDescent="0.35">
      <c r="A785" s="109">
        <v>4834843002600</v>
      </c>
      <c r="B785" s="110" t="s">
        <v>92</v>
      </c>
      <c r="C785" s="110" t="s">
        <v>1101</v>
      </c>
      <c r="D785" s="111" t="s">
        <v>1071</v>
      </c>
      <c r="E785" s="112" t="s">
        <v>994</v>
      </c>
      <c r="F785" s="113" t="s">
        <v>1098</v>
      </c>
      <c r="G785" s="113">
        <v>473.38970698000003</v>
      </c>
      <c r="H785" s="113">
        <v>1276.2196519461827</v>
      </c>
      <c r="I785" s="113">
        <v>1749.6093589261827</v>
      </c>
    </row>
    <row r="786" spans="1:9" x14ac:dyDescent="0.35">
      <c r="A786" s="109">
        <v>1617371000180</v>
      </c>
      <c r="B786" s="110" t="s">
        <v>87</v>
      </c>
      <c r="C786" s="110" t="s">
        <v>1095</v>
      </c>
      <c r="D786" s="111" t="s">
        <v>1071</v>
      </c>
      <c r="E786" s="112"/>
      <c r="F786" s="113" t="s">
        <v>1096</v>
      </c>
      <c r="G786" s="113">
        <v>4089.2142641700002</v>
      </c>
      <c r="H786" s="113">
        <v>0</v>
      </c>
      <c r="I786" s="113">
        <v>4089.2142641700002</v>
      </c>
    </row>
    <row r="787" spans="1:9" x14ac:dyDescent="0.35">
      <c r="A787" s="109">
        <v>4834843002945</v>
      </c>
      <c r="B787" s="110" t="s">
        <v>92</v>
      </c>
      <c r="C787" s="110" t="s">
        <v>1101</v>
      </c>
      <c r="D787" s="111" t="s">
        <v>1071</v>
      </c>
      <c r="E787" s="112" t="s">
        <v>994</v>
      </c>
      <c r="F787" s="113" t="s">
        <v>1098</v>
      </c>
      <c r="G787" s="113">
        <v>1438.2790976300005</v>
      </c>
      <c r="H787" s="113">
        <v>1276.2196519461827</v>
      </c>
      <c r="I787" s="113">
        <v>2714.4987495761834</v>
      </c>
    </row>
    <row r="788" spans="1:9" x14ac:dyDescent="0.35">
      <c r="A788" s="109">
        <v>4834843000730</v>
      </c>
      <c r="B788" s="110" t="s">
        <v>92</v>
      </c>
      <c r="C788" s="110" t="s">
        <v>1101</v>
      </c>
      <c r="D788" s="111" t="s">
        <v>1071</v>
      </c>
      <c r="E788" s="112" t="s">
        <v>994</v>
      </c>
      <c r="F788" s="113" t="s">
        <v>1098</v>
      </c>
      <c r="G788" s="113">
        <v>1608.0943672800004</v>
      </c>
      <c r="H788" s="113">
        <v>1276.2196519461827</v>
      </c>
      <c r="I788" s="113">
        <v>2884.3140192261831</v>
      </c>
    </row>
    <row r="789" spans="1:9" x14ac:dyDescent="0.35">
      <c r="A789" s="109">
        <v>18465867000188</v>
      </c>
      <c r="B789" s="110" t="s">
        <v>92</v>
      </c>
      <c r="C789" s="110" t="s">
        <v>1101</v>
      </c>
      <c r="D789" s="111" t="s">
        <v>1071</v>
      </c>
      <c r="E789" s="112" t="s">
        <v>994</v>
      </c>
      <c r="F789" s="113" t="s">
        <v>1098</v>
      </c>
      <c r="G789" s="113">
        <v>5069.7430692599992</v>
      </c>
      <c r="H789" s="113">
        <v>1276.2196519461827</v>
      </c>
      <c r="I789" s="113">
        <v>6345.9627212061823</v>
      </c>
    </row>
    <row r="790" spans="1:9" x14ac:dyDescent="0.35">
      <c r="A790" s="109">
        <v>4834843000900</v>
      </c>
      <c r="B790" s="110" t="s">
        <v>92</v>
      </c>
      <c r="C790" s="110" t="s">
        <v>1101</v>
      </c>
      <c r="D790" s="111" t="s">
        <v>1071</v>
      </c>
      <c r="E790" s="112" t="s">
        <v>994</v>
      </c>
      <c r="F790" s="113" t="s">
        <v>1098</v>
      </c>
      <c r="G790" s="113">
        <v>3174.6880732499994</v>
      </c>
      <c r="H790" s="113">
        <v>1276.2196519461827</v>
      </c>
      <c r="I790" s="113">
        <v>4450.9077251961826</v>
      </c>
    </row>
    <row r="791" spans="1:9" x14ac:dyDescent="0.35">
      <c r="A791" s="109">
        <v>14699069000160</v>
      </c>
      <c r="B791" s="110" t="s">
        <v>20</v>
      </c>
      <c r="C791" s="110" t="s">
        <v>1097</v>
      </c>
      <c r="D791" s="111" t="s">
        <v>1071</v>
      </c>
      <c r="E791" s="112"/>
      <c r="F791" s="113" t="s">
        <v>1100</v>
      </c>
      <c r="G791" s="113">
        <v>0</v>
      </c>
      <c r="H791" s="113">
        <v>367.77183429294297</v>
      </c>
      <c r="I791" s="113">
        <v>367.77183429294297</v>
      </c>
    </row>
    <row r="792" spans="1:9" x14ac:dyDescent="0.35">
      <c r="A792" s="109">
        <v>22155730000102</v>
      </c>
      <c r="B792" s="110" t="s">
        <v>20</v>
      </c>
      <c r="C792" s="110" t="s">
        <v>1097</v>
      </c>
      <c r="D792" s="111" t="s">
        <v>1071</v>
      </c>
      <c r="E792" s="112"/>
      <c r="F792" s="113" t="s">
        <v>1096</v>
      </c>
      <c r="G792" s="113">
        <v>339.52936850999993</v>
      </c>
      <c r="H792" s="113">
        <v>0</v>
      </c>
      <c r="I792" s="113">
        <v>339.52936850999993</v>
      </c>
    </row>
    <row r="793" spans="1:9" x14ac:dyDescent="0.35">
      <c r="A793" s="109">
        <v>4834843000810</v>
      </c>
      <c r="B793" s="110" t="s">
        <v>92</v>
      </c>
      <c r="C793" s="110" t="s">
        <v>1101</v>
      </c>
      <c r="D793" s="111" t="s">
        <v>1071</v>
      </c>
      <c r="E793" s="112" t="s">
        <v>994</v>
      </c>
      <c r="F793" s="113" t="s">
        <v>1098</v>
      </c>
      <c r="G793" s="113">
        <v>1544.4948012999998</v>
      </c>
      <c r="H793" s="113">
        <v>1276.2196519461827</v>
      </c>
      <c r="I793" s="113">
        <v>2820.7144532461825</v>
      </c>
    </row>
    <row r="794" spans="1:9" x14ac:dyDescent="0.35">
      <c r="A794" s="109">
        <v>4834843001540</v>
      </c>
      <c r="B794" s="110" t="s">
        <v>92</v>
      </c>
      <c r="C794" s="110" t="s">
        <v>1101</v>
      </c>
      <c r="D794" s="111" t="s">
        <v>1071</v>
      </c>
      <c r="E794" s="112" t="s">
        <v>994</v>
      </c>
      <c r="F794" s="113" t="s">
        <v>1098</v>
      </c>
      <c r="G794" s="113">
        <v>3051.2188630400005</v>
      </c>
      <c r="H794" s="113">
        <v>1276.2196519461827</v>
      </c>
      <c r="I794" s="113">
        <v>4327.4385149861828</v>
      </c>
    </row>
    <row r="795" spans="1:9" x14ac:dyDescent="0.35">
      <c r="A795" s="109">
        <v>4834843001620</v>
      </c>
      <c r="B795" s="110" t="s">
        <v>92</v>
      </c>
      <c r="C795" s="110" t="s">
        <v>1101</v>
      </c>
      <c r="D795" s="111" t="s">
        <v>1071</v>
      </c>
      <c r="E795" s="112" t="s">
        <v>994</v>
      </c>
      <c r="F795" s="113" t="s">
        <v>1098</v>
      </c>
      <c r="G795" s="113">
        <v>1470.3671788000001</v>
      </c>
      <c r="H795" s="113">
        <v>1276.2196519461827</v>
      </c>
      <c r="I795" s="113">
        <v>2746.5868307461828</v>
      </c>
    </row>
    <row r="796" spans="1:9" x14ac:dyDescent="0.35">
      <c r="A796" s="109">
        <v>4834843003160</v>
      </c>
      <c r="B796" s="110" t="s">
        <v>92</v>
      </c>
      <c r="C796" s="110" t="s">
        <v>1101</v>
      </c>
      <c r="D796" s="111" t="s">
        <v>1071</v>
      </c>
      <c r="E796" s="112" t="s">
        <v>994</v>
      </c>
      <c r="F796" s="113" t="s">
        <v>1098</v>
      </c>
      <c r="G796" s="113">
        <v>720.29855730999998</v>
      </c>
      <c r="H796" s="113">
        <v>1276.2196519461827</v>
      </c>
      <c r="I796" s="113">
        <v>1996.5182092561827</v>
      </c>
    </row>
    <row r="797" spans="1:9" x14ac:dyDescent="0.35">
      <c r="A797" s="109">
        <v>4834843001469</v>
      </c>
      <c r="B797" s="110" t="s">
        <v>92</v>
      </c>
      <c r="C797" s="110" t="s">
        <v>1101</v>
      </c>
      <c r="D797" s="111" t="s">
        <v>1071</v>
      </c>
      <c r="E797" s="112" t="s">
        <v>994</v>
      </c>
      <c r="F797" s="113" t="s">
        <v>1098</v>
      </c>
      <c r="G797" s="113">
        <v>1143.0635074899997</v>
      </c>
      <c r="H797" s="113">
        <v>1276.2196519461827</v>
      </c>
      <c r="I797" s="113">
        <v>2419.2831594361824</v>
      </c>
    </row>
    <row r="798" spans="1:9" x14ac:dyDescent="0.35">
      <c r="A798" s="109">
        <v>4834843001892</v>
      </c>
      <c r="B798" s="110" t="s">
        <v>92</v>
      </c>
      <c r="C798" s="110" t="s">
        <v>1101</v>
      </c>
      <c r="D798" s="111" t="s">
        <v>1071</v>
      </c>
      <c r="E798" s="112" t="s">
        <v>994</v>
      </c>
      <c r="F798" s="113" t="s">
        <v>1098</v>
      </c>
      <c r="G798" s="113">
        <v>2698.5501075200004</v>
      </c>
      <c r="H798" s="113">
        <v>1276.2196519461827</v>
      </c>
      <c r="I798" s="113">
        <v>3974.7697594661831</v>
      </c>
    </row>
    <row r="799" spans="1:9" x14ac:dyDescent="0.35">
      <c r="A799" s="109">
        <v>4834843001035</v>
      </c>
      <c r="B799" s="110" t="s">
        <v>92</v>
      </c>
      <c r="C799" s="110" t="s">
        <v>1101</v>
      </c>
      <c r="D799" s="111" t="s">
        <v>1071</v>
      </c>
      <c r="E799" s="112" t="s">
        <v>994</v>
      </c>
      <c r="F799" s="113" t="s">
        <v>1098</v>
      </c>
      <c r="G799" s="113">
        <v>5883.5609028600002</v>
      </c>
      <c r="H799" s="113">
        <v>1276.2196519461827</v>
      </c>
      <c r="I799" s="113">
        <v>7159.7805548061824</v>
      </c>
    </row>
    <row r="800" spans="1:9" x14ac:dyDescent="0.35">
      <c r="A800" s="109">
        <v>4834843002198</v>
      </c>
      <c r="B800" s="110" t="s">
        <v>92</v>
      </c>
      <c r="C800" s="110" t="s">
        <v>1101</v>
      </c>
      <c r="D800" s="111" t="s">
        <v>1071</v>
      </c>
      <c r="E800" s="112" t="s">
        <v>994</v>
      </c>
      <c r="F800" s="113" t="s">
        <v>1098</v>
      </c>
      <c r="G800" s="113">
        <v>2956.4813602299987</v>
      </c>
      <c r="H800" s="113">
        <v>1276.2196519461827</v>
      </c>
      <c r="I800" s="113">
        <v>4232.7010121761814</v>
      </c>
    </row>
    <row r="801" spans="1:9" x14ac:dyDescent="0.35">
      <c r="A801" s="109">
        <v>4834843002430</v>
      </c>
      <c r="B801" s="110" t="s">
        <v>92</v>
      </c>
      <c r="C801" s="110" t="s">
        <v>1101</v>
      </c>
      <c r="D801" s="111" t="s">
        <v>1071</v>
      </c>
      <c r="E801" s="112" t="s">
        <v>994</v>
      </c>
      <c r="F801" s="113" t="s">
        <v>1098</v>
      </c>
      <c r="G801" s="113">
        <v>3083.9368814999998</v>
      </c>
      <c r="H801" s="113">
        <v>1276.2196519461827</v>
      </c>
      <c r="I801" s="113">
        <v>4360.1565334461829</v>
      </c>
    </row>
    <row r="802" spans="1:9" x14ac:dyDescent="0.35">
      <c r="A802" s="109">
        <v>4834843003089</v>
      </c>
      <c r="B802" s="110" t="s">
        <v>92</v>
      </c>
      <c r="C802" s="110" t="s">
        <v>1101</v>
      </c>
      <c r="D802" s="111" t="s">
        <v>1071</v>
      </c>
      <c r="E802" s="112" t="s">
        <v>994</v>
      </c>
      <c r="F802" s="113" t="s">
        <v>1098</v>
      </c>
      <c r="G802" s="113">
        <v>620.89715495000019</v>
      </c>
      <c r="H802" s="113">
        <v>1276.2196519461827</v>
      </c>
      <c r="I802" s="113">
        <v>1897.1168068961829</v>
      </c>
    </row>
    <row r="803" spans="1:9" x14ac:dyDescent="0.35">
      <c r="A803" s="109">
        <v>4834843002279</v>
      </c>
      <c r="B803" s="110" t="s">
        <v>92</v>
      </c>
      <c r="C803" s="110" t="s">
        <v>1101</v>
      </c>
      <c r="D803" s="111" t="s">
        <v>1071</v>
      </c>
      <c r="E803" s="112" t="s">
        <v>994</v>
      </c>
      <c r="F803" s="113" t="s">
        <v>1098</v>
      </c>
      <c r="G803" s="113">
        <v>5792.304491840001</v>
      </c>
      <c r="H803" s="113">
        <v>1276.2196519461827</v>
      </c>
      <c r="I803" s="113">
        <v>7068.5241437861841</v>
      </c>
    </row>
    <row r="804" spans="1:9" x14ac:dyDescent="0.35">
      <c r="A804" s="109">
        <v>2025871000195</v>
      </c>
      <c r="B804" s="110" t="s">
        <v>92</v>
      </c>
      <c r="C804" s="110" t="s">
        <v>1101</v>
      </c>
      <c r="D804" s="111" t="s">
        <v>1071</v>
      </c>
      <c r="E804" s="112" t="s">
        <v>994</v>
      </c>
      <c r="F804" s="113" t="s">
        <v>1098</v>
      </c>
      <c r="G804" s="113">
        <v>4052.5095582499998</v>
      </c>
      <c r="H804" s="113">
        <v>1276.2196519461827</v>
      </c>
      <c r="I804" s="113">
        <v>5328.729210196183</v>
      </c>
    </row>
    <row r="805" spans="1:9" x14ac:dyDescent="0.35">
      <c r="A805" s="109">
        <v>4834843000659</v>
      </c>
      <c r="B805" s="110" t="s">
        <v>92</v>
      </c>
      <c r="C805" s="110" t="s">
        <v>1101</v>
      </c>
      <c r="D805" s="111" t="s">
        <v>1071</v>
      </c>
      <c r="E805" s="112" t="s">
        <v>994</v>
      </c>
      <c r="F805" s="113" t="s">
        <v>1098</v>
      </c>
      <c r="G805" s="113">
        <v>2992.9723868800002</v>
      </c>
      <c r="H805" s="113">
        <v>1276.2196519461827</v>
      </c>
      <c r="I805" s="113">
        <v>4269.1920388261824</v>
      </c>
    </row>
    <row r="806" spans="1:9" x14ac:dyDescent="0.35">
      <c r="A806" s="109">
        <v>4834843001701</v>
      </c>
      <c r="B806" s="110" t="s">
        <v>92</v>
      </c>
      <c r="C806" s="110" t="s">
        <v>1101</v>
      </c>
      <c r="D806" s="111" t="s">
        <v>1071</v>
      </c>
      <c r="E806" s="112" t="s">
        <v>994</v>
      </c>
      <c r="F806" s="113" t="s">
        <v>1098</v>
      </c>
      <c r="G806" s="113">
        <v>2041.9247099200002</v>
      </c>
      <c r="H806" s="113">
        <v>1276.2196519461827</v>
      </c>
      <c r="I806" s="113">
        <v>3318.1443618661829</v>
      </c>
    </row>
    <row r="807" spans="1:9" x14ac:dyDescent="0.35">
      <c r="A807" s="109">
        <v>4834843002350</v>
      </c>
      <c r="B807" s="110" t="s">
        <v>92</v>
      </c>
      <c r="C807" s="110" t="s">
        <v>1101</v>
      </c>
      <c r="D807" s="111" t="s">
        <v>1071</v>
      </c>
      <c r="E807" s="112" t="s">
        <v>994</v>
      </c>
      <c r="F807" s="113" t="s">
        <v>1098</v>
      </c>
      <c r="G807" s="113">
        <v>2453.4495417500002</v>
      </c>
      <c r="H807" s="113">
        <v>1276.2196519461827</v>
      </c>
      <c r="I807" s="113">
        <v>3729.6691936961829</v>
      </c>
    </row>
    <row r="808" spans="1:9" x14ac:dyDescent="0.35">
      <c r="A808" s="109">
        <v>932885000167</v>
      </c>
      <c r="B808" s="110" t="s">
        <v>20</v>
      </c>
      <c r="C808" s="110" t="s">
        <v>1097</v>
      </c>
      <c r="D808" s="111" t="s">
        <v>1071</v>
      </c>
      <c r="E808" s="112"/>
      <c r="F808" s="113" t="s">
        <v>1099</v>
      </c>
      <c r="G808" s="113">
        <v>1971.1766711200003</v>
      </c>
      <c r="H808" s="113">
        <v>1163.5146757381194</v>
      </c>
      <c r="I808" s="113">
        <v>3134.6913468581197</v>
      </c>
    </row>
    <row r="809" spans="1:9" x14ac:dyDescent="0.35">
      <c r="A809" s="109">
        <v>52619699000176</v>
      </c>
      <c r="B809" s="110" t="s">
        <v>20</v>
      </c>
      <c r="C809" s="110" t="s">
        <v>1097</v>
      </c>
      <c r="D809" s="111" t="s">
        <v>1071</v>
      </c>
      <c r="E809" s="112"/>
      <c r="F809" s="113" t="s">
        <v>1099</v>
      </c>
      <c r="G809" s="113">
        <v>584.92668889000015</v>
      </c>
      <c r="H809" s="113">
        <v>587.79126834023987</v>
      </c>
      <c r="I809" s="113">
        <v>1172.71795723024</v>
      </c>
    </row>
    <row r="810" spans="1:9" x14ac:dyDescent="0.35">
      <c r="A810" s="109">
        <v>4834843001205</v>
      </c>
      <c r="B810" s="110" t="s">
        <v>92</v>
      </c>
      <c r="C810" s="110" t="s">
        <v>1101</v>
      </c>
      <c r="D810" s="111" t="s">
        <v>1071</v>
      </c>
      <c r="E810" s="112" t="s">
        <v>994</v>
      </c>
      <c r="F810" s="113" t="s">
        <v>1098</v>
      </c>
      <c r="G810" s="113">
        <v>2820.453769589999</v>
      </c>
      <c r="H810" s="113">
        <v>1276.2196519461827</v>
      </c>
      <c r="I810" s="113">
        <v>4096.6734215361812</v>
      </c>
    </row>
    <row r="811" spans="1:9" x14ac:dyDescent="0.35">
      <c r="A811" s="109">
        <v>2351409000188</v>
      </c>
      <c r="B811" s="110" t="s">
        <v>80</v>
      </c>
      <c r="C811" s="110" t="s">
        <v>1095</v>
      </c>
      <c r="D811" s="111" t="s">
        <v>1071</v>
      </c>
      <c r="E811" s="112"/>
      <c r="F811" s="113" t="s">
        <v>1099</v>
      </c>
      <c r="G811" s="113">
        <v>1080.5267936099995</v>
      </c>
      <c r="H811" s="113">
        <v>975.70343197070974</v>
      </c>
      <c r="I811" s="113">
        <v>2056.230225580709</v>
      </c>
    </row>
    <row r="812" spans="1:9" x14ac:dyDescent="0.35">
      <c r="A812" s="109">
        <v>4834843002511</v>
      </c>
      <c r="B812" s="110" t="s">
        <v>92</v>
      </c>
      <c r="C812" s="110" t="s">
        <v>1101</v>
      </c>
      <c r="D812" s="111" t="s">
        <v>1071</v>
      </c>
      <c r="E812" s="112" t="s">
        <v>994</v>
      </c>
      <c r="F812" s="113" t="s">
        <v>1098</v>
      </c>
      <c r="G812" s="113">
        <v>4915.2272842399998</v>
      </c>
      <c r="H812" s="113">
        <v>1276.2196519461827</v>
      </c>
      <c r="I812" s="113">
        <v>6191.4469361861829</v>
      </c>
    </row>
    <row r="813" spans="1:9" x14ac:dyDescent="0.35">
      <c r="A813" s="109">
        <v>7832402000100</v>
      </c>
      <c r="B813" s="110" t="s">
        <v>276</v>
      </c>
      <c r="C813" s="110" t="s">
        <v>1095</v>
      </c>
      <c r="D813" s="111" t="s">
        <v>1071</v>
      </c>
      <c r="E813" s="112"/>
      <c r="F813" s="113" t="s">
        <v>1099</v>
      </c>
      <c r="G813" s="113">
        <v>997.8160310400001</v>
      </c>
      <c r="H813" s="113">
        <v>209.60267612544305</v>
      </c>
      <c r="I813" s="113">
        <v>1207.4187071654433</v>
      </c>
    </row>
    <row r="814" spans="1:9" x14ac:dyDescent="0.35">
      <c r="A814" s="109">
        <v>4834843002783</v>
      </c>
      <c r="B814" s="110" t="s">
        <v>92</v>
      </c>
      <c r="C814" s="110" t="s">
        <v>1101</v>
      </c>
      <c r="D814" s="111" t="s">
        <v>1071</v>
      </c>
      <c r="E814" s="112" t="s">
        <v>994</v>
      </c>
      <c r="F814" s="113" t="s">
        <v>1098</v>
      </c>
      <c r="G814" s="113">
        <v>1615.5805645000003</v>
      </c>
      <c r="H814" s="113">
        <v>1276.2196519461827</v>
      </c>
      <c r="I814" s="113">
        <v>2891.8002164461832</v>
      </c>
    </row>
    <row r="815" spans="1:9" x14ac:dyDescent="0.35">
      <c r="A815" s="109">
        <v>4834843003240</v>
      </c>
      <c r="B815" s="110" t="s">
        <v>92</v>
      </c>
      <c r="C815" s="110" t="s">
        <v>1101</v>
      </c>
      <c r="D815" s="111" t="s">
        <v>1071</v>
      </c>
      <c r="E815" s="112" t="s">
        <v>994</v>
      </c>
      <c r="F815" s="113" t="s">
        <v>1098</v>
      </c>
      <c r="G815" s="113">
        <v>863.15986909000026</v>
      </c>
      <c r="H815" s="113">
        <v>1276.2196519461827</v>
      </c>
      <c r="I815" s="113">
        <v>2139.3795210361832</v>
      </c>
    </row>
    <row r="816" spans="1:9" x14ac:dyDescent="0.35">
      <c r="A816" s="109">
        <v>4597961000186</v>
      </c>
      <c r="B816" s="110" t="s">
        <v>20</v>
      </c>
      <c r="C816" s="110" t="s">
        <v>1097</v>
      </c>
      <c r="D816" s="111" t="s">
        <v>1071</v>
      </c>
      <c r="E816" s="112"/>
      <c r="F816" s="113" t="s">
        <v>1099</v>
      </c>
      <c r="G816" s="113">
        <v>3082.97738308</v>
      </c>
      <c r="H816" s="113">
        <v>394.68071072333987</v>
      </c>
      <c r="I816" s="113">
        <v>3477.6580938033399</v>
      </c>
    </row>
    <row r="817" spans="1:9" x14ac:dyDescent="0.35">
      <c r="A817" s="109">
        <v>4834843002007</v>
      </c>
      <c r="B817" s="110" t="s">
        <v>92</v>
      </c>
      <c r="C817" s="110" t="s">
        <v>1101</v>
      </c>
      <c r="D817" s="111" t="s">
        <v>1071</v>
      </c>
      <c r="E817" s="112" t="s">
        <v>994</v>
      </c>
      <c r="F817" s="113" t="s">
        <v>1098</v>
      </c>
      <c r="G817" s="113">
        <v>1887.1117463100004</v>
      </c>
      <c r="H817" s="113">
        <v>1276.2196519461827</v>
      </c>
      <c r="I817" s="113">
        <v>3163.3313982561831</v>
      </c>
    </row>
    <row r="818" spans="1:9" x14ac:dyDescent="0.35">
      <c r="A818" s="109">
        <v>8966998000195</v>
      </c>
      <c r="B818" s="110" t="s">
        <v>20</v>
      </c>
      <c r="C818" s="110" t="s">
        <v>1097</v>
      </c>
      <c r="D818" s="111" t="s">
        <v>1071</v>
      </c>
      <c r="E818" s="112"/>
      <c r="F818" s="113" t="s">
        <v>1099</v>
      </c>
      <c r="G818" s="113">
        <v>1698.6383508700001</v>
      </c>
      <c r="H818" s="113">
        <v>1115.8510649009795</v>
      </c>
      <c r="I818" s="113">
        <v>2814.4894157709796</v>
      </c>
    </row>
    <row r="819" spans="1:9" x14ac:dyDescent="0.35">
      <c r="A819" s="109">
        <v>4834843001388</v>
      </c>
      <c r="B819" s="110" t="s">
        <v>92</v>
      </c>
      <c r="C819" s="110" t="s">
        <v>1101</v>
      </c>
      <c r="D819" s="111" t="s">
        <v>1071</v>
      </c>
      <c r="E819" s="112" t="s">
        <v>994</v>
      </c>
      <c r="F819" s="113" t="s">
        <v>1098</v>
      </c>
      <c r="G819" s="113">
        <v>2002.2233232500002</v>
      </c>
      <c r="H819" s="113">
        <v>1276.2196519461827</v>
      </c>
      <c r="I819" s="113">
        <v>3278.4429751961829</v>
      </c>
    </row>
    <row r="820" spans="1:9" x14ac:dyDescent="0.35">
      <c r="A820" s="109">
        <v>55497176000192</v>
      </c>
      <c r="B820" s="110" t="s">
        <v>87</v>
      </c>
      <c r="C820" s="110" t="s">
        <v>1095</v>
      </c>
      <c r="D820" s="111" t="s">
        <v>1071</v>
      </c>
      <c r="E820" s="112"/>
      <c r="F820" s="113" t="s">
        <v>1099</v>
      </c>
      <c r="G820" s="113">
        <v>879.27749484999993</v>
      </c>
      <c r="H820" s="113">
        <v>700.39513071582019</v>
      </c>
      <c r="I820" s="113">
        <v>1579.67262556582</v>
      </c>
    </row>
    <row r="821" spans="1:9" x14ac:dyDescent="0.35">
      <c r="A821" s="109">
        <v>4834843000225</v>
      </c>
      <c r="B821" s="110" t="s">
        <v>92</v>
      </c>
      <c r="C821" s="110" t="s">
        <v>1101</v>
      </c>
      <c r="D821" s="111" t="s">
        <v>1071</v>
      </c>
      <c r="E821" s="112" t="s">
        <v>994</v>
      </c>
      <c r="F821" s="113" t="s">
        <v>1098</v>
      </c>
      <c r="G821" s="113">
        <v>7664.4007131199996</v>
      </c>
      <c r="H821" s="113">
        <v>1276.2196519461827</v>
      </c>
      <c r="I821" s="113">
        <v>8940.6203650661828</v>
      </c>
    </row>
    <row r="822" spans="1:9" x14ac:dyDescent="0.35">
      <c r="A822" s="109">
        <v>55288708000181</v>
      </c>
      <c r="B822" s="110" t="s">
        <v>20</v>
      </c>
      <c r="C822" s="110" t="s">
        <v>1097</v>
      </c>
      <c r="D822" s="111" t="s">
        <v>1071</v>
      </c>
      <c r="E822" s="112"/>
      <c r="F822" s="113" t="s">
        <v>1099</v>
      </c>
      <c r="G822" s="113">
        <v>2635.6280448899997</v>
      </c>
      <c r="H822" s="113">
        <v>1789.0579904933202</v>
      </c>
      <c r="I822" s="113">
        <v>4424.6860353833199</v>
      </c>
    </row>
    <row r="823" spans="1:9" x14ac:dyDescent="0.35">
      <c r="A823" s="109">
        <v>4834843001973</v>
      </c>
      <c r="B823" s="110" t="s">
        <v>92</v>
      </c>
      <c r="C823" s="110" t="s">
        <v>1101</v>
      </c>
      <c r="D823" s="111" t="s">
        <v>1071</v>
      </c>
      <c r="E823" s="112" t="s">
        <v>994</v>
      </c>
      <c r="F823" s="113" t="s">
        <v>1098</v>
      </c>
      <c r="G823" s="113">
        <v>5145.4483064399992</v>
      </c>
      <c r="H823" s="113">
        <v>1276.2196519461827</v>
      </c>
      <c r="I823" s="113">
        <v>6421.6679583861824</v>
      </c>
    </row>
    <row r="824" spans="1:9" x14ac:dyDescent="0.35">
      <c r="A824" s="109">
        <v>4834843002864</v>
      </c>
      <c r="B824" s="110" t="s">
        <v>92</v>
      </c>
      <c r="C824" s="110" t="s">
        <v>1101</v>
      </c>
      <c r="D824" s="111" t="s">
        <v>1071</v>
      </c>
      <c r="E824" s="112" t="s">
        <v>994</v>
      </c>
      <c r="F824" s="113" t="s">
        <v>1098</v>
      </c>
      <c r="G824" s="113">
        <v>2443.8589080800002</v>
      </c>
      <c r="H824" s="113">
        <v>1276.2196519461827</v>
      </c>
      <c r="I824" s="113">
        <v>3720.0785600261829</v>
      </c>
    </row>
    <row r="825" spans="1:9" x14ac:dyDescent="0.35">
      <c r="A825" s="109">
        <v>18110799000134</v>
      </c>
      <c r="B825" s="110" t="s">
        <v>20</v>
      </c>
      <c r="C825" s="110" t="s">
        <v>1097</v>
      </c>
      <c r="D825" s="111" t="s">
        <v>1071</v>
      </c>
      <c r="E825" s="112"/>
      <c r="F825" s="113" t="s">
        <v>1099</v>
      </c>
      <c r="G825" s="113">
        <v>761.75016262999998</v>
      </c>
      <c r="H825" s="113">
        <v>973.25549734070023</v>
      </c>
      <c r="I825" s="113">
        <v>1735.0056599707002</v>
      </c>
    </row>
    <row r="826" spans="1:9" x14ac:dyDescent="0.35">
      <c r="A826" s="109">
        <v>65824591000167</v>
      </c>
      <c r="B826" s="110" t="s">
        <v>38</v>
      </c>
      <c r="C826" s="110" t="s">
        <v>1095</v>
      </c>
      <c r="D826" s="111" t="s">
        <v>1071</v>
      </c>
      <c r="E826" s="112"/>
      <c r="F826" s="113" t="s">
        <v>1096</v>
      </c>
      <c r="G826" s="113">
        <v>1917.7312971599999</v>
      </c>
      <c r="H826" s="113">
        <v>0</v>
      </c>
      <c r="I826" s="113">
        <v>1917.7312971599999</v>
      </c>
    </row>
    <row r="827" spans="1:9" x14ac:dyDescent="0.35">
      <c r="A827" s="109">
        <v>49852577000110</v>
      </c>
      <c r="B827" s="110" t="s">
        <v>20</v>
      </c>
      <c r="C827" s="110" t="s">
        <v>1097</v>
      </c>
      <c r="D827" s="111" t="s">
        <v>1071</v>
      </c>
      <c r="E827" s="112"/>
      <c r="F827" s="113" t="s">
        <v>1099</v>
      </c>
      <c r="G827" s="113">
        <v>14838.902215750006</v>
      </c>
      <c r="H827" s="113">
        <v>6421.119362701801</v>
      </c>
      <c r="I827" s="113">
        <v>21260.021578451808</v>
      </c>
    </row>
    <row r="828" spans="1:9" x14ac:dyDescent="0.35">
      <c r="A828" s="109">
        <v>96365630000139</v>
      </c>
      <c r="B828" s="110" t="s">
        <v>20</v>
      </c>
      <c r="C828" s="110" t="s">
        <v>1097</v>
      </c>
      <c r="D828" s="111" t="s">
        <v>1071</v>
      </c>
      <c r="E828" s="112"/>
      <c r="F828" s="113" t="s">
        <v>1099</v>
      </c>
      <c r="G828" s="113">
        <v>16509.73673955</v>
      </c>
      <c r="H828" s="113">
        <v>8754.2263240313023</v>
      </c>
      <c r="I828" s="113">
        <v>25263.963063581301</v>
      </c>
    </row>
    <row r="829" spans="1:9" x14ac:dyDescent="0.35">
      <c r="A829" s="109">
        <v>3328971000153</v>
      </c>
      <c r="B829" s="110" t="s">
        <v>87</v>
      </c>
      <c r="C829" s="110" t="s">
        <v>1095</v>
      </c>
      <c r="D829" s="111" t="s">
        <v>1071</v>
      </c>
      <c r="E829" s="112"/>
      <c r="F829" s="113" t="s">
        <v>1099</v>
      </c>
      <c r="G829" s="113">
        <v>1678.6939409300001</v>
      </c>
      <c r="H829" s="113">
        <v>1511.5517025096599</v>
      </c>
      <c r="I829" s="113">
        <v>3190.2456434396599</v>
      </c>
    </row>
    <row r="830" spans="1:9" x14ac:dyDescent="0.35">
      <c r="A830" s="109">
        <v>17241854000162</v>
      </c>
      <c r="B830" s="110" t="s">
        <v>103</v>
      </c>
      <c r="C830" s="110" t="s">
        <v>1095</v>
      </c>
      <c r="D830" s="111" t="s">
        <v>1071</v>
      </c>
      <c r="E830" s="112"/>
      <c r="F830" s="113" t="s">
        <v>1099</v>
      </c>
      <c r="G830" s="113">
        <v>9183.2055307099999</v>
      </c>
      <c r="H830" s="113">
        <v>5365.3412440955499</v>
      </c>
      <c r="I830" s="113">
        <v>14548.546774805549</v>
      </c>
    </row>
    <row r="831" spans="1:9" x14ac:dyDescent="0.35">
      <c r="A831" s="109">
        <v>12113721000197</v>
      </c>
      <c r="B831" s="110" t="s">
        <v>16</v>
      </c>
      <c r="C831" s="110" t="s">
        <v>1095</v>
      </c>
      <c r="D831" s="111" t="s">
        <v>1071</v>
      </c>
      <c r="E831" s="112"/>
      <c r="F831" s="113" t="s">
        <v>1099</v>
      </c>
      <c r="G831" s="113">
        <v>1593.756286</v>
      </c>
      <c r="H831" s="113">
        <v>896.45161240004995</v>
      </c>
      <c r="I831" s="113">
        <v>2490.20789840005</v>
      </c>
    </row>
    <row r="832" spans="1:9" x14ac:dyDescent="0.35">
      <c r="A832" s="109">
        <v>4716183000288</v>
      </c>
      <c r="B832" s="110" t="s">
        <v>352</v>
      </c>
      <c r="C832" s="110" t="s">
        <v>1095</v>
      </c>
      <c r="D832" s="111" t="s">
        <v>1071</v>
      </c>
      <c r="E832" s="112"/>
      <c r="F832" s="113" t="s">
        <v>1099</v>
      </c>
      <c r="G832" s="113">
        <v>605.33856066999999</v>
      </c>
      <c r="H832" s="113">
        <v>1258.87673019763</v>
      </c>
      <c r="I832" s="113">
        <v>1864.2152908676298</v>
      </c>
    </row>
    <row r="833" spans="1:9" x14ac:dyDescent="0.35">
      <c r="A833" s="109">
        <v>19671223000109</v>
      </c>
      <c r="B833" s="110" t="s">
        <v>92</v>
      </c>
      <c r="C833" s="110" t="s">
        <v>1101</v>
      </c>
      <c r="D833" s="111" t="s">
        <v>1071</v>
      </c>
      <c r="E833" s="112" t="s">
        <v>994</v>
      </c>
      <c r="F833" s="113" t="s">
        <v>1098</v>
      </c>
      <c r="G833" s="113">
        <v>9159.3571389000008</v>
      </c>
      <c r="H833" s="113">
        <v>1276.2196519461827</v>
      </c>
      <c r="I833" s="113">
        <v>10435.576790846184</v>
      </c>
    </row>
    <row r="834" spans="1:9" x14ac:dyDescent="0.35">
      <c r="A834" s="109">
        <v>38335229000150</v>
      </c>
      <c r="B834" s="110" t="s">
        <v>486</v>
      </c>
      <c r="C834" s="110" t="s">
        <v>1095</v>
      </c>
      <c r="D834" s="111" t="s">
        <v>1071</v>
      </c>
      <c r="E834" s="112"/>
      <c r="F834" s="113" t="s">
        <v>1099</v>
      </c>
      <c r="G834" s="113">
        <v>493.99808068000004</v>
      </c>
      <c r="H834" s="113">
        <v>386.54806419434192</v>
      </c>
      <c r="I834" s="113">
        <v>880.54614487434196</v>
      </c>
    </row>
    <row r="835" spans="1:9" x14ac:dyDescent="0.35">
      <c r="A835" s="109">
        <v>43002849000107</v>
      </c>
      <c r="B835" s="110" t="s">
        <v>20</v>
      </c>
      <c r="C835" s="110" t="s">
        <v>1097</v>
      </c>
      <c r="D835" s="111" t="s">
        <v>1071</v>
      </c>
      <c r="E835" s="112"/>
      <c r="F835" s="113" t="s">
        <v>1099</v>
      </c>
      <c r="G835" s="113">
        <v>1474.5639689100001</v>
      </c>
      <c r="H835" s="113">
        <v>1176.9882825572399</v>
      </c>
      <c r="I835" s="113">
        <v>2651.5522514672402</v>
      </c>
    </row>
    <row r="836" spans="1:9" x14ac:dyDescent="0.35">
      <c r="A836" s="109">
        <v>55248561000104</v>
      </c>
      <c r="B836" s="110" t="s">
        <v>352</v>
      </c>
      <c r="C836" s="110" t="s">
        <v>1095</v>
      </c>
      <c r="D836" s="111" t="s">
        <v>1071</v>
      </c>
      <c r="E836" s="112"/>
      <c r="F836" s="113" t="s">
        <v>1099</v>
      </c>
      <c r="G836" s="113">
        <v>978.02739623000014</v>
      </c>
      <c r="H836" s="113">
        <v>988.27695652508498</v>
      </c>
      <c r="I836" s="113">
        <v>1966.3043527550851</v>
      </c>
    </row>
    <row r="837" spans="1:9" x14ac:dyDescent="0.35">
      <c r="A837" s="109">
        <v>4716183000105</v>
      </c>
      <c r="B837" s="110" t="s">
        <v>352</v>
      </c>
      <c r="C837" s="110" t="s">
        <v>1095</v>
      </c>
      <c r="D837" s="111" t="s">
        <v>1071</v>
      </c>
      <c r="E837" s="112"/>
      <c r="F837" s="113" t="s">
        <v>1099</v>
      </c>
      <c r="G837" s="113">
        <v>2686.91212838</v>
      </c>
      <c r="H837" s="113">
        <v>4138.90802645227</v>
      </c>
      <c r="I837" s="113">
        <v>6825.8201548322704</v>
      </c>
    </row>
    <row r="838" spans="1:9" x14ac:dyDescent="0.35">
      <c r="A838" s="109">
        <v>13701031000111</v>
      </c>
      <c r="B838" s="110" t="s">
        <v>87</v>
      </c>
      <c r="C838" s="110" t="s">
        <v>1095</v>
      </c>
      <c r="D838" s="111" t="s">
        <v>1071</v>
      </c>
      <c r="E838" s="112"/>
      <c r="F838" s="113" t="s">
        <v>1099</v>
      </c>
      <c r="G838" s="113">
        <v>1077.3505222200001</v>
      </c>
      <c r="H838" s="113">
        <v>1219.7443955339299</v>
      </c>
      <c r="I838" s="113">
        <v>2297.0949177539301</v>
      </c>
    </row>
    <row r="839" spans="1:9" x14ac:dyDescent="0.35">
      <c r="A839" s="109">
        <v>17373000175</v>
      </c>
      <c r="B839" s="110" t="s">
        <v>20</v>
      </c>
      <c r="C839" s="110" t="s">
        <v>1097</v>
      </c>
      <c r="D839" s="111" t="s">
        <v>1071</v>
      </c>
      <c r="E839" s="112"/>
      <c r="F839" s="113" t="s">
        <v>1099</v>
      </c>
      <c r="G839" s="113">
        <v>13324.42234375</v>
      </c>
      <c r="H839" s="113">
        <v>5420.6930430989905</v>
      </c>
      <c r="I839" s="113">
        <v>18745.115386848993</v>
      </c>
    </row>
    <row r="840" spans="1:9" x14ac:dyDescent="0.35">
      <c r="A840" s="109">
        <v>4834843000497</v>
      </c>
      <c r="B840" s="110" t="s">
        <v>92</v>
      </c>
      <c r="C840" s="110" t="s">
        <v>1101</v>
      </c>
      <c r="D840" s="111" t="s">
        <v>1071</v>
      </c>
      <c r="E840" s="112" t="s">
        <v>994</v>
      </c>
      <c r="F840" s="113" t="s">
        <v>1098</v>
      </c>
      <c r="G840" s="113">
        <v>11685.412286929999</v>
      </c>
      <c r="H840" s="113">
        <v>1276.2196519461827</v>
      </c>
      <c r="I840" s="113">
        <v>12961.631938876182</v>
      </c>
    </row>
    <row r="841" spans="1:9" x14ac:dyDescent="0.35">
      <c r="A841" s="109">
        <v>15303440000195</v>
      </c>
      <c r="B841" s="110" t="s">
        <v>92</v>
      </c>
      <c r="C841" s="110" t="s">
        <v>1101</v>
      </c>
      <c r="D841" s="111" t="s">
        <v>1071</v>
      </c>
      <c r="E841" s="112" t="s">
        <v>994</v>
      </c>
      <c r="F841" s="113" t="s">
        <v>1098</v>
      </c>
      <c r="G841" s="113">
        <v>10752.543961310002</v>
      </c>
      <c r="H841" s="113">
        <v>1276.2196519461827</v>
      </c>
      <c r="I841" s="113">
        <v>12028.763613256186</v>
      </c>
    </row>
    <row r="842" spans="1:9" x14ac:dyDescent="0.35">
      <c r="A842" s="109">
        <v>4834843000306</v>
      </c>
      <c r="B842" s="110" t="s">
        <v>92</v>
      </c>
      <c r="C842" s="110" t="s">
        <v>1101</v>
      </c>
      <c r="D842" s="111" t="s">
        <v>1071</v>
      </c>
      <c r="E842" s="112" t="s">
        <v>994</v>
      </c>
      <c r="F842" s="113" t="s">
        <v>1098</v>
      </c>
      <c r="G842" s="113">
        <v>10278.24455836</v>
      </c>
      <c r="H842" s="113">
        <v>1276.2196519461827</v>
      </c>
      <c r="I842" s="113">
        <v>11554.464210306183</v>
      </c>
    </row>
    <row r="843" spans="1:9" x14ac:dyDescent="0.35">
      <c r="A843" s="109">
        <v>5113547000117</v>
      </c>
      <c r="B843" s="110" t="s">
        <v>20</v>
      </c>
      <c r="C843" s="110" t="s">
        <v>1097</v>
      </c>
      <c r="D843" s="111" t="s">
        <v>1071</v>
      </c>
      <c r="E843" s="112"/>
      <c r="F843" s="113" t="s">
        <v>1099</v>
      </c>
      <c r="G843" s="113">
        <v>3042.5448112199988</v>
      </c>
      <c r="H843" s="113">
        <v>2669.1164454872596</v>
      </c>
      <c r="I843" s="113">
        <v>5711.6612567072589</v>
      </c>
    </row>
    <row r="844" spans="1:9" x14ac:dyDescent="0.35">
      <c r="A844" s="109">
        <v>48771512000188</v>
      </c>
      <c r="B844" s="110" t="s">
        <v>80</v>
      </c>
      <c r="C844" s="110" t="s">
        <v>1095</v>
      </c>
      <c r="D844" s="111" t="s">
        <v>1071</v>
      </c>
      <c r="E844" s="112"/>
      <c r="F844" s="113" t="s">
        <v>1099</v>
      </c>
      <c r="G844" s="113">
        <v>902.93954107000002</v>
      </c>
      <c r="H844" s="113">
        <v>547.93927599369704</v>
      </c>
      <c r="I844" s="113">
        <v>1450.8788170636972</v>
      </c>
    </row>
    <row r="845" spans="1:9" x14ac:dyDescent="0.35">
      <c r="A845" s="109">
        <v>42917127000110</v>
      </c>
      <c r="B845" s="110" t="s">
        <v>20</v>
      </c>
      <c r="C845" s="110" t="s">
        <v>1097</v>
      </c>
      <c r="D845" s="111" t="s">
        <v>1071</v>
      </c>
      <c r="E845" s="112"/>
      <c r="F845" s="113" t="s">
        <v>1099</v>
      </c>
      <c r="G845" s="113">
        <v>506.88050716999999</v>
      </c>
      <c r="H845" s="113">
        <v>126.35356360999998</v>
      </c>
      <c r="I845" s="113">
        <v>633.23407077999991</v>
      </c>
    </row>
    <row r="846" spans="1:9" x14ac:dyDescent="0.35">
      <c r="A846" s="109">
        <v>3521179000110</v>
      </c>
      <c r="B846" s="110" t="s">
        <v>352</v>
      </c>
      <c r="C846" s="110" t="s">
        <v>1095</v>
      </c>
      <c r="D846" s="111" t="s">
        <v>1071</v>
      </c>
      <c r="E846" s="112"/>
      <c r="F846" s="113" t="s">
        <v>1099</v>
      </c>
      <c r="G846" s="113">
        <v>1778.2956578800001</v>
      </c>
      <c r="H846" s="113">
        <v>1344.8408509918399</v>
      </c>
      <c r="I846" s="113">
        <v>3123.1365088718403</v>
      </c>
    </row>
    <row r="847" spans="1:9" x14ac:dyDescent="0.35">
      <c r="A847" s="109">
        <v>1203805000103</v>
      </c>
      <c r="B847" s="110" t="s">
        <v>20</v>
      </c>
      <c r="C847" s="110" t="s">
        <v>1097</v>
      </c>
      <c r="D847" s="111" t="s">
        <v>1071</v>
      </c>
      <c r="E847" s="112"/>
      <c r="F847" s="113" t="s">
        <v>1099</v>
      </c>
      <c r="G847" s="113">
        <v>1449.6106861099997</v>
      </c>
      <c r="H847" s="113">
        <v>385.65195913608193</v>
      </c>
      <c r="I847" s="113">
        <v>1835.2626452460818</v>
      </c>
    </row>
    <row r="848" spans="1:9" x14ac:dyDescent="0.35">
      <c r="A848" s="109">
        <v>53039511000183</v>
      </c>
      <c r="B848" s="110" t="s">
        <v>20</v>
      </c>
      <c r="C848" s="110" t="s">
        <v>1097</v>
      </c>
      <c r="D848" s="111" t="s">
        <v>1071</v>
      </c>
      <c r="E848" s="112"/>
      <c r="F848" s="113" t="s">
        <v>1099</v>
      </c>
      <c r="G848" s="113">
        <v>948.25430194</v>
      </c>
      <c r="H848" s="113">
        <v>1084.0994040539799</v>
      </c>
      <c r="I848" s="113">
        <v>2032.3537059939799</v>
      </c>
    </row>
    <row r="849" spans="1:9" x14ac:dyDescent="0.35">
      <c r="A849" s="109">
        <v>55284053000173</v>
      </c>
      <c r="B849" s="110" t="s">
        <v>20</v>
      </c>
      <c r="C849" s="110" t="s">
        <v>1097</v>
      </c>
      <c r="D849" s="111" t="s">
        <v>1071</v>
      </c>
      <c r="E849" s="112"/>
      <c r="F849" s="113" t="s">
        <v>1099</v>
      </c>
      <c r="G849" s="113">
        <v>5768.5806280400002</v>
      </c>
      <c r="H849" s="113">
        <v>3637.4501418260793</v>
      </c>
      <c r="I849" s="113">
        <v>9406.0307698660799</v>
      </c>
    </row>
    <row r="850" spans="1:9" x14ac:dyDescent="0.35">
      <c r="A850" s="109">
        <v>7771697000143</v>
      </c>
      <c r="B850" s="110" t="s">
        <v>20</v>
      </c>
      <c r="C850" s="110" t="s">
        <v>1097</v>
      </c>
      <c r="D850" s="111" t="s">
        <v>1071</v>
      </c>
      <c r="E850" s="112"/>
      <c r="F850" s="113" t="s">
        <v>1099</v>
      </c>
      <c r="G850" s="113">
        <v>1157.0661683400001</v>
      </c>
      <c r="H850" s="113">
        <v>978.46457545827991</v>
      </c>
      <c r="I850" s="113">
        <v>2135.5307437982801</v>
      </c>
    </row>
    <row r="851" spans="1:9" x14ac:dyDescent="0.35">
      <c r="A851" s="109">
        <v>58750720000154</v>
      </c>
      <c r="B851" s="110" t="s">
        <v>20</v>
      </c>
      <c r="C851" s="110" t="s">
        <v>1097</v>
      </c>
      <c r="D851" s="111" t="s">
        <v>1071</v>
      </c>
      <c r="E851" s="112"/>
      <c r="F851" s="113" t="s">
        <v>1099</v>
      </c>
      <c r="G851" s="113">
        <v>1799.2092180599996</v>
      </c>
      <c r="H851" s="113">
        <v>1666.3726333489103</v>
      </c>
      <c r="I851" s="113">
        <v>3465.5818514089096</v>
      </c>
    </row>
    <row r="852" spans="1:9" x14ac:dyDescent="0.35">
      <c r="A852" s="109">
        <v>44692168001403</v>
      </c>
      <c r="B852" s="110" t="s">
        <v>509</v>
      </c>
      <c r="C852" s="110" t="s">
        <v>1101</v>
      </c>
      <c r="D852" s="111" t="s">
        <v>1071</v>
      </c>
      <c r="E852" s="112" t="s">
        <v>509</v>
      </c>
      <c r="F852" s="113" t="s">
        <v>1098</v>
      </c>
      <c r="G852" s="113">
        <v>7731.0133566100003</v>
      </c>
      <c r="H852" s="113">
        <v>1024.4492994857026</v>
      </c>
      <c r="I852" s="113">
        <v>8755.4626560957022</v>
      </c>
    </row>
    <row r="853" spans="1:9" x14ac:dyDescent="0.35">
      <c r="A853" s="109">
        <v>55557060000100</v>
      </c>
      <c r="B853" s="110" t="s">
        <v>20</v>
      </c>
      <c r="C853" s="110" t="s">
        <v>1097</v>
      </c>
      <c r="D853" s="111" t="s">
        <v>1071</v>
      </c>
      <c r="E853" s="112"/>
      <c r="F853" s="113" t="s">
        <v>1099</v>
      </c>
      <c r="G853" s="113">
        <v>3466.3421892199999</v>
      </c>
      <c r="H853" s="113">
        <v>2948.7244015166798</v>
      </c>
      <c r="I853" s="113">
        <v>6415.0665907366802</v>
      </c>
    </row>
    <row r="854" spans="1:9" x14ac:dyDescent="0.35">
      <c r="A854" s="109">
        <v>12040504000114</v>
      </c>
      <c r="B854" s="110" t="s">
        <v>92</v>
      </c>
      <c r="C854" s="110" t="s">
        <v>1101</v>
      </c>
      <c r="D854" s="111" t="s">
        <v>1071</v>
      </c>
      <c r="E854" s="112" t="s">
        <v>994</v>
      </c>
      <c r="F854" s="113" t="s">
        <v>1098</v>
      </c>
      <c r="G854" s="113">
        <v>3169.5973448500004</v>
      </c>
      <c r="H854" s="113">
        <v>1276.2196519461827</v>
      </c>
      <c r="I854" s="113">
        <v>4445.816996796183</v>
      </c>
    </row>
    <row r="855" spans="1:9" x14ac:dyDescent="0.35">
      <c r="A855" s="109">
        <v>3921201000110</v>
      </c>
      <c r="B855" s="110" t="s">
        <v>103</v>
      </c>
      <c r="C855" s="110" t="s">
        <v>1095</v>
      </c>
      <c r="D855" s="111" t="s">
        <v>1071</v>
      </c>
      <c r="E855" s="112"/>
      <c r="F855" s="113" t="s">
        <v>1099</v>
      </c>
      <c r="G855" s="113">
        <v>10037.910244040002</v>
      </c>
      <c r="H855" s="113">
        <v>6983.355436643641</v>
      </c>
      <c r="I855" s="113">
        <v>17021.265680683642</v>
      </c>
    </row>
    <row r="856" spans="1:9" x14ac:dyDescent="0.35">
      <c r="A856" s="109">
        <v>18715418000140</v>
      </c>
      <c r="B856" s="110" t="s">
        <v>38</v>
      </c>
      <c r="C856" s="110" t="s">
        <v>1095</v>
      </c>
      <c r="D856" s="111" t="s">
        <v>1071</v>
      </c>
      <c r="E856" s="112"/>
      <c r="F856" s="113" t="s">
        <v>1099</v>
      </c>
      <c r="G856" s="113">
        <v>2882.7003957900001</v>
      </c>
      <c r="H856" s="113">
        <v>1045.7660919816101</v>
      </c>
      <c r="I856" s="113">
        <v>3928.4664877716104</v>
      </c>
    </row>
    <row r="857" spans="1:9" x14ac:dyDescent="0.35">
      <c r="A857" s="109">
        <v>1374296000173</v>
      </c>
      <c r="B857" s="110" t="s">
        <v>352</v>
      </c>
      <c r="C857" s="110" t="s">
        <v>1095</v>
      </c>
      <c r="D857" s="111" t="s">
        <v>1071</v>
      </c>
      <c r="E857" s="112"/>
      <c r="F857" s="113" t="s">
        <v>1099</v>
      </c>
      <c r="G857" s="113">
        <v>1147.2122451</v>
      </c>
      <c r="H857" s="113">
        <v>1514.8185130596439</v>
      </c>
      <c r="I857" s="113">
        <v>2662.0307581596439</v>
      </c>
    </row>
    <row r="858" spans="1:9" x14ac:dyDescent="0.35">
      <c r="A858" s="109">
        <v>96252382000110</v>
      </c>
      <c r="B858" s="110" t="s">
        <v>20</v>
      </c>
      <c r="C858" s="110" t="s">
        <v>1097</v>
      </c>
      <c r="D858" s="111" t="s">
        <v>1071</v>
      </c>
      <c r="E858" s="112"/>
      <c r="F858" s="113" t="s">
        <v>1099</v>
      </c>
      <c r="G858" s="113">
        <v>1459.31058248</v>
      </c>
      <c r="H858" s="113">
        <v>1157.5567211530602</v>
      </c>
      <c r="I858" s="113">
        <v>2616.8673036330601</v>
      </c>
    </row>
    <row r="859" spans="1:9" x14ac:dyDescent="0.35">
      <c r="A859" s="109">
        <v>72855430000104</v>
      </c>
      <c r="B859" s="110" t="s">
        <v>103</v>
      </c>
      <c r="C859" s="110" t="s">
        <v>1095</v>
      </c>
      <c r="D859" s="111" t="s">
        <v>1071</v>
      </c>
      <c r="E859" s="112"/>
      <c r="F859" s="113" t="s">
        <v>1099</v>
      </c>
      <c r="G859" s="113">
        <v>2501.3694297100001</v>
      </c>
      <c r="H859" s="113">
        <v>2429.6765461704995</v>
      </c>
      <c r="I859" s="113">
        <v>4931.0459758804991</v>
      </c>
    </row>
    <row r="860" spans="1:9" x14ac:dyDescent="0.35">
      <c r="A860" s="109">
        <v>43000736000172</v>
      </c>
      <c r="B860" s="110" t="s">
        <v>20</v>
      </c>
      <c r="C860" s="110" t="s">
        <v>1097</v>
      </c>
      <c r="D860" s="111" t="s">
        <v>1071</v>
      </c>
      <c r="E860" s="112"/>
      <c r="F860" s="113" t="s">
        <v>1099</v>
      </c>
      <c r="G860" s="113">
        <v>2268.2764415400002</v>
      </c>
      <c r="H860" s="113">
        <v>1805.55462152473</v>
      </c>
      <c r="I860" s="113">
        <v>4073.8310630647302</v>
      </c>
    </row>
    <row r="861" spans="1:9" x14ac:dyDescent="0.35">
      <c r="A861" s="109">
        <v>1856884000143</v>
      </c>
      <c r="B861" s="110" t="s">
        <v>20</v>
      </c>
      <c r="C861" s="110" t="s">
        <v>1097</v>
      </c>
      <c r="D861" s="111" t="s">
        <v>1071</v>
      </c>
      <c r="E861" s="112"/>
      <c r="F861" s="113" t="s">
        <v>1099</v>
      </c>
      <c r="G861" s="113">
        <v>1668.5389377399999</v>
      </c>
      <c r="H861" s="113">
        <v>1313.14090107782</v>
      </c>
      <c r="I861" s="113">
        <v>2981.6798388178199</v>
      </c>
    </row>
    <row r="862" spans="1:9" x14ac:dyDescent="0.35">
      <c r="A862" s="109">
        <v>8685407000101</v>
      </c>
      <c r="B862" s="110" t="s">
        <v>16</v>
      </c>
      <c r="C862" s="110" t="s">
        <v>1095</v>
      </c>
      <c r="D862" s="111" t="s">
        <v>1071</v>
      </c>
      <c r="E862" s="112"/>
      <c r="F862" s="113" t="s">
        <v>1099</v>
      </c>
      <c r="G862" s="113">
        <v>3522.8534666900005</v>
      </c>
      <c r="H862" s="113">
        <v>2587.2611745281702</v>
      </c>
      <c r="I862" s="113">
        <v>6110.1146412181706</v>
      </c>
    </row>
    <row r="863" spans="1:9" x14ac:dyDescent="0.35">
      <c r="A863" s="109">
        <v>1340477000189</v>
      </c>
      <c r="B863" s="110" t="s">
        <v>20</v>
      </c>
      <c r="C863" s="110" t="s">
        <v>1097</v>
      </c>
      <c r="D863" s="111" t="s">
        <v>1071</v>
      </c>
      <c r="E863" s="112"/>
      <c r="F863" s="113" t="s">
        <v>1099</v>
      </c>
      <c r="G863" s="113">
        <v>1195.5763682600002</v>
      </c>
      <c r="H863" s="113">
        <v>1789.4201453494102</v>
      </c>
      <c r="I863" s="113">
        <v>2984.9965136094106</v>
      </c>
    </row>
    <row r="864" spans="1:9" x14ac:dyDescent="0.35">
      <c r="A864" s="109">
        <v>43080555000101</v>
      </c>
      <c r="B864" s="110" t="s">
        <v>352</v>
      </c>
      <c r="C864" s="110" t="s">
        <v>1095</v>
      </c>
      <c r="D864" s="111" t="s">
        <v>1071</v>
      </c>
      <c r="E864" s="112"/>
      <c r="F864" s="113" t="s">
        <v>1099</v>
      </c>
      <c r="G864" s="113">
        <v>2854.4238191200002</v>
      </c>
      <c r="H864" s="113">
        <v>1647.7811420094299</v>
      </c>
      <c r="I864" s="113">
        <v>4502.2049611294296</v>
      </c>
    </row>
    <row r="865" spans="1:9" x14ac:dyDescent="0.35">
      <c r="A865" s="109">
        <v>7434377000106</v>
      </c>
      <c r="B865" s="110" t="s">
        <v>20</v>
      </c>
      <c r="C865" s="110" t="s">
        <v>1097</v>
      </c>
      <c r="D865" s="111" t="s">
        <v>1071</v>
      </c>
      <c r="E865" s="112"/>
      <c r="F865" s="113" t="s">
        <v>1099</v>
      </c>
      <c r="G865" s="113">
        <v>2628.3875175499998</v>
      </c>
      <c r="H865" s="113">
        <v>4317.69790252246</v>
      </c>
      <c r="I865" s="113">
        <v>6946.0854200724598</v>
      </c>
    </row>
    <row r="866" spans="1:9" x14ac:dyDescent="0.35">
      <c r="A866" s="109">
        <v>37653234000148</v>
      </c>
      <c r="B866" s="110" t="s">
        <v>80</v>
      </c>
      <c r="C866" s="110" t="s">
        <v>1095</v>
      </c>
      <c r="D866" s="111" t="s">
        <v>1071</v>
      </c>
      <c r="E866" s="112"/>
      <c r="F866" s="113" t="s">
        <v>1099</v>
      </c>
      <c r="G866" s="113">
        <v>1558.0095458800001</v>
      </c>
      <c r="H866" s="113">
        <v>756.02176235289005</v>
      </c>
      <c r="I866" s="113">
        <v>2314.0313082328903</v>
      </c>
    </row>
    <row r="867" spans="1:9" x14ac:dyDescent="0.35">
      <c r="A867" s="109">
        <v>2291187000155</v>
      </c>
      <c r="B867" s="110" t="s">
        <v>20</v>
      </c>
      <c r="C867" s="110" t="s">
        <v>1097</v>
      </c>
      <c r="D867" s="111" t="s">
        <v>1071</v>
      </c>
      <c r="E867" s="112"/>
      <c r="F867" s="113" t="s">
        <v>1099</v>
      </c>
      <c r="G867" s="113">
        <v>664.57841938000001</v>
      </c>
      <c r="H867" s="113">
        <v>357.98434960167691</v>
      </c>
      <c r="I867" s="113">
        <v>1022.562768981677</v>
      </c>
    </row>
    <row r="868" spans="1:9" x14ac:dyDescent="0.35">
      <c r="A868" s="109">
        <v>64822703000188</v>
      </c>
      <c r="B868" s="110" t="s">
        <v>33</v>
      </c>
      <c r="C868" s="110" t="s">
        <v>1095</v>
      </c>
      <c r="D868" s="111" t="s">
        <v>1071</v>
      </c>
      <c r="E868" s="112"/>
      <c r="F868" s="113" t="s">
        <v>1099</v>
      </c>
      <c r="G868" s="113">
        <v>1866.0169362100005</v>
      </c>
      <c r="H868" s="113">
        <v>1547.5421424802801</v>
      </c>
      <c r="I868" s="113">
        <v>3413.5590786902803</v>
      </c>
    </row>
    <row r="869" spans="1:9" x14ac:dyDescent="0.35">
      <c r="A869" s="109">
        <v>2560437000105</v>
      </c>
      <c r="B869" s="110" t="s">
        <v>518</v>
      </c>
      <c r="C869" s="110" t="s">
        <v>1095</v>
      </c>
      <c r="D869" s="111" t="s">
        <v>1071</v>
      </c>
      <c r="E869" s="112"/>
      <c r="F869" s="113" t="s">
        <v>1099</v>
      </c>
      <c r="G869" s="113">
        <v>3821.7465983499997</v>
      </c>
      <c r="H869" s="113">
        <v>1139.5425526890058</v>
      </c>
      <c r="I869" s="113">
        <v>4961.2891510390054</v>
      </c>
    </row>
    <row r="870" spans="1:9" x14ac:dyDescent="0.35">
      <c r="A870" s="109">
        <v>7542034000157</v>
      </c>
      <c r="B870" s="110" t="s">
        <v>352</v>
      </c>
      <c r="C870" s="110" t="s">
        <v>1095</v>
      </c>
      <c r="D870" s="111" t="s">
        <v>1071</v>
      </c>
      <c r="E870" s="112"/>
      <c r="F870" s="113" t="s">
        <v>1099</v>
      </c>
      <c r="G870" s="113">
        <v>6492.15656519</v>
      </c>
      <c r="H870" s="113">
        <v>2726.0426246411498</v>
      </c>
      <c r="I870" s="113">
        <v>9218.1991898311499</v>
      </c>
    </row>
    <row r="871" spans="1:9" x14ac:dyDescent="0.35">
      <c r="A871" s="109">
        <v>68204486000202</v>
      </c>
      <c r="B871" s="110" t="s">
        <v>375</v>
      </c>
      <c r="C871" s="110" t="s">
        <v>1095</v>
      </c>
      <c r="D871" s="111" t="s">
        <v>1071</v>
      </c>
      <c r="E871" s="112"/>
      <c r="F871" s="113" t="s">
        <v>1099</v>
      </c>
      <c r="G871" s="113">
        <v>5165.4102374100003</v>
      </c>
      <c r="H871" s="113">
        <v>1757.1081848712402</v>
      </c>
      <c r="I871" s="113">
        <v>6922.5184222812404</v>
      </c>
    </row>
    <row r="872" spans="1:9" x14ac:dyDescent="0.35">
      <c r="A872" s="109">
        <v>11751725000138</v>
      </c>
      <c r="B872" s="110" t="s">
        <v>352</v>
      </c>
      <c r="C872" s="110" t="s">
        <v>1095</v>
      </c>
      <c r="D872" s="111" t="s">
        <v>1071</v>
      </c>
      <c r="E872" s="112"/>
      <c r="F872" s="113" t="s">
        <v>1099</v>
      </c>
      <c r="G872" s="113">
        <v>591.92937541000003</v>
      </c>
      <c r="H872" s="113">
        <v>822.56696846325599</v>
      </c>
      <c r="I872" s="113">
        <v>1414.4963438732561</v>
      </c>
    </row>
    <row r="873" spans="1:9" x14ac:dyDescent="0.35">
      <c r="A873" s="109">
        <v>55323943000147</v>
      </c>
      <c r="B873" s="110" t="s">
        <v>20</v>
      </c>
      <c r="C873" s="110" t="s">
        <v>1097</v>
      </c>
      <c r="D873" s="111" t="s">
        <v>1071</v>
      </c>
      <c r="E873" s="112"/>
      <c r="F873" s="113" t="s">
        <v>1099</v>
      </c>
      <c r="G873" s="113">
        <v>1672.61149662</v>
      </c>
      <c r="H873" s="113">
        <v>1263.0965417387499</v>
      </c>
      <c r="I873" s="113">
        <v>2935.7080383587499</v>
      </c>
    </row>
    <row r="874" spans="1:9" x14ac:dyDescent="0.35">
      <c r="A874" s="109">
        <v>3381216000132</v>
      </c>
      <c r="B874" s="110" t="s">
        <v>20</v>
      </c>
      <c r="C874" s="110" t="s">
        <v>1097</v>
      </c>
      <c r="D874" s="111" t="s">
        <v>1071</v>
      </c>
      <c r="E874" s="112"/>
      <c r="F874" s="113" t="s">
        <v>1099</v>
      </c>
      <c r="G874" s="113">
        <v>13105.585905330001</v>
      </c>
      <c r="H874" s="113">
        <v>4942.9608415444891</v>
      </c>
      <c r="I874" s="113">
        <v>18048.54674687449</v>
      </c>
    </row>
    <row r="875" spans="1:9" x14ac:dyDescent="0.35">
      <c r="A875" s="109">
        <v>19631038000271</v>
      </c>
      <c r="B875" s="110" t="s">
        <v>87</v>
      </c>
      <c r="C875" s="110" t="s">
        <v>1095</v>
      </c>
      <c r="D875" s="111" t="s">
        <v>1071</v>
      </c>
      <c r="E875" s="112"/>
      <c r="F875" s="113" t="s">
        <v>1099</v>
      </c>
      <c r="G875" s="113">
        <v>911.06104911000011</v>
      </c>
      <c r="H875" s="113">
        <v>575.11636524859193</v>
      </c>
      <c r="I875" s="113">
        <v>1486.1774143585922</v>
      </c>
    </row>
    <row r="876" spans="1:9" x14ac:dyDescent="0.35">
      <c r="A876" s="109">
        <v>1524705000170</v>
      </c>
      <c r="B876" s="110" t="s">
        <v>87</v>
      </c>
      <c r="C876" s="110" t="s">
        <v>1095</v>
      </c>
      <c r="D876" s="111" t="s">
        <v>1071</v>
      </c>
      <c r="E876" s="112"/>
      <c r="F876" s="113" t="s">
        <v>1099</v>
      </c>
      <c r="G876" s="113">
        <v>1400.1623118500002</v>
      </c>
      <c r="H876" s="113">
        <v>1876.5178850628599</v>
      </c>
      <c r="I876" s="113">
        <v>3276.6801969128601</v>
      </c>
    </row>
    <row r="877" spans="1:9" x14ac:dyDescent="0.35">
      <c r="A877" s="109">
        <v>4437649000125</v>
      </c>
      <c r="B877" s="110" t="s">
        <v>80</v>
      </c>
      <c r="C877" s="110" t="s">
        <v>1095</v>
      </c>
      <c r="D877" s="111" t="s">
        <v>1071</v>
      </c>
      <c r="E877" s="112"/>
      <c r="F877" s="113" t="s">
        <v>1099</v>
      </c>
      <c r="G877" s="113">
        <v>3590.6736178800002</v>
      </c>
      <c r="H877" s="113">
        <v>1346.899598352278</v>
      </c>
      <c r="I877" s="113">
        <v>4937.5732162322784</v>
      </c>
    </row>
    <row r="878" spans="1:9" x14ac:dyDescent="0.35">
      <c r="A878" s="109">
        <v>5628142000111</v>
      </c>
      <c r="B878" s="110" t="s">
        <v>80</v>
      </c>
      <c r="C878" s="110" t="s">
        <v>1095</v>
      </c>
      <c r="D878" s="111" t="s">
        <v>1071</v>
      </c>
      <c r="E878" s="112"/>
      <c r="F878" s="113" t="s">
        <v>1099</v>
      </c>
      <c r="G878" s="113">
        <v>1351.2513373699999</v>
      </c>
      <c r="H878" s="113">
        <v>1072.181144660203</v>
      </c>
      <c r="I878" s="113">
        <v>2423.4324820302027</v>
      </c>
    </row>
    <row r="879" spans="1:9" x14ac:dyDescent="0.35">
      <c r="A879" s="109">
        <v>55845358000107</v>
      </c>
      <c r="B879" s="110" t="s">
        <v>16</v>
      </c>
      <c r="C879" s="110" t="s">
        <v>1095</v>
      </c>
      <c r="D879" s="111" t="s">
        <v>1071</v>
      </c>
      <c r="E879" s="112"/>
      <c r="F879" s="113" t="s">
        <v>1099</v>
      </c>
      <c r="G879" s="113">
        <v>958.80241181999997</v>
      </c>
      <c r="H879" s="113">
        <v>694.40529192409599</v>
      </c>
      <c r="I879" s="113">
        <v>1653.2077037440959</v>
      </c>
    </row>
    <row r="880" spans="1:9" x14ac:dyDescent="0.35">
      <c r="A880" s="109">
        <v>7966206000110</v>
      </c>
      <c r="B880" s="110" t="s">
        <v>80</v>
      </c>
      <c r="C880" s="110" t="s">
        <v>1095</v>
      </c>
      <c r="D880" s="111" t="s">
        <v>1071</v>
      </c>
      <c r="E880" s="112"/>
      <c r="F880" s="113" t="s">
        <v>1099</v>
      </c>
      <c r="G880" s="113">
        <v>2016.4661171400001</v>
      </c>
      <c r="H880" s="113">
        <v>3181.04607033518</v>
      </c>
      <c r="I880" s="113">
        <v>5197.5121874751803</v>
      </c>
    </row>
    <row r="881" spans="1:9" x14ac:dyDescent="0.35">
      <c r="A881" s="109">
        <v>68389238000194</v>
      </c>
      <c r="B881" s="110" t="s">
        <v>87</v>
      </c>
      <c r="C881" s="110" t="s">
        <v>1095</v>
      </c>
      <c r="D881" s="111" t="s">
        <v>1071</v>
      </c>
      <c r="E881" s="112"/>
      <c r="F881" s="113" t="s">
        <v>1099</v>
      </c>
      <c r="G881" s="113">
        <v>3131.3848776099999</v>
      </c>
      <c r="H881" s="113">
        <v>1507.77339322995</v>
      </c>
      <c r="I881" s="113">
        <v>4639.1582708399501</v>
      </c>
    </row>
    <row r="882" spans="1:9" x14ac:dyDescent="0.35">
      <c r="A882" s="109">
        <v>1913782000112</v>
      </c>
      <c r="B882" s="110" t="s">
        <v>589</v>
      </c>
      <c r="C882" s="110" t="s">
        <v>1097</v>
      </c>
      <c r="D882" s="111" t="s">
        <v>1071</v>
      </c>
      <c r="E882" s="112"/>
      <c r="F882" s="113" t="s">
        <v>1099</v>
      </c>
      <c r="G882" s="113">
        <v>4264.4765686699993</v>
      </c>
      <c r="H882" s="113">
        <v>4931.3010857517602</v>
      </c>
      <c r="I882" s="113">
        <v>9195.7776544217595</v>
      </c>
    </row>
    <row r="883" spans="1:9" x14ac:dyDescent="0.35">
      <c r="A883" s="109">
        <v>4433837000185</v>
      </c>
      <c r="B883" s="110" t="s">
        <v>276</v>
      </c>
      <c r="C883" s="110" t="s">
        <v>1095</v>
      </c>
      <c r="D883" s="111" t="s">
        <v>1071</v>
      </c>
      <c r="E883" s="112"/>
      <c r="F883" s="113" t="s">
        <v>1099</v>
      </c>
      <c r="G883" s="113">
        <v>525.37517821999995</v>
      </c>
      <c r="H883" s="113">
        <v>920.35355838607302</v>
      </c>
      <c r="I883" s="113">
        <v>1445.728736606073</v>
      </c>
    </row>
    <row r="884" spans="1:9" x14ac:dyDescent="0.35">
      <c r="A884" s="109">
        <v>4822740000164</v>
      </c>
      <c r="B884" s="110" t="s">
        <v>38</v>
      </c>
      <c r="C884" s="110" t="s">
        <v>1095</v>
      </c>
      <c r="D884" s="111" t="s">
        <v>1071</v>
      </c>
      <c r="E884" s="112"/>
      <c r="F884" s="113" t="s">
        <v>1099</v>
      </c>
      <c r="G884" s="113">
        <v>4780.7793256200002</v>
      </c>
      <c r="H884" s="113">
        <v>2365.5021865694798</v>
      </c>
      <c r="I884" s="113">
        <v>7146.2815121894801</v>
      </c>
    </row>
    <row r="885" spans="1:9" x14ac:dyDescent="0.35">
      <c r="A885" s="109">
        <v>6213559000186</v>
      </c>
      <c r="B885" s="110" t="s">
        <v>276</v>
      </c>
      <c r="C885" s="110" t="s">
        <v>1095</v>
      </c>
      <c r="D885" s="111" t="s">
        <v>1071</v>
      </c>
      <c r="E885" s="112"/>
      <c r="F885" s="113" t="s">
        <v>1099</v>
      </c>
      <c r="G885" s="113">
        <v>313.52451131999999</v>
      </c>
      <c r="H885" s="113">
        <v>420.85125500115606</v>
      </c>
      <c r="I885" s="113">
        <v>734.37576632115611</v>
      </c>
    </row>
    <row r="886" spans="1:9" x14ac:dyDescent="0.35">
      <c r="A886" s="109">
        <v>7556217000121</v>
      </c>
      <c r="B886" s="110" t="s">
        <v>20</v>
      </c>
      <c r="C886" s="110" t="s">
        <v>1097</v>
      </c>
      <c r="D886" s="111" t="s">
        <v>1071</v>
      </c>
      <c r="E886" s="112"/>
      <c r="F886" s="113" t="s">
        <v>1099</v>
      </c>
      <c r="G886" s="113">
        <v>2282.9977090399998</v>
      </c>
      <c r="H886" s="113">
        <v>1885.8560994005798</v>
      </c>
      <c r="I886" s="113">
        <v>4168.8538084405791</v>
      </c>
    </row>
    <row r="887" spans="1:9" x14ac:dyDescent="0.35">
      <c r="A887" s="109">
        <v>7863592000114</v>
      </c>
      <c r="B887" s="110" t="s">
        <v>20</v>
      </c>
      <c r="C887" s="110" t="s">
        <v>1097</v>
      </c>
      <c r="D887" s="111" t="s">
        <v>1071</v>
      </c>
      <c r="E887" s="112"/>
      <c r="F887" s="113" t="s">
        <v>1099</v>
      </c>
      <c r="G887" s="113">
        <v>1556.18157124</v>
      </c>
      <c r="H887" s="113">
        <v>1793.71911316346</v>
      </c>
      <c r="I887" s="113">
        <v>3349.9006844034602</v>
      </c>
    </row>
    <row r="888" spans="1:9" x14ac:dyDescent="0.35">
      <c r="A888" s="109">
        <v>10309726000164</v>
      </c>
      <c r="B888" s="110" t="s">
        <v>80</v>
      </c>
      <c r="C888" s="110" t="s">
        <v>1095</v>
      </c>
      <c r="D888" s="111" t="s">
        <v>1071</v>
      </c>
      <c r="E888" s="112"/>
      <c r="F888" s="113" t="s">
        <v>1099</v>
      </c>
      <c r="G888" s="113">
        <v>1823.68692308</v>
      </c>
      <c r="H888" s="113">
        <v>2361.5788233212998</v>
      </c>
      <c r="I888" s="113">
        <v>4185.2657464013</v>
      </c>
    </row>
    <row r="889" spans="1:9" x14ac:dyDescent="0.35">
      <c r="A889" s="109">
        <v>13090874000129</v>
      </c>
      <c r="B889" s="110" t="s">
        <v>87</v>
      </c>
      <c r="C889" s="110" t="s">
        <v>1095</v>
      </c>
      <c r="D889" s="111" t="s">
        <v>1071</v>
      </c>
      <c r="E889" s="112"/>
      <c r="F889" s="113" t="s">
        <v>1099</v>
      </c>
      <c r="G889" s="113">
        <v>884.44605163000006</v>
      </c>
      <c r="H889" s="113">
        <v>864.06594506363308</v>
      </c>
      <c r="I889" s="113">
        <v>1748.5119966936331</v>
      </c>
    </row>
    <row r="890" spans="1:9" x14ac:dyDescent="0.35">
      <c r="A890" s="109">
        <v>14178866000100</v>
      </c>
      <c r="B890" s="110" t="s">
        <v>20</v>
      </c>
      <c r="C890" s="110" t="s">
        <v>1097</v>
      </c>
      <c r="D890" s="111" t="s">
        <v>1071</v>
      </c>
      <c r="E890" s="112"/>
      <c r="F890" s="113" t="s">
        <v>1099</v>
      </c>
      <c r="G890" s="113">
        <v>920.74355811999999</v>
      </c>
      <c r="H890" s="113">
        <v>1309.4873495925431</v>
      </c>
      <c r="I890" s="113">
        <v>2230.2309077125428</v>
      </c>
    </row>
    <row r="891" spans="1:9" x14ac:dyDescent="0.35">
      <c r="A891" s="109">
        <v>14931934000151</v>
      </c>
      <c r="B891" s="110" t="s">
        <v>80</v>
      </c>
      <c r="C891" s="110" t="s">
        <v>1095</v>
      </c>
      <c r="D891" s="111" t="s">
        <v>1071</v>
      </c>
      <c r="E891" s="112"/>
      <c r="F891" s="113" t="s">
        <v>1099</v>
      </c>
      <c r="G891" s="113">
        <v>9216.2637225999988</v>
      </c>
      <c r="H891" s="113">
        <v>6822.80517092027</v>
      </c>
      <c r="I891" s="113">
        <v>16039.068893520269</v>
      </c>
    </row>
    <row r="892" spans="1:9" x14ac:dyDescent="0.35">
      <c r="A892" s="109">
        <v>15056307000181</v>
      </c>
      <c r="B892" s="110" t="s">
        <v>197</v>
      </c>
      <c r="C892" s="110" t="s">
        <v>1095</v>
      </c>
      <c r="D892" s="111" t="s">
        <v>1071</v>
      </c>
      <c r="E892" s="112"/>
      <c r="F892" s="113" t="s">
        <v>1099</v>
      </c>
      <c r="G892" s="113">
        <v>1361.0108153900001</v>
      </c>
      <c r="H892" s="113">
        <v>1961.0897088073502</v>
      </c>
      <c r="I892" s="113">
        <v>3322.1005241973503</v>
      </c>
    </row>
    <row r="893" spans="1:9" x14ac:dyDescent="0.35">
      <c r="A893" s="109">
        <v>15290994000103</v>
      </c>
      <c r="B893" s="110" t="s">
        <v>80</v>
      </c>
      <c r="C893" s="110" t="s">
        <v>1095</v>
      </c>
      <c r="D893" s="111" t="s">
        <v>1071</v>
      </c>
      <c r="E893" s="112"/>
      <c r="F893" s="113" t="s">
        <v>1099</v>
      </c>
      <c r="G893" s="113">
        <v>3014.1391893800001</v>
      </c>
      <c r="H893" s="113">
        <v>1849.21799020448</v>
      </c>
      <c r="I893" s="113">
        <v>4863.35717958448</v>
      </c>
    </row>
    <row r="894" spans="1:9" x14ac:dyDescent="0.35">
      <c r="A894" s="109">
        <v>17222004000117</v>
      </c>
      <c r="B894" s="110" t="s">
        <v>38</v>
      </c>
      <c r="C894" s="110" t="s">
        <v>1095</v>
      </c>
      <c r="D894" s="111" t="s">
        <v>1071</v>
      </c>
      <c r="E894" s="112"/>
      <c r="F894" s="113" t="s">
        <v>1099</v>
      </c>
      <c r="G894" s="113">
        <v>705.35094593000008</v>
      </c>
      <c r="H894" s="113">
        <v>668.39552624861096</v>
      </c>
      <c r="I894" s="113">
        <v>1373.7464721786109</v>
      </c>
    </row>
    <row r="895" spans="1:9" x14ac:dyDescent="0.35">
      <c r="A895" s="109">
        <v>30539610000129</v>
      </c>
      <c r="B895" s="110" t="s">
        <v>486</v>
      </c>
      <c r="C895" s="110" t="s">
        <v>1095</v>
      </c>
      <c r="D895" s="111" t="s">
        <v>1071</v>
      </c>
      <c r="E895" s="112"/>
      <c r="F895" s="113" t="s">
        <v>1099</v>
      </c>
      <c r="G895" s="113">
        <v>1253.7046251900001</v>
      </c>
      <c r="H895" s="113">
        <v>723.16441236917206</v>
      </c>
      <c r="I895" s="113">
        <v>1976.8690375591723</v>
      </c>
    </row>
    <row r="896" spans="1:9" x14ac:dyDescent="0.35">
      <c r="A896" s="109">
        <v>35239450000116</v>
      </c>
      <c r="B896" s="110" t="s">
        <v>38</v>
      </c>
      <c r="C896" s="110" t="s">
        <v>1095</v>
      </c>
      <c r="D896" s="111" t="s">
        <v>1071</v>
      </c>
      <c r="E896" s="112"/>
      <c r="F896" s="113" t="s">
        <v>1099</v>
      </c>
      <c r="G896" s="113">
        <v>1386.74047195</v>
      </c>
      <c r="H896" s="113">
        <v>2378.6787862302399</v>
      </c>
      <c r="I896" s="113">
        <v>3765.4192581802399</v>
      </c>
    </row>
    <row r="897" spans="1:9" x14ac:dyDescent="0.35">
      <c r="A897" s="109">
        <v>37830039000146</v>
      </c>
      <c r="B897" s="110" t="s">
        <v>20</v>
      </c>
      <c r="C897" s="110" t="s">
        <v>1097</v>
      </c>
      <c r="D897" s="111" t="s">
        <v>1071</v>
      </c>
      <c r="E897" s="112"/>
      <c r="F897" s="113" t="s">
        <v>1099</v>
      </c>
      <c r="G897" s="113">
        <v>428.17555281999995</v>
      </c>
      <c r="H897" s="113">
        <v>673.89397871442895</v>
      </c>
      <c r="I897" s="113">
        <v>1102.069531534429</v>
      </c>
    </row>
    <row r="898" spans="1:9" x14ac:dyDescent="0.35">
      <c r="A898" s="109">
        <v>37836714000144</v>
      </c>
      <c r="B898" s="110" t="s">
        <v>20</v>
      </c>
      <c r="C898" s="110" t="s">
        <v>1097</v>
      </c>
      <c r="D898" s="111" t="s">
        <v>1071</v>
      </c>
      <c r="E898" s="112"/>
      <c r="F898" s="113" t="s">
        <v>1099</v>
      </c>
      <c r="G898" s="113">
        <v>4323.9960538799996</v>
      </c>
      <c r="H898" s="113">
        <v>2673.64036186773</v>
      </c>
      <c r="I898" s="113">
        <v>6997.6364157477292</v>
      </c>
    </row>
    <row r="899" spans="1:9" x14ac:dyDescent="0.35">
      <c r="A899" s="109">
        <v>43162536000116</v>
      </c>
      <c r="B899" s="110" t="s">
        <v>20</v>
      </c>
      <c r="C899" s="110" t="s">
        <v>1097</v>
      </c>
      <c r="D899" s="111" t="s">
        <v>1071</v>
      </c>
      <c r="E899" s="112"/>
      <c r="F899" s="113" t="s">
        <v>1099</v>
      </c>
      <c r="G899" s="113">
        <v>1166.27237668</v>
      </c>
      <c r="H899" s="113">
        <v>1643.6625912622198</v>
      </c>
      <c r="I899" s="113">
        <v>2809.9349679422198</v>
      </c>
    </row>
    <row r="900" spans="1:9" x14ac:dyDescent="0.35">
      <c r="A900" s="109">
        <v>48798235000105</v>
      </c>
      <c r="B900" s="110" t="s">
        <v>87</v>
      </c>
      <c r="C900" s="110" t="s">
        <v>1095</v>
      </c>
      <c r="D900" s="111" t="s">
        <v>1071</v>
      </c>
      <c r="E900" s="112"/>
      <c r="F900" s="113" t="s">
        <v>1099</v>
      </c>
      <c r="G900" s="113">
        <v>7375.4158693099998</v>
      </c>
      <c r="H900" s="113">
        <v>2110.4466194669003</v>
      </c>
      <c r="I900" s="113">
        <v>9485.8624887769001</v>
      </c>
    </row>
    <row r="901" spans="1:9" x14ac:dyDescent="0.35">
      <c r="A901" s="109">
        <v>48808406000121</v>
      </c>
      <c r="B901" s="110" t="s">
        <v>103</v>
      </c>
      <c r="C901" s="110" t="s">
        <v>1095</v>
      </c>
      <c r="D901" s="111" t="s">
        <v>1071</v>
      </c>
      <c r="E901" s="112"/>
      <c r="F901" s="113" t="s">
        <v>1099</v>
      </c>
      <c r="G901" s="113">
        <v>2049.2228983999998</v>
      </c>
      <c r="H901" s="113">
        <v>2035.31798284926</v>
      </c>
      <c r="I901" s="113">
        <v>4084.5408812492597</v>
      </c>
    </row>
    <row r="902" spans="1:9" x14ac:dyDescent="0.35">
      <c r="A902" s="109">
        <v>49182677000187</v>
      </c>
      <c r="B902" s="110" t="s">
        <v>276</v>
      </c>
      <c r="C902" s="110" t="s">
        <v>1095</v>
      </c>
      <c r="D902" s="111" t="s">
        <v>1071</v>
      </c>
      <c r="E902" s="112"/>
      <c r="F902" s="113" t="s">
        <v>1099</v>
      </c>
      <c r="G902" s="113">
        <v>342.69125093000002</v>
      </c>
      <c r="H902" s="113">
        <v>715.62879107546905</v>
      </c>
      <c r="I902" s="113">
        <v>1058.3200420054691</v>
      </c>
    </row>
    <row r="903" spans="1:9" x14ac:dyDescent="0.35">
      <c r="A903" s="109">
        <v>49841927000143</v>
      </c>
      <c r="B903" s="110" t="s">
        <v>80</v>
      </c>
      <c r="C903" s="110" t="s">
        <v>1095</v>
      </c>
      <c r="D903" s="111" t="s">
        <v>1071</v>
      </c>
      <c r="E903" s="112"/>
      <c r="F903" s="113" t="s">
        <v>1099</v>
      </c>
      <c r="G903" s="113">
        <v>2509.7388610399998</v>
      </c>
      <c r="H903" s="113">
        <v>1098.6442824878229</v>
      </c>
      <c r="I903" s="113">
        <v>3608.3831435278225</v>
      </c>
    </row>
    <row r="904" spans="1:9" x14ac:dyDescent="0.35">
      <c r="A904" s="109">
        <v>55283212000115</v>
      </c>
      <c r="B904" s="110" t="s">
        <v>103</v>
      </c>
      <c r="C904" s="110" t="s">
        <v>1095</v>
      </c>
      <c r="D904" s="111" t="s">
        <v>1071</v>
      </c>
      <c r="E904" s="112"/>
      <c r="F904" s="113" t="s">
        <v>1099</v>
      </c>
      <c r="G904" s="113">
        <v>1861.9196428700002</v>
      </c>
      <c r="H904" s="113">
        <v>2232.75924541212</v>
      </c>
      <c r="I904" s="113">
        <v>4094.6788882821202</v>
      </c>
    </row>
    <row r="905" spans="1:9" x14ac:dyDescent="0.35">
      <c r="A905" s="109">
        <v>55354724000125</v>
      </c>
      <c r="B905" s="110" t="s">
        <v>20</v>
      </c>
      <c r="C905" s="110" t="s">
        <v>1097</v>
      </c>
      <c r="D905" s="111" t="s">
        <v>1071</v>
      </c>
      <c r="E905" s="112"/>
      <c r="F905" s="113" t="s">
        <v>1099</v>
      </c>
      <c r="G905" s="113">
        <v>3149.0192192300001</v>
      </c>
      <c r="H905" s="113">
        <v>2004.1114940745501</v>
      </c>
      <c r="I905" s="113">
        <v>5153.1307133045502</v>
      </c>
    </row>
    <row r="906" spans="1:9" x14ac:dyDescent="0.35">
      <c r="A906" s="109">
        <v>56089146000100</v>
      </c>
      <c r="B906" s="110" t="s">
        <v>80</v>
      </c>
      <c r="C906" s="110" t="s">
        <v>1095</v>
      </c>
      <c r="D906" s="111" t="s">
        <v>1071</v>
      </c>
      <c r="E906" s="112"/>
      <c r="F906" s="113" t="s">
        <v>1099</v>
      </c>
      <c r="G906" s="113">
        <v>2122.9979602700005</v>
      </c>
      <c r="H906" s="113">
        <v>2137.3050058680001</v>
      </c>
      <c r="I906" s="113">
        <v>4260.3029661380006</v>
      </c>
    </row>
    <row r="907" spans="1:9" x14ac:dyDescent="0.35">
      <c r="A907" s="109">
        <v>57259868000128</v>
      </c>
      <c r="B907" s="110" t="s">
        <v>20</v>
      </c>
      <c r="C907" s="110" t="s">
        <v>1097</v>
      </c>
      <c r="D907" s="111" t="s">
        <v>1071</v>
      </c>
      <c r="E907" s="112"/>
      <c r="F907" s="113" t="s">
        <v>1099</v>
      </c>
      <c r="G907" s="113">
        <v>551.92994599999997</v>
      </c>
      <c r="H907" s="113">
        <v>912.70806998608305</v>
      </c>
      <c r="I907" s="113">
        <v>1464.638015986083</v>
      </c>
    </row>
    <row r="908" spans="1:9" x14ac:dyDescent="0.35">
      <c r="A908" s="109">
        <v>59412809000173</v>
      </c>
      <c r="B908" s="110" t="s">
        <v>20</v>
      </c>
      <c r="C908" s="110" t="s">
        <v>1097</v>
      </c>
      <c r="D908" s="111" t="s">
        <v>1071</v>
      </c>
      <c r="E908" s="112"/>
      <c r="F908" s="113" t="s">
        <v>1099</v>
      </c>
      <c r="G908" s="113">
        <v>1059.86093031</v>
      </c>
      <c r="H908" s="113">
        <v>1366.148387460848</v>
      </c>
      <c r="I908" s="113">
        <v>2426.0093177708477</v>
      </c>
    </row>
    <row r="909" spans="1:9" x14ac:dyDescent="0.35">
      <c r="A909" s="109">
        <v>63937486000109</v>
      </c>
      <c r="B909" s="110" t="s">
        <v>80</v>
      </c>
      <c r="C909" s="110" t="s">
        <v>1095</v>
      </c>
      <c r="D909" s="111" t="s">
        <v>1071</v>
      </c>
      <c r="E909" s="112"/>
      <c r="F909" s="113" t="s">
        <v>1099</v>
      </c>
      <c r="G909" s="113">
        <v>7551.3432913199995</v>
      </c>
      <c r="H909" s="113">
        <v>5033.8925767250503</v>
      </c>
      <c r="I909" s="113">
        <v>12585.235868045049</v>
      </c>
    </row>
    <row r="910" spans="1:9" x14ac:dyDescent="0.35">
      <c r="A910" s="109">
        <v>66807884000107</v>
      </c>
      <c r="B910" s="110" t="s">
        <v>20</v>
      </c>
      <c r="C910" s="110" t="s">
        <v>1097</v>
      </c>
      <c r="D910" s="111" t="s">
        <v>1071</v>
      </c>
      <c r="E910" s="112"/>
      <c r="F910" s="113" t="s">
        <v>1099</v>
      </c>
      <c r="G910" s="113">
        <v>623.17745364999996</v>
      </c>
      <c r="H910" s="113">
        <v>1780.0030696213203</v>
      </c>
      <c r="I910" s="113">
        <v>2403.1805232713205</v>
      </c>
    </row>
    <row r="911" spans="1:9" x14ac:dyDescent="0.35">
      <c r="A911" s="109">
        <v>67943415000170</v>
      </c>
      <c r="B911" s="110" t="s">
        <v>20</v>
      </c>
      <c r="C911" s="110" t="s">
        <v>1097</v>
      </c>
      <c r="D911" s="111" t="s">
        <v>1071</v>
      </c>
      <c r="E911" s="112"/>
      <c r="F911" s="113" t="s">
        <v>1099</v>
      </c>
      <c r="G911" s="113">
        <v>1149.6057469799998</v>
      </c>
      <c r="H911" s="113">
        <v>580.489246934319</v>
      </c>
      <c r="I911" s="113">
        <v>1730.0949939143188</v>
      </c>
    </row>
    <row r="912" spans="1:9" x14ac:dyDescent="0.35">
      <c r="A912" s="109">
        <v>96619283000123</v>
      </c>
      <c r="B912" s="110" t="s">
        <v>20</v>
      </c>
      <c r="C912" s="110" t="s">
        <v>1097</v>
      </c>
      <c r="D912" s="111" t="s">
        <v>1071</v>
      </c>
      <c r="E912" s="112"/>
      <c r="F912" s="113" t="s">
        <v>1099</v>
      </c>
      <c r="G912" s="113">
        <v>1021.1846140399999</v>
      </c>
      <c r="H912" s="113">
        <v>912.61682532795703</v>
      </c>
      <c r="I912" s="113">
        <v>1933.8014393679568</v>
      </c>
    </row>
    <row r="913" spans="1:9" x14ac:dyDescent="0.35">
      <c r="A913" s="109">
        <v>4578510000100</v>
      </c>
      <c r="B913" s="110" t="s">
        <v>38</v>
      </c>
      <c r="C913" s="110" t="s">
        <v>1095</v>
      </c>
      <c r="D913" s="111" t="s">
        <v>1073</v>
      </c>
      <c r="E913" s="112"/>
      <c r="F913" s="113" t="s">
        <v>1096</v>
      </c>
      <c r="G913" s="113">
        <v>111.18480134000004</v>
      </c>
      <c r="H913" s="113">
        <v>0</v>
      </c>
      <c r="I913" s="113">
        <v>111.18480134000004</v>
      </c>
    </row>
    <row r="914" spans="1:9" x14ac:dyDescent="0.35">
      <c r="A914" s="109">
        <v>20718662000109</v>
      </c>
      <c r="B914" s="110" t="s">
        <v>9</v>
      </c>
      <c r="C914" s="110" t="s">
        <v>1095</v>
      </c>
      <c r="D914" s="111" t="s">
        <v>1073</v>
      </c>
      <c r="E914" s="112"/>
      <c r="F914" s="113" t="s">
        <v>1096</v>
      </c>
      <c r="G914" s="113">
        <v>1099.9153280800001</v>
      </c>
      <c r="H914" s="113">
        <v>0</v>
      </c>
      <c r="I914" s="113">
        <v>1099.9153280800001</v>
      </c>
    </row>
    <row r="915" spans="1:9" x14ac:dyDescent="0.35">
      <c r="A915" s="109">
        <v>60042541000104</v>
      </c>
      <c r="B915" s="110" t="s">
        <v>20</v>
      </c>
      <c r="C915" s="110" t="s">
        <v>1097</v>
      </c>
      <c r="D915" s="111" t="s">
        <v>1073</v>
      </c>
      <c r="E915" s="112"/>
      <c r="F915" s="113" t="s">
        <v>1096</v>
      </c>
      <c r="G915" s="113">
        <v>123.76858891000001</v>
      </c>
      <c r="H915" s="113">
        <v>0</v>
      </c>
      <c r="I915" s="113">
        <v>123.76858891000001</v>
      </c>
    </row>
    <row r="916" spans="1:9" x14ac:dyDescent="0.35">
      <c r="A916" s="109">
        <v>3838252000182</v>
      </c>
      <c r="B916" s="110" t="s">
        <v>38</v>
      </c>
      <c r="C916" s="110" t="s">
        <v>1095</v>
      </c>
      <c r="D916" s="111" t="s">
        <v>1073</v>
      </c>
      <c r="E916" s="112"/>
      <c r="F916" s="113" t="s">
        <v>1099</v>
      </c>
      <c r="G916" s="113">
        <v>798.40939885000012</v>
      </c>
      <c r="H916" s="113">
        <v>595.064965419744</v>
      </c>
      <c r="I916" s="113">
        <v>1393.474364269744</v>
      </c>
    </row>
    <row r="917" spans="1:9" x14ac:dyDescent="0.35">
      <c r="A917" s="109">
        <v>8617745000106</v>
      </c>
      <c r="B917" s="110" t="s">
        <v>80</v>
      </c>
      <c r="C917" s="110" t="s">
        <v>1095</v>
      </c>
      <c r="D917" s="111" t="s">
        <v>1073</v>
      </c>
      <c r="E917" s="112"/>
      <c r="F917" s="113" t="s">
        <v>1096</v>
      </c>
      <c r="G917" s="113">
        <v>3157.8782125399998</v>
      </c>
      <c r="H917" s="113">
        <v>0</v>
      </c>
      <c r="I917" s="113">
        <v>3157.8782125399998</v>
      </c>
    </row>
    <row r="918" spans="1:9" x14ac:dyDescent="0.35">
      <c r="A918" s="109">
        <v>5438909000140</v>
      </c>
      <c r="B918" s="110" t="s">
        <v>20</v>
      </c>
      <c r="C918" s="110" t="s">
        <v>1097</v>
      </c>
      <c r="D918" s="111" t="s">
        <v>1073</v>
      </c>
      <c r="E918" s="112"/>
      <c r="F918" s="113" t="s">
        <v>1096</v>
      </c>
      <c r="G918" s="113">
        <v>816.81865383000002</v>
      </c>
      <c r="H918" s="113">
        <v>0</v>
      </c>
      <c r="I918" s="113">
        <v>816.81865383000002</v>
      </c>
    </row>
    <row r="919" spans="1:9" x14ac:dyDescent="0.35">
      <c r="A919" s="109">
        <v>13565587000128</v>
      </c>
      <c r="B919" s="110" t="s">
        <v>80</v>
      </c>
      <c r="C919" s="110" t="s">
        <v>1095</v>
      </c>
      <c r="D919" s="111" t="s">
        <v>1073</v>
      </c>
      <c r="E919" s="112"/>
      <c r="F919" s="113" t="s">
        <v>1099</v>
      </c>
      <c r="G919" s="113">
        <v>2274.5256565700001</v>
      </c>
      <c r="H919" s="113">
        <v>1103.6673046443493</v>
      </c>
      <c r="I919" s="113">
        <v>3378.1929612143495</v>
      </c>
    </row>
    <row r="920" spans="1:9" x14ac:dyDescent="0.35">
      <c r="A920" s="109">
        <v>51190802000142</v>
      </c>
      <c r="B920" s="110" t="s">
        <v>33</v>
      </c>
      <c r="C920" s="110" t="s">
        <v>1095</v>
      </c>
      <c r="D920" s="111" t="s">
        <v>1073</v>
      </c>
      <c r="E920" s="112"/>
      <c r="F920" s="113" t="s">
        <v>1096</v>
      </c>
      <c r="G920" s="113">
        <v>1283.1935641599998</v>
      </c>
      <c r="H920" s="113">
        <v>0</v>
      </c>
      <c r="I920" s="113">
        <v>1283.1935641599998</v>
      </c>
    </row>
    <row r="921" spans="1:9" x14ac:dyDescent="0.35">
      <c r="A921" s="109">
        <v>61416946000128</v>
      </c>
      <c r="B921" s="110" t="s">
        <v>36</v>
      </c>
      <c r="C921" s="110" t="s">
        <v>1095</v>
      </c>
      <c r="D921" s="111" t="s">
        <v>1073</v>
      </c>
      <c r="E921" s="112" t="s">
        <v>1006</v>
      </c>
      <c r="F921" s="113" t="s">
        <v>1098</v>
      </c>
      <c r="G921" s="113">
        <v>1916.7631729699997</v>
      </c>
      <c r="H921" s="113">
        <v>1540.2439369510103</v>
      </c>
      <c r="I921" s="113">
        <v>3457.0071099210099</v>
      </c>
    </row>
    <row r="922" spans="1:9" x14ac:dyDescent="0.35">
      <c r="A922" s="109">
        <v>9179265000173</v>
      </c>
      <c r="B922" s="110" t="s">
        <v>80</v>
      </c>
      <c r="C922" s="110" t="s">
        <v>1095</v>
      </c>
      <c r="D922" s="111" t="s">
        <v>1073</v>
      </c>
      <c r="E922" s="112"/>
      <c r="F922" s="113" t="s">
        <v>1099</v>
      </c>
      <c r="G922" s="113">
        <v>1036.9465406000002</v>
      </c>
      <c r="H922" s="113">
        <v>265.37398904684005</v>
      </c>
      <c r="I922" s="113">
        <v>1302.3205296468402</v>
      </c>
    </row>
    <row r="923" spans="1:9" x14ac:dyDescent="0.35">
      <c r="A923" s="109">
        <v>37558194000155</v>
      </c>
      <c r="B923" s="110" t="s">
        <v>36</v>
      </c>
      <c r="C923" s="110" t="s">
        <v>1095</v>
      </c>
      <c r="D923" s="111" t="s">
        <v>1073</v>
      </c>
      <c r="E923" s="112"/>
      <c r="F923" s="113" t="s">
        <v>1099</v>
      </c>
      <c r="G923" s="113">
        <v>169.00823641999989</v>
      </c>
      <c r="H923" s="113">
        <v>628.33252789668973</v>
      </c>
      <c r="I923" s="113">
        <v>797.34076431668962</v>
      </c>
    </row>
    <row r="924" spans="1:9" x14ac:dyDescent="0.35">
      <c r="A924" s="109">
        <v>12237892000128</v>
      </c>
      <c r="B924" s="110" t="s">
        <v>36</v>
      </c>
      <c r="C924" s="110" t="s">
        <v>1095</v>
      </c>
      <c r="D924" s="111" t="s">
        <v>1073</v>
      </c>
      <c r="E924" s="112"/>
      <c r="F924" s="113" t="s">
        <v>1096</v>
      </c>
      <c r="G924" s="113">
        <v>3583.5829925400003</v>
      </c>
      <c r="H924" s="113">
        <v>0</v>
      </c>
      <c r="I924" s="113">
        <v>3583.5829925400003</v>
      </c>
    </row>
    <row r="925" spans="1:9" x14ac:dyDescent="0.35">
      <c r="A925" s="109">
        <v>3476160000108</v>
      </c>
      <c r="B925" s="110" t="s">
        <v>36</v>
      </c>
      <c r="C925" s="110" t="s">
        <v>1095</v>
      </c>
      <c r="D925" s="111" t="s">
        <v>1073</v>
      </c>
      <c r="E925" s="112"/>
      <c r="F925" s="113" t="s">
        <v>1099</v>
      </c>
      <c r="G925" s="113">
        <v>2883.6725712500001</v>
      </c>
      <c r="H925" s="113">
        <v>699.36678476292036</v>
      </c>
      <c r="I925" s="113">
        <v>3583.0393560129205</v>
      </c>
    </row>
    <row r="926" spans="1:9" x14ac:dyDescent="0.35">
      <c r="A926" s="109">
        <v>4248248000127</v>
      </c>
      <c r="B926" s="110" t="s">
        <v>87</v>
      </c>
      <c r="C926" s="110" t="s">
        <v>1095</v>
      </c>
      <c r="D926" s="111" t="s">
        <v>1073</v>
      </c>
      <c r="E926" s="112" t="s">
        <v>1006</v>
      </c>
      <c r="F926" s="113" t="s">
        <v>1098</v>
      </c>
      <c r="G926" s="113">
        <v>11727.155500410001</v>
      </c>
      <c r="H926" s="113">
        <v>1746.5623705097514</v>
      </c>
      <c r="I926" s="113">
        <v>13473.717870919752</v>
      </c>
    </row>
    <row r="927" spans="1:9" x14ac:dyDescent="0.35">
      <c r="A927" s="109">
        <v>66613327000147</v>
      </c>
      <c r="B927" s="110" t="s">
        <v>36</v>
      </c>
      <c r="C927" s="110" t="s">
        <v>1095</v>
      </c>
      <c r="D927" s="111" t="s">
        <v>1073</v>
      </c>
      <c r="E927" s="112"/>
      <c r="F927" s="113" t="s">
        <v>1099</v>
      </c>
      <c r="G927" s="113">
        <v>322.74921152000002</v>
      </c>
      <c r="H927" s="113">
        <v>241.37518200749298</v>
      </c>
      <c r="I927" s="113">
        <v>564.124393527493</v>
      </c>
    </row>
    <row r="928" spans="1:9" x14ac:dyDescent="0.35">
      <c r="A928" s="109">
        <v>8143052000129</v>
      </c>
      <c r="B928" s="110" t="s">
        <v>229</v>
      </c>
      <c r="C928" s="110" t="s">
        <v>1095</v>
      </c>
      <c r="D928" s="111" t="s">
        <v>1073</v>
      </c>
      <c r="E928" s="112"/>
      <c r="F928" s="113" t="s">
        <v>1099</v>
      </c>
      <c r="G928" s="113">
        <v>1379.19735337</v>
      </c>
      <c r="H928" s="113">
        <v>1009.2530638742401</v>
      </c>
      <c r="I928" s="113">
        <v>2388.4504172442403</v>
      </c>
    </row>
    <row r="929" spans="1:9" x14ac:dyDescent="0.35">
      <c r="A929" s="109">
        <v>8029945000148</v>
      </c>
      <c r="B929" s="110" t="s">
        <v>80</v>
      </c>
      <c r="C929" s="110" t="s">
        <v>1095</v>
      </c>
      <c r="D929" s="111" t="s">
        <v>1073</v>
      </c>
      <c r="E929" s="112"/>
      <c r="F929" s="113" t="s">
        <v>1099</v>
      </c>
      <c r="G929" s="113">
        <v>2740.2110999800007</v>
      </c>
      <c r="H929" s="113">
        <v>4943.2590179464205</v>
      </c>
      <c r="I929" s="113">
        <v>7683.4701179264212</v>
      </c>
    </row>
    <row r="930" spans="1:9" x14ac:dyDescent="0.35">
      <c r="A930" s="109">
        <v>42070773000194</v>
      </c>
      <c r="B930" s="110" t="s">
        <v>190</v>
      </c>
      <c r="C930" s="110" t="s">
        <v>1095</v>
      </c>
      <c r="D930" s="111" t="s">
        <v>1073</v>
      </c>
      <c r="E930" s="112"/>
      <c r="F930" s="113" t="s">
        <v>1099</v>
      </c>
      <c r="G930" s="113">
        <v>9118.6541464900001</v>
      </c>
      <c r="H930" s="113">
        <v>447.25417302740971</v>
      </c>
      <c r="I930" s="113">
        <v>9565.9083195174098</v>
      </c>
    </row>
    <row r="931" spans="1:9" x14ac:dyDescent="0.35">
      <c r="A931" s="109">
        <v>9417126000130</v>
      </c>
      <c r="B931" s="110" t="s">
        <v>87</v>
      </c>
      <c r="C931" s="110" t="s">
        <v>1095</v>
      </c>
      <c r="D931" s="111" t="s">
        <v>1073</v>
      </c>
      <c r="E931" s="112"/>
      <c r="F931" s="113" t="s">
        <v>1099</v>
      </c>
      <c r="G931" s="113">
        <v>2331.8601809800002</v>
      </c>
      <c r="H931" s="113">
        <v>443.97262007817017</v>
      </c>
      <c r="I931" s="113">
        <v>2775.8328010581704</v>
      </c>
    </row>
    <row r="932" spans="1:9" x14ac:dyDescent="0.35">
      <c r="A932" s="109">
        <v>65937282000101</v>
      </c>
      <c r="B932" s="110" t="s">
        <v>20</v>
      </c>
      <c r="C932" s="110" t="s">
        <v>1097</v>
      </c>
      <c r="D932" s="111" t="s">
        <v>1073</v>
      </c>
      <c r="E932" s="112"/>
      <c r="F932" s="113" t="s">
        <v>1099</v>
      </c>
      <c r="G932" s="113">
        <v>1.0219912000000022</v>
      </c>
      <c r="H932" s="113">
        <v>72.690292635673984</v>
      </c>
      <c r="I932" s="113">
        <v>73.712283835673986</v>
      </c>
    </row>
    <row r="933" spans="1:9" x14ac:dyDescent="0.35">
      <c r="A933" s="109">
        <v>18332251000139</v>
      </c>
      <c r="B933" s="110" t="s">
        <v>9</v>
      </c>
      <c r="C933" s="110" t="s">
        <v>1095</v>
      </c>
      <c r="D933" s="111" t="s">
        <v>1073</v>
      </c>
      <c r="E933" s="112" t="s">
        <v>998</v>
      </c>
      <c r="F933" s="113" t="s">
        <v>1098</v>
      </c>
      <c r="G933" s="113">
        <v>4477.7560326000003</v>
      </c>
      <c r="H933" s="113">
        <v>2379.0250110052116</v>
      </c>
      <c r="I933" s="113">
        <v>6856.7810436052114</v>
      </c>
    </row>
    <row r="934" spans="1:9" x14ac:dyDescent="0.35">
      <c r="A934" s="109">
        <v>19797575000105</v>
      </c>
      <c r="B934" s="110" t="s">
        <v>20</v>
      </c>
      <c r="C934" s="110" t="s">
        <v>1097</v>
      </c>
      <c r="D934" s="111" t="s">
        <v>1073</v>
      </c>
      <c r="E934" s="112"/>
      <c r="F934" s="113" t="s">
        <v>1099</v>
      </c>
      <c r="G934" s="113">
        <v>621.04951847999996</v>
      </c>
      <c r="H934" s="113">
        <v>486.68267282640909</v>
      </c>
      <c r="I934" s="113">
        <v>1107.732191306409</v>
      </c>
    </row>
    <row r="935" spans="1:9" x14ac:dyDescent="0.35">
      <c r="A935" s="109">
        <v>49146937000169</v>
      </c>
      <c r="B935" s="110" t="s">
        <v>38</v>
      </c>
      <c r="C935" s="110" t="s">
        <v>1095</v>
      </c>
      <c r="D935" s="111" t="s">
        <v>1073</v>
      </c>
      <c r="E935" s="112"/>
      <c r="F935" s="113" t="s">
        <v>1099</v>
      </c>
      <c r="G935" s="113">
        <v>1567.0888727499996</v>
      </c>
      <c r="H935" s="113">
        <v>706.97652616277992</v>
      </c>
      <c r="I935" s="113">
        <v>2274.0653989127795</v>
      </c>
    </row>
    <row r="936" spans="1:9" x14ac:dyDescent="0.35">
      <c r="A936" s="109">
        <v>2923540000172</v>
      </c>
      <c r="B936" s="110" t="s">
        <v>80</v>
      </c>
      <c r="C936" s="110" t="s">
        <v>1095</v>
      </c>
      <c r="D936" s="111" t="s">
        <v>1073</v>
      </c>
      <c r="E936" s="112"/>
      <c r="F936" s="113" t="s">
        <v>1099</v>
      </c>
      <c r="G936" s="113">
        <v>1071.93372774</v>
      </c>
      <c r="H936" s="113">
        <v>619.9464465213249</v>
      </c>
      <c r="I936" s="113">
        <v>1691.880174261325</v>
      </c>
    </row>
    <row r="937" spans="1:9" x14ac:dyDescent="0.35">
      <c r="A937" s="109">
        <v>3318604000179</v>
      </c>
      <c r="B937" s="110" t="s">
        <v>20</v>
      </c>
      <c r="C937" s="110" t="s">
        <v>1097</v>
      </c>
      <c r="D937" s="111" t="s">
        <v>1073</v>
      </c>
      <c r="E937" s="112"/>
      <c r="F937" s="113" t="s">
        <v>1099</v>
      </c>
      <c r="G937" s="113">
        <v>854.80114705999972</v>
      </c>
      <c r="H937" s="113">
        <v>461.79003560104002</v>
      </c>
      <c r="I937" s="113">
        <v>1316.5911826610397</v>
      </c>
    </row>
    <row r="938" spans="1:9" x14ac:dyDescent="0.35">
      <c r="A938" s="109">
        <v>19436506000176</v>
      </c>
      <c r="B938" s="110" t="s">
        <v>80</v>
      </c>
      <c r="C938" s="110" t="s">
        <v>1095</v>
      </c>
      <c r="D938" s="111" t="s">
        <v>1073</v>
      </c>
      <c r="E938" s="112"/>
      <c r="F938" s="113" t="s">
        <v>1099</v>
      </c>
      <c r="G938" s="113">
        <v>404.83017958999972</v>
      </c>
      <c r="H938" s="113">
        <v>617.87215153070815</v>
      </c>
      <c r="I938" s="113">
        <v>1022.7023311207079</v>
      </c>
    </row>
    <row r="939" spans="1:9" x14ac:dyDescent="0.35">
      <c r="A939" s="109">
        <v>2635097000134</v>
      </c>
      <c r="B939" s="110" t="s">
        <v>20</v>
      </c>
      <c r="C939" s="110" t="s">
        <v>1097</v>
      </c>
      <c r="D939" s="111" t="s">
        <v>1073</v>
      </c>
      <c r="E939" s="112"/>
      <c r="F939" s="113" t="s">
        <v>1099</v>
      </c>
      <c r="G939" s="113">
        <v>2110.8391599999995</v>
      </c>
      <c r="H939" s="113">
        <v>2983.6412688064302</v>
      </c>
      <c r="I939" s="113">
        <v>5094.4804288064297</v>
      </c>
    </row>
    <row r="940" spans="1:9" x14ac:dyDescent="0.35">
      <c r="A940" s="109">
        <v>33587172000162</v>
      </c>
      <c r="B940" s="110" t="s">
        <v>38</v>
      </c>
      <c r="C940" s="110" t="s">
        <v>1095</v>
      </c>
      <c r="D940" s="111" t="s">
        <v>1073</v>
      </c>
      <c r="E940" s="112"/>
      <c r="F940" s="113" t="s">
        <v>1099</v>
      </c>
      <c r="G940" s="113">
        <v>1784.8312299300001</v>
      </c>
      <c r="H940" s="113">
        <v>805.7960001430697</v>
      </c>
      <c r="I940" s="113">
        <v>2590.6272300730698</v>
      </c>
    </row>
    <row r="941" spans="1:9" x14ac:dyDescent="0.35">
      <c r="A941" s="109">
        <v>4383728000109</v>
      </c>
      <c r="B941" s="110" t="s">
        <v>38</v>
      </c>
      <c r="C941" s="110" t="s">
        <v>1095</v>
      </c>
      <c r="D941" s="111" t="s">
        <v>1073</v>
      </c>
      <c r="E941" s="112"/>
      <c r="F941" s="113" t="s">
        <v>1099</v>
      </c>
      <c r="G941" s="113">
        <v>2223.98857873</v>
      </c>
      <c r="H941" s="113">
        <v>1758.68826585848</v>
      </c>
      <c r="I941" s="113">
        <v>3982.67684458848</v>
      </c>
    </row>
    <row r="942" spans="1:9" x14ac:dyDescent="0.35">
      <c r="A942" s="109">
        <v>52852354000168</v>
      </c>
      <c r="B942" s="110" t="s">
        <v>36</v>
      </c>
      <c r="C942" s="110" t="s">
        <v>1095</v>
      </c>
      <c r="D942" s="111" t="s">
        <v>1073</v>
      </c>
      <c r="E942" s="112"/>
      <c r="F942" s="113" t="s">
        <v>1099</v>
      </c>
      <c r="G942" s="113">
        <v>1752.1363485699999</v>
      </c>
      <c r="H942" s="113">
        <v>1934.5713568399099</v>
      </c>
      <c r="I942" s="113">
        <v>3686.70770540991</v>
      </c>
    </row>
    <row r="943" spans="1:9" x14ac:dyDescent="0.35">
      <c r="A943" s="109">
        <v>58694365000143</v>
      </c>
      <c r="B943" s="110" t="s">
        <v>614</v>
      </c>
      <c r="C943" s="110" t="s">
        <v>1095</v>
      </c>
      <c r="D943" s="111" t="s">
        <v>1073</v>
      </c>
      <c r="E943" s="112"/>
      <c r="F943" s="113" t="s">
        <v>1099</v>
      </c>
      <c r="G943" s="113">
        <v>1232.8886535499998</v>
      </c>
      <c r="H943" s="113">
        <v>1040.0830856236698</v>
      </c>
      <c r="I943" s="113">
        <v>2272.9717391736694</v>
      </c>
    </row>
    <row r="944" spans="1:9" x14ac:dyDescent="0.35">
      <c r="A944" s="109">
        <v>35633493000181</v>
      </c>
      <c r="B944" s="110" t="s">
        <v>33</v>
      </c>
      <c r="C944" s="110" t="s">
        <v>1095</v>
      </c>
      <c r="D944" s="111" t="s">
        <v>1073</v>
      </c>
      <c r="E944" s="112"/>
      <c r="F944" s="113" t="s">
        <v>1099</v>
      </c>
      <c r="G944" s="113">
        <v>254.55821879000001</v>
      </c>
      <c r="H944" s="113">
        <v>412.56798335531198</v>
      </c>
      <c r="I944" s="113">
        <v>667.12620214531194</v>
      </c>
    </row>
    <row r="945" spans="1:9" x14ac:dyDescent="0.35">
      <c r="A945" s="109">
        <v>3878763000128</v>
      </c>
      <c r="B945" s="110" t="s">
        <v>80</v>
      </c>
      <c r="C945" s="110" t="s">
        <v>1095</v>
      </c>
      <c r="D945" s="111" t="s">
        <v>1073</v>
      </c>
      <c r="E945" s="112"/>
      <c r="F945" s="113" t="s">
        <v>1099</v>
      </c>
      <c r="G945" s="113">
        <v>1032.30015989</v>
      </c>
      <c r="H945" s="113">
        <v>692.54097123036991</v>
      </c>
      <c r="I945" s="113">
        <v>1724.8411311203699</v>
      </c>
    </row>
    <row r="946" spans="1:9" x14ac:dyDescent="0.35">
      <c r="A946" s="109">
        <v>10309605000112</v>
      </c>
      <c r="B946" s="110" t="s">
        <v>103</v>
      </c>
      <c r="C946" s="110" t="s">
        <v>1095</v>
      </c>
      <c r="D946" s="111" t="s">
        <v>1073</v>
      </c>
      <c r="E946" s="112"/>
      <c r="F946" s="113" t="s">
        <v>1099</v>
      </c>
      <c r="G946" s="113">
        <v>2699.5253220199993</v>
      </c>
      <c r="H946" s="113">
        <v>4139.9001592909208</v>
      </c>
      <c r="I946" s="113">
        <v>6839.4254813109201</v>
      </c>
    </row>
    <row r="947" spans="1:9" x14ac:dyDescent="0.35">
      <c r="A947" s="109">
        <v>42569761000109</v>
      </c>
      <c r="B947" s="110" t="s">
        <v>197</v>
      </c>
      <c r="C947" s="110" t="s">
        <v>1095</v>
      </c>
      <c r="D947" s="111" t="s">
        <v>1073</v>
      </c>
      <c r="E947" s="112"/>
      <c r="F947" s="113" t="s">
        <v>1099</v>
      </c>
      <c r="G947" s="113">
        <v>1964.0129400800001</v>
      </c>
      <c r="H947" s="113">
        <v>1348.6810439154601</v>
      </c>
      <c r="I947" s="113">
        <v>3312.6939839954603</v>
      </c>
    </row>
    <row r="948" spans="1:9" x14ac:dyDescent="0.35">
      <c r="A948" s="109">
        <v>1017753000172</v>
      </c>
      <c r="B948" s="110" t="s">
        <v>87</v>
      </c>
      <c r="C948" s="110" t="s">
        <v>1095</v>
      </c>
      <c r="D948" s="111" t="s">
        <v>1073</v>
      </c>
      <c r="E948" s="112"/>
      <c r="F948" s="113" t="s">
        <v>1099</v>
      </c>
      <c r="G948" s="113">
        <v>790.73349108000002</v>
      </c>
      <c r="H948" s="113">
        <v>926.58921782880998</v>
      </c>
      <c r="I948" s="113">
        <v>1717.32270890881</v>
      </c>
    </row>
    <row r="949" spans="1:9" x14ac:dyDescent="0.35">
      <c r="A949" s="109">
        <v>5255309000146</v>
      </c>
      <c r="B949" s="110" t="s">
        <v>16</v>
      </c>
      <c r="C949" s="110" t="s">
        <v>1095</v>
      </c>
      <c r="D949" s="111" t="s">
        <v>1073</v>
      </c>
      <c r="E949" s="112"/>
      <c r="F949" s="113" t="s">
        <v>1099</v>
      </c>
      <c r="G949" s="113">
        <v>1015.6862861899999</v>
      </c>
      <c r="H949" s="113">
        <v>1755.20596887798</v>
      </c>
      <c r="I949" s="113">
        <v>2770.8922550679799</v>
      </c>
    </row>
    <row r="950" spans="1:9" x14ac:dyDescent="0.35">
      <c r="A950" s="109">
        <v>48464291000103</v>
      </c>
      <c r="B950" s="110" t="s">
        <v>38</v>
      </c>
      <c r="C950" s="110" t="s">
        <v>1095</v>
      </c>
      <c r="D950" s="111" t="s">
        <v>1073</v>
      </c>
      <c r="E950" s="112"/>
      <c r="F950" s="113" t="s">
        <v>1099</v>
      </c>
      <c r="G950" s="113">
        <v>1804.2300281699997</v>
      </c>
      <c r="H950" s="113">
        <v>1582.5263548932098</v>
      </c>
      <c r="I950" s="113">
        <v>3386.7563830632098</v>
      </c>
    </row>
    <row r="951" spans="1:9" x14ac:dyDescent="0.35">
      <c r="A951" s="109">
        <v>9433797000195</v>
      </c>
      <c r="B951" s="110" t="s">
        <v>103</v>
      </c>
      <c r="C951" s="110" t="s">
        <v>1095</v>
      </c>
      <c r="D951" s="111" t="s">
        <v>1073</v>
      </c>
      <c r="E951" s="112"/>
      <c r="F951" s="113" t="s">
        <v>1099</v>
      </c>
      <c r="G951" s="113">
        <v>3011.5516736</v>
      </c>
      <c r="H951" s="113">
        <v>2792.8936028558101</v>
      </c>
      <c r="I951" s="113">
        <v>5804.44527645581</v>
      </c>
    </row>
    <row r="952" spans="1:9" x14ac:dyDescent="0.35">
      <c r="A952" s="109">
        <v>4965294000147</v>
      </c>
      <c r="B952" s="110" t="s">
        <v>36</v>
      </c>
      <c r="C952" s="110" t="s">
        <v>1095</v>
      </c>
      <c r="D952" s="111" t="s">
        <v>1073</v>
      </c>
      <c r="E952" s="112"/>
      <c r="F952" s="113" t="s">
        <v>1099</v>
      </c>
      <c r="G952" s="113">
        <v>1608.1386395899999</v>
      </c>
      <c r="H952" s="113">
        <v>1237.67787309408</v>
      </c>
      <c r="I952" s="113">
        <v>2845.81651268408</v>
      </c>
    </row>
    <row r="953" spans="1:9" x14ac:dyDescent="0.35">
      <c r="A953" s="109">
        <v>10378095000135</v>
      </c>
      <c r="B953" s="110" t="s">
        <v>20</v>
      </c>
      <c r="C953" s="110" t="s">
        <v>1097</v>
      </c>
      <c r="D953" s="111" t="s">
        <v>1073</v>
      </c>
      <c r="E953" s="112"/>
      <c r="F953" s="113" t="s">
        <v>1099</v>
      </c>
      <c r="G953" s="113">
        <v>6332.5541257299992</v>
      </c>
      <c r="H953" s="113">
        <v>4307.6916285288398</v>
      </c>
      <c r="I953" s="113">
        <v>10640.245754258838</v>
      </c>
    </row>
    <row r="954" spans="1:9" x14ac:dyDescent="0.35">
      <c r="A954" s="109">
        <v>34959930000199</v>
      </c>
      <c r="B954" s="110" t="s">
        <v>33</v>
      </c>
      <c r="C954" s="110" t="s">
        <v>1095</v>
      </c>
      <c r="D954" s="111" t="s">
        <v>1073</v>
      </c>
      <c r="E954" s="112"/>
      <c r="F954" s="113" t="s">
        <v>1099</v>
      </c>
      <c r="G954" s="113">
        <v>2207.2745503599999</v>
      </c>
      <c r="H954" s="113">
        <v>975.36423658532021</v>
      </c>
      <c r="I954" s="113">
        <v>3182.6387869453201</v>
      </c>
    </row>
    <row r="955" spans="1:9" x14ac:dyDescent="0.35">
      <c r="A955" s="109">
        <v>15247037000196</v>
      </c>
      <c r="B955" s="110" t="s">
        <v>20</v>
      </c>
      <c r="C955" s="110" t="s">
        <v>1097</v>
      </c>
      <c r="D955" s="111" t="s">
        <v>1073</v>
      </c>
      <c r="E955" s="112"/>
      <c r="F955" s="113" t="s">
        <v>1099</v>
      </c>
      <c r="G955" s="113">
        <v>838.33584325000004</v>
      </c>
      <c r="H955" s="113">
        <v>1095.1537403777502</v>
      </c>
      <c r="I955" s="113">
        <v>1933.4895836277501</v>
      </c>
    </row>
    <row r="956" spans="1:9" x14ac:dyDescent="0.35">
      <c r="A956" s="109">
        <v>199752000395</v>
      </c>
      <c r="B956" s="110" t="s">
        <v>472</v>
      </c>
      <c r="C956" s="110" t="s">
        <v>1097</v>
      </c>
      <c r="D956" s="111" t="s">
        <v>1073</v>
      </c>
      <c r="E956" s="112" t="s">
        <v>1006</v>
      </c>
      <c r="F956" s="113" t="s">
        <v>1098</v>
      </c>
      <c r="G956" s="113">
        <v>31121.933463119996</v>
      </c>
      <c r="H956" s="113">
        <v>11207.500294206398</v>
      </c>
      <c r="I956" s="113">
        <v>42329.433757326391</v>
      </c>
    </row>
    <row r="957" spans="1:9" x14ac:dyDescent="0.35">
      <c r="A957" s="109">
        <v>16042681000190</v>
      </c>
      <c r="B957" s="110" t="s">
        <v>20</v>
      </c>
      <c r="C957" s="110" t="s">
        <v>1097</v>
      </c>
      <c r="D957" s="111" t="s">
        <v>1073</v>
      </c>
      <c r="E957" s="112"/>
      <c r="F957" s="113" t="s">
        <v>1099</v>
      </c>
      <c r="G957" s="113">
        <v>1224.48247988</v>
      </c>
      <c r="H957" s="113">
        <v>766.23898385544021</v>
      </c>
      <c r="I957" s="113">
        <v>1990.7214637354402</v>
      </c>
    </row>
    <row r="958" spans="1:9" x14ac:dyDescent="0.35">
      <c r="A958" s="109">
        <v>8604819000170</v>
      </c>
      <c r="B958" s="110" t="s">
        <v>16</v>
      </c>
      <c r="C958" s="110" t="s">
        <v>1095</v>
      </c>
      <c r="D958" s="111" t="s">
        <v>1073</v>
      </c>
      <c r="E958" s="112"/>
      <c r="F958" s="113" t="s">
        <v>1099</v>
      </c>
      <c r="G958" s="113">
        <v>5444.2242961800002</v>
      </c>
      <c r="H958" s="113">
        <v>5063.3724390807693</v>
      </c>
      <c r="I958" s="113">
        <v>10507.596735260769</v>
      </c>
    </row>
    <row r="959" spans="1:9" x14ac:dyDescent="0.35">
      <c r="A959" s="109">
        <v>44692168001071</v>
      </c>
      <c r="B959" s="110" t="s">
        <v>509</v>
      </c>
      <c r="C959" s="110" t="s">
        <v>1101</v>
      </c>
      <c r="D959" s="111" t="s">
        <v>1073</v>
      </c>
      <c r="E959" s="112" t="s">
        <v>509</v>
      </c>
      <c r="F959" s="113" t="s">
        <v>1098</v>
      </c>
      <c r="G959" s="113">
        <v>1839.53837348</v>
      </c>
      <c r="H959" s="113">
        <v>1024.4492994857026</v>
      </c>
      <c r="I959" s="113">
        <v>2863.9876729657026</v>
      </c>
    </row>
    <row r="960" spans="1:9" x14ac:dyDescent="0.35">
      <c r="A960" s="109">
        <v>6316789000170</v>
      </c>
      <c r="B960" s="110" t="s">
        <v>20</v>
      </c>
      <c r="C960" s="110" t="s">
        <v>1097</v>
      </c>
      <c r="D960" s="111" t="s">
        <v>1073</v>
      </c>
      <c r="E960" s="112"/>
      <c r="F960" s="113" t="s">
        <v>1099</v>
      </c>
      <c r="G960" s="113">
        <v>4056.1217741600003</v>
      </c>
      <c r="H960" s="113">
        <v>2207.5038167098601</v>
      </c>
      <c r="I960" s="113">
        <v>6263.6255908698604</v>
      </c>
    </row>
    <row r="961" spans="1:9" x14ac:dyDescent="0.35">
      <c r="A961" s="109">
        <v>15910375000166</v>
      </c>
      <c r="B961" s="110" t="s">
        <v>33</v>
      </c>
      <c r="C961" s="110" t="s">
        <v>1095</v>
      </c>
      <c r="D961" s="111" t="s">
        <v>1073</v>
      </c>
      <c r="E961" s="112"/>
      <c r="F961" s="113" t="s">
        <v>1099</v>
      </c>
      <c r="G961" s="113">
        <v>2799.9906136299996</v>
      </c>
      <c r="H961" s="113">
        <v>2797.5644788896097</v>
      </c>
      <c r="I961" s="113">
        <v>5597.5550925196094</v>
      </c>
    </row>
    <row r="962" spans="1:9" x14ac:dyDescent="0.35">
      <c r="A962" s="109">
        <v>67759241000190</v>
      </c>
      <c r="B962" s="110" t="s">
        <v>103</v>
      </c>
      <c r="C962" s="110" t="s">
        <v>1095</v>
      </c>
      <c r="D962" s="111" t="s">
        <v>1073</v>
      </c>
      <c r="E962" s="112"/>
      <c r="F962" s="113" t="s">
        <v>1099</v>
      </c>
      <c r="G962" s="113">
        <v>1006.52204607</v>
      </c>
      <c r="H962" s="113">
        <v>1230.9588277512403</v>
      </c>
      <c r="I962" s="113">
        <v>2237.4808738212405</v>
      </c>
    </row>
    <row r="963" spans="1:9" x14ac:dyDescent="0.35">
      <c r="A963" s="109">
        <v>5123132000124</v>
      </c>
      <c r="B963" s="110" t="s">
        <v>38</v>
      </c>
      <c r="C963" s="110" t="s">
        <v>1095</v>
      </c>
      <c r="D963" s="111" t="s">
        <v>1073</v>
      </c>
      <c r="E963" s="112"/>
      <c r="F963" s="113" t="s">
        <v>1099</v>
      </c>
      <c r="G963" s="113">
        <v>2131.3617299900002</v>
      </c>
      <c r="H963" s="113">
        <v>3099.2438847011699</v>
      </c>
      <c r="I963" s="113">
        <v>5230.6056146911706</v>
      </c>
    </row>
    <row r="964" spans="1:9" x14ac:dyDescent="0.35">
      <c r="A964" s="109">
        <v>42070773000275</v>
      </c>
      <c r="B964" s="110" t="s">
        <v>190</v>
      </c>
      <c r="C964" s="110" t="s">
        <v>1095</v>
      </c>
      <c r="D964" s="111" t="s">
        <v>1073</v>
      </c>
      <c r="E964" s="112"/>
      <c r="F964" s="113" t="s">
        <v>1099</v>
      </c>
      <c r="G964" s="113">
        <v>5009.1230270300002</v>
      </c>
      <c r="H964" s="113">
        <v>3214.40474564435</v>
      </c>
      <c r="I964" s="113">
        <v>8223.5277726743498</v>
      </c>
    </row>
    <row r="965" spans="1:9" x14ac:dyDescent="0.35">
      <c r="A965" s="109">
        <v>4538037000129</v>
      </c>
      <c r="B965" s="110" t="s">
        <v>87</v>
      </c>
      <c r="C965" s="110" t="s">
        <v>1095</v>
      </c>
      <c r="D965" s="111" t="s">
        <v>1073</v>
      </c>
      <c r="E965" s="112"/>
      <c r="F965" s="113" t="s">
        <v>1099</v>
      </c>
      <c r="G965" s="113">
        <v>1436.0485671399999</v>
      </c>
      <c r="H965" s="113">
        <v>2854.3615590823802</v>
      </c>
      <c r="I965" s="113">
        <v>4290.4101262223803</v>
      </c>
    </row>
    <row r="966" spans="1:9" x14ac:dyDescent="0.35">
      <c r="A966" s="109">
        <v>199752000638</v>
      </c>
      <c r="B966" s="110" t="s">
        <v>472</v>
      </c>
      <c r="C966" s="110" t="s">
        <v>1097</v>
      </c>
      <c r="D966" s="111" t="s">
        <v>1073</v>
      </c>
      <c r="E966" s="112" t="s">
        <v>1006</v>
      </c>
      <c r="F966" s="113" t="s">
        <v>1098</v>
      </c>
      <c r="G966" s="113">
        <v>15138.127030240003</v>
      </c>
      <c r="H966" s="113">
        <v>10183.435042172699</v>
      </c>
      <c r="I966" s="113">
        <v>25321.5620724127</v>
      </c>
    </row>
    <row r="967" spans="1:9" x14ac:dyDescent="0.35">
      <c r="A967" s="109">
        <v>3484949000100</v>
      </c>
      <c r="B967" s="110" t="s">
        <v>20</v>
      </c>
      <c r="C967" s="110" t="s">
        <v>1097</v>
      </c>
      <c r="D967" s="111" t="s">
        <v>1073</v>
      </c>
      <c r="E967" s="112"/>
      <c r="F967" s="113" t="s">
        <v>1099</v>
      </c>
      <c r="G967" s="113">
        <v>2346.4626800999999</v>
      </c>
      <c r="H967" s="113">
        <v>463.93315379470801</v>
      </c>
      <c r="I967" s="113">
        <v>2810.3958338947077</v>
      </c>
    </row>
    <row r="968" spans="1:9" x14ac:dyDescent="0.35">
      <c r="A968" s="109">
        <v>24622755000196</v>
      </c>
      <c r="B968" s="110" t="s">
        <v>621</v>
      </c>
      <c r="C968" s="110" t="s">
        <v>1095</v>
      </c>
      <c r="D968" s="111" t="s">
        <v>1073</v>
      </c>
      <c r="E968" s="112"/>
      <c r="F968" s="113" t="s">
        <v>1099</v>
      </c>
      <c r="G968" s="113">
        <v>1208.6941903900001</v>
      </c>
      <c r="H968" s="113">
        <v>1535.75519055114</v>
      </c>
      <c r="I968" s="113">
        <v>2744.4493809411401</v>
      </c>
    </row>
    <row r="969" spans="1:9" x14ac:dyDescent="0.35">
      <c r="A969" s="109">
        <v>31230095000163</v>
      </c>
      <c r="B969" s="110" t="s">
        <v>20</v>
      </c>
      <c r="C969" s="110" t="s">
        <v>1097</v>
      </c>
      <c r="D969" s="111" t="s">
        <v>1073</v>
      </c>
      <c r="E969" s="112"/>
      <c r="F969" s="113" t="s">
        <v>1099</v>
      </c>
      <c r="G969" s="113">
        <v>3405.6346291299997</v>
      </c>
      <c r="H969" s="113">
        <v>3530.0134740113904</v>
      </c>
      <c r="I969" s="113">
        <v>6935.6481031413896</v>
      </c>
    </row>
    <row r="970" spans="1:9" x14ac:dyDescent="0.35">
      <c r="A970" s="109">
        <v>3662213000177</v>
      </c>
      <c r="B970" s="110" t="s">
        <v>20</v>
      </c>
      <c r="C970" s="110" t="s">
        <v>1097</v>
      </c>
      <c r="D970" s="111" t="s">
        <v>1073</v>
      </c>
      <c r="E970" s="112"/>
      <c r="F970" s="113" t="s">
        <v>1099</v>
      </c>
      <c r="G970" s="113">
        <v>607.65359485000022</v>
      </c>
      <c r="H970" s="113">
        <v>980.96399268433402</v>
      </c>
      <c r="I970" s="113">
        <v>1588.6175875343342</v>
      </c>
    </row>
    <row r="971" spans="1:9" x14ac:dyDescent="0.35">
      <c r="A971" s="109">
        <v>55299135000191</v>
      </c>
      <c r="B971" s="110" t="s">
        <v>80</v>
      </c>
      <c r="C971" s="110" t="s">
        <v>1095</v>
      </c>
      <c r="D971" s="111" t="s">
        <v>1073</v>
      </c>
      <c r="E971" s="112"/>
      <c r="F971" s="113" t="s">
        <v>1099</v>
      </c>
      <c r="G971" s="113">
        <v>10406.26406578</v>
      </c>
      <c r="H971" s="113">
        <v>6297.2418874866889</v>
      </c>
      <c r="I971" s="113">
        <v>16703.505953266689</v>
      </c>
    </row>
    <row r="972" spans="1:9" x14ac:dyDescent="0.35">
      <c r="A972" s="109">
        <v>8967701000106</v>
      </c>
      <c r="B972" s="110" t="s">
        <v>20</v>
      </c>
      <c r="C972" s="110" t="s">
        <v>1097</v>
      </c>
      <c r="D972" s="111" t="s">
        <v>1073</v>
      </c>
      <c r="E972" s="112"/>
      <c r="F972" s="113" t="s">
        <v>1099</v>
      </c>
      <c r="G972" s="113">
        <v>518.85559160000003</v>
      </c>
      <c r="H972" s="113">
        <v>1285.5395147981299</v>
      </c>
      <c r="I972" s="113">
        <v>1804.3951063981299</v>
      </c>
    </row>
    <row r="973" spans="1:9" x14ac:dyDescent="0.35">
      <c r="A973" s="109">
        <v>8476603000176</v>
      </c>
      <c r="B973" s="110" t="s">
        <v>20</v>
      </c>
      <c r="C973" s="110" t="s">
        <v>1097</v>
      </c>
      <c r="D973" s="111" t="s">
        <v>1073</v>
      </c>
      <c r="E973" s="112"/>
      <c r="F973" s="113" t="s">
        <v>1099</v>
      </c>
      <c r="G973" s="113">
        <v>4054.8733472100002</v>
      </c>
      <c r="H973" s="113">
        <v>4121.5138733214499</v>
      </c>
      <c r="I973" s="113">
        <v>8176.3872205314501</v>
      </c>
    </row>
    <row r="974" spans="1:9" x14ac:dyDescent="0.35">
      <c r="A974" s="109">
        <v>11368538000170</v>
      </c>
      <c r="B974" s="110" t="s">
        <v>9</v>
      </c>
      <c r="C974" s="110" t="s">
        <v>1095</v>
      </c>
      <c r="D974" s="111" t="s">
        <v>1073</v>
      </c>
      <c r="E974" s="112"/>
      <c r="F974" s="113" t="s">
        <v>1099</v>
      </c>
      <c r="G974" s="113">
        <v>11820.36835766</v>
      </c>
      <c r="H974" s="113">
        <v>7515.1994679192694</v>
      </c>
      <c r="I974" s="113">
        <v>19335.56782557927</v>
      </c>
    </row>
    <row r="975" spans="1:9" x14ac:dyDescent="0.35">
      <c r="A975" s="109">
        <v>18666741000414</v>
      </c>
      <c r="B975" s="110" t="s">
        <v>9</v>
      </c>
      <c r="C975" s="110" t="s">
        <v>1095</v>
      </c>
      <c r="D975" s="111" t="s">
        <v>1073</v>
      </c>
      <c r="E975" s="112"/>
      <c r="F975" s="113" t="s">
        <v>1099</v>
      </c>
      <c r="G975" s="113">
        <v>5025.9823361400004</v>
      </c>
      <c r="H975" s="113">
        <v>5290.8899688972397</v>
      </c>
      <c r="I975" s="113">
        <v>10316.872305037239</v>
      </c>
    </row>
    <row r="976" spans="1:9" x14ac:dyDescent="0.35">
      <c r="A976" s="109">
        <v>11318768000124</v>
      </c>
      <c r="B976" s="110" t="s">
        <v>87</v>
      </c>
      <c r="C976" s="110" t="s">
        <v>1095</v>
      </c>
      <c r="D976" s="111" t="s">
        <v>1073</v>
      </c>
      <c r="E976" s="112"/>
      <c r="F976" s="113" t="s">
        <v>1099</v>
      </c>
      <c r="G976" s="113">
        <v>3454.2555616</v>
      </c>
      <c r="H976" s="113">
        <v>3062.8301279988304</v>
      </c>
      <c r="I976" s="113">
        <v>6517.0856895988309</v>
      </c>
    </row>
    <row r="977" spans="1:9" x14ac:dyDescent="0.35">
      <c r="A977" s="109">
        <v>61144743000120</v>
      </c>
      <c r="B977" s="110" t="s">
        <v>16</v>
      </c>
      <c r="C977" s="110" t="s">
        <v>1095</v>
      </c>
      <c r="D977" s="111" t="s">
        <v>1073</v>
      </c>
      <c r="E977" s="112"/>
      <c r="F977" s="113" t="s">
        <v>1099</v>
      </c>
      <c r="G977" s="113">
        <v>2334.7290855699994</v>
      </c>
      <c r="H977" s="113">
        <v>2457.1430315277198</v>
      </c>
      <c r="I977" s="113">
        <v>4791.8721170977187</v>
      </c>
    </row>
    <row r="978" spans="1:9" x14ac:dyDescent="0.35">
      <c r="A978" s="109">
        <v>28059864000106</v>
      </c>
      <c r="B978" s="110" t="s">
        <v>9</v>
      </c>
      <c r="C978" s="110" t="s">
        <v>1095</v>
      </c>
      <c r="D978" s="111" t="s">
        <v>1073</v>
      </c>
      <c r="E978" s="112"/>
      <c r="F978" s="113" t="s">
        <v>1099</v>
      </c>
      <c r="G978" s="113">
        <v>653.56943293999996</v>
      </c>
      <c r="H978" s="113">
        <v>1161.0864174916501</v>
      </c>
      <c r="I978" s="113">
        <v>1814.6558504316499</v>
      </c>
    </row>
    <row r="979" spans="1:9" x14ac:dyDescent="0.35">
      <c r="A979" s="109">
        <v>12476127000160</v>
      </c>
      <c r="B979" s="110" t="s">
        <v>16</v>
      </c>
      <c r="C979" s="110" t="s">
        <v>1095</v>
      </c>
      <c r="D979" s="111" t="s">
        <v>1073</v>
      </c>
      <c r="E979" s="112"/>
      <c r="F979" s="113" t="s">
        <v>1099</v>
      </c>
      <c r="G979" s="113">
        <v>9035.9680132199992</v>
      </c>
      <c r="H979" s="113">
        <v>9752.6465951449391</v>
      </c>
      <c r="I979" s="113">
        <v>18788.614608364936</v>
      </c>
    </row>
    <row r="980" spans="1:9" x14ac:dyDescent="0.35">
      <c r="A980" s="109">
        <v>18666741000171</v>
      </c>
      <c r="B980" s="110" t="s">
        <v>9</v>
      </c>
      <c r="C980" s="110" t="s">
        <v>1095</v>
      </c>
      <c r="D980" s="111" t="s">
        <v>1073</v>
      </c>
      <c r="E980" s="112"/>
      <c r="F980" s="113" t="s">
        <v>1099</v>
      </c>
      <c r="G980" s="113">
        <v>21826.302921389997</v>
      </c>
      <c r="H980" s="113">
        <v>12185.388764541</v>
      </c>
      <c r="I980" s="113">
        <v>34011.691685931</v>
      </c>
    </row>
    <row r="981" spans="1:9" x14ac:dyDescent="0.35">
      <c r="A981" s="109">
        <v>24248641000128</v>
      </c>
      <c r="B981" s="110" t="s">
        <v>20</v>
      </c>
      <c r="C981" s="110" t="s">
        <v>1097</v>
      </c>
      <c r="D981" s="111" t="s">
        <v>1073</v>
      </c>
      <c r="E981" s="112"/>
      <c r="F981" s="113" t="s">
        <v>1099</v>
      </c>
      <c r="G981" s="113">
        <v>1594.7968470399999</v>
      </c>
      <c r="H981" s="113">
        <v>2065.9566329988702</v>
      </c>
      <c r="I981" s="113">
        <v>3660.7534800388703</v>
      </c>
    </row>
    <row r="982" spans="1:9" x14ac:dyDescent="0.35">
      <c r="A982" s="109">
        <v>12741296000180</v>
      </c>
      <c r="B982" s="110" t="s">
        <v>33</v>
      </c>
      <c r="C982" s="110" t="s">
        <v>1095</v>
      </c>
      <c r="D982" s="111" t="s">
        <v>1073</v>
      </c>
      <c r="E982" s="112"/>
      <c r="F982" s="113" t="s">
        <v>1099</v>
      </c>
      <c r="G982" s="113">
        <v>783.5338413300002</v>
      </c>
      <c r="H982" s="113">
        <v>1436.8210330065699</v>
      </c>
      <c r="I982" s="113">
        <v>2220.35487433657</v>
      </c>
    </row>
    <row r="983" spans="1:9" x14ac:dyDescent="0.35">
      <c r="A983" s="109">
        <v>16925842000194</v>
      </c>
      <c r="B983" s="110" t="s">
        <v>16</v>
      </c>
      <c r="C983" s="110" t="s">
        <v>1095</v>
      </c>
      <c r="D983" s="111" t="s">
        <v>1073</v>
      </c>
      <c r="E983" s="112"/>
      <c r="F983" s="113" t="s">
        <v>1099</v>
      </c>
      <c r="G983" s="113">
        <v>858.38408030999994</v>
      </c>
      <c r="H983" s="113">
        <v>767.20533055515602</v>
      </c>
      <c r="I983" s="113">
        <v>1625.589410865156</v>
      </c>
    </row>
    <row r="984" spans="1:9" x14ac:dyDescent="0.35">
      <c r="A984" s="109">
        <v>4564557000106</v>
      </c>
      <c r="B984" s="110" t="s">
        <v>20</v>
      </c>
      <c r="C984" s="110" t="s">
        <v>1097</v>
      </c>
      <c r="D984" s="111" t="s">
        <v>1073</v>
      </c>
      <c r="E984" s="112"/>
      <c r="F984" s="113" t="s">
        <v>1099</v>
      </c>
      <c r="G984" s="113">
        <v>1047.3571276000002</v>
      </c>
      <c r="H984" s="113">
        <v>1264.2839666073201</v>
      </c>
      <c r="I984" s="113">
        <v>2311.6410942073203</v>
      </c>
    </row>
    <row r="985" spans="1:9" x14ac:dyDescent="0.35">
      <c r="A985" s="109">
        <v>9555593000127</v>
      </c>
      <c r="B985" s="110" t="s">
        <v>229</v>
      </c>
      <c r="C985" s="110" t="s">
        <v>1095</v>
      </c>
      <c r="D985" s="111" t="s">
        <v>1073</v>
      </c>
      <c r="E985" s="112"/>
      <c r="F985" s="113" t="s">
        <v>1099</v>
      </c>
      <c r="G985" s="113">
        <v>1890.5621046200004</v>
      </c>
      <c r="H985" s="113">
        <v>2172.5995067359204</v>
      </c>
      <c r="I985" s="113">
        <v>4063.1616113559207</v>
      </c>
    </row>
    <row r="986" spans="1:9" x14ac:dyDescent="0.35">
      <c r="A986" s="109">
        <v>72834344000107</v>
      </c>
      <c r="B986" s="110" t="s">
        <v>20</v>
      </c>
      <c r="C986" s="110" t="s">
        <v>1097</v>
      </c>
      <c r="D986" s="111" t="s">
        <v>1073</v>
      </c>
      <c r="E986" s="112"/>
      <c r="F986" s="113" t="s">
        <v>1099</v>
      </c>
      <c r="G986" s="113">
        <v>976.14505567000003</v>
      </c>
      <c r="H986" s="113">
        <v>1739.9047819176501</v>
      </c>
      <c r="I986" s="113">
        <v>2716.04983758765</v>
      </c>
    </row>
    <row r="987" spans="1:9" x14ac:dyDescent="0.35">
      <c r="A987" s="109">
        <v>5215960000192</v>
      </c>
      <c r="B987" s="110" t="s">
        <v>16</v>
      </c>
      <c r="C987" s="110" t="s">
        <v>1095</v>
      </c>
      <c r="D987" s="111" t="s">
        <v>1073</v>
      </c>
      <c r="E987" s="112"/>
      <c r="F987" s="113" t="s">
        <v>1099</v>
      </c>
      <c r="G987" s="113">
        <v>4142.8809774000001</v>
      </c>
      <c r="H987" s="113">
        <v>3785.7159056332102</v>
      </c>
      <c r="I987" s="113">
        <v>7928.5968830332104</v>
      </c>
    </row>
    <row r="988" spans="1:9" x14ac:dyDescent="0.35">
      <c r="A988" s="109">
        <v>67096438000196</v>
      </c>
      <c r="B988" s="110" t="s">
        <v>87</v>
      </c>
      <c r="C988" s="110" t="s">
        <v>1095</v>
      </c>
      <c r="D988" s="111" t="s">
        <v>1073</v>
      </c>
      <c r="E988" s="112"/>
      <c r="F988" s="113" t="s">
        <v>1099</v>
      </c>
      <c r="G988" s="113">
        <v>1165.6476902600002</v>
      </c>
      <c r="H988" s="113">
        <v>1969.8434997131901</v>
      </c>
      <c r="I988" s="113">
        <v>3135.4911899731906</v>
      </c>
    </row>
    <row r="989" spans="1:9" x14ac:dyDescent="0.35">
      <c r="A989" s="109">
        <v>2222873000174</v>
      </c>
      <c r="B989" s="110" t="s">
        <v>16</v>
      </c>
      <c r="C989" s="110" t="s">
        <v>1095</v>
      </c>
      <c r="D989" s="111" t="s">
        <v>1073</v>
      </c>
      <c r="E989" s="112"/>
      <c r="F989" s="113" t="s">
        <v>1099</v>
      </c>
      <c r="G989" s="113">
        <v>2582.8376662800006</v>
      </c>
      <c r="H989" s="113">
        <v>1828.20483796601</v>
      </c>
      <c r="I989" s="113">
        <v>4411.0425042460101</v>
      </c>
    </row>
    <row r="990" spans="1:9" x14ac:dyDescent="0.35">
      <c r="A990" s="109">
        <v>4213573000154</v>
      </c>
      <c r="B990" s="110" t="s">
        <v>80</v>
      </c>
      <c r="C990" s="110" t="s">
        <v>1095</v>
      </c>
      <c r="D990" s="111" t="s">
        <v>1073</v>
      </c>
      <c r="E990" s="112"/>
      <c r="F990" s="113" t="s">
        <v>1099</v>
      </c>
      <c r="G990" s="113">
        <v>13677.032887889989</v>
      </c>
      <c r="H990" s="113">
        <v>5138.3299630412203</v>
      </c>
      <c r="I990" s="113">
        <v>18815.362850931211</v>
      </c>
    </row>
    <row r="991" spans="1:9" x14ac:dyDescent="0.35">
      <c r="A991" s="109">
        <v>3300964000143</v>
      </c>
      <c r="B991" s="110" t="s">
        <v>36</v>
      </c>
      <c r="C991" s="110" t="s">
        <v>1095</v>
      </c>
      <c r="D991" s="111" t="s">
        <v>1073</v>
      </c>
      <c r="E991" s="112"/>
      <c r="F991" s="113" t="s">
        <v>1099</v>
      </c>
      <c r="G991" s="113">
        <v>863.58329500000013</v>
      </c>
      <c r="H991" s="113">
        <v>979.48100106436414</v>
      </c>
      <c r="I991" s="113">
        <v>1843.0642960643643</v>
      </c>
    </row>
    <row r="992" spans="1:9" x14ac:dyDescent="0.35">
      <c r="A992" s="109">
        <v>51996536000140</v>
      </c>
      <c r="B992" s="110" t="s">
        <v>20</v>
      </c>
      <c r="C992" s="110" t="s">
        <v>1097</v>
      </c>
      <c r="D992" s="111" t="s">
        <v>1073</v>
      </c>
      <c r="E992" s="112"/>
      <c r="F992" s="113" t="s">
        <v>1099</v>
      </c>
      <c r="G992" s="113">
        <v>2086.4197221200002</v>
      </c>
      <c r="H992" s="113">
        <v>1533.8003281454698</v>
      </c>
      <c r="I992" s="113">
        <v>3620.22005026547</v>
      </c>
    </row>
    <row r="993" spans="1:9" x14ac:dyDescent="0.35">
      <c r="A993" s="109">
        <v>53257815000117</v>
      </c>
      <c r="B993" s="110" t="s">
        <v>20</v>
      </c>
      <c r="C993" s="110" t="s">
        <v>1097</v>
      </c>
      <c r="D993" s="111" t="s">
        <v>1073</v>
      </c>
      <c r="E993" s="112"/>
      <c r="F993" s="113" t="s">
        <v>1099</v>
      </c>
      <c r="G993" s="113">
        <v>547.68765920999999</v>
      </c>
      <c r="H993" s="113">
        <v>551.29274976142892</v>
      </c>
      <c r="I993" s="113">
        <v>1098.9804089714289</v>
      </c>
    </row>
    <row r="994" spans="1:9" x14ac:dyDescent="0.35">
      <c r="A994" s="109">
        <v>47468096000180</v>
      </c>
      <c r="B994" s="110" t="s">
        <v>33</v>
      </c>
      <c r="C994" s="110" t="s">
        <v>1095</v>
      </c>
      <c r="D994" s="111" t="s">
        <v>1073</v>
      </c>
      <c r="E994" s="112"/>
      <c r="F994" s="113" t="s">
        <v>1099</v>
      </c>
      <c r="G994" s="113">
        <v>1297.6886448600003</v>
      </c>
      <c r="H994" s="113">
        <v>1690.862631466</v>
      </c>
      <c r="I994" s="113">
        <v>2988.5512763260003</v>
      </c>
    </row>
    <row r="995" spans="1:9" x14ac:dyDescent="0.35">
      <c r="A995" s="109">
        <v>72834815000187</v>
      </c>
      <c r="B995" s="110" t="s">
        <v>80</v>
      </c>
      <c r="C995" s="110" t="s">
        <v>1095</v>
      </c>
      <c r="D995" s="111" t="s">
        <v>1073</v>
      </c>
      <c r="E995" s="112"/>
      <c r="F995" s="113" t="s">
        <v>1099</v>
      </c>
      <c r="G995" s="113">
        <v>4999.1424049100006</v>
      </c>
      <c r="H995" s="113">
        <v>4612.1535736531205</v>
      </c>
      <c r="I995" s="113">
        <v>9611.295978563121</v>
      </c>
    </row>
    <row r="996" spans="1:9" x14ac:dyDescent="0.35">
      <c r="A996" s="109">
        <v>18387529000175</v>
      </c>
      <c r="B996" s="110" t="s">
        <v>20</v>
      </c>
      <c r="C996" s="110" t="s">
        <v>1097</v>
      </c>
      <c r="D996" s="111" t="s">
        <v>1073</v>
      </c>
      <c r="E996" s="112"/>
      <c r="F996" s="113" t="s">
        <v>1099</v>
      </c>
      <c r="G996" s="113">
        <v>1717.5309960099999</v>
      </c>
      <c r="H996" s="113">
        <v>2287.1112183762498</v>
      </c>
      <c r="I996" s="113">
        <v>4004.6422143862496</v>
      </c>
    </row>
    <row r="997" spans="1:9" x14ac:dyDescent="0.35">
      <c r="A997" s="109">
        <v>1770218000198</v>
      </c>
      <c r="B997" s="110" t="s">
        <v>87</v>
      </c>
      <c r="C997" s="110" t="s">
        <v>1095</v>
      </c>
      <c r="D997" s="111" t="s">
        <v>1073</v>
      </c>
      <c r="E997" s="112"/>
      <c r="F997" s="113" t="s">
        <v>1099</v>
      </c>
      <c r="G997" s="113">
        <v>2100.1061204299995</v>
      </c>
      <c r="H997" s="113">
        <v>1691.1696243598701</v>
      </c>
      <c r="I997" s="113">
        <v>3791.2757447898693</v>
      </c>
    </row>
    <row r="998" spans="1:9" x14ac:dyDescent="0.35">
      <c r="A998" s="109">
        <v>3070289000103</v>
      </c>
      <c r="B998" s="110" t="s">
        <v>33</v>
      </c>
      <c r="C998" s="110" t="s">
        <v>1095</v>
      </c>
      <c r="D998" s="111" t="s">
        <v>1073</v>
      </c>
      <c r="E998" s="112"/>
      <c r="F998" s="113" t="s">
        <v>1099</v>
      </c>
      <c r="G998" s="113">
        <v>2008.75315338</v>
      </c>
      <c r="H998" s="113">
        <v>4233.8633839025506</v>
      </c>
      <c r="I998" s="113">
        <v>6242.6165372825508</v>
      </c>
    </row>
    <row r="999" spans="1:9" x14ac:dyDescent="0.35">
      <c r="A999" s="109">
        <v>5592488000107</v>
      </c>
      <c r="B999" s="110" t="s">
        <v>16</v>
      </c>
      <c r="C999" s="110" t="s">
        <v>1095</v>
      </c>
      <c r="D999" s="111" t="s">
        <v>1073</v>
      </c>
      <c r="E999" s="112"/>
      <c r="F999" s="113" t="s">
        <v>1099</v>
      </c>
      <c r="G999" s="113">
        <v>1179.54263111</v>
      </c>
      <c r="H999" s="113">
        <v>2717.8635832099503</v>
      </c>
      <c r="I999" s="113">
        <v>3897.4062143199503</v>
      </c>
    </row>
    <row r="1000" spans="1:9" x14ac:dyDescent="0.35">
      <c r="A1000" s="109">
        <v>328405000404</v>
      </c>
      <c r="B1000" s="110" t="s">
        <v>38</v>
      </c>
      <c r="C1000" s="110" t="s">
        <v>1095</v>
      </c>
      <c r="D1000" s="111" t="s">
        <v>1073</v>
      </c>
      <c r="E1000" s="112"/>
      <c r="F1000" s="113" t="s">
        <v>1099</v>
      </c>
      <c r="G1000" s="113">
        <v>509.77283692000003</v>
      </c>
      <c r="H1000" s="113">
        <v>851.808434168595</v>
      </c>
      <c r="I1000" s="113">
        <v>1361.581271088595</v>
      </c>
    </row>
    <row r="1001" spans="1:9" x14ac:dyDescent="0.35">
      <c r="A1001" s="109">
        <v>1478274000153</v>
      </c>
      <c r="B1001" s="110" t="s">
        <v>16</v>
      </c>
      <c r="C1001" s="110" t="s">
        <v>1095</v>
      </c>
      <c r="D1001" s="111" t="s">
        <v>1073</v>
      </c>
      <c r="E1001" s="112"/>
      <c r="F1001" s="113" t="s">
        <v>1099</v>
      </c>
      <c r="G1001" s="113">
        <v>1584.4769161199999</v>
      </c>
      <c r="H1001" s="113">
        <v>746.672629717728</v>
      </c>
      <c r="I1001" s="113">
        <v>2331.1495458377281</v>
      </c>
    </row>
    <row r="1002" spans="1:9" x14ac:dyDescent="0.35">
      <c r="A1002" s="109">
        <v>2366173000153</v>
      </c>
      <c r="B1002" s="110" t="s">
        <v>20</v>
      </c>
      <c r="C1002" s="110" t="s">
        <v>1097</v>
      </c>
      <c r="D1002" s="111" t="s">
        <v>1073</v>
      </c>
      <c r="E1002" s="112"/>
      <c r="F1002" s="113" t="s">
        <v>1099</v>
      </c>
      <c r="G1002" s="113">
        <v>3498.6331787099998</v>
      </c>
      <c r="H1002" s="113">
        <v>4232.7668241807605</v>
      </c>
      <c r="I1002" s="113">
        <v>7731.4000028907603</v>
      </c>
    </row>
    <row r="1003" spans="1:9" x14ac:dyDescent="0.35">
      <c r="A1003" s="109">
        <v>3480787000124</v>
      </c>
      <c r="B1003" s="110" t="s">
        <v>20</v>
      </c>
      <c r="C1003" s="110" t="s">
        <v>1097</v>
      </c>
      <c r="D1003" s="111" t="s">
        <v>1073</v>
      </c>
      <c r="E1003" s="112"/>
      <c r="F1003" s="113" t="s">
        <v>1099</v>
      </c>
      <c r="G1003" s="113">
        <v>9156.8313063599999</v>
      </c>
      <c r="H1003" s="113">
        <v>5759.4870301011497</v>
      </c>
      <c r="I1003" s="113">
        <v>14916.31833646115</v>
      </c>
    </row>
    <row r="1004" spans="1:9" x14ac:dyDescent="0.35">
      <c r="A1004" s="109">
        <v>4007182000183</v>
      </c>
      <c r="B1004" s="110" t="s">
        <v>80</v>
      </c>
      <c r="C1004" s="110" t="s">
        <v>1095</v>
      </c>
      <c r="D1004" s="111" t="s">
        <v>1073</v>
      </c>
      <c r="E1004" s="112"/>
      <c r="F1004" s="113" t="s">
        <v>1099</v>
      </c>
      <c r="G1004" s="113">
        <v>2644.2172313800002</v>
      </c>
      <c r="H1004" s="113">
        <v>1736.5326896213301</v>
      </c>
      <c r="I1004" s="113">
        <v>4380.7499210013302</v>
      </c>
    </row>
    <row r="1005" spans="1:9" x14ac:dyDescent="0.35">
      <c r="A1005" s="109">
        <v>4344448000183</v>
      </c>
      <c r="B1005" s="110" t="s">
        <v>20</v>
      </c>
      <c r="C1005" s="110" t="s">
        <v>1097</v>
      </c>
      <c r="D1005" s="111" t="s">
        <v>1073</v>
      </c>
      <c r="E1005" s="112"/>
      <c r="F1005" s="113" t="s">
        <v>1099</v>
      </c>
      <c r="G1005" s="113">
        <v>4433.1939643200003</v>
      </c>
      <c r="H1005" s="113">
        <v>5180.8143107015803</v>
      </c>
      <c r="I1005" s="113">
        <v>9614.0082750215806</v>
      </c>
    </row>
    <row r="1006" spans="1:9" x14ac:dyDescent="0.35">
      <c r="A1006" s="109">
        <v>4592381000104</v>
      </c>
      <c r="B1006" s="110" t="s">
        <v>33</v>
      </c>
      <c r="C1006" s="110" t="s">
        <v>1095</v>
      </c>
      <c r="D1006" s="111" t="s">
        <v>1073</v>
      </c>
      <c r="E1006" s="112"/>
      <c r="F1006" s="113" t="s">
        <v>1099</v>
      </c>
      <c r="G1006" s="113">
        <v>1252.9739637800001</v>
      </c>
      <c r="H1006" s="113">
        <v>1136.0965447312799</v>
      </c>
      <c r="I1006" s="113">
        <v>2389.07050851128</v>
      </c>
    </row>
    <row r="1007" spans="1:9" x14ac:dyDescent="0.35">
      <c r="A1007" s="109">
        <v>4877066000115</v>
      </c>
      <c r="B1007" s="110" t="s">
        <v>20</v>
      </c>
      <c r="C1007" s="110" t="s">
        <v>1097</v>
      </c>
      <c r="D1007" s="111" t="s">
        <v>1073</v>
      </c>
      <c r="E1007" s="112"/>
      <c r="F1007" s="113" t="s">
        <v>1099</v>
      </c>
      <c r="G1007" s="113">
        <v>4104.5153911300004</v>
      </c>
      <c r="H1007" s="113">
        <v>3966.9300688488502</v>
      </c>
      <c r="I1007" s="113">
        <v>8071.4454599788505</v>
      </c>
    </row>
    <row r="1008" spans="1:9" x14ac:dyDescent="0.35">
      <c r="A1008" s="109">
        <v>5244921000113</v>
      </c>
      <c r="B1008" s="110" t="s">
        <v>38</v>
      </c>
      <c r="C1008" s="110" t="s">
        <v>1095</v>
      </c>
      <c r="D1008" s="111" t="s">
        <v>1073</v>
      </c>
      <c r="E1008" s="112"/>
      <c r="F1008" s="113" t="s">
        <v>1099</v>
      </c>
      <c r="G1008" s="113">
        <v>1096.7659120799999</v>
      </c>
      <c r="H1008" s="113">
        <v>1913.6007078125301</v>
      </c>
      <c r="I1008" s="113">
        <v>3010.3666198925303</v>
      </c>
    </row>
    <row r="1009" spans="1:9" x14ac:dyDescent="0.35">
      <c r="A1009" s="109">
        <v>5674541000119</v>
      </c>
      <c r="B1009" s="110" t="s">
        <v>36</v>
      </c>
      <c r="C1009" s="110" t="s">
        <v>1095</v>
      </c>
      <c r="D1009" s="111" t="s">
        <v>1073</v>
      </c>
      <c r="E1009" s="112"/>
      <c r="F1009" s="113" t="s">
        <v>1099</v>
      </c>
      <c r="G1009" s="113">
        <v>1962.4881928299999</v>
      </c>
      <c r="H1009" s="113">
        <v>1720.55524457865</v>
      </c>
      <c r="I1009" s="113">
        <v>3683.0434374086499</v>
      </c>
    </row>
    <row r="1010" spans="1:9" x14ac:dyDescent="0.35">
      <c r="A1010" s="109">
        <v>7139095000178</v>
      </c>
      <c r="B1010" s="110" t="s">
        <v>190</v>
      </c>
      <c r="C1010" s="110" t="s">
        <v>1095</v>
      </c>
      <c r="D1010" s="111" t="s">
        <v>1073</v>
      </c>
      <c r="E1010" s="112"/>
      <c r="F1010" s="113" t="s">
        <v>1099</v>
      </c>
      <c r="G1010" s="113">
        <v>3600.4213057500001</v>
      </c>
      <c r="H1010" s="113">
        <v>2311.3870955038101</v>
      </c>
      <c r="I1010" s="113">
        <v>5911.8084012538102</v>
      </c>
    </row>
    <row r="1011" spans="1:9" x14ac:dyDescent="0.35">
      <c r="A1011" s="109">
        <v>9101173000170</v>
      </c>
      <c r="B1011" s="110" t="s">
        <v>80</v>
      </c>
      <c r="C1011" s="110" t="s">
        <v>1095</v>
      </c>
      <c r="D1011" s="111" t="s">
        <v>1073</v>
      </c>
      <c r="E1011" s="112"/>
      <c r="F1011" s="113" t="s">
        <v>1099</v>
      </c>
      <c r="G1011" s="113">
        <v>409.61118123999995</v>
      </c>
      <c r="H1011" s="113">
        <v>500.33146975119598</v>
      </c>
      <c r="I1011" s="113">
        <v>909.94265099119593</v>
      </c>
    </row>
    <row r="1012" spans="1:9" x14ac:dyDescent="0.35">
      <c r="A1012" s="109">
        <v>9115230000170</v>
      </c>
      <c r="B1012" s="110" t="s">
        <v>80</v>
      </c>
      <c r="C1012" s="110" t="s">
        <v>1095</v>
      </c>
      <c r="D1012" s="111" t="s">
        <v>1073</v>
      </c>
      <c r="E1012" s="112"/>
      <c r="F1012" s="113" t="s">
        <v>1099</v>
      </c>
      <c r="G1012" s="113">
        <v>1982.4487452599999</v>
      </c>
      <c r="H1012" s="113">
        <v>2277.74950736446</v>
      </c>
      <c r="I1012" s="113">
        <v>4260.1982526244601</v>
      </c>
    </row>
    <row r="1013" spans="1:9" x14ac:dyDescent="0.35">
      <c r="A1013" s="109">
        <v>10497520000105</v>
      </c>
      <c r="B1013" s="110" t="s">
        <v>80</v>
      </c>
      <c r="C1013" s="110" t="s">
        <v>1095</v>
      </c>
      <c r="D1013" s="111" t="s">
        <v>1073</v>
      </c>
      <c r="E1013" s="112"/>
      <c r="F1013" s="113" t="s">
        <v>1099</v>
      </c>
      <c r="G1013" s="113">
        <v>4724.676862100001</v>
      </c>
      <c r="H1013" s="113">
        <v>5227.5513455383398</v>
      </c>
      <c r="I1013" s="113">
        <v>9952.2282076383417</v>
      </c>
    </row>
    <row r="1014" spans="1:9" x14ac:dyDescent="0.35">
      <c r="A1014" s="109">
        <v>11964668000175</v>
      </c>
      <c r="B1014" s="110" t="s">
        <v>16</v>
      </c>
      <c r="C1014" s="110" t="s">
        <v>1095</v>
      </c>
      <c r="D1014" s="111" t="s">
        <v>1073</v>
      </c>
      <c r="E1014" s="112"/>
      <c r="F1014" s="113" t="s">
        <v>1099</v>
      </c>
      <c r="G1014" s="113">
        <v>525.16172650999999</v>
      </c>
      <c r="H1014" s="113">
        <v>981.05268967296593</v>
      </c>
      <c r="I1014" s="113">
        <v>1506.214416182966</v>
      </c>
    </row>
    <row r="1015" spans="1:9" x14ac:dyDescent="0.35">
      <c r="A1015" s="109">
        <v>18768425000100</v>
      </c>
      <c r="B1015" s="110" t="s">
        <v>36</v>
      </c>
      <c r="C1015" s="110" t="s">
        <v>1095</v>
      </c>
      <c r="D1015" s="111" t="s">
        <v>1073</v>
      </c>
      <c r="E1015" s="112"/>
      <c r="F1015" s="113" t="s">
        <v>1099</v>
      </c>
      <c r="G1015" s="113">
        <v>3187.3674406999999</v>
      </c>
      <c r="H1015" s="113">
        <v>2912.2160691067197</v>
      </c>
      <c r="I1015" s="113">
        <v>6099.58350980672</v>
      </c>
    </row>
    <row r="1016" spans="1:9" x14ac:dyDescent="0.35">
      <c r="A1016" s="109">
        <v>19942147000129</v>
      </c>
      <c r="B1016" s="110" t="s">
        <v>20</v>
      </c>
      <c r="C1016" s="110" t="s">
        <v>1097</v>
      </c>
      <c r="D1016" s="111" t="s">
        <v>1073</v>
      </c>
      <c r="E1016" s="112"/>
      <c r="F1016" s="113" t="s">
        <v>1099</v>
      </c>
      <c r="G1016" s="113">
        <v>1087.2188165500002</v>
      </c>
      <c r="H1016" s="113">
        <v>1440.7102287303701</v>
      </c>
      <c r="I1016" s="113">
        <v>2527.9290452803702</v>
      </c>
    </row>
    <row r="1017" spans="1:9" x14ac:dyDescent="0.35">
      <c r="A1017" s="109">
        <v>21287037000112</v>
      </c>
      <c r="B1017" s="110" t="s">
        <v>20</v>
      </c>
      <c r="C1017" s="110" t="s">
        <v>1097</v>
      </c>
      <c r="D1017" s="111" t="s">
        <v>1073</v>
      </c>
      <c r="E1017" s="112"/>
      <c r="F1017" s="113" t="s">
        <v>1099</v>
      </c>
      <c r="G1017" s="113">
        <v>1739.4005387</v>
      </c>
      <c r="H1017" s="113">
        <v>1213.4747537458479</v>
      </c>
      <c r="I1017" s="113">
        <v>2952.8752924458477</v>
      </c>
    </row>
    <row r="1018" spans="1:9" x14ac:dyDescent="0.35">
      <c r="A1018" s="109">
        <v>23019388000178</v>
      </c>
      <c r="B1018" s="110" t="s">
        <v>197</v>
      </c>
      <c r="C1018" s="110" t="s">
        <v>1095</v>
      </c>
      <c r="D1018" s="111" t="s">
        <v>1073</v>
      </c>
      <c r="E1018" s="112"/>
      <c r="F1018" s="113" t="s">
        <v>1099</v>
      </c>
      <c r="G1018" s="113">
        <v>2808.1167237600002</v>
      </c>
      <c r="H1018" s="113">
        <v>2233.0402539380098</v>
      </c>
      <c r="I1018" s="113">
        <v>5041.1569776980105</v>
      </c>
    </row>
    <row r="1019" spans="1:9" x14ac:dyDescent="0.35">
      <c r="A1019" s="109">
        <v>27114394000165</v>
      </c>
      <c r="B1019" s="110" t="s">
        <v>20</v>
      </c>
      <c r="C1019" s="110" t="s">
        <v>1097</v>
      </c>
      <c r="D1019" s="111" t="s">
        <v>1073</v>
      </c>
      <c r="E1019" s="112"/>
      <c r="F1019" s="113" t="s">
        <v>1099</v>
      </c>
      <c r="G1019" s="113">
        <v>402.82734424999995</v>
      </c>
      <c r="H1019" s="113">
        <v>396.31341253287798</v>
      </c>
      <c r="I1019" s="113">
        <v>799.14075678287793</v>
      </c>
    </row>
    <row r="1020" spans="1:9" x14ac:dyDescent="0.35">
      <c r="A1020" s="109">
        <v>27855189000150</v>
      </c>
      <c r="B1020" s="110" t="s">
        <v>486</v>
      </c>
      <c r="C1020" s="110" t="s">
        <v>1095</v>
      </c>
      <c r="D1020" s="111" t="s">
        <v>1073</v>
      </c>
      <c r="E1020" s="112"/>
      <c r="F1020" s="113" t="s">
        <v>1099</v>
      </c>
      <c r="G1020" s="113">
        <v>1763.4879167600002</v>
      </c>
      <c r="H1020" s="113">
        <v>1804.41314047797</v>
      </c>
      <c r="I1020" s="113">
        <v>3567.9010572379702</v>
      </c>
    </row>
    <row r="1021" spans="1:9" x14ac:dyDescent="0.35">
      <c r="A1021" s="109">
        <v>32641091000130</v>
      </c>
      <c r="B1021" s="110" t="s">
        <v>75</v>
      </c>
      <c r="C1021" s="110" t="s">
        <v>1097</v>
      </c>
      <c r="D1021" s="111" t="s">
        <v>1073</v>
      </c>
      <c r="E1021" s="112"/>
      <c r="F1021" s="113" t="s">
        <v>1099</v>
      </c>
      <c r="G1021" s="113">
        <v>1336.8986799700001</v>
      </c>
      <c r="H1021" s="113">
        <v>1052.576800592389</v>
      </c>
      <c r="I1021" s="113">
        <v>2389.4754805623888</v>
      </c>
    </row>
    <row r="1022" spans="1:9" x14ac:dyDescent="0.35">
      <c r="A1022" s="109">
        <v>32844150000178</v>
      </c>
      <c r="B1022" s="110" t="s">
        <v>38</v>
      </c>
      <c r="C1022" s="110" t="s">
        <v>1095</v>
      </c>
      <c r="D1022" s="111" t="s">
        <v>1073</v>
      </c>
      <c r="E1022" s="112"/>
      <c r="F1022" s="113" t="s">
        <v>1099</v>
      </c>
      <c r="G1022" s="113">
        <v>417.7727921</v>
      </c>
      <c r="H1022" s="113">
        <v>775.15430637902193</v>
      </c>
      <c r="I1022" s="113">
        <v>1192.9270984790219</v>
      </c>
    </row>
    <row r="1023" spans="1:9" x14ac:dyDescent="0.35">
      <c r="A1023" s="109">
        <v>33156596000172</v>
      </c>
      <c r="B1023" s="110" t="s">
        <v>20</v>
      </c>
      <c r="C1023" s="110" t="s">
        <v>1097</v>
      </c>
      <c r="D1023" s="111" t="s">
        <v>1073</v>
      </c>
      <c r="E1023" s="112"/>
      <c r="F1023" s="113" t="s">
        <v>1099</v>
      </c>
      <c r="G1023" s="113">
        <v>1216.8554869699999</v>
      </c>
      <c r="H1023" s="113">
        <v>2076.11861496043</v>
      </c>
      <c r="I1023" s="113">
        <v>3292.9741019304302</v>
      </c>
    </row>
    <row r="1024" spans="1:9" x14ac:dyDescent="0.35">
      <c r="A1024" s="109">
        <v>33964781000193</v>
      </c>
      <c r="B1024" s="110" t="s">
        <v>103</v>
      </c>
      <c r="C1024" s="110" t="s">
        <v>1095</v>
      </c>
      <c r="D1024" s="111" t="s">
        <v>1073</v>
      </c>
      <c r="E1024" s="112"/>
      <c r="F1024" s="113" t="s">
        <v>1099</v>
      </c>
      <c r="G1024" s="113">
        <v>4327.5137898599996</v>
      </c>
      <c r="H1024" s="113">
        <v>2686.09264817455</v>
      </c>
      <c r="I1024" s="113">
        <v>7013.6064380345497</v>
      </c>
    </row>
    <row r="1025" spans="1:9" x14ac:dyDescent="0.35">
      <c r="A1025" s="109">
        <v>35588327000100</v>
      </c>
      <c r="B1025" s="110" t="s">
        <v>36</v>
      </c>
      <c r="C1025" s="110" t="s">
        <v>1095</v>
      </c>
      <c r="D1025" s="111" t="s">
        <v>1073</v>
      </c>
      <c r="E1025" s="112"/>
      <c r="F1025" s="113" t="s">
        <v>1099</v>
      </c>
      <c r="G1025" s="113">
        <v>2010.4908639600001</v>
      </c>
      <c r="H1025" s="113">
        <v>2397.7142270694899</v>
      </c>
      <c r="I1025" s="113">
        <v>4408.2050910294902</v>
      </c>
    </row>
    <row r="1026" spans="1:9" x14ac:dyDescent="0.35">
      <c r="A1026" s="109">
        <v>39834323000116</v>
      </c>
      <c r="B1026" s="110" t="s">
        <v>677</v>
      </c>
      <c r="C1026" s="110" t="s">
        <v>1095</v>
      </c>
      <c r="D1026" s="111" t="s">
        <v>1073</v>
      </c>
      <c r="E1026" s="112"/>
      <c r="F1026" s="113" t="s">
        <v>1099</v>
      </c>
      <c r="G1026" s="113">
        <v>2740.69175675</v>
      </c>
      <c r="H1026" s="113">
        <v>3114.1213586018102</v>
      </c>
      <c r="I1026" s="113">
        <v>5854.8131153518098</v>
      </c>
    </row>
    <row r="1027" spans="1:9" x14ac:dyDescent="0.35">
      <c r="A1027" s="109">
        <v>42438050000103</v>
      </c>
      <c r="B1027" s="110" t="s">
        <v>80</v>
      </c>
      <c r="C1027" s="110" t="s">
        <v>1095</v>
      </c>
      <c r="D1027" s="111" t="s">
        <v>1073</v>
      </c>
      <c r="E1027" s="112"/>
      <c r="F1027" s="113" t="s">
        <v>1099</v>
      </c>
      <c r="G1027" s="113">
        <v>1817.07487371</v>
      </c>
      <c r="H1027" s="113">
        <v>2619.5980701962499</v>
      </c>
      <c r="I1027" s="113">
        <v>4436.6729439062501</v>
      </c>
    </row>
    <row r="1028" spans="1:9" x14ac:dyDescent="0.35">
      <c r="A1028" s="109">
        <v>43533082000142</v>
      </c>
      <c r="B1028" s="110" t="s">
        <v>20</v>
      </c>
      <c r="C1028" s="110" t="s">
        <v>1097</v>
      </c>
      <c r="D1028" s="111" t="s">
        <v>1073</v>
      </c>
      <c r="E1028" s="112"/>
      <c r="F1028" s="113" t="s">
        <v>1099</v>
      </c>
      <c r="G1028" s="113">
        <v>568.57578850999994</v>
      </c>
      <c r="H1028" s="113">
        <v>892.90866224397701</v>
      </c>
      <c r="I1028" s="113">
        <v>1461.4844507539769</v>
      </c>
    </row>
    <row r="1029" spans="1:9" x14ac:dyDescent="0.35">
      <c r="A1029" s="109">
        <v>43963049000152</v>
      </c>
      <c r="B1029" s="110" t="s">
        <v>20</v>
      </c>
      <c r="C1029" s="110" t="s">
        <v>1097</v>
      </c>
      <c r="D1029" s="111" t="s">
        <v>1073</v>
      </c>
      <c r="E1029" s="112"/>
      <c r="F1029" s="113" t="s">
        <v>1099</v>
      </c>
      <c r="G1029" s="113">
        <v>1423.50764265</v>
      </c>
      <c r="H1029" s="113">
        <v>1560.2974894671299</v>
      </c>
      <c r="I1029" s="113">
        <v>2983.8051321171297</v>
      </c>
    </row>
    <row r="1030" spans="1:9" x14ac:dyDescent="0.35">
      <c r="A1030" s="109">
        <v>44192893000190</v>
      </c>
      <c r="B1030" s="110" t="s">
        <v>33</v>
      </c>
      <c r="C1030" s="110" t="s">
        <v>1095</v>
      </c>
      <c r="D1030" s="111" t="s">
        <v>1073</v>
      </c>
      <c r="E1030" s="112"/>
      <c r="F1030" s="113" t="s">
        <v>1099</v>
      </c>
      <c r="G1030" s="113">
        <v>566.44228457000008</v>
      </c>
      <c r="H1030" s="113">
        <v>1191.4064496126871</v>
      </c>
      <c r="I1030" s="113">
        <v>1757.8487341826872</v>
      </c>
    </row>
    <row r="1031" spans="1:9" x14ac:dyDescent="0.35">
      <c r="A1031" s="109">
        <v>46018910000100</v>
      </c>
      <c r="B1031" s="110" t="s">
        <v>36</v>
      </c>
      <c r="C1031" s="110" t="s">
        <v>1095</v>
      </c>
      <c r="D1031" s="111" t="s">
        <v>1073</v>
      </c>
      <c r="E1031" s="112"/>
      <c r="F1031" s="113" t="s">
        <v>1099</v>
      </c>
      <c r="G1031" s="113">
        <v>2963.2095560800003</v>
      </c>
      <c r="H1031" s="113">
        <v>3305.83322904226</v>
      </c>
      <c r="I1031" s="113">
        <v>6269.0427851222603</v>
      </c>
    </row>
    <row r="1032" spans="1:9" x14ac:dyDescent="0.35">
      <c r="A1032" s="109">
        <v>49687096000105</v>
      </c>
      <c r="B1032" s="110" t="s">
        <v>20</v>
      </c>
      <c r="C1032" s="110" t="s">
        <v>1097</v>
      </c>
      <c r="D1032" s="111" t="s">
        <v>1073</v>
      </c>
      <c r="E1032" s="112"/>
      <c r="F1032" s="113" t="s">
        <v>1099</v>
      </c>
      <c r="G1032" s="113">
        <v>668.85082211999998</v>
      </c>
      <c r="H1032" s="113">
        <v>1299.682354300214</v>
      </c>
      <c r="I1032" s="113">
        <v>1968.533176420214</v>
      </c>
    </row>
    <row r="1033" spans="1:9" x14ac:dyDescent="0.35">
      <c r="A1033" s="109">
        <v>50372246000162</v>
      </c>
      <c r="B1033" s="110" t="s">
        <v>20</v>
      </c>
      <c r="C1033" s="110" t="s">
        <v>1097</v>
      </c>
      <c r="D1033" s="111" t="s">
        <v>1073</v>
      </c>
      <c r="E1033" s="112"/>
      <c r="F1033" s="113" t="s">
        <v>1099</v>
      </c>
      <c r="G1033" s="113">
        <v>5917.1562122099995</v>
      </c>
      <c r="H1033" s="113">
        <v>3550.3392917157298</v>
      </c>
      <c r="I1033" s="113">
        <v>9467.4955039257293</v>
      </c>
    </row>
    <row r="1034" spans="1:9" x14ac:dyDescent="0.35">
      <c r="A1034" s="109">
        <v>52464336000109</v>
      </c>
      <c r="B1034" s="110" t="s">
        <v>20</v>
      </c>
      <c r="C1034" s="110" t="s">
        <v>1097</v>
      </c>
      <c r="D1034" s="111" t="s">
        <v>1073</v>
      </c>
      <c r="E1034" s="112"/>
      <c r="F1034" s="113" t="s">
        <v>1099</v>
      </c>
      <c r="G1034" s="113">
        <v>4057.2407836100001</v>
      </c>
      <c r="H1034" s="113">
        <v>2887.0444556828197</v>
      </c>
      <c r="I1034" s="113">
        <v>6944.2852392928198</v>
      </c>
    </row>
    <row r="1035" spans="1:9" x14ac:dyDescent="0.35">
      <c r="A1035" s="109">
        <v>53091979000117</v>
      </c>
      <c r="B1035" s="110" t="s">
        <v>36</v>
      </c>
      <c r="C1035" s="110" t="s">
        <v>1095</v>
      </c>
      <c r="D1035" s="111" t="s">
        <v>1073</v>
      </c>
      <c r="E1035" s="112"/>
      <c r="F1035" s="113" t="s">
        <v>1099</v>
      </c>
      <c r="G1035" s="113">
        <v>2012.5914207200001</v>
      </c>
      <c r="H1035" s="113">
        <v>1898.62344150012</v>
      </c>
      <c r="I1035" s="113">
        <v>3911.2148622201203</v>
      </c>
    </row>
    <row r="1036" spans="1:9" x14ac:dyDescent="0.35">
      <c r="A1036" s="109">
        <v>53532526000189</v>
      </c>
      <c r="B1036" s="110" t="s">
        <v>38</v>
      </c>
      <c r="C1036" s="110" t="s">
        <v>1095</v>
      </c>
      <c r="D1036" s="111" t="s">
        <v>1073</v>
      </c>
      <c r="E1036" s="112"/>
      <c r="F1036" s="113" t="s">
        <v>1099</v>
      </c>
      <c r="G1036" s="113">
        <v>303.75435205000008</v>
      </c>
      <c r="H1036" s="113">
        <v>647.25254137028799</v>
      </c>
      <c r="I1036" s="113">
        <v>951.00689342028807</v>
      </c>
    </row>
    <row r="1037" spans="1:9" x14ac:dyDescent="0.35">
      <c r="A1037" s="109">
        <v>53889242000144</v>
      </c>
      <c r="B1037" s="110" t="s">
        <v>80</v>
      </c>
      <c r="C1037" s="110" t="s">
        <v>1095</v>
      </c>
      <c r="D1037" s="111" t="s">
        <v>1073</v>
      </c>
      <c r="E1037" s="112"/>
      <c r="F1037" s="113" t="s">
        <v>1099</v>
      </c>
      <c r="G1037" s="113">
        <v>4026.7399251999996</v>
      </c>
      <c r="H1037" s="113">
        <v>3503.2470736957603</v>
      </c>
      <c r="I1037" s="113">
        <v>7529.9869988957598</v>
      </c>
    </row>
    <row r="1038" spans="1:9" x14ac:dyDescent="0.35">
      <c r="A1038" s="109">
        <v>55733059000180</v>
      </c>
      <c r="B1038" s="110" t="s">
        <v>38</v>
      </c>
      <c r="C1038" s="110" t="s">
        <v>1095</v>
      </c>
      <c r="D1038" s="111" t="s">
        <v>1073</v>
      </c>
      <c r="E1038" s="112"/>
      <c r="F1038" s="113" t="s">
        <v>1099</v>
      </c>
      <c r="G1038" s="113">
        <v>642.53639856999996</v>
      </c>
      <c r="H1038" s="113">
        <v>719.34961345436795</v>
      </c>
      <c r="I1038" s="113">
        <v>1361.886012024368</v>
      </c>
    </row>
    <row r="1039" spans="1:9" x14ac:dyDescent="0.35">
      <c r="A1039" s="109">
        <v>58219068000146</v>
      </c>
      <c r="B1039" s="110" t="s">
        <v>20</v>
      </c>
      <c r="C1039" s="110" t="s">
        <v>1097</v>
      </c>
      <c r="D1039" s="111" t="s">
        <v>1073</v>
      </c>
      <c r="E1039" s="112"/>
      <c r="F1039" s="113" t="s">
        <v>1099</v>
      </c>
      <c r="G1039" s="113">
        <v>989.14164597000001</v>
      </c>
      <c r="H1039" s="113">
        <v>1166.36571407166</v>
      </c>
      <c r="I1039" s="113">
        <v>2155.5073600416599</v>
      </c>
    </row>
    <row r="1040" spans="1:9" x14ac:dyDescent="0.35">
      <c r="A1040" s="109">
        <v>60511756000127</v>
      </c>
      <c r="B1040" s="110" t="s">
        <v>80</v>
      </c>
      <c r="C1040" s="110" t="s">
        <v>1095</v>
      </c>
      <c r="D1040" s="111" t="s">
        <v>1073</v>
      </c>
      <c r="E1040" s="112"/>
      <c r="F1040" s="113" t="s">
        <v>1099</v>
      </c>
      <c r="G1040" s="113">
        <v>1467.4957388400001</v>
      </c>
      <c r="H1040" s="113">
        <v>2251.8421015159101</v>
      </c>
      <c r="I1040" s="113">
        <v>3719.33784035591</v>
      </c>
    </row>
    <row r="1041" spans="1:9" x14ac:dyDescent="0.35">
      <c r="A1041" s="109">
        <v>60706953000100</v>
      </c>
      <c r="B1041" s="110" t="s">
        <v>16</v>
      </c>
      <c r="C1041" s="110" t="s">
        <v>1095</v>
      </c>
      <c r="D1041" s="111" t="s">
        <v>1073</v>
      </c>
      <c r="E1041" s="112"/>
      <c r="F1041" s="113" t="s">
        <v>1099</v>
      </c>
      <c r="G1041" s="113">
        <v>298.71197093000001</v>
      </c>
      <c r="H1041" s="113">
        <v>781.26887251739095</v>
      </c>
      <c r="I1041" s="113">
        <v>1079.980843447391</v>
      </c>
    </row>
    <row r="1042" spans="1:9" x14ac:dyDescent="0.35">
      <c r="A1042" s="109">
        <v>62210039000190</v>
      </c>
      <c r="B1042" s="110" t="s">
        <v>20</v>
      </c>
      <c r="C1042" s="110" t="s">
        <v>1097</v>
      </c>
      <c r="D1042" s="111" t="s">
        <v>1073</v>
      </c>
      <c r="E1042" s="112"/>
      <c r="F1042" s="113" t="s">
        <v>1099</v>
      </c>
      <c r="G1042" s="113">
        <v>1599.82414705</v>
      </c>
      <c r="H1042" s="113">
        <v>2675.5904729767803</v>
      </c>
      <c r="I1042" s="113">
        <v>4275.4146200267805</v>
      </c>
    </row>
    <row r="1043" spans="1:9" x14ac:dyDescent="0.35">
      <c r="A1043" s="109">
        <v>62668131000107</v>
      </c>
      <c r="B1043" s="110" t="s">
        <v>20</v>
      </c>
      <c r="C1043" s="110" t="s">
        <v>1097</v>
      </c>
      <c r="D1043" s="111" t="s">
        <v>1073</v>
      </c>
      <c r="E1043" s="112"/>
      <c r="F1043" s="113" t="s">
        <v>1099</v>
      </c>
      <c r="G1043" s="113">
        <v>436.24289788999999</v>
      </c>
      <c r="H1043" s="113">
        <v>500.92099931874696</v>
      </c>
      <c r="I1043" s="113">
        <v>937.1638972087469</v>
      </c>
    </row>
    <row r="1044" spans="1:9" x14ac:dyDescent="0.35">
      <c r="A1044" s="109">
        <v>74413980000190</v>
      </c>
      <c r="B1044" s="110" t="s">
        <v>80</v>
      </c>
      <c r="C1044" s="110" t="s">
        <v>1095</v>
      </c>
      <c r="D1044" s="111" t="s">
        <v>1073</v>
      </c>
      <c r="E1044" s="112"/>
      <c r="F1044" s="113" t="s">
        <v>1099</v>
      </c>
      <c r="G1044" s="113">
        <v>2823.00555497</v>
      </c>
      <c r="H1044" s="113">
        <v>4776.2511269754596</v>
      </c>
      <c r="I1044" s="113">
        <v>7599.2566819454596</v>
      </c>
    </row>
    <row r="1045" spans="1:9" x14ac:dyDescent="0.35">
      <c r="A1045" s="109">
        <v>74641994000161</v>
      </c>
      <c r="B1045" s="110" t="s">
        <v>38</v>
      </c>
      <c r="C1045" s="110" t="s">
        <v>1095</v>
      </c>
      <c r="D1045" s="111" t="s">
        <v>1073</v>
      </c>
      <c r="E1045" s="112"/>
      <c r="F1045" s="113" t="s">
        <v>1099</v>
      </c>
      <c r="G1045" s="113">
        <v>1007.32250229</v>
      </c>
      <c r="H1045" s="113">
        <v>951.03093565016798</v>
      </c>
      <c r="I1045" s="113">
        <v>1958.3534379401681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A9C5C-ED47-4C76-AED3-72E15EBC0E52}">
  <sheetPr codeName="Planilha1">
    <tabColor rgb="FF0070C0"/>
  </sheetPr>
  <dimension ref="A1:V1098"/>
  <sheetViews>
    <sheetView tabSelected="1" zoomScale="80" zoomScaleNormal="80" workbookViewId="0">
      <selection activeCell="A6" sqref="A6"/>
    </sheetView>
  </sheetViews>
  <sheetFormatPr defaultRowHeight="14.5" x14ac:dyDescent="0.35"/>
  <cols>
    <col min="1" max="1" width="15.453125" bestFit="1" customWidth="1"/>
    <col min="2" max="2" width="22" style="8" customWidth="1"/>
    <col min="3" max="3" width="14.90625" customWidth="1"/>
    <col min="4" max="4" width="24.1796875" customWidth="1"/>
    <col min="5" max="5" width="19.6328125" customWidth="1"/>
    <col min="6" max="6" width="3.453125" bestFit="1" customWidth="1"/>
    <col min="7" max="7" width="16.26953125" customWidth="1"/>
    <col min="8" max="8" width="9.08984375" customWidth="1"/>
    <col min="9" max="9" width="46.90625" bestFit="1" customWidth="1"/>
    <col min="10" max="10" width="15.90625" bestFit="1" customWidth="1"/>
    <col min="11" max="11" width="15.1796875" bestFit="1" customWidth="1"/>
    <col min="12" max="12" width="7.90625" bestFit="1" customWidth="1"/>
    <col min="13" max="13" width="15.453125" bestFit="1" customWidth="1"/>
    <col min="15" max="15" width="20.1796875" bestFit="1" customWidth="1"/>
    <col min="16" max="16" width="21.81640625" bestFit="1" customWidth="1"/>
    <col min="17" max="17" width="16.7265625" bestFit="1" customWidth="1"/>
    <col min="18" max="18" width="19.1796875" bestFit="1" customWidth="1"/>
    <col min="20" max="20" width="18.26953125" bestFit="1" customWidth="1"/>
    <col min="21" max="21" width="19" bestFit="1" customWidth="1"/>
    <col min="22" max="22" width="15.81640625" bestFit="1" customWidth="1"/>
  </cols>
  <sheetData>
    <row r="1" spans="1:22" ht="16" x14ac:dyDescent="0.35">
      <c r="A1" s="2" t="s">
        <v>0</v>
      </c>
      <c r="B1" s="2" t="s">
        <v>989</v>
      </c>
      <c r="C1" s="2" t="s">
        <v>990</v>
      </c>
      <c r="D1" s="2" t="s">
        <v>1</v>
      </c>
      <c r="E1" s="2" t="s">
        <v>2</v>
      </c>
      <c r="F1" s="2" t="s">
        <v>3</v>
      </c>
      <c r="G1" s="9" t="s">
        <v>4</v>
      </c>
      <c r="H1" s="2" t="s">
        <v>5</v>
      </c>
      <c r="I1" s="2" t="s">
        <v>1024</v>
      </c>
      <c r="J1" s="13" t="s">
        <v>1012</v>
      </c>
      <c r="K1" s="13" t="s">
        <v>1013</v>
      </c>
      <c r="L1" s="13" t="s">
        <v>1014</v>
      </c>
      <c r="M1" s="13" t="s">
        <v>1015</v>
      </c>
      <c r="N1" s="13" t="s">
        <v>1016</v>
      </c>
      <c r="O1" s="14" t="s">
        <v>1017</v>
      </c>
      <c r="P1" s="12" t="s">
        <v>1018</v>
      </c>
      <c r="Q1" s="12" t="s">
        <v>1019</v>
      </c>
      <c r="R1" s="15" t="s">
        <v>1020</v>
      </c>
      <c r="S1" s="16" t="s">
        <v>1021</v>
      </c>
      <c r="T1" s="3" t="s">
        <v>1104</v>
      </c>
      <c r="U1" s="3" t="s">
        <v>1105</v>
      </c>
      <c r="V1" s="3" t="s">
        <v>1106</v>
      </c>
    </row>
    <row r="2" spans="1:22" x14ac:dyDescent="0.35">
      <c r="A2" s="64">
        <v>20787984000614</v>
      </c>
      <c r="B2" s="7" t="s">
        <v>60</v>
      </c>
      <c r="C2" s="4"/>
      <c r="D2" s="1" t="s">
        <v>60</v>
      </c>
      <c r="E2" s="1" t="s">
        <v>61</v>
      </c>
      <c r="F2" s="1" t="s">
        <v>8</v>
      </c>
      <c r="G2" s="10" t="s">
        <v>62</v>
      </c>
      <c r="H2" s="1" t="s">
        <v>10</v>
      </c>
      <c r="I2" s="21" t="s">
        <v>1076</v>
      </c>
      <c r="J2" s="18">
        <f>VLOOKUP(A2,[2]Export!$A:$B,2,0)</f>
        <v>7262.3168717491908</v>
      </c>
      <c r="K2" s="18">
        <f>VLOOKUP(A2,[2]Export!$A:$C,3,0)</f>
        <v>2807.59</v>
      </c>
      <c r="L2" s="19">
        <f>K2/J2</f>
        <v>0.38659701161232424</v>
      </c>
      <c r="M2" s="18">
        <f>VLOOKUP(A2,[2]Export!$A:$G,7,0)</f>
        <v>3510.1700000000005</v>
      </c>
      <c r="N2" s="19">
        <f>M2/J2</f>
        <v>0.48334024278873777</v>
      </c>
      <c r="O2" s="17" t="s">
        <v>1025</v>
      </c>
      <c r="P2" s="17" t="s">
        <v>1026</v>
      </c>
      <c r="Q2" s="17" t="s">
        <v>1022</v>
      </c>
      <c r="R2" s="17" t="str">
        <f>VLOOKUP(A2,[1]Export!$A:$I,9,0)</f>
        <v>Comprou Marcas</v>
      </c>
      <c r="S2" s="17" t="s">
        <v>1022</v>
      </c>
      <c r="T2" s="20"/>
      <c r="U2" s="17"/>
      <c r="V2" s="17"/>
    </row>
    <row r="3" spans="1:22" x14ac:dyDescent="0.35">
      <c r="A3" s="4">
        <v>20787984000703</v>
      </c>
      <c r="B3" s="7" t="s">
        <v>60</v>
      </c>
      <c r="C3" s="4"/>
      <c r="D3" s="1" t="s">
        <v>60</v>
      </c>
      <c r="E3" s="1" t="s">
        <v>61</v>
      </c>
      <c r="F3" s="1" t="s">
        <v>8</v>
      </c>
      <c r="G3" s="10" t="s">
        <v>62</v>
      </c>
      <c r="H3" s="1" t="s">
        <v>10</v>
      </c>
      <c r="I3" s="21" t="s">
        <v>1066</v>
      </c>
      <c r="J3" s="18">
        <f>VLOOKUP(A3,[2]Export!$A:$B,2,0)</f>
        <v>2926.6142410273874</v>
      </c>
      <c r="K3" s="18">
        <f>VLOOKUP(A3,[2]Export!$A:$C,3,0)</f>
        <v>808.37000000000012</v>
      </c>
      <c r="L3" s="19">
        <f t="shared" ref="L3:L12" si="0">K3/J3</f>
        <v>0.27621337608068974</v>
      </c>
      <c r="M3" s="18">
        <f>VLOOKUP(A3,[2]Export!$A:$G,7,0)</f>
        <v>1373.75</v>
      </c>
      <c r="N3" s="19">
        <f t="shared" ref="N3:N12" si="1">M3/J3</f>
        <v>0.46939906897936279</v>
      </c>
      <c r="O3" s="17" t="s">
        <v>1025</v>
      </c>
      <c r="P3" s="17" t="s">
        <v>1026</v>
      </c>
      <c r="Q3" s="17" t="s">
        <v>1022</v>
      </c>
      <c r="R3" s="17" t="str">
        <f>VLOOKUP(A3,[1]Export!$A:$I,9,0)</f>
        <v>Comprou Marcas</v>
      </c>
      <c r="S3" s="17" t="s">
        <v>1022</v>
      </c>
      <c r="T3" s="20"/>
      <c r="U3" s="17"/>
      <c r="V3" s="17"/>
    </row>
    <row r="4" spans="1:22" x14ac:dyDescent="0.35">
      <c r="A4" s="4">
        <v>27750605000237</v>
      </c>
      <c r="B4" s="7"/>
      <c r="C4" s="4"/>
      <c r="D4" s="1" t="s">
        <v>13</v>
      </c>
      <c r="E4" s="1" t="s">
        <v>14</v>
      </c>
      <c r="F4" s="1" t="s">
        <v>15</v>
      </c>
      <c r="G4" s="10" t="s">
        <v>16</v>
      </c>
      <c r="H4" s="1" t="s">
        <v>17</v>
      </c>
      <c r="I4" s="21" t="s">
        <v>1067</v>
      </c>
      <c r="J4" s="18">
        <f>VLOOKUP(A4,[2]Export!$A:$B,2,0)</f>
        <v>3157.5605296418371</v>
      </c>
      <c r="K4" s="18">
        <f>VLOOKUP(A4,[2]Export!$A:$C,3,0)</f>
        <v>2905.21</v>
      </c>
      <c r="L4" s="19">
        <f t="shared" si="0"/>
        <v>0.92008054088817059</v>
      </c>
      <c r="M4" s="18">
        <f>VLOOKUP(A4,[2]Export!$A:$G,7,0)</f>
        <v>2408.7099999999996</v>
      </c>
      <c r="N4" s="19">
        <f t="shared" si="1"/>
        <v>0.76283889964675367</v>
      </c>
      <c r="O4" s="17" t="s">
        <v>1025</v>
      </c>
      <c r="P4" s="17" t="s">
        <v>1026</v>
      </c>
      <c r="Q4" s="17" t="s">
        <v>1023</v>
      </c>
      <c r="R4" s="17" t="str">
        <f>VLOOKUP(A4,[1]Export!$A:$I,9,0)</f>
        <v>Comprou Marcas</v>
      </c>
      <c r="S4" s="17" t="s">
        <v>1022</v>
      </c>
      <c r="T4" s="20"/>
      <c r="U4" s="17"/>
      <c r="V4" s="17"/>
    </row>
    <row r="5" spans="1:22" x14ac:dyDescent="0.35">
      <c r="A5" s="5">
        <v>32062591000118</v>
      </c>
      <c r="B5" s="7"/>
      <c r="C5" s="4"/>
      <c r="D5" s="6" t="s">
        <v>18</v>
      </c>
      <c r="E5" s="6" t="s">
        <v>19</v>
      </c>
      <c r="F5" s="6" t="s">
        <v>15</v>
      </c>
      <c r="G5" s="11" t="s">
        <v>20</v>
      </c>
      <c r="H5" s="6" t="s">
        <v>17</v>
      </c>
      <c r="I5" s="21" t="s">
        <v>1067</v>
      </c>
      <c r="J5" s="18">
        <f>VLOOKUP(A5,[2]Export!$A:$B,2,0)</f>
        <v>1359.7775355074191</v>
      </c>
      <c r="K5" s="18">
        <f>VLOOKUP(A5,[2]Export!$A:$C,3,0)</f>
        <v>852.77</v>
      </c>
      <c r="L5" s="19">
        <f t="shared" si="0"/>
        <v>0.62713935017449562</v>
      </c>
      <c r="M5" s="18">
        <f>VLOOKUP(A5,[2]Export!$A:$G,7,0)</f>
        <v>0</v>
      </c>
      <c r="N5" s="19">
        <f t="shared" si="1"/>
        <v>0</v>
      </c>
      <c r="O5" s="17"/>
      <c r="P5" s="17"/>
      <c r="Q5" s="17"/>
      <c r="R5" s="17" t="str">
        <f>VLOOKUP(A5,[1]Export!$A:$I,9,0)</f>
        <v>Não Comprou</v>
      </c>
      <c r="S5" s="17"/>
      <c r="T5" s="20"/>
      <c r="U5" s="17"/>
      <c r="V5" s="17"/>
    </row>
    <row r="6" spans="1:22" x14ac:dyDescent="0.35">
      <c r="A6" s="4">
        <v>62510454000160</v>
      </c>
      <c r="B6" s="7"/>
      <c r="C6" s="4"/>
      <c r="D6" s="1" t="s">
        <v>21</v>
      </c>
      <c r="E6" s="1" t="s">
        <v>22</v>
      </c>
      <c r="F6" s="1" t="s">
        <v>8</v>
      </c>
      <c r="G6" s="10" t="s">
        <v>20</v>
      </c>
      <c r="H6" s="1" t="s">
        <v>17</v>
      </c>
      <c r="I6" s="21" t="s">
        <v>1068</v>
      </c>
      <c r="J6" s="18">
        <f>VLOOKUP(A6,[2]Export!$A:$B,2,0)</f>
        <v>2459.3534645815007</v>
      </c>
      <c r="K6" s="18">
        <f>VLOOKUP(A6,[2]Export!$A:$C,3,0)</f>
        <v>1394.24</v>
      </c>
      <c r="L6" s="19">
        <f t="shared" si="0"/>
        <v>0.56691322336508987</v>
      </c>
      <c r="M6" s="18">
        <f>VLOOKUP(A6,[2]Export!$A:$G,7,0)</f>
        <v>0</v>
      </c>
      <c r="N6" s="19">
        <f t="shared" si="1"/>
        <v>0</v>
      </c>
      <c r="O6" s="17" t="s">
        <v>1025</v>
      </c>
      <c r="P6" s="17" t="s">
        <v>1026</v>
      </c>
      <c r="Q6" s="17" t="s">
        <v>1023</v>
      </c>
      <c r="R6" s="17" t="str">
        <f>VLOOKUP(A6,[1]Export!$A:$I,9,0)</f>
        <v>Não Comprou</v>
      </c>
      <c r="S6" s="17" t="s">
        <v>1022</v>
      </c>
      <c r="T6" s="20"/>
      <c r="U6" s="17"/>
      <c r="V6" s="17"/>
    </row>
    <row r="7" spans="1:22" x14ac:dyDescent="0.35">
      <c r="A7" s="5">
        <v>982959000170</v>
      </c>
      <c r="B7" s="7"/>
      <c r="C7" s="4"/>
      <c r="D7" s="6" t="s">
        <v>23</v>
      </c>
      <c r="E7" s="6" t="s">
        <v>24</v>
      </c>
      <c r="F7" s="6" t="s">
        <v>15</v>
      </c>
      <c r="G7" s="11" t="s">
        <v>20</v>
      </c>
      <c r="H7" s="6" t="s">
        <v>17</v>
      </c>
      <c r="I7" s="21" t="s">
        <v>1069</v>
      </c>
      <c r="J7" s="18">
        <f>VLOOKUP(A7,[2]Export!$A:$B,2,0)</f>
        <v>11070.462898397942</v>
      </c>
      <c r="K7" s="18">
        <f>VLOOKUP(A7,[2]Export!$A:$C,3,0)</f>
        <v>3821.08</v>
      </c>
      <c r="L7" s="19">
        <f t="shared" si="0"/>
        <v>0.34515991201713581</v>
      </c>
      <c r="M7" s="18">
        <f>VLOOKUP(A7,[2]Export!$A:$G,7,0)</f>
        <v>0</v>
      </c>
      <c r="N7" s="19">
        <f t="shared" si="1"/>
        <v>0</v>
      </c>
      <c r="O7" s="17" t="s">
        <v>1025</v>
      </c>
      <c r="P7" s="17" t="s">
        <v>1026</v>
      </c>
      <c r="Q7" s="17" t="s">
        <v>1023</v>
      </c>
      <c r="R7" s="17" t="str">
        <f>VLOOKUP(A7,[1]Export!$A:$I,9,0)</f>
        <v>Não Comprou</v>
      </c>
      <c r="S7" s="17" t="s">
        <v>1022</v>
      </c>
      <c r="T7" s="20"/>
      <c r="U7" s="17"/>
      <c r="V7" s="17"/>
    </row>
    <row r="8" spans="1:22" x14ac:dyDescent="0.35">
      <c r="A8" s="4">
        <v>20787984000100</v>
      </c>
      <c r="B8" s="7" t="s">
        <v>60</v>
      </c>
      <c r="C8" s="4"/>
      <c r="D8" s="1" t="s">
        <v>60</v>
      </c>
      <c r="E8" s="1" t="s">
        <v>61</v>
      </c>
      <c r="F8" s="1" t="s">
        <v>8</v>
      </c>
      <c r="G8" s="10" t="s">
        <v>62</v>
      </c>
      <c r="H8" s="1" t="s">
        <v>10</v>
      </c>
      <c r="I8" s="21" t="s">
        <v>1066</v>
      </c>
      <c r="J8" s="18">
        <f>VLOOKUP(A8,[2]Export!$A:$B,2,0)</f>
        <v>7251.508020771219</v>
      </c>
      <c r="K8" s="18">
        <f>VLOOKUP(A8,[2]Export!$A:$C,3,0)</f>
        <v>1719.33</v>
      </c>
      <c r="L8" s="19">
        <f t="shared" si="0"/>
        <v>0.23709964811114478</v>
      </c>
      <c r="M8" s="18">
        <f>VLOOKUP(A8,[2]Export!$A:$G,7,0)</f>
        <v>2739.1400000000003</v>
      </c>
      <c r="N8" s="19">
        <f t="shared" si="1"/>
        <v>0.37773384407133082</v>
      </c>
      <c r="O8" s="17" t="s">
        <v>1025</v>
      </c>
      <c r="P8" s="17" t="s">
        <v>1026</v>
      </c>
      <c r="Q8" s="17" t="s">
        <v>1022</v>
      </c>
      <c r="R8" s="17" t="str">
        <f>VLOOKUP(A8,[1]Export!$A:$I,9,0)</f>
        <v>Comprou Marcas</v>
      </c>
      <c r="S8" s="17" t="s">
        <v>1022</v>
      </c>
      <c r="T8" s="20"/>
      <c r="U8" s="17"/>
      <c r="V8" s="17"/>
    </row>
    <row r="9" spans="1:22" x14ac:dyDescent="0.35">
      <c r="A9" s="5">
        <v>1938125000120</v>
      </c>
      <c r="B9" s="7"/>
      <c r="C9" s="4"/>
      <c r="D9" s="6" t="s">
        <v>27</v>
      </c>
      <c r="E9" s="6" t="s">
        <v>28</v>
      </c>
      <c r="F9" s="6" t="s">
        <v>15</v>
      </c>
      <c r="G9" s="11" t="s">
        <v>9</v>
      </c>
      <c r="H9" s="6" t="s">
        <v>10</v>
      </c>
      <c r="I9" s="21" t="s">
        <v>1069</v>
      </c>
      <c r="J9" s="18">
        <f>VLOOKUP(A9,[2]Export!$A:$B,2,0)</f>
        <v>10556.090862258139</v>
      </c>
      <c r="K9" s="18">
        <f>VLOOKUP(A9,[2]Export!$A:$C,3,0)</f>
        <v>5814.14</v>
      </c>
      <c r="L9" s="19">
        <f t="shared" si="0"/>
        <v>0.55078533103458438</v>
      </c>
      <c r="M9" s="18">
        <f>VLOOKUP(A9,[2]Export!$A:$G,7,0)</f>
        <v>7485.5099999999984</v>
      </c>
      <c r="N9" s="19">
        <f t="shared" si="1"/>
        <v>0.70911761727662048</v>
      </c>
      <c r="O9" s="17" t="s">
        <v>1027</v>
      </c>
      <c r="P9" s="17" t="s">
        <v>1028</v>
      </c>
      <c r="Q9" s="17" t="s">
        <v>1023</v>
      </c>
      <c r="R9" s="17" t="str">
        <f>VLOOKUP(A9,[1]Export!$A:$I,9,0)</f>
        <v>Comprou Marcas</v>
      </c>
      <c r="S9" s="17" t="s">
        <v>1022</v>
      </c>
      <c r="T9" s="20"/>
      <c r="U9" s="17"/>
      <c r="V9" s="17"/>
    </row>
    <row r="10" spans="1:22" x14ac:dyDescent="0.35">
      <c r="A10" s="4">
        <v>1938125000200</v>
      </c>
      <c r="B10" s="7"/>
      <c r="C10" s="4"/>
      <c r="D10" s="1" t="s">
        <v>29</v>
      </c>
      <c r="E10" s="1" t="s">
        <v>30</v>
      </c>
      <c r="F10" s="1" t="s">
        <v>15</v>
      </c>
      <c r="G10" s="10" t="s">
        <v>9</v>
      </c>
      <c r="H10" s="1" t="s">
        <v>10</v>
      </c>
      <c r="I10" s="21" t="s">
        <v>1069</v>
      </c>
      <c r="J10" s="18">
        <f>VLOOKUP(A10,[2]Export!$A:$B,2,0)</f>
        <v>4929.6425594295961</v>
      </c>
      <c r="K10" s="18">
        <f>VLOOKUP(A10,[2]Export!$A:$C,3,0)</f>
        <v>1973.33</v>
      </c>
      <c r="L10" s="19">
        <f t="shared" si="0"/>
        <v>0.40029879980351596</v>
      </c>
      <c r="M10" s="18">
        <f>VLOOKUP(A10,[2]Export!$A:$G,7,0)</f>
        <v>1697.15</v>
      </c>
      <c r="N10" s="19">
        <f t="shared" si="1"/>
        <v>0.34427445388583622</v>
      </c>
      <c r="O10" s="17" t="s">
        <v>1027</v>
      </c>
      <c r="P10" s="17" t="s">
        <v>1028</v>
      </c>
      <c r="Q10" s="17" t="s">
        <v>1023</v>
      </c>
      <c r="R10" s="17" t="str">
        <f>VLOOKUP(A10,[1]Export!$A:$I,9,0)</f>
        <v>Comprou Marcas</v>
      </c>
      <c r="S10" s="17" t="s">
        <v>1022</v>
      </c>
      <c r="T10" s="20"/>
      <c r="U10" s="17"/>
      <c r="V10" s="17"/>
    </row>
    <row r="11" spans="1:22" x14ac:dyDescent="0.35">
      <c r="A11" s="5">
        <v>1956853000164</v>
      </c>
      <c r="B11" s="7"/>
      <c r="C11" s="4"/>
      <c r="D11" s="6" t="s">
        <v>31</v>
      </c>
      <c r="E11" s="6" t="s">
        <v>32</v>
      </c>
      <c r="F11" s="6" t="s">
        <v>15</v>
      </c>
      <c r="G11" s="11" t="s">
        <v>33</v>
      </c>
      <c r="H11" s="6" t="s">
        <v>17</v>
      </c>
      <c r="I11" s="21" t="s">
        <v>1067</v>
      </c>
      <c r="J11" s="18">
        <f>VLOOKUP(A11,[2]Export!$A:$B,2,0)</f>
        <v>2959.8009021289618</v>
      </c>
      <c r="K11" s="18">
        <f>VLOOKUP(A11,[2]Export!$A:$C,3,0)</f>
        <v>717.98000000000013</v>
      </c>
      <c r="L11" s="19">
        <f t="shared" si="0"/>
        <v>0.242577127226214</v>
      </c>
      <c r="M11" s="18">
        <f>VLOOKUP(A11,[2]Export!$A:$G,7,0)</f>
        <v>0</v>
      </c>
      <c r="N11" s="19">
        <f t="shared" si="1"/>
        <v>0</v>
      </c>
      <c r="O11" s="17" t="s">
        <v>1027</v>
      </c>
      <c r="P11" s="17" t="s">
        <v>1026</v>
      </c>
      <c r="Q11" s="17" t="s">
        <v>1023</v>
      </c>
      <c r="R11" s="17" t="str">
        <f>VLOOKUP(A11,[1]Export!$A:$I,9,0)</f>
        <v>Não Comprou</v>
      </c>
      <c r="S11" s="17" t="s">
        <v>1022</v>
      </c>
      <c r="T11" s="20">
        <v>4</v>
      </c>
      <c r="U11" s="17"/>
      <c r="V11" s="17"/>
    </row>
    <row r="12" spans="1:22" x14ac:dyDescent="0.35">
      <c r="A12" s="4">
        <v>13289540000189</v>
      </c>
      <c r="B12" s="7"/>
      <c r="C12" s="4"/>
      <c r="D12" s="1" t="s">
        <v>34</v>
      </c>
      <c r="E12" s="1" t="s">
        <v>35</v>
      </c>
      <c r="F12" s="1" t="s">
        <v>8</v>
      </c>
      <c r="G12" s="10" t="s">
        <v>36</v>
      </c>
      <c r="H12" s="1" t="s">
        <v>17</v>
      </c>
      <c r="I12" s="21" t="s">
        <v>1070</v>
      </c>
      <c r="J12" s="18">
        <f>VLOOKUP(A12,[2]Export!$A:$B,2,0)</f>
        <v>2365.7130154998003</v>
      </c>
      <c r="K12" s="18">
        <f>VLOOKUP(A12,[2]Export!$A:$C,3,0)</f>
        <v>1140.9099999999999</v>
      </c>
      <c r="L12" s="19">
        <f t="shared" si="0"/>
        <v>0.48226897874971603</v>
      </c>
      <c r="M12" s="18">
        <f>VLOOKUP(A12,[2]Export!$A:$G,7,0)</f>
        <v>0</v>
      </c>
      <c r="N12" s="19">
        <f t="shared" si="1"/>
        <v>0</v>
      </c>
      <c r="O12" s="17" t="s">
        <v>1025</v>
      </c>
      <c r="P12" s="17" t="s">
        <v>1026</v>
      </c>
      <c r="Q12" s="17" t="s">
        <v>1022</v>
      </c>
      <c r="R12" s="17" t="str">
        <f>VLOOKUP(A12,[1]Export!$A:$I,9,0)</f>
        <v>Não Comprou</v>
      </c>
      <c r="S12" s="17" t="s">
        <v>1023</v>
      </c>
      <c r="T12" s="20"/>
      <c r="U12" s="17"/>
      <c r="V12" s="17"/>
    </row>
    <row r="13" spans="1:22" x14ac:dyDescent="0.35">
      <c r="A13" s="4">
        <v>4411142000100</v>
      </c>
      <c r="B13" s="7"/>
      <c r="C13" s="4"/>
      <c r="D13" s="1" t="s">
        <v>404</v>
      </c>
      <c r="E13" s="1" t="s">
        <v>94</v>
      </c>
      <c r="F13" s="1" t="s">
        <v>15</v>
      </c>
      <c r="G13" s="10" t="s">
        <v>38</v>
      </c>
      <c r="H13" s="1" t="s">
        <v>17</v>
      </c>
      <c r="I13" s="21" t="s">
        <v>1069</v>
      </c>
      <c r="J13" s="18">
        <f>VLOOKUP(A13,[2]Export!$A:$B,2,0)</f>
        <v>2721.3526153947691</v>
      </c>
      <c r="K13" s="18">
        <f>VLOOKUP(A13,[2]Export!$A:$C,3,0)</f>
        <v>1199.3199999999997</v>
      </c>
      <c r="L13" s="19">
        <f t="shared" ref="L13:L76" si="2">K13/J13</f>
        <v>0.44070731342032354</v>
      </c>
      <c r="M13" s="18">
        <f>VLOOKUP(A13,[2]Export!$A:$G,7,0)</f>
        <v>804.32</v>
      </c>
      <c r="N13" s="19">
        <f t="shared" ref="N13:N76" si="3">M13/J13</f>
        <v>0.2955589053215445</v>
      </c>
      <c r="O13" s="17" t="s">
        <v>1027</v>
      </c>
      <c r="P13" s="17" t="s">
        <v>1028</v>
      </c>
      <c r="Q13" s="17" t="s">
        <v>1023</v>
      </c>
      <c r="R13" s="17" t="str">
        <f>VLOOKUP(A13,[1]Export!$A:$I,9,0)</f>
        <v>Comprou Marcas e SG</v>
      </c>
      <c r="S13" s="17" t="s">
        <v>1022</v>
      </c>
      <c r="T13" s="20"/>
      <c r="U13" s="17"/>
      <c r="V13" s="17"/>
    </row>
    <row r="14" spans="1:22" x14ac:dyDescent="0.35">
      <c r="A14" s="4">
        <v>7549438000172</v>
      </c>
      <c r="B14" s="7"/>
      <c r="C14" s="4"/>
      <c r="D14" s="1" t="s">
        <v>39</v>
      </c>
      <c r="E14" s="1" t="s">
        <v>40</v>
      </c>
      <c r="F14" s="1" t="s">
        <v>8</v>
      </c>
      <c r="G14" s="10" t="s">
        <v>20</v>
      </c>
      <c r="H14" s="1" t="s">
        <v>17</v>
      </c>
      <c r="I14" s="21" t="s">
        <v>1070</v>
      </c>
      <c r="J14" s="18">
        <f>VLOOKUP(A14,[2]Export!$A:$B,2,0)</f>
        <v>3592.8306608693852</v>
      </c>
      <c r="K14" s="18">
        <f>VLOOKUP(A14,[2]Export!$A:$C,3,0)</f>
        <v>1575.22</v>
      </c>
      <c r="L14" s="19">
        <f t="shared" si="2"/>
        <v>0.43843424549790272</v>
      </c>
      <c r="M14" s="18">
        <f>VLOOKUP(A14,[2]Export!$A:$G,7,0)</f>
        <v>1250.8000000000002</v>
      </c>
      <c r="N14" s="19">
        <f t="shared" si="3"/>
        <v>0.34813775489695203</v>
      </c>
      <c r="O14" s="17" t="s">
        <v>1025</v>
      </c>
      <c r="P14" s="17" t="s">
        <v>1026</v>
      </c>
      <c r="Q14" s="17" t="s">
        <v>1022</v>
      </c>
      <c r="R14" s="17" t="str">
        <f>VLOOKUP(A14,[1]Export!$A:$I,9,0)</f>
        <v>Comprou Marcas</v>
      </c>
      <c r="S14" s="17" t="s">
        <v>1022</v>
      </c>
      <c r="T14" s="20"/>
      <c r="U14" s="17"/>
      <c r="V14" s="17"/>
    </row>
    <row r="15" spans="1:22" x14ac:dyDescent="0.35">
      <c r="A15" s="5">
        <v>9033695000182</v>
      </c>
      <c r="B15" s="7"/>
      <c r="C15" s="4"/>
      <c r="D15" s="6" t="s">
        <v>41</v>
      </c>
      <c r="E15" s="6" t="s">
        <v>7</v>
      </c>
      <c r="F15" s="6" t="s">
        <v>8</v>
      </c>
      <c r="G15" s="11" t="s">
        <v>20</v>
      </c>
      <c r="H15" s="6" t="s">
        <v>17</v>
      </c>
      <c r="I15" s="21" t="s">
        <v>1066</v>
      </c>
      <c r="J15" s="18">
        <f>VLOOKUP(A15,[2]Export!$A:$B,2,0)</f>
        <v>7135.7448196380137</v>
      </c>
      <c r="K15" s="18">
        <f>VLOOKUP(A15,[2]Export!$A:$C,3,0)</f>
        <v>353.53000000000003</v>
      </c>
      <c r="L15" s="19">
        <f t="shared" si="2"/>
        <v>4.9543531745566839E-2</v>
      </c>
      <c r="M15" s="18">
        <f>VLOOKUP(A15,[2]Export!$A:$G,7,0)</f>
        <v>0</v>
      </c>
      <c r="N15" s="19">
        <f t="shared" si="3"/>
        <v>0</v>
      </c>
      <c r="O15" s="17" t="s">
        <v>1025</v>
      </c>
      <c r="P15" s="17" t="s">
        <v>1026</v>
      </c>
      <c r="Q15" s="17" t="s">
        <v>1023</v>
      </c>
      <c r="R15" s="17" t="str">
        <f>VLOOKUP(A15,[1]Export!$A:$I,9,0)</f>
        <v>Não Comprou</v>
      </c>
      <c r="S15" s="17" t="s">
        <v>1023</v>
      </c>
      <c r="T15" s="20">
        <v>4</v>
      </c>
      <c r="U15" s="17"/>
      <c r="V15" s="17"/>
    </row>
    <row r="16" spans="1:22" x14ac:dyDescent="0.35">
      <c r="A16" s="4">
        <v>9112212000216</v>
      </c>
      <c r="B16" s="7"/>
      <c r="C16" s="4"/>
      <c r="D16" s="1" t="s">
        <v>42</v>
      </c>
      <c r="E16" s="1" t="s">
        <v>43</v>
      </c>
      <c r="F16" s="1" t="s">
        <v>8</v>
      </c>
      <c r="G16" s="10" t="s">
        <v>36</v>
      </c>
      <c r="H16" s="1" t="s">
        <v>17</v>
      </c>
      <c r="I16" s="21" t="s">
        <v>1068</v>
      </c>
      <c r="J16" s="18">
        <f>VLOOKUP(A16,[2]Export!$A:$B,2,0)</f>
        <v>10399.653601075661</v>
      </c>
      <c r="K16" s="18">
        <f>VLOOKUP(A16,[2]Export!$A:$C,3,0)</f>
        <v>5468.3999999999987</v>
      </c>
      <c r="L16" s="19">
        <f t="shared" si="2"/>
        <v>0.52582520627748497</v>
      </c>
      <c r="M16" s="18">
        <f>VLOOKUP(A16,[2]Export!$A:$G,7,0)</f>
        <v>0</v>
      </c>
      <c r="N16" s="19">
        <f t="shared" si="3"/>
        <v>0</v>
      </c>
      <c r="O16" s="17" t="s">
        <v>1025</v>
      </c>
      <c r="P16" s="17" t="s">
        <v>1026</v>
      </c>
      <c r="Q16" s="17" t="s">
        <v>1023</v>
      </c>
      <c r="R16" s="17" t="str">
        <f>VLOOKUP(A16,[1]Export!$A:$I,9,0)</f>
        <v>Não Comprou</v>
      </c>
      <c r="S16" s="17" t="s">
        <v>1023</v>
      </c>
      <c r="T16" s="20"/>
      <c r="U16" s="17"/>
      <c r="V16" s="17"/>
    </row>
    <row r="17" spans="1:22" x14ac:dyDescent="0.35">
      <c r="A17" s="5">
        <v>7382151000109</v>
      </c>
      <c r="B17" s="7"/>
      <c r="C17" s="4"/>
      <c r="D17" s="6" t="s">
        <v>44</v>
      </c>
      <c r="E17" s="6" t="s">
        <v>45</v>
      </c>
      <c r="F17" s="6" t="s">
        <v>8</v>
      </c>
      <c r="G17" s="11" t="s">
        <v>33</v>
      </c>
      <c r="H17" s="6" t="s">
        <v>17</v>
      </c>
      <c r="I17" s="21" t="s">
        <v>1068</v>
      </c>
      <c r="J17" s="18">
        <f>VLOOKUP(A17,[2]Export!$A:$B,2,0)</f>
        <v>3235.4629286244663</v>
      </c>
      <c r="K17" s="18">
        <f>VLOOKUP(A17,[2]Export!$A:$C,3,0)</f>
        <v>4383.93</v>
      </c>
      <c r="L17" s="19">
        <f t="shared" si="2"/>
        <v>1.354962209956087</v>
      </c>
      <c r="M17" s="18">
        <f>VLOOKUP(A17,[2]Export!$A:$G,7,0)</f>
        <v>3168.54</v>
      </c>
      <c r="N17" s="19">
        <f t="shared" si="3"/>
        <v>0.9793158104108094</v>
      </c>
      <c r="O17" s="17" t="s">
        <v>1027</v>
      </c>
      <c r="P17" s="17" t="s">
        <v>1026</v>
      </c>
      <c r="Q17" s="17" t="s">
        <v>1023</v>
      </c>
      <c r="R17" s="17" t="str">
        <f>VLOOKUP(A17,[1]Export!$A:$I,9,0)</f>
        <v>Comprou Marcas</v>
      </c>
      <c r="S17" s="17" t="s">
        <v>1022</v>
      </c>
      <c r="T17" s="20"/>
      <c r="U17" s="17"/>
      <c r="V17" s="17"/>
    </row>
    <row r="18" spans="1:22" x14ac:dyDescent="0.35">
      <c r="A18" s="4">
        <v>14178866000100</v>
      </c>
      <c r="B18" s="7"/>
      <c r="C18" s="4"/>
      <c r="D18" s="1" t="s">
        <v>46</v>
      </c>
      <c r="E18" s="1" t="s">
        <v>47</v>
      </c>
      <c r="F18" s="1" t="s">
        <v>48</v>
      </c>
      <c r="G18" s="10" t="s">
        <v>20</v>
      </c>
      <c r="H18" s="1" t="s">
        <v>17</v>
      </c>
      <c r="I18" s="21" t="s">
        <v>1071</v>
      </c>
      <c r="J18" s="18">
        <f>VLOOKUP(A18,[2]Export!$A:$B,2,0)</f>
        <v>2273.2026013625427</v>
      </c>
      <c r="K18" s="18">
        <f>VLOOKUP(A18,[2]Export!$A:$C,3,0)</f>
        <v>1776.7700000000002</v>
      </c>
      <c r="L18" s="19">
        <f t="shared" si="2"/>
        <v>0.78161532937496025</v>
      </c>
      <c r="M18" s="18">
        <f>VLOOKUP(A18,[2]Export!$A:$G,7,0)</f>
        <v>0</v>
      </c>
      <c r="N18" s="19">
        <f t="shared" si="3"/>
        <v>0</v>
      </c>
      <c r="O18" s="17" t="s">
        <v>1025</v>
      </c>
      <c r="P18" s="17" t="s">
        <v>1026</v>
      </c>
      <c r="Q18" s="17" t="s">
        <v>1023</v>
      </c>
      <c r="R18" s="17" t="str">
        <f>VLOOKUP(A18,[1]Export!$A:$I,9,0)</f>
        <v>Não Comprou</v>
      </c>
      <c r="S18" s="17" t="s">
        <v>1022</v>
      </c>
      <c r="T18" s="20"/>
      <c r="U18" s="17"/>
      <c r="V18" s="17"/>
    </row>
    <row r="19" spans="1:22" x14ac:dyDescent="0.35">
      <c r="A19" s="4">
        <v>14132723000159</v>
      </c>
      <c r="B19" s="7" t="s">
        <v>414</v>
      </c>
      <c r="C19" s="4"/>
      <c r="D19" s="1" t="s">
        <v>414</v>
      </c>
      <c r="E19" s="1" t="s">
        <v>30</v>
      </c>
      <c r="F19" s="1" t="s">
        <v>15</v>
      </c>
      <c r="G19" s="10" t="s">
        <v>38</v>
      </c>
      <c r="H19" s="1" t="s">
        <v>17</v>
      </c>
      <c r="I19" s="21" t="s">
        <v>1069</v>
      </c>
      <c r="J19" s="18">
        <f>VLOOKUP(A19,[2]Export!$A:$B,2,0)</f>
        <v>16207.459548849576</v>
      </c>
      <c r="K19" s="18">
        <f>VLOOKUP(A19,[2]Export!$A:$C,3,0)</f>
        <v>11047.870000000003</v>
      </c>
      <c r="L19" s="19">
        <f t="shared" si="2"/>
        <v>0.68165340574823108</v>
      </c>
      <c r="M19" s="18">
        <f>VLOOKUP(A19,[2]Export!$A:$G,7,0)</f>
        <v>7329.29</v>
      </c>
      <c r="N19" s="19">
        <f t="shared" si="3"/>
        <v>0.45221707806269007</v>
      </c>
      <c r="O19" s="17" t="s">
        <v>1027</v>
      </c>
      <c r="P19" s="17" t="s">
        <v>1028</v>
      </c>
      <c r="Q19" s="17" t="s">
        <v>1023</v>
      </c>
      <c r="R19" s="17" t="str">
        <f>VLOOKUP(A19,[1]Export!$A:$I,9,0)</f>
        <v>Comprou Marcas</v>
      </c>
      <c r="S19" s="17" t="s">
        <v>1022</v>
      </c>
      <c r="T19" s="20"/>
      <c r="U19" s="17"/>
      <c r="V19" s="17"/>
    </row>
    <row r="20" spans="1:22" x14ac:dyDescent="0.35">
      <c r="A20" s="4">
        <v>18380223000197</v>
      </c>
      <c r="B20" s="7"/>
      <c r="C20" s="4"/>
      <c r="D20" s="1" t="s">
        <v>51</v>
      </c>
      <c r="E20" s="1" t="s">
        <v>52</v>
      </c>
      <c r="F20" s="1" t="s">
        <v>8</v>
      </c>
      <c r="G20" s="10" t="s">
        <v>20</v>
      </c>
      <c r="H20" s="1" t="s">
        <v>17</v>
      </c>
      <c r="I20" s="21" t="s">
        <v>1072</v>
      </c>
      <c r="J20" s="18">
        <f>VLOOKUP(A20,[2]Export!$A:$B,2,0)</f>
        <v>2371.7274108148795</v>
      </c>
      <c r="K20" s="18">
        <f>VLOOKUP(A20,[2]Export!$A:$C,3,0)</f>
        <v>959.40000000000009</v>
      </c>
      <c r="L20" s="19">
        <f t="shared" si="2"/>
        <v>0.40451528941530801</v>
      </c>
      <c r="M20" s="18">
        <f>VLOOKUP(A20,[2]Export!$A:$G,7,0)</f>
        <v>137.85</v>
      </c>
      <c r="N20" s="19">
        <f t="shared" si="3"/>
        <v>5.812219371054847E-2</v>
      </c>
      <c r="O20" s="17" t="s">
        <v>1025</v>
      </c>
      <c r="P20" s="17" t="s">
        <v>1026</v>
      </c>
      <c r="Q20" s="17" t="s">
        <v>1023</v>
      </c>
      <c r="R20" s="17" t="str">
        <f>VLOOKUP(A20,[1]Export!$A:$I,9,0)</f>
        <v>Comprou Marcas</v>
      </c>
      <c r="S20" s="17" t="s">
        <v>1023</v>
      </c>
      <c r="T20" s="20"/>
      <c r="U20" s="17"/>
      <c r="V20" s="17"/>
    </row>
    <row r="21" spans="1:22" x14ac:dyDescent="0.35">
      <c r="A21" s="5">
        <v>18569567000149</v>
      </c>
      <c r="B21" s="7"/>
      <c r="C21" s="4"/>
      <c r="D21" s="6" t="s">
        <v>53</v>
      </c>
      <c r="E21" s="6" t="s">
        <v>54</v>
      </c>
      <c r="F21" s="6" t="s">
        <v>15</v>
      </c>
      <c r="G21" s="11" t="s">
        <v>33</v>
      </c>
      <c r="H21" s="6" t="s">
        <v>17</v>
      </c>
      <c r="I21" s="21" t="s">
        <v>1069</v>
      </c>
      <c r="J21" s="18">
        <f>VLOOKUP(A21,[2]Export!$A:$B,2,0)</f>
        <v>1957.8532297452696</v>
      </c>
      <c r="K21" s="18">
        <f>VLOOKUP(A21,[2]Export!$A:$C,3,0)</f>
        <v>401.96</v>
      </c>
      <c r="L21" s="19">
        <f t="shared" si="2"/>
        <v>0.20530650300701947</v>
      </c>
      <c r="M21" s="18">
        <f>VLOOKUP(A21,[2]Export!$A:$G,7,0)</f>
        <v>474.77000000000004</v>
      </c>
      <c r="N21" s="19">
        <f t="shared" si="3"/>
        <v>0.24249519462792976</v>
      </c>
      <c r="O21" s="17" t="s">
        <v>1027</v>
      </c>
      <c r="P21" s="17" t="s">
        <v>1026</v>
      </c>
      <c r="Q21" s="17" t="s">
        <v>1023</v>
      </c>
      <c r="R21" s="17" t="str">
        <f>VLOOKUP(A21,[1]Export!$A:$I,9,0)</f>
        <v>Comprou Marcas</v>
      </c>
      <c r="S21" s="17" t="s">
        <v>1022</v>
      </c>
      <c r="T21" s="20"/>
      <c r="U21" s="17"/>
      <c r="V21" s="17"/>
    </row>
    <row r="22" spans="1:22" x14ac:dyDescent="0.35">
      <c r="A22" s="4">
        <v>18666741000414</v>
      </c>
      <c r="B22" s="7"/>
      <c r="C22" s="4"/>
      <c r="D22" s="1" t="s">
        <v>55</v>
      </c>
      <c r="E22" s="1" t="s">
        <v>56</v>
      </c>
      <c r="F22" s="1" t="s">
        <v>48</v>
      </c>
      <c r="G22" s="10" t="s">
        <v>9</v>
      </c>
      <c r="H22" s="1" t="s">
        <v>10</v>
      </c>
      <c r="I22" s="21" t="s">
        <v>1073</v>
      </c>
      <c r="J22" s="18">
        <f>VLOOKUP(A22,[2]Export!$A:$B,2,0)</f>
        <v>12687.205069337238</v>
      </c>
      <c r="K22" s="18">
        <f>VLOOKUP(A22,[2]Export!$A:$C,3,0)</f>
        <v>11501.339999999993</v>
      </c>
      <c r="L22" s="19">
        <f t="shared" si="2"/>
        <v>0.90653062964960862</v>
      </c>
      <c r="M22" s="18">
        <f>VLOOKUP(A22,[2]Export!$A:$G,7,0)</f>
        <v>2199.62</v>
      </c>
      <c r="N22" s="19">
        <f t="shared" si="3"/>
        <v>0.1733730942298787</v>
      </c>
      <c r="O22" s="17"/>
      <c r="P22" s="17"/>
      <c r="Q22" s="17"/>
      <c r="R22" s="17" t="str">
        <f>VLOOKUP(A22,[1]Export!$A:$I,9,0)</f>
        <v>Comprou Marcas e SG</v>
      </c>
      <c r="S22" s="17"/>
      <c r="T22" s="20"/>
      <c r="U22" s="17"/>
      <c r="V22" s="17">
        <v>9</v>
      </c>
    </row>
    <row r="23" spans="1:22" x14ac:dyDescent="0.35">
      <c r="A23" s="4">
        <v>20787984000290</v>
      </c>
      <c r="B23" s="7" t="s">
        <v>60</v>
      </c>
      <c r="C23" s="4"/>
      <c r="D23" s="1" t="s">
        <v>60</v>
      </c>
      <c r="E23" s="1" t="s">
        <v>61</v>
      </c>
      <c r="F23" s="1" t="s">
        <v>8</v>
      </c>
      <c r="G23" s="10" t="s">
        <v>62</v>
      </c>
      <c r="H23" s="1" t="s">
        <v>10</v>
      </c>
      <c r="I23" s="21" t="s">
        <v>1066</v>
      </c>
      <c r="J23" s="18">
        <f>VLOOKUP(A23,[2]Export!$A:$B,2,0)</f>
        <v>9636.4475021481594</v>
      </c>
      <c r="K23" s="18">
        <f>VLOOKUP(A23,[2]Export!$A:$C,3,0)</f>
        <v>3888.1699999999992</v>
      </c>
      <c r="L23" s="19">
        <f t="shared" si="2"/>
        <v>0.40348582806405031</v>
      </c>
      <c r="M23" s="18">
        <f>VLOOKUP(A23,[2]Export!$A:$G,7,0)</f>
        <v>2981.1000000000004</v>
      </c>
      <c r="N23" s="19">
        <f t="shared" si="3"/>
        <v>0.3093567416141117</v>
      </c>
      <c r="O23" s="17" t="s">
        <v>1025</v>
      </c>
      <c r="P23" s="17" t="s">
        <v>1026</v>
      </c>
      <c r="Q23" s="17" t="s">
        <v>1022</v>
      </c>
      <c r="R23" s="17" t="str">
        <f>VLOOKUP(A23,[1]Export!$A:$I,9,0)</f>
        <v>Comprou Marcas</v>
      </c>
      <c r="S23" s="17" t="s">
        <v>1022</v>
      </c>
      <c r="T23" s="20"/>
      <c r="U23" s="17"/>
      <c r="V23" s="17"/>
    </row>
    <row r="24" spans="1:22" x14ac:dyDescent="0.35">
      <c r="A24" s="5">
        <v>20787984000967</v>
      </c>
      <c r="B24" s="7" t="s">
        <v>60</v>
      </c>
      <c r="C24" s="4"/>
      <c r="D24" s="6" t="s">
        <v>60</v>
      </c>
      <c r="E24" s="6" t="s">
        <v>122</v>
      </c>
      <c r="F24" s="6" t="s">
        <v>8</v>
      </c>
      <c r="G24" s="11" t="s">
        <v>62</v>
      </c>
      <c r="H24" s="6" t="s">
        <v>10</v>
      </c>
      <c r="I24" s="21" t="s">
        <v>1066</v>
      </c>
      <c r="J24" s="18">
        <f>VLOOKUP(A24,[2]Export!$A:$B,2,0)</f>
        <v>7106.6996967980112</v>
      </c>
      <c r="K24" s="18">
        <f>VLOOKUP(A24,[2]Export!$A:$C,3,0)</f>
        <v>2967.72</v>
      </c>
      <c r="L24" s="19">
        <f t="shared" si="2"/>
        <v>0.41759468200649219</v>
      </c>
      <c r="M24" s="18">
        <f>VLOOKUP(A24,[2]Export!$A:$G,7,0)</f>
        <v>1937.65</v>
      </c>
      <c r="N24" s="19">
        <f t="shared" si="3"/>
        <v>0.27265117180525106</v>
      </c>
      <c r="O24" s="17" t="s">
        <v>1025</v>
      </c>
      <c r="P24" s="17" t="s">
        <v>1026</v>
      </c>
      <c r="Q24" s="17" t="s">
        <v>1022</v>
      </c>
      <c r="R24" s="17" t="str">
        <f>VLOOKUP(A24,[1]Export!$A:$I,9,0)</f>
        <v>Comprou Marcas</v>
      </c>
      <c r="S24" s="17" t="s">
        <v>1022</v>
      </c>
      <c r="T24" s="20"/>
      <c r="U24" s="17"/>
      <c r="V24" s="17"/>
    </row>
    <row r="25" spans="1:22" x14ac:dyDescent="0.35">
      <c r="A25" s="5">
        <v>20787984000886</v>
      </c>
      <c r="B25" s="7" t="s">
        <v>60</v>
      </c>
      <c r="C25" s="4"/>
      <c r="D25" s="6" t="s">
        <v>60</v>
      </c>
      <c r="E25" s="6" t="s">
        <v>122</v>
      </c>
      <c r="F25" s="6" t="s">
        <v>8</v>
      </c>
      <c r="G25" s="11" t="s">
        <v>62</v>
      </c>
      <c r="H25" s="6" t="s">
        <v>10</v>
      </c>
      <c r="I25" s="21" t="s">
        <v>1066</v>
      </c>
      <c r="J25" s="18">
        <f>VLOOKUP(A25,[2]Export!$A:$B,2,0)</f>
        <v>8112.0466444580679</v>
      </c>
      <c r="K25" s="18">
        <f>VLOOKUP(A25,[2]Export!$A:$C,3,0)</f>
        <v>2480.8000000000006</v>
      </c>
      <c r="L25" s="19">
        <f t="shared" si="2"/>
        <v>0.30581678197015993</v>
      </c>
      <c r="M25" s="18">
        <f>VLOOKUP(A25,[2]Export!$A:$G,7,0)</f>
        <v>2097.65</v>
      </c>
      <c r="N25" s="19">
        <f t="shared" si="3"/>
        <v>0.25858455848907846</v>
      </c>
      <c r="O25" s="17" t="s">
        <v>1025</v>
      </c>
      <c r="P25" s="17" t="s">
        <v>1026</v>
      </c>
      <c r="Q25" s="17" t="s">
        <v>1022</v>
      </c>
      <c r="R25" s="17" t="str">
        <f>VLOOKUP(A25,[1]Export!$A:$I,9,0)</f>
        <v>Comprou Marcas</v>
      </c>
      <c r="S25" s="17" t="s">
        <v>1022</v>
      </c>
      <c r="T25" s="20"/>
      <c r="U25" s="17"/>
      <c r="V25" s="17"/>
    </row>
    <row r="26" spans="1:22" x14ac:dyDescent="0.35">
      <c r="A26" s="5">
        <v>18645755000109</v>
      </c>
      <c r="B26" s="7" t="s">
        <v>1005</v>
      </c>
      <c r="C26" s="4"/>
      <c r="D26" s="6" t="s">
        <v>313</v>
      </c>
      <c r="E26" s="6" t="s">
        <v>307</v>
      </c>
      <c r="F26" s="6" t="s">
        <v>8</v>
      </c>
      <c r="G26" s="11" t="s">
        <v>9</v>
      </c>
      <c r="H26" s="6" t="s">
        <v>10</v>
      </c>
      <c r="I26" s="21" t="s">
        <v>1068</v>
      </c>
      <c r="J26" s="18">
        <f>VLOOKUP(A26,[2]Export!$A:$B,2,0)</f>
        <v>11325.46052120567</v>
      </c>
      <c r="K26" s="18">
        <f>VLOOKUP(A26,[2]Export!$A:$C,3,0)</f>
        <v>7527.239999999998</v>
      </c>
      <c r="L26" s="19">
        <f t="shared" si="2"/>
        <v>0.66462992704853585</v>
      </c>
      <c r="M26" s="18">
        <f>VLOOKUP(A26,[2]Export!$A:$G,7,0)</f>
        <v>7765.1400000000021</v>
      </c>
      <c r="N26" s="19">
        <f t="shared" si="3"/>
        <v>0.68563569538392166</v>
      </c>
      <c r="O26" s="17" t="s">
        <v>1027</v>
      </c>
      <c r="P26" s="17" t="s">
        <v>1028</v>
      </c>
      <c r="Q26" s="17" t="s">
        <v>1023</v>
      </c>
      <c r="R26" s="17" t="str">
        <f>VLOOKUP(A26,[1]Export!$A:$I,9,0)</f>
        <v>Comprou Marcas</v>
      </c>
      <c r="S26" s="17" t="s">
        <v>1022</v>
      </c>
      <c r="T26" s="20"/>
      <c r="U26" s="17"/>
      <c r="V26" s="17"/>
    </row>
    <row r="27" spans="1:22" x14ac:dyDescent="0.35">
      <c r="A27" s="5">
        <v>33019679000110</v>
      </c>
      <c r="B27" s="7"/>
      <c r="C27" s="4"/>
      <c r="D27" s="6" t="s">
        <v>63</v>
      </c>
      <c r="E27" s="6" t="s">
        <v>61</v>
      </c>
      <c r="F27" s="6" t="s">
        <v>8</v>
      </c>
      <c r="G27" s="11" t="s">
        <v>64</v>
      </c>
      <c r="H27" s="6" t="s">
        <v>17</v>
      </c>
      <c r="I27" s="21" t="s">
        <v>1066</v>
      </c>
      <c r="J27" s="18">
        <f>VLOOKUP(A27,[2]Export!$A:$B,2,0)</f>
        <v>11566.402857489575</v>
      </c>
      <c r="K27" s="18">
        <f>VLOOKUP(A27,[2]Export!$A:$C,3,0)</f>
        <v>4148.7600000000011</v>
      </c>
      <c r="L27" s="19">
        <f t="shared" si="2"/>
        <v>0.35869060166044286</v>
      </c>
      <c r="M27" s="18">
        <f>VLOOKUP(A27,[2]Export!$A:$G,7,0)</f>
        <v>5699.27</v>
      </c>
      <c r="N27" s="19">
        <f t="shared" si="3"/>
        <v>0.49274351500817398</v>
      </c>
      <c r="O27" s="17" t="s">
        <v>1029</v>
      </c>
      <c r="P27" s="17" t="s">
        <v>1026</v>
      </c>
      <c r="Q27" s="17" t="s">
        <v>1022</v>
      </c>
      <c r="R27" s="17" t="str">
        <f>VLOOKUP(A27,[1]Export!$A:$I,9,0)</f>
        <v>Comprou Marcas</v>
      </c>
      <c r="S27" s="17" t="s">
        <v>1022</v>
      </c>
      <c r="T27" s="20"/>
      <c r="U27" s="17"/>
      <c r="V27" s="17"/>
    </row>
    <row r="28" spans="1:22" x14ac:dyDescent="0.35">
      <c r="A28" s="4">
        <v>14132723000230</v>
      </c>
      <c r="B28" s="7" t="s">
        <v>414</v>
      </c>
      <c r="C28" s="4"/>
      <c r="D28" s="1" t="s">
        <v>414</v>
      </c>
      <c r="E28" s="1" t="s">
        <v>330</v>
      </c>
      <c r="F28" s="1" t="s">
        <v>15</v>
      </c>
      <c r="G28" s="10" t="s">
        <v>38</v>
      </c>
      <c r="H28" s="1" t="s">
        <v>17</v>
      </c>
      <c r="I28" s="21" t="s">
        <v>1069</v>
      </c>
      <c r="J28" s="18">
        <f>VLOOKUP(A28,[2]Export!$A:$B,2,0)</f>
        <v>14038.39729459507</v>
      </c>
      <c r="K28" s="18">
        <f>VLOOKUP(A28,[2]Export!$A:$C,3,0)</f>
        <v>12420.799999999997</v>
      </c>
      <c r="L28" s="19">
        <f t="shared" si="2"/>
        <v>0.88477336403509077</v>
      </c>
      <c r="M28" s="18">
        <f>VLOOKUP(A28,[2]Export!$A:$G,7,0)</f>
        <v>9806.6999999999989</v>
      </c>
      <c r="N28" s="19">
        <f t="shared" si="3"/>
        <v>0.69856264886987351</v>
      </c>
      <c r="O28" s="17" t="s">
        <v>1027</v>
      </c>
      <c r="P28" s="17" t="s">
        <v>1028</v>
      </c>
      <c r="Q28" s="17" t="s">
        <v>1022</v>
      </c>
      <c r="R28" s="17" t="str">
        <f>VLOOKUP(A28,[1]Export!$A:$I,9,0)</f>
        <v>Comprou Marcas</v>
      </c>
      <c r="S28" s="17" t="s">
        <v>1022</v>
      </c>
      <c r="T28" s="20"/>
      <c r="U28" s="17"/>
      <c r="V28" s="17"/>
    </row>
    <row r="29" spans="1:22" x14ac:dyDescent="0.35">
      <c r="A29" s="5">
        <v>35595811000167</v>
      </c>
      <c r="B29" s="7"/>
      <c r="C29" s="4"/>
      <c r="D29" s="6" t="s">
        <v>66</v>
      </c>
      <c r="E29" s="6" t="s">
        <v>35</v>
      </c>
      <c r="F29" s="6" t="s">
        <v>8</v>
      </c>
      <c r="G29" s="11" t="s">
        <v>20</v>
      </c>
      <c r="H29" s="6" t="s">
        <v>17</v>
      </c>
      <c r="I29" s="21" t="s">
        <v>1070</v>
      </c>
      <c r="J29" s="18">
        <f>VLOOKUP(A29,[2]Export!$A:$B,2,0)</f>
        <v>8236.3261613615305</v>
      </c>
      <c r="K29" s="18">
        <f>VLOOKUP(A29,[2]Export!$A:$C,3,0)</f>
        <v>384.38</v>
      </c>
      <c r="L29" s="19">
        <f t="shared" si="2"/>
        <v>4.666886576240916E-2</v>
      </c>
      <c r="M29" s="18">
        <f>VLOOKUP(A29,[2]Export!$A:$G,7,0)</f>
        <v>0</v>
      </c>
      <c r="N29" s="19">
        <f t="shared" si="3"/>
        <v>0</v>
      </c>
      <c r="O29" s="17" t="s">
        <v>1027</v>
      </c>
      <c r="P29" s="17" t="s">
        <v>1028</v>
      </c>
      <c r="Q29" s="17" t="s">
        <v>1023</v>
      </c>
      <c r="R29" s="17" t="str">
        <f>VLOOKUP(A29,[1]Export!$A:$I,9,0)</f>
        <v>Não Comprou</v>
      </c>
      <c r="S29" s="17" t="s">
        <v>1022</v>
      </c>
      <c r="T29" s="20">
        <v>4</v>
      </c>
      <c r="U29" s="17"/>
      <c r="V29" s="17"/>
    </row>
    <row r="30" spans="1:22" x14ac:dyDescent="0.35">
      <c r="A30" s="4">
        <v>30960236000130</v>
      </c>
      <c r="B30" s="7"/>
      <c r="C30" s="4"/>
      <c r="D30" s="1" t="s">
        <v>67</v>
      </c>
      <c r="E30" s="1" t="s">
        <v>68</v>
      </c>
      <c r="F30" s="1" t="s">
        <v>15</v>
      </c>
      <c r="G30" s="10" t="s">
        <v>20</v>
      </c>
      <c r="H30" s="1" t="s">
        <v>17</v>
      </c>
      <c r="I30" s="21" t="s">
        <v>1069</v>
      </c>
      <c r="J30" s="18">
        <f>VLOOKUP(A30,[2]Export!$A:$B,2,0)</f>
        <v>3288.3094681418461</v>
      </c>
      <c r="K30" s="18">
        <f>VLOOKUP(A30,[2]Export!$A:$C,3,0)</f>
        <v>1928.4000000000003</v>
      </c>
      <c r="L30" s="19">
        <f t="shared" si="2"/>
        <v>0.58644115424139143</v>
      </c>
      <c r="M30" s="18">
        <f>VLOOKUP(A30,[2]Export!$A:$G,7,0)</f>
        <v>451.95000000000005</v>
      </c>
      <c r="N30" s="19">
        <f t="shared" si="3"/>
        <v>0.13744144350725829</v>
      </c>
      <c r="O30" s="17" t="s">
        <v>1025</v>
      </c>
      <c r="P30" s="17" t="s">
        <v>1026</v>
      </c>
      <c r="Q30" s="17" t="s">
        <v>1022</v>
      </c>
      <c r="R30" s="17" t="str">
        <f>VLOOKUP(A30,[1]Export!$A:$I,9,0)</f>
        <v>Comprou Marcas</v>
      </c>
      <c r="S30" s="17" t="s">
        <v>1022</v>
      </c>
      <c r="T30" s="20"/>
      <c r="U30" s="17"/>
      <c r="V30" s="17"/>
    </row>
    <row r="31" spans="1:22" x14ac:dyDescent="0.35">
      <c r="A31" s="5">
        <v>33019679000209</v>
      </c>
      <c r="B31" s="7"/>
      <c r="C31" s="4"/>
      <c r="D31" s="6" t="s">
        <v>69</v>
      </c>
      <c r="E31" s="6" t="s">
        <v>61</v>
      </c>
      <c r="F31" s="6" t="s">
        <v>8</v>
      </c>
      <c r="G31" s="11" t="s">
        <v>64</v>
      </c>
      <c r="H31" s="6" t="s">
        <v>17</v>
      </c>
      <c r="I31" s="21" t="s">
        <v>1066</v>
      </c>
      <c r="J31" s="18">
        <f>VLOOKUP(A31,[2]Export!$A:$B,2,0)</f>
        <v>4998.5724604267298</v>
      </c>
      <c r="K31" s="18">
        <f>VLOOKUP(A31,[2]Export!$A:$C,3,0)</f>
        <v>2406.84</v>
      </c>
      <c r="L31" s="19">
        <f t="shared" si="2"/>
        <v>0.48150547362366886</v>
      </c>
      <c r="M31" s="18">
        <f>VLOOKUP(A31,[2]Export!$A:$G,7,0)</f>
        <v>2155.0099999999998</v>
      </c>
      <c r="N31" s="19">
        <f t="shared" si="3"/>
        <v>0.43112508962529389</v>
      </c>
      <c r="O31" s="17" t="s">
        <v>1029</v>
      </c>
      <c r="P31" s="17" t="s">
        <v>1026</v>
      </c>
      <c r="Q31" s="17" t="s">
        <v>1022</v>
      </c>
      <c r="R31" s="17" t="str">
        <f>VLOOKUP(A31,[1]Export!$A:$I,9,0)</f>
        <v>Comprou Marcas</v>
      </c>
      <c r="S31" s="17" t="s">
        <v>1022</v>
      </c>
      <c r="T31" s="20">
        <v>1</v>
      </c>
      <c r="U31" s="17"/>
      <c r="V31" s="17"/>
    </row>
    <row r="32" spans="1:22" x14ac:dyDescent="0.35">
      <c r="A32" s="4">
        <v>33193160000153</v>
      </c>
      <c r="B32" s="7"/>
      <c r="C32" s="4"/>
      <c r="D32" s="1" t="s">
        <v>70</v>
      </c>
      <c r="E32" s="1" t="s">
        <v>71</v>
      </c>
      <c r="F32" s="1" t="s">
        <v>15</v>
      </c>
      <c r="G32" s="10" t="s">
        <v>36</v>
      </c>
      <c r="H32" s="1" t="s">
        <v>17</v>
      </c>
      <c r="I32" s="21" t="s">
        <v>1069</v>
      </c>
      <c r="J32" s="18">
        <f>VLOOKUP(A32,[2]Export!$A:$B,2,0)</f>
        <v>4224.5038958684936</v>
      </c>
      <c r="K32" s="18">
        <f>VLOOKUP(A32,[2]Export!$A:$C,3,0)</f>
        <v>2945.06</v>
      </c>
      <c r="L32" s="19">
        <f t="shared" si="2"/>
        <v>0.69713747994888298</v>
      </c>
      <c r="M32" s="18">
        <f>VLOOKUP(A32,[2]Export!$A:$G,7,0)</f>
        <v>0</v>
      </c>
      <c r="N32" s="19">
        <f t="shared" si="3"/>
        <v>0</v>
      </c>
      <c r="O32" s="17" t="s">
        <v>1025</v>
      </c>
      <c r="P32" s="17" t="s">
        <v>1026</v>
      </c>
      <c r="Q32" s="17" t="s">
        <v>1022</v>
      </c>
      <c r="R32" s="17" t="str">
        <f>VLOOKUP(A32,[1]Export!$A:$I,9,0)</f>
        <v>Não Comprou</v>
      </c>
      <c r="S32" s="17" t="s">
        <v>1022</v>
      </c>
      <c r="T32" s="20"/>
      <c r="U32" s="17"/>
      <c r="V32" s="17"/>
    </row>
    <row r="33" spans="1:22" x14ac:dyDescent="0.35">
      <c r="A33" s="5">
        <v>16735647000282</v>
      </c>
      <c r="B33" s="7"/>
      <c r="C33" s="4"/>
      <c r="D33" s="6" t="s">
        <v>72</v>
      </c>
      <c r="E33" s="6" t="s">
        <v>61</v>
      </c>
      <c r="F33" s="6" t="s">
        <v>8</v>
      </c>
      <c r="G33" s="11" t="s">
        <v>20</v>
      </c>
      <c r="H33" s="6" t="s">
        <v>17</v>
      </c>
      <c r="I33" s="21" t="s">
        <v>1066</v>
      </c>
      <c r="J33" s="18">
        <f>VLOOKUP(A33,[2]Export!$A:$B,2,0)</f>
        <v>1672.6892611244018</v>
      </c>
      <c r="K33" s="18">
        <f>VLOOKUP(A33,[2]Export!$A:$C,3,0)</f>
        <v>29.8</v>
      </c>
      <c r="L33" s="19">
        <f t="shared" si="2"/>
        <v>1.7815622239344134E-2</v>
      </c>
      <c r="M33" s="18">
        <f>VLOOKUP(A33,[2]Export!$A:$G,7,0)</f>
        <v>0</v>
      </c>
      <c r="N33" s="19">
        <f t="shared" si="3"/>
        <v>0</v>
      </c>
      <c r="O33" s="17" t="s">
        <v>1025</v>
      </c>
      <c r="P33" s="17" t="s">
        <v>1026</v>
      </c>
      <c r="Q33" s="17" t="s">
        <v>1023</v>
      </c>
      <c r="R33" s="17" t="str">
        <f>VLOOKUP(A33,[1]Export!$A:$I,9,0)</f>
        <v>Não Comprou</v>
      </c>
      <c r="S33" s="17" t="s">
        <v>1023</v>
      </c>
      <c r="T33" s="20"/>
      <c r="U33" s="17"/>
      <c r="V33" s="17"/>
    </row>
    <row r="34" spans="1:22" x14ac:dyDescent="0.35">
      <c r="A34" s="4">
        <v>22054397000137</v>
      </c>
      <c r="B34" s="7"/>
      <c r="C34" s="4"/>
      <c r="D34" s="1" t="s">
        <v>73</v>
      </c>
      <c r="E34" s="1" t="s">
        <v>45</v>
      </c>
      <c r="F34" s="1" t="s">
        <v>8</v>
      </c>
      <c r="G34" s="10" t="s">
        <v>74</v>
      </c>
      <c r="H34" s="1" t="s">
        <v>17</v>
      </c>
      <c r="I34" s="21" t="s">
        <v>1068</v>
      </c>
      <c r="J34" s="18">
        <f>VLOOKUP(A34,[2]Export!$A:$B,2,0)</f>
        <v>3095.4035332870135</v>
      </c>
      <c r="K34" s="18">
        <f>VLOOKUP(A34,[2]Export!$A:$C,3,0)</f>
        <v>2617.63</v>
      </c>
      <c r="L34" s="19">
        <f t="shared" si="2"/>
        <v>0.84565064678993085</v>
      </c>
      <c r="M34" s="18">
        <f>VLOOKUP(A34,[2]Export!$A:$G,7,0)</f>
        <v>0</v>
      </c>
      <c r="N34" s="19">
        <f t="shared" si="3"/>
        <v>0</v>
      </c>
      <c r="O34" s="17" t="s">
        <v>1025</v>
      </c>
      <c r="P34" s="17" t="s">
        <v>1026</v>
      </c>
      <c r="Q34" s="17" t="s">
        <v>1023</v>
      </c>
      <c r="R34" s="17" t="str">
        <f>VLOOKUP(A34,[1]Export!$A:$I,9,0)</f>
        <v>Não Comprou</v>
      </c>
      <c r="S34" s="17" t="s">
        <v>1022</v>
      </c>
      <c r="T34" s="20"/>
      <c r="U34" s="17"/>
      <c r="V34" s="17"/>
    </row>
    <row r="35" spans="1:22" x14ac:dyDescent="0.35">
      <c r="A35" s="5">
        <v>32641091000130</v>
      </c>
      <c r="B35" s="7"/>
      <c r="C35" s="4"/>
      <c r="D35" s="6" t="s">
        <v>75</v>
      </c>
      <c r="E35" s="6" t="s">
        <v>56</v>
      </c>
      <c r="F35" s="6" t="s">
        <v>48</v>
      </c>
      <c r="G35" s="11" t="s">
        <v>75</v>
      </c>
      <c r="H35" s="6" t="s">
        <v>17</v>
      </c>
      <c r="I35" s="21" t="s">
        <v>1073</v>
      </c>
      <c r="J35" s="18">
        <f>VLOOKUP(A35,[2]Export!$A:$B,2,0)</f>
        <v>4038.2597437023901</v>
      </c>
      <c r="K35" s="18">
        <f>VLOOKUP(A35,[2]Export!$A:$C,3,0)</f>
        <v>1036.4399999999998</v>
      </c>
      <c r="L35" s="19">
        <f t="shared" si="2"/>
        <v>0.25665511031486116</v>
      </c>
      <c r="M35" s="18">
        <f>VLOOKUP(A35,[2]Export!$A:$G,7,0)</f>
        <v>0</v>
      </c>
      <c r="N35" s="19">
        <f t="shared" si="3"/>
        <v>0</v>
      </c>
      <c r="O35" s="17" t="s">
        <v>1027</v>
      </c>
      <c r="P35" s="17" t="s">
        <v>1026</v>
      </c>
      <c r="Q35" s="17" t="s">
        <v>1023</v>
      </c>
      <c r="R35" s="17" t="str">
        <f>VLOOKUP(A35,[1]Export!$A:$I,9,0)</f>
        <v>Não Comprou</v>
      </c>
      <c r="S35" s="17" t="s">
        <v>1023</v>
      </c>
      <c r="T35" s="20"/>
      <c r="U35" s="17"/>
      <c r="V35" s="17"/>
    </row>
    <row r="36" spans="1:22" x14ac:dyDescent="0.35">
      <c r="A36" s="4">
        <v>55845358000107</v>
      </c>
      <c r="B36" s="7"/>
      <c r="C36" s="4"/>
      <c r="D36" s="1" t="s">
        <v>76</v>
      </c>
      <c r="E36" s="1" t="s">
        <v>50</v>
      </c>
      <c r="F36" s="1" t="s">
        <v>48</v>
      </c>
      <c r="G36" s="10" t="s">
        <v>16</v>
      </c>
      <c r="H36" s="1" t="s">
        <v>17</v>
      </c>
      <c r="I36" s="21" t="s">
        <v>1071</v>
      </c>
      <c r="J36" s="18">
        <f>VLOOKUP(A36,[2]Export!$A:$B,2,0)</f>
        <v>1733.0829608640965</v>
      </c>
      <c r="K36" s="18">
        <f>VLOOKUP(A36,[2]Export!$A:$C,3,0)</f>
        <v>827.09000000000015</v>
      </c>
      <c r="L36" s="19">
        <f t="shared" si="2"/>
        <v>0.47723624239408707</v>
      </c>
      <c r="M36" s="18">
        <f>VLOOKUP(A36,[2]Export!$A:$G,7,0)</f>
        <v>0</v>
      </c>
      <c r="N36" s="19">
        <f t="shared" si="3"/>
        <v>0</v>
      </c>
      <c r="O36" s="17" t="s">
        <v>1025</v>
      </c>
      <c r="P36" s="17" t="s">
        <v>1026</v>
      </c>
      <c r="Q36" s="17" t="s">
        <v>1023</v>
      </c>
      <c r="R36" s="17" t="str">
        <f>VLOOKUP(A36,[1]Export!$A:$I,9,0)</f>
        <v>Não Comprou</v>
      </c>
      <c r="S36" s="17" t="s">
        <v>1023</v>
      </c>
      <c r="T36" s="20"/>
      <c r="U36" s="17"/>
      <c r="V36" s="17"/>
    </row>
    <row r="37" spans="1:22" x14ac:dyDescent="0.35">
      <c r="A37" s="5">
        <v>57338966000150</v>
      </c>
      <c r="B37" s="7"/>
      <c r="C37" s="4"/>
      <c r="D37" s="6" t="s">
        <v>77</v>
      </c>
      <c r="E37" s="6" t="s">
        <v>61</v>
      </c>
      <c r="F37" s="6" t="s">
        <v>8</v>
      </c>
      <c r="G37" s="11" t="s">
        <v>74</v>
      </c>
      <c r="H37" s="6" t="s">
        <v>17</v>
      </c>
      <c r="I37" s="21" t="s">
        <v>1066</v>
      </c>
      <c r="J37" s="18">
        <f>VLOOKUP(A37,[2]Export!$A:$B,2,0)</f>
        <v>893.70473724607905</v>
      </c>
      <c r="K37" s="18">
        <f>VLOOKUP(A37,[2]Export!$A:$C,3,0)</f>
        <v>289.68</v>
      </c>
      <c r="L37" s="19">
        <f t="shared" si="2"/>
        <v>0.32413389783815977</v>
      </c>
      <c r="M37" s="18">
        <f>VLOOKUP(A37,[2]Export!$A:$G,7,0)</f>
        <v>0</v>
      </c>
      <c r="N37" s="19">
        <f t="shared" si="3"/>
        <v>0</v>
      </c>
      <c r="O37" s="17" t="s">
        <v>1027</v>
      </c>
      <c r="P37" s="17" t="s">
        <v>1028</v>
      </c>
      <c r="Q37" s="17" t="s">
        <v>1023</v>
      </c>
      <c r="R37" s="17" t="str">
        <f>VLOOKUP(A37,[1]Export!$A:$I,9,0)</f>
        <v>Não Comprou</v>
      </c>
      <c r="S37" s="17" t="s">
        <v>1022</v>
      </c>
      <c r="T37" s="20"/>
      <c r="U37" s="17"/>
      <c r="V37" s="17"/>
    </row>
    <row r="38" spans="1:22" x14ac:dyDescent="0.35">
      <c r="A38" s="4">
        <v>8029945000148</v>
      </c>
      <c r="B38" s="7"/>
      <c r="C38" s="4"/>
      <c r="D38" s="1" t="s">
        <v>78</v>
      </c>
      <c r="E38" s="1" t="s">
        <v>79</v>
      </c>
      <c r="F38" s="1" t="s">
        <v>48</v>
      </c>
      <c r="G38" s="10" t="s">
        <v>80</v>
      </c>
      <c r="H38" s="1" t="s">
        <v>17</v>
      </c>
      <c r="I38" s="21" t="s">
        <v>1073</v>
      </c>
      <c r="J38" s="18">
        <f>VLOOKUP(A38,[2]Export!$A:$B,2,0)</f>
        <v>13195.811985356415</v>
      </c>
      <c r="K38" s="18">
        <f>VLOOKUP(A38,[2]Export!$A:$C,3,0)</f>
        <v>10599.119999999999</v>
      </c>
      <c r="L38" s="19">
        <f t="shared" si="2"/>
        <v>0.80321847657135437</v>
      </c>
      <c r="M38" s="18">
        <f>VLOOKUP(A38,[2]Export!$A:$G,7,0)</f>
        <v>4312.8600000000006</v>
      </c>
      <c r="N38" s="19">
        <f t="shared" si="3"/>
        <v>0.3268355145394648</v>
      </c>
      <c r="O38" s="17" t="s">
        <v>1027</v>
      </c>
      <c r="P38" s="17" t="s">
        <v>1028</v>
      </c>
      <c r="Q38" s="17" t="s">
        <v>1023</v>
      </c>
      <c r="R38" s="17" t="str">
        <f>VLOOKUP(A38,[1]Export!$A:$I,9,0)</f>
        <v>Comprou Marcas</v>
      </c>
      <c r="S38" s="17" t="s">
        <v>1022</v>
      </c>
      <c r="T38" s="20">
        <v>4</v>
      </c>
      <c r="U38" s="17"/>
      <c r="V38" s="17"/>
    </row>
    <row r="39" spans="1:22" x14ac:dyDescent="0.35">
      <c r="A39" s="5">
        <v>8298153000179</v>
      </c>
      <c r="B39" s="7"/>
      <c r="C39" s="4"/>
      <c r="D39" s="6" t="s">
        <v>81</v>
      </c>
      <c r="E39" s="6" t="s">
        <v>82</v>
      </c>
      <c r="F39" s="6" t="s">
        <v>8</v>
      </c>
      <c r="G39" s="11" t="s">
        <v>20</v>
      </c>
      <c r="H39" s="6" t="s">
        <v>17</v>
      </c>
      <c r="I39" s="21" t="s">
        <v>1070</v>
      </c>
      <c r="J39" s="18">
        <f>VLOOKUP(A39,[2]Export!$A:$B,2,0)</f>
        <v>1343.4458856421841</v>
      </c>
      <c r="K39" s="18">
        <f>VLOOKUP(A39,[2]Export!$A:$C,3,0)</f>
        <v>767.24999999999989</v>
      </c>
      <c r="L39" s="19">
        <f t="shared" si="2"/>
        <v>0.57110599555950459</v>
      </c>
      <c r="M39" s="18">
        <f>VLOOKUP(A39,[2]Export!$A:$G,7,0)</f>
        <v>524.75000000000011</v>
      </c>
      <c r="N39" s="19">
        <f t="shared" si="3"/>
        <v>0.39060002759185419</v>
      </c>
      <c r="O39" s="17" t="s">
        <v>1025</v>
      </c>
      <c r="P39" s="17" t="s">
        <v>1026</v>
      </c>
      <c r="Q39" s="17" t="s">
        <v>1023</v>
      </c>
      <c r="R39" s="17" t="str">
        <f>VLOOKUP(A39,[1]Export!$A:$I,9,0)</f>
        <v>Comprou Marcas</v>
      </c>
      <c r="S39" s="17" t="s">
        <v>1022</v>
      </c>
      <c r="T39" s="20"/>
      <c r="U39" s="17"/>
      <c r="V39" s="17"/>
    </row>
    <row r="40" spans="1:22" x14ac:dyDescent="0.35">
      <c r="A40" s="4">
        <v>9447656000121</v>
      </c>
      <c r="B40" s="7"/>
      <c r="C40" s="4"/>
      <c r="D40" s="1" t="s">
        <v>83</v>
      </c>
      <c r="E40" s="1" t="s">
        <v>84</v>
      </c>
      <c r="F40" s="1" t="s">
        <v>8</v>
      </c>
      <c r="G40" s="10" t="s">
        <v>36</v>
      </c>
      <c r="H40" s="1" t="s">
        <v>17</v>
      </c>
      <c r="I40" s="21" t="s">
        <v>1072</v>
      </c>
      <c r="J40" s="18">
        <f>VLOOKUP(A40,[2]Export!$A:$B,2,0)</f>
        <v>2213.5782668646507</v>
      </c>
      <c r="K40" s="18">
        <f>VLOOKUP(A40,[2]Export!$A:$C,3,0)</f>
        <v>894.38999999999987</v>
      </c>
      <c r="L40" s="19">
        <f t="shared" si="2"/>
        <v>0.40404715450465134</v>
      </c>
      <c r="M40" s="18">
        <f>VLOOKUP(A40,[2]Export!$A:$G,7,0)</f>
        <v>137.85</v>
      </c>
      <c r="N40" s="19">
        <f t="shared" si="3"/>
        <v>6.2274735013211457E-2</v>
      </c>
      <c r="O40" s="17" t="s">
        <v>1025</v>
      </c>
      <c r="P40" s="17" t="s">
        <v>1026</v>
      </c>
      <c r="Q40" s="17" t="s">
        <v>1022</v>
      </c>
      <c r="R40" s="17" t="str">
        <f>VLOOKUP(A40,[1]Export!$A:$I,9,0)</f>
        <v>Comprou Marcas</v>
      </c>
      <c r="S40" s="17" t="s">
        <v>1023</v>
      </c>
      <c r="T40" s="20"/>
      <c r="U40" s="17"/>
      <c r="V40" s="17"/>
    </row>
    <row r="41" spans="1:22" x14ac:dyDescent="0.35">
      <c r="A41" s="5">
        <v>1770218000198</v>
      </c>
      <c r="B41" s="7"/>
      <c r="C41" s="4"/>
      <c r="D41" s="6" t="s">
        <v>85</v>
      </c>
      <c r="E41" s="6" t="s">
        <v>86</v>
      </c>
      <c r="F41" s="6" t="s">
        <v>48</v>
      </c>
      <c r="G41" s="11" t="s">
        <v>87</v>
      </c>
      <c r="H41" s="6" t="s">
        <v>17</v>
      </c>
      <c r="I41" s="21" t="s">
        <v>1073</v>
      </c>
      <c r="J41" s="18">
        <f>VLOOKUP(A41,[2]Export!$A:$B,2,0)</f>
        <v>5749.905993469868</v>
      </c>
      <c r="K41" s="18">
        <f>VLOOKUP(A41,[2]Export!$A:$C,3,0)</f>
        <v>1838.4400000000003</v>
      </c>
      <c r="L41" s="19">
        <f t="shared" si="2"/>
        <v>0.31973392296985464</v>
      </c>
      <c r="M41" s="18">
        <f>VLOOKUP(A41,[2]Export!$A:$G,7,0)</f>
        <v>176.63000000000002</v>
      </c>
      <c r="N41" s="19">
        <f t="shared" si="3"/>
        <v>3.0718763089448351E-2</v>
      </c>
      <c r="O41" s="17" t="s">
        <v>1029</v>
      </c>
      <c r="P41" s="17" t="s">
        <v>1026</v>
      </c>
      <c r="Q41" s="17" t="s">
        <v>1022</v>
      </c>
      <c r="R41" s="17" t="str">
        <f>VLOOKUP(A41,[1]Export!$A:$I,9,0)</f>
        <v>Comprou Marcas</v>
      </c>
      <c r="S41" s="17" t="s">
        <v>1023</v>
      </c>
      <c r="T41" s="20"/>
      <c r="U41" s="17"/>
      <c r="V41" s="17"/>
    </row>
    <row r="42" spans="1:22" x14ac:dyDescent="0.35">
      <c r="A42" s="4">
        <v>2021988000109</v>
      </c>
      <c r="B42" s="7"/>
      <c r="C42" s="4"/>
      <c r="D42" s="1" t="s">
        <v>88</v>
      </c>
      <c r="E42" s="1" t="s">
        <v>89</v>
      </c>
      <c r="F42" s="1" t="s">
        <v>15</v>
      </c>
      <c r="G42" s="10" t="s">
        <v>20</v>
      </c>
      <c r="H42" s="1" t="s">
        <v>17</v>
      </c>
      <c r="I42" s="21" t="s">
        <v>1067</v>
      </c>
      <c r="J42" s="18">
        <f>VLOOKUP(A42,[2]Export!$A:$B,2,0)</f>
        <v>613.53326523484054</v>
      </c>
      <c r="K42" s="18">
        <f>VLOOKUP(A42,[2]Export!$A:$C,3,0)</f>
        <v>405.59000000000003</v>
      </c>
      <c r="L42" s="19">
        <f t="shared" si="2"/>
        <v>0.6610725497414609</v>
      </c>
      <c r="M42" s="18">
        <f>VLOOKUP(A42,[2]Export!$A:$G,7,0)</f>
        <v>0</v>
      </c>
      <c r="N42" s="19">
        <f t="shared" si="3"/>
        <v>0</v>
      </c>
      <c r="O42" s="17" t="s">
        <v>1025</v>
      </c>
      <c r="P42" s="17" t="s">
        <v>1026</v>
      </c>
      <c r="Q42" s="17" t="s">
        <v>1023</v>
      </c>
      <c r="R42" s="17" t="str">
        <f>VLOOKUP(A42,[1]Export!$A:$I,9,0)</f>
        <v>Não Comprou</v>
      </c>
      <c r="S42" s="17" t="s">
        <v>1023</v>
      </c>
      <c r="T42" s="20"/>
      <c r="U42" s="17"/>
      <c r="V42" s="17"/>
    </row>
    <row r="43" spans="1:22" x14ac:dyDescent="0.35">
      <c r="A43" s="5">
        <v>2440068000206</v>
      </c>
      <c r="B43" s="7"/>
      <c r="C43" s="4"/>
      <c r="D43" s="6" t="s">
        <v>90</v>
      </c>
      <c r="E43" s="6" t="s">
        <v>58</v>
      </c>
      <c r="F43" s="6" t="s">
        <v>8</v>
      </c>
      <c r="G43" s="11" t="s">
        <v>64</v>
      </c>
      <c r="H43" s="6" t="s">
        <v>17</v>
      </c>
      <c r="I43" s="21" t="s">
        <v>1066</v>
      </c>
      <c r="J43" s="18">
        <f>VLOOKUP(A43,[2]Export!$A:$B,2,0)</f>
        <v>14495.808018265252</v>
      </c>
      <c r="K43" s="18">
        <f>VLOOKUP(A43,[2]Export!$A:$C,3,0)</f>
        <v>5635.35</v>
      </c>
      <c r="L43" s="19">
        <f t="shared" si="2"/>
        <v>0.38875721814880909</v>
      </c>
      <c r="M43" s="18">
        <f>VLOOKUP(A43,[2]Export!$A:$G,7,0)</f>
        <v>4784.08</v>
      </c>
      <c r="N43" s="19">
        <f t="shared" si="3"/>
        <v>0.33003196468743812</v>
      </c>
      <c r="O43" s="17" t="s">
        <v>1029</v>
      </c>
      <c r="P43" s="17" t="s">
        <v>1026</v>
      </c>
      <c r="Q43" s="17" t="s">
        <v>1022</v>
      </c>
      <c r="R43" s="17" t="str">
        <f>VLOOKUP(A43,[1]Export!$A:$I,9,0)</f>
        <v>Comprou Marcas</v>
      </c>
      <c r="S43" s="17" t="s">
        <v>1022</v>
      </c>
      <c r="T43" s="20"/>
      <c r="U43" s="17"/>
      <c r="V43" s="17"/>
    </row>
    <row r="44" spans="1:22" x14ac:dyDescent="0.35">
      <c r="A44" s="4">
        <v>4834843001620</v>
      </c>
      <c r="B44" s="7" t="s">
        <v>994</v>
      </c>
      <c r="C44" s="4"/>
      <c r="D44" s="1" t="s">
        <v>91</v>
      </c>
      <c r="E44" s="1" t="s">
        <v>47</v>
      </c>
      <c r="F44" s="1" t="s">
        <v>48</v>
      </c>
      <c r="G44" s="10" t="s">
        <v>92</v>
      </c>
      <c r="H44" s="1" t="s">
        <v>17</v>
      </c>
      <c r="I44" s="21" t="s">
        <v>1071</v>
      </c>
      <c r="J44" s="18">
        <f>VLOOKUP(A44,[2]Export!$A:$B,2,0)</f>
        <v>7244.006867904327</v>
      </c>
      <c r="K44" s="18">
        <f>VLOOKUP(A44,[2]Export!$A:$C,3,0)</f>
        <v>6952.6</v>
      </c>
      <c r="L44" s="19">
        <f t="shared" si="2"/>
        <v>0.95977269579968938</v>
      </c>
      <c r="M44" s="18">
        <f>VLOOKUP(A44,[2]Export!$A:$G,7,0)</f>
        <v>6114.76</v>
      </c>
      <c r="N44" s="19">
        <f t="shared" si="3"/>
        <v>0.84411294902167655</v>
      </c>
      <c r="O44" s="17" t="s">
        <v>1027</v>
      </c>
      <c r="P44" s="17" t="s">
        <v>1028</v>
      </c>
      <c r="Q44" s="17" t="s">
        <v>1023</v>
      </c>
      <c r="R44" s="17" t="str">
        <f>VLOOKUP(A44,[1]Export!$A:$I,9,0)</f>
        <v>Comprou Marcas e SG</v>
      </c>
      <c r="S44" s="17" t="s">
        <v>1022</v>
      </c>
      <c r="T44" s="20"/>
      <c r="U44" s="17"/>
      <c r="V44" s="17"/>
    </row>
    <row r="45" spans="1:22" x14ac:dyDescent="0.35">
      <c r="A45" s="5">
        <v>5382051000149</v>
      </c>
      <c r="B45" s="7"/>
      <c r="C45" s="4"/>
      <c r="D45" s="6" t="s">
        <v>93</v>
      </c>
      <c r="E45" s="6" t="s">
        <v>94</v>
      </c>
      <c r="F45" s="6" t="s">
        <v>15</v>
      </c>
      <c r="G45" s="11" t="s">
        <v>36</v>
      </c>
      <c r="H45" s="6" t="s">
        <v>17</v>
      </c>
      <c r="I45" s="21" t="s">
        <v>1069</v>
      </c>
      <c r="J45" s="18">
        <f>VLOOKUP(A45,[2]Export!$A:$B,2,0)</f>
        <v>3924.3133275495547</v>
      </c>
      <c r="K45" s="18">
        <f>VLOOKUP(A45,[2]Export!$A:$C,3,0)</f>
        <v>2997.7799999999997</v>
      </c>
      <c r="L45" s="19">
        <f t="shared" si="2"/>
        <v>0.76389924804294185</v>
      </c>
      <c r="M45" s="18">
        <f>VLOOKUP(A45,[2]Export!$A:$G,7,0)</f>
        <v>2514.2300000000005</v>
      </c>
      <c r="N45" s="19">
        <f t="shared" si="3"/>
        <v>0.64068023884574787</v>
      </c>
      <c r="O45" s="17" t="s">
        <v>1025</v>
      </c>
      <c r="P45" s="17" t="s">
        <v>1026</v>
      </c>
      <c r="Q45" s="17" t="s">
        <v>1022</v>
      </c>
      <c r="R45" s="17" t="str">
        <f>VLOOKUP(A45,[1]Export!$A:$I,9,0)</f>
        <v>Comprou Marcas</v>
      </c>
      <c r="S45" s="17" t="s">
        <v>1022</v>
      </c>
      <c r="T45" s="20"/>
      <c r="U45" s="17"/>
      <c r="V45" s="17"/>
    </row>
    <row r="46" spans="1:22" x14ac:dyDescent="0.35">
      <c r="A46" s="4">
        <v>13475688000108</v>
      </c>
      <c r="B46" s="7"/>
      <c r="C46" s="4"/>
      <c r="D46" s="1" t="s">
        <v>95</v>
      </c>
      <c r="E46" s="1" t="s">
        <v>96</v>
      </c>
      <c r="F46" s="1" t="s">
        <v>8</v>
      </c>
      <c r="G46" s="10" t="s">
        <v>64</v>
      </c>
      <c r="H46" s="1" t="s">
        <v>17</v>
      </c>
      <c r="I46" s="21" t="s">
        <v>1072</v>
      </c>
      <c r="J46" s="18">
        <f>VLOOKUP(A46,[2]Export!$A:$B,2,0)</f>
        <v>2548.4112439938481</v>
      </c>
      <c r="K46" s="18">
        <f>VLOOKUP(A46,[2]Export!$A:$C,3,0)</f>
        <v>148.63</v>
      </c>
      <c r="L46" s="19">
        <f t="shared" si="2"/>
        <v>5.8322611921562684E-2</v>
      </c>
      <c r="M46" s="18">
        <f>VLOOKUP(A46,[2]Export!$A:$G,7,0)</f>
        <v>0</v>
      </c>
      <c r="N46" s="19">
        <f t="shared" si="3"/>
        <v>0</v>
      </c>
      <c r="O46" s="17" t="s">
        <v>1025</v>
      </c>
      <c r="P46" s="17" t="s">
        <v>1026</v>
      </c>
      <c r="Q46" s="17" t="s">
        <v>1023</v>
      </c>
      <c r="R46" s="17" t="str">
        <f>VLOOKUP(A46,[1]Export!$A:$I,9,0)</f>
        <v>Não Comprou</v>
      </c>
      <c r="S46" s="17" t="s">
        <v>1023</v>
      </c>
      <c r="T46" s="20"/>
      <c r="U46" s="17"/>
      <c r="V46" s="17"/>
    </row>
    <row r="47" spans="1:22" x14ac:dyDescent="0.35">
      <c r="A47" s="5">
        <v>16042681000190</v>
      </c>
      <c r="B47" s="7"/>
      <c r="C47" s="4"/>
      <c r="D47" s="6" t="s">
        <v>97</v>
      </c>
      <c r="E47" s="6" t="s">
        <v>98</v>
      </c>
      <c r="F47" s="6" t="s">
        <v>15</v>
      </c>
      <c r="G47" s="11" t="s">
        <v>20</v>
      </c>
      <c r="H47" s="6" t="s">
        <v>17</v>
      </c>
      <c r="I47" s="21" t="s">
        <v>1073</v>
      </c>
      <c r="J47" s="18">
        <f>VLOOKUP(A47,[2]Export!$A:$B,2,0)</f>
        <v>4681.8195339454387</v>
      </c>
      <c r="K47" s="18">
        <f>VLOOKUP(A47,[2]Export!$A:$C,3,0)</f>
        <v>2258.6100000000006</v>
      </c>
      <c r="L47" s="19">
        <f t="shared" si="2"/>
        <v>0.48242141407288214</v>
      </c>
      <c r="M47" s="18">
        <f>VLOOKUP(A47,[2]Export!$A:$G,7,0)</f>
        <v>951.63000000000011</v>
      </c>
      <c r="N47" s="19">
        <f t="shared" si="3"/>
        <v>0.20326071799654513</v>
      </c>
      <c r="O47" s="17" t="s">
        <v>1025</v>
      </c>
      <c r="P47" s="17" t="s">
        <v>1026</v>
      </c>
      <c r="Q47" s="17" t="s">
        <v>1023</v>
      </c>
      <c r="R47" s="17" t="str">
        <f>VLOOKUP(A47,[1]Export!$A:$I,9,0)</f>
        <v>Comprou Marcas</v>
      </c>
      <c r="S47" s="17" t="s">
        <v>1022</v>
      </c>
      <c r="T47" s="20"/>
      <c r="U47" s="17"/>
      <c r="V47" s="17"/>
    </row>
    <row r="48" spans="1:22" x14ac:dyDescent="0.35">
      <c r="A48" s="4">
        <v>16925842000194</v>
      </c>
      <c r="B48" s="7"/>
      <c r="C48" s="4"/>
      <c r="D48" s="1" t="s">
        <v>99</v>
      </c>
      <c r="E48" s="1" t="s">
        <v>100</v>
      </c>
      <c r="F48" s="1" t="s">
        <v>15</v>
      </c>
      <c r="G48" s="10" t="s">
        <v>16</v>
      </c>
      <c r="H48" s="1" t="s">
        <v>17</v>
      </c>
      <c r="I48" s="21" t="s">
        <v>1073</v>
      </c>
      <c r="J48" s="18">
        <f>VLOOKUP(A48,[2]Export!$A:$B,2,0)</f>
        <v>1930.9378077951558</v>
      </c>
      <c r="K48" s="18">
        <f>VLOOKUP(A48,[2]Export!$A:$C,3,0)</f>
        <v>1088.21</v>
      </c>
      <c r="L48" s="19">
        <f t="shared" si="2"/>
        <v>0.56356553567231371</v>
      </c>
      <c r="M48" s="18">
        <f>VLOOKUP(A48,[2]Export!$A:$G,7,0)</f>
        <v>243.66999999999996</v>
      </c>
      <c r="N48" s="19">
        <f t="shared" si="3"/>
        <v>0.1261925676820399</v>
      </c>
      <c r="O48" s="17" t="s">
        <v>1029</v>
      </c>
      <c r="P48" s="17" t="s">
        <v>1026</v>
      </c>
      <c r="Q48" s="17" t="s">
        <v>1022</v>
      </c>
      <c r="R48" s="17" t="str">
        <f>VLOOKUP(A48,[1]Export!$A:$I,9,0)</f>
        <v>Comprou Marcas</v>
      </c>
      <c r="S48" s="17" t="s">
        <v>1023</v>
      </c>
      <c r="T48" s="20"/>
      <c r="U48" s="17"/>
      <c r="V48" s="17"/>
    </row>
    <row r="49" spans="1:22" x14ac:dyDescent="0.35">
      <c r="A49" s="5">
        <v>17241854000162</v>
      </c>
      <c r="B49" s="7"/>
      <c r="C49" s="4">
        <v>116557</v>
      </c>
      <c r="D49" s="6" t="s">
        <v>101</v>
      </c>
      <c r="E49" s="6" t="s">
        <v>102</v>
      </c>
      <c r="F49" s="6" t="s">
        <v>48</v>
      </c>
      <c r="G49" s="11" t="s">
        <v>103</v>
      </c>
      <c r="H49" s="6" t="s">
        <v>17</v>
      </c>
      <c r="I49" s="21" t="s">
        <v>1071</v>
      </c>
      <c r="J49" s="18">
        <f>VLOOKUP(A49,[2]Export!$A:$B,2,0)</f>
        <v>28247.564316245564</v>
      </c>
      <c r="K49" s="18">
        <f>VLOOKUP(A49,[2]Export!$A:$C,3,0)</f>
        <v>15086.58</v>
      </c>
      <c r="L49" s="19">
        <f t="shared" si="2"/>
        <v>0.53408427824424842</v>
      </c>
      <c r="M49" s="18">
        <f>VLOOKUP(A49,[2]Export!$A:$G,7,0)</f>
        <v>12283.670000000002</v>
      </c>
      <c r="N49" s="19">
        <f t="shared" si="3"/>
        <v>0.43485766993848363</v>
      </c>
      <c r="O49" s="17" t="s">
        <v>1027</v>
      </c>
      <c r="P49" s="17" t="s">
        <v>1028</v>
      </c>
      <c r="Q49" s="17" t="s">
        <v>1023</v>
      </c>
      <c r="R49" s="17" t="str">
        <f>VLOOKUP(A49,[1]Export!$A:$I,9,0)</f>
        <v>Comprou Marcas e SG</v>
      </c>
      <c r="S49" s="17" t="s">
        <v>1022</v>
      </c>
      <c r="T49" s="20">
        <v>4</v>
      </c>
      <c r="U49" s="17"/>
      <c r="V49" s="17"/>
    </row>
    <row r="50" spans="1:22" x14ac:dyDescent="0.35">
      <c r="A50" s="4">
        <v>18645755000532</v>
      </c>
      <c r="B50" s="7" t="s">
        <v>1005</v>
      </c>
      <c r="C50" s="4"/>
      <c r="D50" s="1" t="s">
        <v>686</v>
      </c>
      <c r="E50" s="1" t="s">
        <v>127</v>
      </c>
      <c r="F50" s="1" t="s">
        <v>8</v>
      </c>
      <c r="G50" s="10" t="s">
        <v>9</v>
      </c>
      <c r="H50" s="1" t="s">
        <v>10</v>
      </c>
      <c r="I50" s="21" t="s">
        <v>1068</v>
      </c>
      <c r="J50" s="18">
        <f>VLOOKUP(A50,[2]Export!$A:$B,2,0)</f>
        <v>1948.9473959941192</v>
      </c>
      <c r="K50" s="18">
        <f>VLOOKUP(A50,[2]Export!$A:$C,3,0)</f>
        <v>1847.1200000000006</v>
      </c>
      <c r="L50" s="19">
        <f t="shared" si="2"/>
        <v>0.94775261959177792</v>
      </c>
      <c r="M50" s="18">
        <f>VLOOKUP(A50,[2]Export!$A:$G,7,0)</f>
        <v>1243.1600000000001</v>
      </c>
      <c r="N50" s="19">
        <f t="shared" si="3"/>
        <v>0.63786226480776254</v>
      </c>
      <c r="O50" s="17" t="s">
        <v>1027</v>
      </c>
      <c r="P50" s="17" t="s">
        <v>1028</v>
      </c>
      <c r="Q50" s="17" t="s">
        <v>1023</v>
      </c>
      <c r="R50" s="17" t="str">
        <f>VLOOKUP(A50,[1]Export!$A:$I,9,0)</f>
        <v>Comprou Marcas</v>
      </c>
      <c r="S50" s="17"/>
      <c r="T50" s="20"/>
      <c r="U50" s="17"/>
      <c r="V50" s="17"/>
    </row>
    <row r="51" spans="1:22" x14ac:dyDescent="0.35">
      <c r="A51" s="5">
        <v>12741296000180</v>
      </c>
      <c r="B51" s="7"/>
      <c r="C51" s="4"/>
      <c r="D51" s="6" t="s">
        <v>106</v>
      </c>
      <c r="E51" s="6" t="s">
        <v>56</v>
      </c>
      <c r="F51" s="6" t="s">
        <v>48</v>
      </c>
      <c r="G51" s="11" t="s">
        <v>33</v>
      </c>
      <c r="H51" s="6" t="s">
        <v>17</v>
      </c>
      <c r="I51" s="21" t="s">
        <v>1073</v>
      </c>
      <c r="J51" s="18">
        <f>VLOOKUP(A51,[2]Export!$A:$B,2,0)</f>
        <v>3681.9848483465744</v>
      </c>
      <c r="K51" s="18">
        <f>VLOOKUP(A51,[2]Export!$A:$C,3,0)</f>
        <v>1309.0100000000002</v>
      </c>
      <c r="L51" s="19">
        <f t="shared" si="2"/>
        <v>0.35551748687608586</v>
      </c>
      <c r="M51" s="18">
        <f>VLOOKUP(A51,[2]Export!$A:$G,7,0)</f>
        <v>361.34000000000003</v>
      </c>
      <c r="N51" s="19">
        <f t="shared" si="3"/>
        <v>9.8137285970164356E-2</v>
      </c>
      <c r="O51" s="17" t="s">
        <v>1029</v>
      </c>
      <c r="P51" s="17" t="s">
        <v>1026</v>
      </c>
      <c r="Q51" s="17" t="s">
        <v>1023</v>
      </c>
      <c r="R51" s="17" t="str">
        <f>VLOOKUP(A51,[1]Export!$A:$I,9,0)</f>
        <v>Comprou Marcas e SG</v>
      </c>
      <c r="S51" s="17" t="s">
        <v>1022</v>
      </c>
      <c r="T51" s="20"/>
      <c r="U51" s="17"/>
      <c r="V51" s="17"/>
    </row>
    <row r="52" spans="1:22" x14ac:dyDescent="0.35">
      <c r="A52" s="4">
        <v>57259868000128</v>
      </c>
      <c r="B52" s="7"/>
      <c r="C52" s="4"/>
      <c r="D52" s="1" t="s">
        <v>107</v>
      </c>
      <c r="E52" s="1" t="s">
        <v>47</v>
      </c>
      <c r="F52" s="1" t="s">
        <v>48</v>
      </c>
      <c r="G52" s="10" t="s">
        <v>20</v>
      </c>
      <c r="H52" s="1" t="s">
        <v>17</v>
      </c>
      <c r="I52" s="21" t="s">
        <v>1071</v>
      </c>
      <c r="J52" s="18">
        <f>VLOOKUP(A52,[2]Export!$A:$B,2,0)</f>
        <v>1557.1122690860825</v>
      </c>
      <c r="K52" s="18">
        <f>VLOOKUP(A52,[2]Export!$A:$C,3,0)</f>
        <v>1042.9499999999998</v>
      </c>
      <c r="L52" s="19">
        <f t="shared" si="2"/>
        <v>0.66979756097621623</v>
      </c>
      <c r="M52" s="18">
        <f>VLOOKUP(A52,[2]Export!$A:$G,7,0)</f>
        <v>246.82</v>
      </c>
      <c r="N52" s="19">
        <f t="shared" si="3"/>
        <v>0.15851137063152571</v>
      </c>
      <c r="O52" s="17" t="s">
        <v>1025</v>
      </c>
      <c r="P52" s="17" t="s">
        <v>1026</v>
      </c>
      <c r="Q52" s="17" t="s">
        <v>1023</v>
      </c>
      <c r="R52" s="17" t="str">
        <f>VLOOKUP(A52,[1]Export!$A:$I,9,0)</f>
        <v>Comprou Marcas</v>
      </c>
      <c r="S52" s="17" t="s">
        <v>1023</v>
      </c>
      <c r="T52" s="20"/>
      <c r="U52" s="17"/>
      <c r="V52" s="17"/>
    </row>
    <row r="53" spans="1:22" x14ac:dyDescent="0.35">
      <c r="A53" s="5">
        <v>54297138000123</v>
      </c>
      <c r="B53" s="7"/>
      <c r="C53" s="4"/>
      <c r="D53" s="6" t="s">
        <v>108</v>
      </c>
      <c r="E53" s="6" t="s">
        <v>14</v>
      </c>
      <c r="F53" s="6" t="s">
        <v>15</v>
      </c>
      <c r="G53" s="11" t="s">
        <v>20</v>
      </c>
      <c r="H53" s="6" t="s">
        <v>17</v>
      </c>
      <c r="I53" s="21" t="s">
        <v>1067</v>
      </c>
      <c r="J53" s="18">
        <f>VLOOKUP(A53,[2]Export!$A:$B,2,0)</f>
        <v>3670.8603949917547</v>
      </c>
      <c r="K53" s="18">
        <f>VLOOKUP(A53,[2]Export!$A:$C,3,0)</f>
        <v>681.00999999999988</v>
      </c>
      <c r="L53" s="19">
        <f t="shared" si="2"/>
        <v>0.18551781509564313</v>
      </c>
      <c r="M53" s="18">
        <f>VLOOKUP(A53,[2]Export!$A:$G,7,0)</f>
        <v>335.71</v>
      </c>
      <c r="N53" s="19">
        <f t="shared" si="3"/>
        <v>9.1452674271682299E-2</v>
      </c>
      <c r="O53" s="17" t="s">
        <v>1025</v>
      </c>
      <c r="P53" s="17" t="s">
        <v>1026</v>
      </c>
      <c r="Q53" s="17" t="s">
        <v>1023</v>
      </c>
      <c r="R53" s="17" t="str">
        <f>VLOOKUP(A53,[1]Export!$A:$I,9,0)</f>
        <v>Comprou Marcas</v>
      </c>
      <c r="S53" s="17" t="s">
        <v>1022</v>
      </c>
      <c r="T53" s="20"/>
      <c r="U53" s="17"/>
      <c r="V53" s="17"/>
    </row>
    <row r="54" spans="1:22" x14ac:dyDescent="0.35">
      <c r="A54" s="4">
        <v>23566528000128</v>
      </c>
      <c r="B54" s="7"/>
      <c r="C54" s="4"/>
      <c r="D54" s="1" t="s">
        <v>109</v>
      </c>
      <c r="E54" s="1" t="s">
        <v>110</v>
      </c>
      <c r="F54" s="1" t="s">
        <v>15</v>
      </c>
      <c r="G54" s="10" t="s">
        <v>16</v>
      </c>
      <c r="H54" s="1" t="s">
        <v>17</v>
      </c>
      <c r="I54" s="21" t="s">
        <v>1069</v>
      </c>
      <c r="J54" s="18">
        <f>VLOOKUP(A54,[2]Export!$A:$B,2,0)</f>
        <v>4552.2196156872324</v>
      </c>
      <c r="K54" s="18">
        <f>VLOOKUP(A54,[2]Export!$A:$C,3,0)</f>
        <v>2092.2399999999998</v>
      </c>
      <c r="L54" s="19">
        <f t="shared" si="2"/>
        <v>0.45960875718517852</v>
      </c>
      <c r="M54" s="18">
        <f>VLOOKUP(A54,[2]Export!$A:$G,7,0)</f>
        <v>0</v>
      </c>
      <c r="N54" s="19">
        <f t="shared" si="3"/>
        <v>0</v>
      </c>
      <c r="O54" s="17" t="s">
        <v>1029</v>
      </c>
      <c r="P54" s="17" t="s">
        <v>1026</v>
      </c>
      <c r="Q54" s="17" t="s">
        <v>1022</v>
      </c>
      <c r="R54" s="17" t="str">
        <f>VLOOKUP(A54,[1]Export!$A:$I,9,0)</f>
        <v>Não Comprou</v>
      </c>
      <c r="S54" s="17" t="s">
        <v>1023</v>
      </c>
      <c r="T54" s="20"/>
      <c r="U54" s="17"/>
      <c r="V54" s="17"/>
    </row>
    <row r="55" spans="1:22" x14ac:dyDescent="0.35">
      <c r="A55" s="5">
        <v>26495088000153</v>
      </c>
      <c r="B55" s="7"/>
      <c r="C55" s="4"/>
      <c r="D55" s="6" t="s">
        <v>111</v>
      </c>
      <c r="E55" s="6" t="s">
        <v>43</v>
      </c>
      <c r="F55" s="6" t="s">
        <v>8</v>
      </c>
      <c r="G55" s="11" t="s">
        <v>16</v>
      </c>
      <c r="H55" s="6" t="s">
        <v>17</v>
      </c>
      <c r="I55" s="21" t="s">
        <v>1068</v>
      </c>
      <c r="J55" s="18">
        <f>VLOOKUP(A55,[2]Export!$A:$B,2,0)</f>
        <v>2825.1883665619689</v>
      </c>
      <c r="K55" s="18">
        <f>VLOOKUP(A55,[2]Export!$A:$C,3,0)</f>
        <v>1424.6700000000003</v>
      </c>
      <c r="L55" s="19">
        <f t="shared" si="2"/>
        <v>0.50427434038096053</v>
      </c>
      <c r="M55" s="18">
        <f>VLOOKUP(A55,[2]Export!$A:$G,7,0)</f>
        <v>764.00000000000011</v>
      </c>
      <c r="N55" s="19">
        <f t="shared" si="3"/>
        <v>0.27042444639885294</v>
      </c>
      <c r="O55" s="17" t="s">
        <v>1027</v>
      </c>
      <c r="P55" s="17" t="s">
        <v>1028</v>
      </c>
      <c r="Q55" s="17" t="s">
        <v>1023</v>
      </c>
      <c r="R55" s="17" t="str">
        <f>VLOOKUP(A55,[1]Export!$A:$I,9,0)</f>
        <v>Comprou Marcas</v>
      </c>
      <c r="S55" s="17" t="s">
        <v>1023</v>
      </c>
      <c r="T55" s="20"/>
      <c r="U55" s="17"/>
      <c r="V55" s="17"/>
    </row>
    <row r="56" spans="1:22" x14ac:dyDescent="0.35">
      <c r="A56" s="4">
        <v>27377243000280</v>
      </c>
      <c r="B56" s="7" t="s">
        <v>147</v>
      </c>
      <c r="C56" s="4"/>
      <c r="D56" s="1" t="s">
        <v>112</v>
      </c>
      <c r="E56" s="1" t="s">
        <v>113</v>
      </c>
      <c r="F56" s="1" t="s">
        <v>8</v>
      </c>
      <c r="G56" s="10" t="s">
        <v>20</v>
      </c>
      <c r="H56" s="1" t="s">
        <v>17</v>
      </c>
      <c r="I56" s="21" t="s">
        <v>1072</v>
      </c>
      <c r="J56" s="18">
        <f>VLOOKUP(A56,[2]Export!$A:$B,2,0)</f>
        <v>1930.5423440592913</v>
      </c>
      <c r="K56" s="18">
        <f>VLOOKUP(A56,[2]Export!$A:$C,3,0)</f>
        <v>583.54</v>
      </c>
      <c r="L56" s="19">
        <f t="shared" si="2"/>
        <v>0.30226739226709143</v>
      </c>
      <c r="M56" s="18">
        <f>VLOOKUP(A56,[2]Export!$A:$G,7,0)</f>
        <v>249.20999999999998</v>
      </c>
      <c r="N56" s="19">
        <f t="shared" si="3"/>
        <v>0.12908807764143307</v>
      </c>
      <c r="O56" s="17" t="s">
        <v>1025</v>
      </c>
      <c r="P56" s="17" t="s">
        <v>1026</v>
      </c>
      <c r="Q56" s="17" t="s">
        <v>1022</v>
      </c>
      <c r="R56" s="17" t="str">
        <f>VLOOKUP(A56,[1]Export!$A:$I,9,0)</f>
        <v>Comprou Marcas</v>
      </c>
      <c r="S56" s="17" t="s">
        <v>1023</v>
      </c>
      <c r="T56" s="20"/>
      <c r="U56" s="17"/>
      <c r="V56" s="17"/>
    </row>
    <row r="57" spans="1:22" x14ac:dyDescent="0.35">
      <c r="A57" s="5">
        <v>33780608000135</v>
      </c>
      <c r="B57" s="7"/>
      <c r="C57" s="4"/>
      <c r="D57" s="6" t="s">
        <v>114</v>
      </c>
      <c r="E57" s="6" t="s">
        <v>115</v>
      </c>
      <c r="F57" s="6" t="s">
        <v>8</v>
      </c>
      <c r="G57" s="11" t="s">
        <v>20</v>
      </c>
      <c r="H57" s="6" t="s">
        <v>17</v>
      </c>
      <c r="I57" s="21" t="s">
        <v>1066</v>
      </c>
      <c r="J57" s="18">
        <f>VLOOKUP(A57,[2]Export!$A:$B,2,0)</f>
        <v>7404.956944185963</v>
      </c>
      <c r="K57" s="18">
        <f>VLOOKUP(A57,[2]Export!$A:$C,3,0)</f>
        <v>4020.5000000000005</v>
      </c>
      <c r="L57" s="19">
        <f t="shared" si="2"/>
        <v>0.54294711371100068</v>
      </c>
      <c r="M57" s="18">
        <f>VLOOKUP(A57,[2]Export!$A:$G,7,0)</f>
        <v>3203.74</v>
      </c>
      <c r="N57" s="19">
        <f t="shared" si="3"/>
        <v>0.43264802538999653</v>
      </c>
      <c r="O57" s="17" t="s">
        <v>1025</v>
      </c>
      <c r="P57" s="17" t="s">
        <v>1026</v>
      </c>
      <c r="Q57" s="17" t="s">
        <v>1023</v>
      </c>
      <c r="R57" s="17" t="str">
        <f>VLOOKUP(A57,[1]Export!$A:$I,9,0)</f>
        <v>Comprou Marcas</v>
      </c>
      <c r="S57" s="17" t="s">
        <v>1023</v>
      </c>
      <c r="T57" s="20"/>
      <c r="U57" s="17"/>
      <c r="V57" s="17"/>
    </row>
    <row r="58" spans="1:22" x14ac:dyDescent="0.35">
      <c r="A58" s="4">
        <v>40727407000130</v>
      </c>
      <c r="B58" s="7"/>
      <c r="C58" s="4"/>
      <c r="D58" s="1" t="s">
        <v>116</v>
      </c>
      <c r="E58" s="1" t="s">
        <v>14</v>
      </c>
      <c r="F58" s="1" t="s">
        <v>15</v>
      </c>
      <c r="G58" s="10" t="s">
        <v>117</v>
      </c>
      <c r="H58" s="1" t="s">
        <v>17</v>
      </c>
      <c r="I58" s="21" t="s">
        <v>1067</v>
      </c>
      <c r="J58" s="18">
        <f>VLOOKUP(A58,[2]Export!$A:$B,2,0)</f>
        <v>5005.1363445213401</v>
      </c>
      <c r="K58" s="18">
        <f>VLOOKUP(A58,[2]Export!$A:$C,3,0)</f>
        <v>2213.8099999999995</v>
      </c>
      <c r="L58" s="19">
        <f t="shared" si="2"/>
        <v>0.44230763112442534</v>
      </c>
      <c r="M58" s="18">
        <f>VLOOKUP(A58,[2]Export!$A:$G,7,0)</f>
        <v>1837.54</v>
      </c>
      <c r="N58" s="19">
        <f t="shared" si="3"/>
        <v>0.36713085788589656</v>
      </c>
      <c r="O58" s="17" t="s">
        <v>1025</v>
      </c>
      <c r="P58" s="17" t="s">
        <v>1026</v>
      </c>
      <c r="Q58" s="17" t="s">
        <v>1023</v>
      </c>
      <c r="R58" s="17" t="str">
        <f>VLOOKUP(A58,[1]Export!$A:$I,9,0)</f>
        <v>Comprou Marcas</v>
      </c>
      <c r="S58" s="17" t="s">
        <v>1022</v>
      </c>
      <c r="T58" s="20"/>
      <c r="U58" s="17"/>
      <c r="V58" s="17"/>
    </row>
    <row r="59" spans="1:22" x14ac:dyDescent="0.35">
      <c r="A59" s="5">
        <v>23339848000145</v>
      </c>
      <c r="B59" s="7"/>
      <c r="C59" s="4"/>
      <c r="D59" s="6" t="s">
        <v>118</v>
      </c>
      <c r="E59" s="6" t="s">
        <v>35</v>
      </c>
      <c r="F59" s="6" t="s">
        <v>8</v>
      </c>
      <c r="G59" s="11" t="s">
        <v>16</v>
      </c>
      <c r="H59" s="6" t="s">
        <v>17</v>
      </c>
      <c r="I59" s="21" t="s">
        <v>1070</v>
      </c>
      <c r="J59" s="18">
        <f>VLOOKUP(A59,[2]Export!$A:$B,2,0)</f>
        <v>6457.723493575746</v>
      </c>
      <c r="K59" s="18">
        <f>VLOOKUP(A59,[2]Export!$A:$C,3,0)</f>
        <v>1762.3899999999999</v>
      </c>
      <c r="L59" s="19">
        <f t="shared" si="2"/>
        <v>0.27291196375212651</v>
      </c>
      <c r="M59" s="18">
        <f>VLOOKUP(A59,[2]Export!$A:$G,7,0)</f>
        <v>0</v>
      </c>
      <c r="N59" s="19">
        <f t="shared" si="3"/>
        <v>0</v>
      </c>
      <c r="O59" s="17" t="s">
        <v>1025</v>
      </c>
      <c r="P59" s="17" t="s">
        <v>1026</v>
      </c>
      <c r="Q59" s="17" t="s">
        <v>1023</v>
      </c>
      <c r="R59" s="17" t="str">
        <f>VLOOKUP(A59,[1]Export!$A:$I,9,0)</f>
        <v>Não Comprou</v>
      </c>
      <c r="S59" s="17" t="s">
        <v>1022</v>
      </c>
      <c r="T59" s="20"/>
      <c r="U59" s="17"/>
      <c r="V59" s="17"/>
    </row>
    <row r="60" spans="1:22" x14ac:dyDescent="0.35">
      <c r="A60" s="4">
        <v>24217601000119</v>
      </c>
      <c r="B60" s="7"/>
      <c r="C60" s="4"/>
      <c r="D60" s="1" t="s">
        <v>119</v>
      </c>
      <c r="E60" s="1" t="s">
        <v>120</v>
      </c>
      <c r="F60" s="1" t="s">
        <v>15</v>
      </c>
      <c r="G60" s="10" t="s">
        <v>20</v>
      </c>
      <c r="H60" s="1" t="s">
        <v>17</v>
      </c>
      <c r="I60" s="21" t="s">
        <v>1069</v>
      </c>
      <c r="J60" s="18">
        <f>VLOOKUP(A60,[2]Export!$A:$B,2,0)</f>
        <v>2287.1676453714549</v>
      </c>
      <c r="K60" s="18">
        <f>VLOOKUP(A60,[2]Export!$A:$C,3,0)</f>
        <v>420.67</v>
      </c>
      <c r="L60" s="19">
        <f t="shared" si="2"/>
        <v>0.18392617648789786</v>
      </c>
      <c r="M60" s="18">
        <f>VLOOKUP(A60,[2]Export!$A:$G,7,0)</f>
        <v>0</v>
      </c>
      <c r="N60" s="19">
        <f t="shared" si="3"/>
        <v>0</v>
      </c>
      <c r="O60" s="17"/>
      <c r="P60" s="17"/>
      <c r="Q60" s="17"/>
      <c r="R60" s="17" t="str">
        <f>VLOOKUP(A60,[1]Export!$A:$I,9,0)</f>
        <v>Não Comprou</v>
      </c>
      <c r="S60" s="17"/>
      <c r="T60" s="20"/>
      <c r="U60" s="17"/>
      <c r="V60" s="17"/>
    </row>
    <row r="61" spans="1:22" x14ac:dyDescent="0.35">
      <c r="A61" s="4">
        <v>18645755000451</v>
      </c>
      <c r="B61" s="7" t="s">
        <v>1005</v>
      </c>
      <c r="C61" s="4"/>
      <c r="D61" s="1" t="s">
        <v>686</v>
      </c>
      <c r="E61" s="1" t="s">
        <v>127</v>
      </c>
      <c r="F61" s="1" t="s">
        <v>8</v>
      </c>
      <c r="G61" s="10" t="s">
        <v>9</v>
      </c>
      <c r="H61" s="1" t="s">
        <v>10</v>
      </c>
      <c r="I61" s="21" t="s">
        <v>1068</v>
      </c>
      <c r="J61" s="18">
        <f>VLOOKUP(A61,[2]Export!$A:$B,2,0)</f>
        <v>7952.184537424223</v>
      </c>
      <c r="K61" s="18">
        <f>VLOOKUP(A61,[2]Export!$A:$C,3,0)</f>
        <v>5183.0200000000004</v>
      </c>
      <c r="L61" s="19">
        <f t="shared" si="2"/>
        <v>0.65177310405812372</v>
      </c>
      <c r="M61" s="18">
        <f>VLOOKUP(A61,[2]Export!$A:$G,7,0)</f>
        <v>1422.0700000000002</v>
      </c>
      <c r="N61" s="19">
        <f t="shared" si="3"/>
        <v>0.17882759049510441</v>
      </c>
      <c r="O61" s="17" t="s">
        <v>1027</v>
      </c>
      <c r="P61" s="17" t="s">
        <v>1028</v>
      </c>
      <c r="Q61" s="17" t="s">
        <v>1023</v>
      </c>
      <c r="R61" s="17" t="str">
        <f>VLOOKUP(A61,[1]Export!$A:$I,9,0)</f>
        <v>Comprou Marcas</v>
      </c>
      <c r="S61" s="17" t="s">
        <v>1022</v>
      </c>
      <c r="T61" s="20"/>
      <c r="U61" s="17"/>
      <c r="V61" s="17">
        <v>1</v>
      </c>
    </row>
    <row r="62" spans="1:22" x14ac:dyDescent="0.35">
      <c r="A62" s="4">
        <v>26543256000139</v>
      </c>
      <c r="B62" s="7"/>
      <c r="C62" s="4"/>
      <c r="D62" s="1" t="s">
        <v>121</v>
      </c>
      <c r="E62" s="1" t="s">
        <v>122</v>
      </c>
      <c r="F62" s="1" t="s">
        <v>8</v>
      </c>
      <c r="G62" s="10" t="s">
        <v>20</v>
      </c>
      <c r="H62" s="1" t="s">
        <v>17</v>
      </c>
      <c r="I62" s="21" t="s">
        <v>1066</v>
      </c>
      <c r="J62" s="18">
        <f>VLOOKUP(A62,[2]Export!$A:$B,2,0)</f>
        <v>4287.1738088201291</v>
      </c>
      <c r="K62" s="18">
        <f>VLOOKUP(A62,[2]Export!$A:$C,3,0)</f>
        <v>1954.2600000000002</v>
      </c>
      <c r="L62" s="19">
        <f t="shared" si="2"/>
        <v>0.455838761652127</v>
      </c>
      <c r="M62" s="18">
        <f>VLOOKUP(A62,[2]Export!$A:$G,7,0)</f>
        <v>0</v>
      </c>
      <c r="N62" s="19">
        <f t="shared" si="3"/>
        <v>0</v>
      </c>
      <c r="O62" s="17" t="s">
        <v>1025</v>
      </c>
      <c r="P62" s="17" t="s">
        <v>1026</v>
      </c>
      <c r="Q62" s="17" t="s">
        <v>1023</v>
      </c>
      <c r="R62" s="17" t="str">
        <f>VLOOKUP(A62,[1]Export!$A:$I,9,0)</f>
        <v>Não Comprou</v>
      </c>
      <c r="S62" s="17" t="s">
        <v>1023</v>
      </c>
      <c r="T62" s="20"/>
      <c r="U62" s="17"/>
      <c r="V62" s="17"/>
    </row>
    <row r="63" spans="1:22" x14ac:dyDescent="0.35">
      <c r="A63" s="4">
        <v>18645755000290</v>
      </c>
      <c r="B63" s="7" t="s">
        <v>1005</v>
      </c>
      <c r="C63" s="4"/>
      <c r="D63" s="1" t="s">
        <v>686</v>
      </c>
      <c r="E63" s="1" t="s">
        <v>127</v>
      </c>
      <c r="F63" s="1" t="s">
        <v>8</v>
      </c>
      <c r="G63" s="10" t="s">
        <v>9</v>
      </c>
      <c r="H63" s="1" t="s">
        <v>10</v>
      </c>
      <c r="I63" s="21" t="s">
        <v>1068</v>
      </c>
      <c r="J63" s="18">
        <f>VLOOKUP(A63,[2]Export!$A:$B,2,0)</f>
        <v>8121.0710117034705</v>
      </c>
      <c r="K63" s="18">
        <f>VLOOKUP(A63,[2]Export!$A:$C,3,0)</f>
        <v>5033.2999999999984</v>
      </c>
      <c r="L63" s="19">
        <f t="shared" si="2"/>
        <v>0.61978278391438624</v>
      </c>
      <c r="M63" s="18">
        <f>VLOOKUP(A63,[2]Export!$A:$G,7,0)</f>
        <v>3722.21</v>
      </c>
      <c r="N63" s="19">
        <f t="shared" si="3"/>
        <v>0.45833979220669707</v>
      </c>
      <c r="O63" s="17" t="s">
        <v>1029</v>
      </c>
      <c r="P63" s="17" t="s">
        <v>1026</v>
      </c>
      <c r="Q63" s="17" t="s">
        <v>1022</v>
      </c>
      <c r="R63" s="17" t="str">
        <f>VLOOKUP(A63,[1]Export!$A:$I,9,0)</f>
        <v>Comprou Marcas</v>
      </c>
      <c r="S63" s="17" t="s">
        <v>1022</v>
      </c>
      <c r="T63" s="20"/>
      <c r="U63" s="17">
        <v>6</v>
      </c>
      <c r="V63" s="17"/>
    </row>
    <row r="64" spans="1:22" x14ac:dyDescent="0.35">
      <c r="A64" s="4">
        <v>28800059000264</v>
      </c>
      <c r="B64" s="7" t="s">
        <v>950</v>
      </c>
      <c r="C64" s="4"/>
      <c r="D64" s="1" t="s">
        <v>124</v>
      </c>
      <c r="E64" s="1" t="s">
        <v>125</v>
      </c>
      <c r="F64" s="1" t="s">
        <v>15</v>
      </c>
      <c r="G64" s="10" t="s">
        <v>20</v>
      </c>
      <c r="H64" s="1" t="s">
        <v>17</v>
      </c>
      <c r="I64" s="21" t="s">
        <v>1067</v>
      </c>
      <c r="J64" s="18">
        <f>VLOOKUP(A64,[2]Export!$A:$B,2,0)</f>
        <v>43987.164135477266</v>
      </c>
      <c r="K64" s="18">
        <f>VLOOKUP(A64,[2]Export!$A:$C,3,0)</f>
        <v>45185.389999999978</v>
      </c>
      <c r="L64" s="19">
        <f t="shared" si="2"/>
        <v>1.0272403526818019</v>
      </c>
      <c r="M64" s="18">
        <f>VLOOKUP(A64,[2]Export!$A:$G,7,0)</f>
        <v>39706.410000000018</v>
      </c>
      <c r="N64" s="19">
        <f t="shared" si="3"/>
        <v>0.90268174319460937</v>
      </c>
      <c r="O64" s="17" t="s">
        <v>1027</v>
      </c>
      <c r="P64" s="17" t="s">
        <v>1028</v>
      </c>
      <c r="Q64" s="17" t="s">
        <v>1023</v>
      </c>
      <c r="R64" s="17" t="str">
        <f>VLOOKUP(A64,[1]Export!$A:$I,9,0)</f>
        <v>Comprou Marcas e SG</v>
      </c>
      <c r="S64" s="17" t="s">
        <v>1022</v>
      </c>
      <c r="T64" s="20"/>
      <c r="U64" s="17"/>
      <c r="V64" s="17"/>
    </row>
    <row r="65" spans="1:22" x14ac:dyDescent="0.35">
      <c r="A65" s="5">
        <v>29946302000139</v>
      </c>
      <c r="B65" s="7"/>
      <c r="C65" s="4"/>
      <c r="D65" s="6" t="s">
        <v>126</v>
      </c>
      <c r="E65" s="6" t="s">
        <v>127</v>
      </c>
      <c r="F65" s="6" t="s">
        <v>8</v>
      </c>
      <c r="G65" s="11" t="s">
        <v>36</v>
      </c>
      <c r="H65" s="6" t="s">
        <v>17</v>
      </c>
      <c r="I65" s="21" t="s">
        <v>1068</v>
      </c>
      <c r="J65" s="18">
        <f>VLOOKUP(A65,[2]Export!$A:$B,2,0)</f>
        <v>13885.647937435746</v>
      </c>
      <c r="K65" s="18">
        <f>VLOOKUP(A65,[2]Export!$A:$C,3,0)</f>
        <v>7235.8600000000006</v>
      </c>
      <c r="L65" s="19">
        <f t="shared" si="2"/>
        <v>0.52110351872685046</v>
      </c>
      <c r="M65" s="18">
        <f>VLOOKUP(A65,[2]Export!$A:$G,7,0)</f>
        <v>0</v>
      </c>
      <c r="N65" s="19">
        <f t="shared" si="3"/>
        <v>0</v>
      </c>
      <c r="O65" s="17" t="s">
        <v>1027</v>
      </c>
      <c r="P65" s="17" t="s">
        <v>1026</v>
      </c>
      <c r="Q65" s="17" t="s">
        <v>1023</v>
      </c>
      <c r="R65" s="17" t="str">
        <f>VLOOKUP(A65,[1]Export!$A:$I,9,0)</f>
        <v>Não Comprou</v>
      </c>
      <c r="S65" s="17" t="s">
        <v>1022</v>
      </c>
      <c r="T65" s="20"/>
      <c r="U65" s="17"/>
      <c r="V65" s="17"/>
    </row>
    <row r="66" spans="1:22" x14ac:dyDescent="0.35">
      <c r="A66" s="4">
        <v>30890084000147</v>
      </c>
      <c r="B66" s="7"/>
      <c r="C66" s="4"/>
      <c r="D66" s="1" t="s">
        <v>128</v>
      </c>
      <c r="E66" s="1" t="s">
        <v>129</v>
      </c>
      <c r="F66" s="1" t="s">
        <v>15</v>
      </c>
      <c r="G66" s="10" t="s">
        <v>20</v>
      </c>
      <c r="H66" s="1" t="s">
        <v>17</v>
      </c>
      <c r="I66" s="21" t="s">
        <v>1069</v>
      </c>
      <c r="J66" s="18">
        <f>VLOOKUP(A66,[2]Export!$A:$B,2,0)</f>
        <v>1950.1240156776253</v>
      </c>
      <c r="K66" s="18">
        <f>VLOOKUP(A66,[2]Export!$A:$C,3,0)</f>
        <v>859.81999999999994</v>
      </c>
      <c r="L66" s="19">
        <f t="shared" si="2"/>
        <v>0.44090529273402718</v>
      </c>
      <c r="M66" s="18">
        <f>VLOOKUP(A66,[2]Export!$A:$G,7,0)</f>
        <v>211.91</v>
      </c>
      <c r="N66" s="19">
        <f t="shared" si="3"/>
        <v>0.10866488402603766</v>
      </c>
      <c r="O66" s="17" t="s">
        <v>1025</v>
      </c>
      <c r="P66" s="17" t="s">
        <v>1026</v>
      </c>
      <c r="Q66" s="17" t="s">
        <v>1023</v>
      </c>
      <c r="R66" s="17" t="str">
        <f>VLOOKUP(A66,[1]Export!$A:$I,9,0)</f>
        <v>Comprou Marcas</v>
      </c>
      <c r="S66" s="17" t="s">
        <v>1023</v>
      </c>
      <c r="T66" s="20"/>
      <c r="U66" s="17"/>
      <c r="V66" s="17"/>
    </row>
    <row r="67" spans="1:22" x14ac:dyDescent="0.35">
      <c r="A67" s="5">
        <v>2440068000117</v>
      </c>
      <c r="B67" s="7"/>
      <c r="C67" s="4"/>
      <c r="D67" s="6" t="s">
        <v>130</v>
      </c>
      <c r="E67" s="6" t="s">
        <v>131</v>
      </c>
      <c r="F67" s="6" t="s">
        <v>8</v>
      </c>
      <c r="G67" s="11" t="s">
        <v>64</v>
      </c>
      <c r="H67" s="6" t="s">
        <v>17</v>
      </c>
      <c r="I67" s="21" t="s">
        <v>1066</v>
      </c>
      <c r="J67" s="18">
        <f>VLOOKUP(A67,[2]Export!$A:$B,2,0)</f>
        <v>7696.4296002099491</v>
      </c>
      <c r="K67" s="18">
        <f>VLOOKUP(A67,[2]Export!$A:$C,3,0)</f>
        <v>4565.5399999999991</v>
      </c>
      <c r="L67" s="19">
        <f t="shared" si="2"/>
        <v>0.5932023336997011</v>
      </c>
      <c r="M67" s="18">
        <f>VLOOKUP(A67,[2]Export!$A:$G,7,0)</f>
        <v>4148.0200000000004</v>
      </c>
      <c r="N67" s="19">
        <f t="shared" si="3"/>
        <v>0.53895380266803816</v>
      </c>
      <c r="O67" s="17" t="s">
        <v>1029</v>
      </c>
      <c r="P67" s="17" t="s">
        <v>1026</v>
      </c>
      <c r="Q67" s="17" t="s">
        <v>1022</v>
      </c>
      <c r="R67" s="17" t="str">
        <f>VLOOKUP(A67,[1]Export!$A:$I,9,0)</f>
        <v>Comprou Marcas</v>
      </c>
      <c r="S67" s="17" t="s">
        <v>1022</v>
      </c>
      <c r="T67" s="20"/>
      <c r="U67" s="17"/>
      <c r="V67" s="17"/>
    </row>
    <row r="68" spans="1:22" x14ac:dyDescent="0.35">
      <c r="A68" s="4">
        <v>3070289000103</v>
      </c>
      <c r="B68" s="7"/>
      <c r="C68" s="4"/>
      <c r="D68" s="1" t="s">
        <v>132</v>
      </c>
      <c r="E68" s="1" t="s">
        <v>133</v>
      </c>
      <c r="F68" s="1" t="s">
        <v>15</v>
      </c>
      <c r="G68" s="10" t="s">
        <v>33</v>
      </c>
      <c r="H68" s="1" t="s">
        <v>17</v>
      </c>
      <c r="I68" s="21" t="s">
        <v>1073</v>
      </c>
      <c r="J68" s="18">
        <f>VLOOKUP(A68,[2]Export!$A:$B,2,0)</f>
        <v>6754.0239694625525</v>
      </c>
      <c r="K68" s="18">
        <f>VLOOKUP(A68,[2]Export!$A:$C,3,0)</f>
        <v>2951.86</v>
      </c>
      <c r="L68" s="19">
        <f t="shared" si="2"/>
        <v>0.43705204680149995</v>
      </c>
      <c r="M68" s="18">
        <f>VLOOKUP(A68,[2]Export!$A:$G,7,0)</f>
        <v>314.10000000000002</v>
      </c>
      <c r="N68" s="19">
        <f t="shared" si="3"/>
        <v>4.6505609310858627E-2</v>
      </c>
      <c r="O68" s="17" t="s">
        <v>1027</v>
      </c>
      <c r="P68" s="17" t="s">
        <v>1026</v>
      </c>
      <c r="Q68" s="17" t="s">
        <v>1023</v>
      </c>
      <c r="R68" s="17" t="str">
        <f>VLOOKUP(A68,[1]Export!$A:$I,9,0)</f>
        <v>Comprou Marcas</v>
      </c>
      <c r="S68" s="17" t="s">
        <v>1023</v>
      </c>
      <c r="T68" s="20"/>
      <c r="U68" s="17"/>
      <c r="V68" s="17"/>
    </row>
    <row r="69" spans="1:22" x14ac:dyDescent="0.35">
      <c r="A69" s="5">
        <v>4972853000308</v>
      </c>
      <c r="B69" s="7" t="s">
        <v>135</v>
      </c>
      <c r="C69" s="4"/>
      <c r="D69" s="6" t="s">
        <v>134</v>
      </c>
      <c r="E69" s="6" t="s">
        <v>35</v>
      </c>
      <c r="F69" s="6" t="s">
        <v>8</v>
      </c>
      <c r="G69" s="11" t="s">
        <v>135</v>
      </c>
      <c r="H69" s="6" t="s">
        <v>17</v>
      </c>
      <c r="I69" s="21" t="s">
        <v>1070</v>
      </c>
      <c r="J69" s="18">
        <f>VLOOKUP(A69,[2]Export!$A:$B,2,0)</f>
        <v>27410.243024066564</v>
      </c>
      <c r="K69" s="18">
        <f>VLOOKUP(A69,[2]Export!$A:$C,3,0)</f>
        <v>22663.419999999995</v>
      </c>
      <c r="L69" s="19">
        <f t="shared" si="2"/>
        <v>0.82682302306116751</v>
      </c>
      <c r="M69" s="18">
        <f>VLOOKUP(A69,[2]Export!$A:$G,7,0)</f>
        <v>20330.37000000001</v>
      </c>
      <c r="N69" s="19">
        <f t="shared" si="3"/>
        <v>0.74170703200805888</v>
      </c>
      <c r="O69" s="17" t="s">
        <v>1025</v>
      </c>
      <c r="P69" s="17" t="s">
        <v>1026</v>
      </c>
      <c r="Q69" s="17" t="s">
        <v>1022</v>
      </c>
      <c r="R69" s="17" t="str">
        <f>VLOOKUP(A69,[1]Export!$A:$I,9,0)</f>
        <v>Comprou Marcas e SG</v>
      </c>
      <c r="S69" s="17" t="s">
        <v>1022</v>
      </c>
      <c r="T69" s="20">
        <v>4</v>
      </c>
      <c r="U69" s="17">
        <v>3</v>
      </c>
      <c r="V69" s="17">
        <v>6</v>
      </c>
    </row>
    <row r="70" spans="1:22" x14ac:dyDescent="0.35">
      <c r="A70" s="4">
        <v>4993223000158</v>
      </c>
      <c r="B70" s="7"/>
      <c r="C70" s="4"/>
      <c r="D70" s="1" t="s">
        <v>136</v>
      </c>
      <c r="E70" s="1" t="s">
        <v>122</v>
      </c>
      <c r="F70" s="1" t="s">
        <v>8</v>
      </c>
      <c r="G70" s="10" t="s">
        <v>20</v>
      </c>
      <c r="H70" s="1" t="s">
        <v>17</v>
      </c>
      <c r="I70" s="21" t="s">
        <v>1066</v>
      </c>
      <c r="J70" s="18">
        <f>VLOOKUP(A70,[2]Export!$A:$B,2,0)</f>
        <v>11342.616727649192</v>
      </c>
      <c r="K70" s="18">
        <f>VLOOKUP(A70,[2]Export!$A:$C,3,0)</f>
        <v>5945.0499999999984</v>
      </c>
      <c r="L70" s="19">
        <f t="shared" si="2"/>
        <v>0.52413390514272773</v>
      </c>
      <c r="M70" s="18">
        <f>VLOOKUP(A70,[2]Export!$A:$G,7,0)</f>
        <v>5082.5800000000008</v>
      </c>
      <c r="N70" s="19">
        <f t="shared" si="3"/>
        <v>0.44809589550976464</v>
      </c>
      <c r="O70" s="17" t="s">
        <v>1025</v>
      </c>
      <c r="P70" s="17" t="s">
        <v>1026</v>
      </c>
      <c r="Q70" s="17" t="s">
        <v>1022</v>
      </c>
      <c r="R70" s="17" t="str">
        <f>VLOOKUP(A70,[1]Export!$A:$I,9,0)</f>
        <v>Comprou Marcas</v>
      </c>
      <c r="S70" s="17" t="s">
        <v>1022</v>
      </c>
      <c r="T70" s="20">
        <v>2</v>
      </c>
      <c r="U70" s="17">
        <v>2</v>
      </c>
      <c r="V70" s="17">
        <v>2</v>
      </c>
    </row>
    <row r="71" spans="1:22" x14ac:dyDescent="0.35">
      <c r="A71" s="5">
        <v>5015978000140</v>
      </c>
      <c r="B71" s="7"/>
      <c r="C71" s="4"/>
      <c r="D71" s="6" t="s">
        <v>137</v>
      </c>
      <c r="E71" s="6" t="s">
        <v>138</v>
      </c>
      <c r="F71" s="6" t="s">
        <v>15</v>
      </c>
      <c r="G71" s="11" t="s">
        <v>36</v>
      </c>
      <c r="H71" s="6" t="s">
        <v>17</v>
      </c>
      <c r="I71" s="21" t="s">
        <v>1069</v>
      </c>
      <c r="J71" s="18">
        <f>VLOOKUP(A71,[2]Export!$A:$B,2,0)</f>
        <v>782.84146822178809</v>
      </c>
      <c r="K71" s="18">
        <f>VLOOKUP(A71,[2]Export!$A:$C,3,0)</f>
        <v>343.86</v>
      </c>
      <c r="L71" s="19">
        <f t="shared" si="2"/>
        <v>0.43924602101249505</v>
      </c>
      <c r="M71" s="18">
        <f>VLOOKUP(A71,[2]Export!$A:$G,7,0)</f>
        <v>0</v>
      </c>
      <c r="N71" s="19">
        <f t="shared" si="3"/>
        <v>0</v>
      </c>
      <c r="O71" s="17" t="s">
        <v>1025</v>
      </c>
      <c r="P71" s="17" t="s">
        <v>1026</v>
      </c>
      <c r="Q71" s="17" t="s">
        <v>1023</v>
      </c>
      <c r="R71" s="17" t="str">
        <f>VLOOKUP(A71,[1]Export!$A:$I,9,0)</f>
        <v>Não Comprou</v>
      </c>
      <c r="S71" s="17" t="s">
        <v>1022</v>
      </c>
      <c r="T71" s="20"/>
      <c r="U71" s="17"/>
      <c r="V71" s="17"/>
    </row>
    <row r="72" spans="1:22" x14ac:dyDescent="0.35">
      <c r="A72" s="4">
        <v>5051579000135</v>
      </c>
      <c r="B72" s="7"/>
      <c r="C72" s="4"/>
      <c r="D72" s="1" t="s">
        <v>139</v>
      </c>
      <c r="E72" s="1" t="s">
        <v>19</v>
      </c>
      <c r="F72" s="1" t="s">
        <v>15</v>
      </c>
      <c r="G72" s="10" t="s">
        <v>20</v>
      </c>
      <c r="H72" s="1" t="s">
        <v>17</v>
      </c>
      <c r="I72" s="21" t="s">
        <v>1067</v>
      </c>
      <c r="J72" s="18">
        <f>VLOOKUP(A72,[2]Export!$A:$B,2,0)</f>
        <v>2930.2242486128953</v>
      </c>
      <c r="K72" s="18">
        <f>VLOOKUP(A72,[2]Export!$A:$C,3,0)</f>
        <v>377.9</v>
      </c>
      <c r="L72" s="19">
        <f t="shared" si="2"/>
        <v>0.12896623873715116</v>
      </c>
      <c r="M72" s="18">
        <f>VLOOKUP(A72,[2]Export!$A:$G,7,0)</f>
        <v>0</v>
      </c>
      <c r="N72" s="19">
        <f t="shared" si="3"/>
        <v>0</v>
      </c>
      <c r="O72" s="17"/>
      <c r="P72" s="17"/>
      <c r="Q72" s="17"/>
      <c r="R72" s="17" t="str">
        <f>VLOOKUP(A72,[1]Export!$A:$I,9,0)</f>
        <v>Não Comprou</v>
      </c>
      <c r="S72" s="17"/>
      <c r="T72" s="20"/>
      <c r="U72" s="17"/>
      <c r="V72" s="17"/>
    </row>
    <row r="73" spans="1:22" x14ac:dyDescent="0.35">
      <c r="A73" s="5">
        <v>569000000107</v>
      </c>
      <c r="B73" s="7"/>
      <c r="C73" s="4"/>
      <c r="D73" s="6" t="s">
        <v>872</v>
      </c>
      <c r="E73" s="6" t="s">
        <v>252</v>
      </c>
      <c r="F73" s="6" t="s">
        <v>15</v>
      </c>
      <c r="G73" s="11" t="s">
        <v>38</v>
      </c>
      <c r="H73" s="6" t="s">
        <v>17</v>
      </c>
      <c r="I73" s="21" t="s">
        <v>1069</v>
      </c>
      <c r="J73" s="18">
        <f>VLOOKUP(A73,[2]Export!$A:$B,2,0)</f>
        <v>2633.0300191240531</v>
      </c>
      <c r="K73" s="18">
        <f>VLOOKUP(A73,[2]Export!$A:$C,3,0)</f>
        <v>1599.0199999999998</v>
      </c>
      <c r="L73" s="19">
        <f t="shared" si="2"/>
        <v>0.60729273437298525</v>
      </c>
      <c r="M73" s="18">
        <f>VLOOKUP(A73,[2]Export!$A:$G,7,0)</f>
        <v>0</v>
      </c>
      <c r="N73" s="19">
        <f t="shared" si="3"/>
        <v>0</v>
      </c>
      <c r="O73" s="17" t="s">
        <v>1031</v>
      </c>
      <c r="P73" s="17" t="s">
        <v>1026</v>
      </c>
      <c r="Q73" s="17" t="s">
        <v>1023</v>
      </c>
      <c r="R73" s="17" t="str">
        <f>VLOOKUP(A73,[1]Export!$A:$I,9,0)</f>
        <v>Não Comprou</v>
      </c>
      <c r="S73" s="17" t="s">
        <v>1023</v>
      </c>
      <c r="T73" s="20"/>
      <c r="U73" s="17"/>
      <c r="V73" s="17"/>
    </row>
    <row r="74" spans="1:22" x14ac:dyDescent="0.35">
      <c r="A74" s="4">
        <v>3492774000175</v>
      </c>
      <c r="B74" s="7"/>
      <c r="C74" s="4"/>
      <c r="D74" s="1" t="s">
        <v>141</v>
      </c>
      <c r="E74" s="1" t="s">
        <v>19</v>
      </c>
      <c r="F74" s="1" t="s">
        <v>15</v>
      </c>
      <c r="G74" s="10" t="s">
        <v>16</v>
      </c>
      <c r="H74" s="1" t="s">
        <v>17</v>
      </c>
      <c r="I74" s="21" t="s">
        <v>1067</v>
      </c>
      <c r="J74" s="18">
        <f>VLOOKUP(A74,[2]Export!$A:$B,2,0)</f>
        <v>4634.0100702135915</v>
      </c>
      <c r="K74" s="18">
        <f>VLOOKUP(A74,[2]Export!$A:$C,3,0)</f>
        <v>800.98</v>
      </c>
      <c r="L74" s="19">
        <f t="shared" si="2"/>
        <v>0.17284813538678415</v>
      </c>
      <c r="M74" s="18">
        <f>VLOOKUP(A74,[2]Export!$A:$G,7,0)</f>
        <v>154.56</v>
      </c>
      <c r="N74" s="19">
        <f t="shared" si="3"/>
        <v>3.3353401839473343E-2</v>
      </c>
      <c r="O74" s="17" t="s">
        <v>1029</v>
      </c>
      <c r="P74" s="17" t="s">
        <v>1026</v>
      </c>
      <c r="Q74" s="17" t="s">
        <v>1023</v>
      </c>
      <c r="R74" s="17" t="str">
        <f>VLOOKUP(A74,[1]Export!$A:$I,9,0)</f>
        <v>Comprou Marcas</v>
      </c>
      <c r="S74" s="17" t="s">
        <v>1022</v>
      </c>
      <c r="T74" s="20"/>
      <c r="U74" s="17"/>
      <c r="V74" s="17"/>
    </row>
    <row r="75" spans="1:22" x14ac:dyDescent="0.35">
      <c r="A75" s="5">
        <v>3878763000128</v>
      </c>
      <c r="B75" s="7"/>
      <c r="C75" s="4"/>
      <c r="D75" s="6" t="s">
        <v>142</v>
      </c>
      <c r="E75" s="6" t="s">
        <v>143</v>
      </c>
      <c r="F75" s="6" t="s">
        <v>48</v>
      </c>
      <c r="G75" s="11" t="s">
        <v>80</v>
      </c>
      <c r="H75" s="6" t="s">
        <v>17</v>
      </c>
      <c r="I75" s="21" t="s">
        <v>1073</v>
      </c>
      <c r="J75" s="18">
        <f>VLOOKUP(A75,[2]Export!$A:$B,2,0)</f>
        <v>3898.7298780103702</v>
      </c>
      <c r="K75" s="18">
        <f>VLOOKUP(A75,[2]Export!$A:$C,3,0)</f>
        <v>2466.1200000000003</v>
      </c>
      <c r="L75" s="19">
        <f t="shared" si="2"/>
        <v>0.63254446375200779</v>
      </c>
      <c r="M75" s="18">
        <f>VLOOKUP(A75,[2]Export!$A:$G,7,0)</f>
        <v>1016.9899999999999</v>
      </c>
      <c r="N75" s="19">
        <f t="shared" si="3"/>
        <v>0.26085161881463764</v>
      </c>
      <c r="O75" s="17" t="s">
        <v>1027</v>
      </c>
      <c r="P75" s="17" t="s">
        <v>1026</v>
      </c>
      <c r="Q75" s="17" t="s">
        <v>1023</v>
      </c>
      <c r="R75" s="17" t="str">
        <f>VLOOKUP(A75,[1]Export!$A:$I,9,0)</f>
        <v>Comprou Marcas</v>
      </c>
      <c r="S75" s="17" t="s">
        <v>1022</v>
      </c>
      <c r="T75" s="20"/>
      <c r="U75" s="17"/>
      <c r="V75" s="17"/>
    </row>
    <row r="76" spans="1:22" x14ac:dyDescent="0.35">
      <c r="A76" s="4">
        <v>4834843000659</v>
      </c>
      <c r="B76" s="7" t="s">
        <v>994</v>
      </c>
      <c r="C76" s="4"/>
      <c r="D76" s="1" t="s">
        <v>91</v>
      </c>
      <c r="E76" s="1" t="s">
        <v>144</v>
      </c>
      <c r="F76" s="1" t="s">
        <v>48</v>
      </c>
      <c r="G76" s="10" t="s">
        <v>92</v>
      </c>
      <c r="H76" s="1" t="s">
        <v>17</v>
      </c>
      <c r="I76" s="21" t="s">
        <v>1071</v>
      </c>
      <c r="J76" s="18">
        <f>VLOOKUP(A76,[2]Export!$A:$B,2,0)</f>
        <v>10723.979410472793</v>
      </c>
      <c r="K76" s="18">
        <f>VLOOKUP(A76,[2]Export!$A:$C,3,0)</f>
        <v>4819.5600000000013</v>
      </c>
      <c r="L76" s="19">
        <f t="shared" si="2"/>
        <v>0.44941899042563704</v>
      </c>
      <c r="M76" s="18">
        <f>VLOOKUP(A76,[2]Export!$A:$G,7,0)</f>
        <v>4454.5300000000007</v>
      </c>
      <c r="N76" s="19">
        <f t="shared" si="3"/>
        <v>0.41538032007500952</v>
      </c>
      <c r="O76" s="17" t="s">
        <v>1027</v>
      </c>
      <c r="P76" s="17" t="s">
        <v>1028</v>
      </c>
      <c r="Q76" s="17" t="s">
        <v>1023</v>
      </c>
      <c r="R76" s="17" t="str">
        <f>VLOOKUP(A76,[1]Export!$A:$I,9,0)</f>
        <v>Comprou Marcas e SG</v>
      </c>
      <c r="S76" s="17" t="s">
        <v>1022</v>
      </c>
      <c r="T76" s="20"/>
      <c r="U76" s="17"/>
      <c r="V76" s="17"/>
    </row>
    <row r="77" spans="1:22" x14ac:dyDescent="0.35">
      <c r="A77" s="5">
        <v>4924863000106</v>
      </c>
      <c r="B77" s="7"/>
      <c r="C77" s="4"/>
      <c r="D77" s="6" t="s">
        <v>145</v>
      </c>
      <c r="E77" s="6" t="s">
        <v>146</v>
      </c>
      <c r="F77" s="6" t="s">
        <v>8</v>
      </c>
      <c r="G77" s="11" t="s">
        <v>36</v>
      </c>
      <c r="H77" s="6" t="s">
        <v>17</v>
      </c>
      <c r="I77" s="21" t="s">
        <v>1072</v>
      </c>
      <c r="J77" s="18">
        <f>VLOOKUP(A77,[2]Export!$A:$B,2,0)</f>
        <v>653.07817735526248</v>
      </c>
      <c r="K77" s="18">
        <f>VLOOKUP(A77,[2]Export!$A:$C,3,0)</f>
        <v>403.03000000000003</v>
      </c>
      <c r="L77" s="19">
        <f t="shared" ref="L77:L140" si="4">K77/J77</f>
        <v>0.61712366754027848</v>
      </c>
      <c r="M77" s="18">
        <f>VLOOKUP(A77,[2]Export!$A:$G,7,0)</f>
        <v>137.85</v>
      </c>
      <c r="N77" s="19">
        <f t="shared" ref="N77:N140" si="5">M77/J77</f>
        <v>0.21107733312762667</v>
      </c>
      <c r="O77" s="17" t="s">
        <v>1025</v>
      </c>
      <c r="P77" s="17" t="s">
        <v>1026</v>
      </c>
      <c r="Q77" s="17" t="s">
        <v>1023</v>
      </c>
      <c r="R77" s="17" t="str">
        <f>VLOOKUP(A77,[1]Export!$A:$I,9,0)</f>
        <v>Comprou Marcas</v>
      </c>
      <c r="S77" s="17" t="s">
        <v>1023</v>
      </c>
      <c r="T77" s="20"/>
      <c r="U77" s="17"/>
      <c r="V77" s="17"/>
    </row>
    <row r="78" spans="1:22" x14ac:dyDescent="0.35">
      <c r="A78" s="4">
        <v>27377243000108</v>
      </c>
      <c r="B78" s="7" t="s">
        <v>147</v>
      </c>
      <c r="C78" s="4"/>
      <c r="D78" s="1" t="s">
        <v>147</v>
      </c>
      <c r="E78" s="1" t="s">
        <v>113</v>
      </c>
      <c r="F78" s="1" t="s">
        <v>8</v>
      </c>
      <c r="G78" s="10" t="s">
        <v>20</v>
      </c>
      <c r="H78" s="1" t="s">
        <v>17</v>
      </c>
      <c r="I78" s="21" t="s">
        <v>1072</v>
      </c>
      <c r="J78" s="18">
        <f>VLOOKUP(A78,[2]Export!$A:$B,2,0)</f>
        <v>310.74975142988046</v>
      </c>
      <c r="K78" s="18">
        <f>VLOOKUP(A78,[2]Export!$A:$C,3,0)</f>
        <v>161.55000000000001</v>
      </c>
      <c r="L78" s="19">
        <f t="shared" si="4"/>
        <v>0.51987169501068187</v>
      </c>
      <c r="M78" s="18">
        <f>VLOOKUP(A78,[2]Export!$A:$G,7,0)</f>
        <v>137.85</v>
      </c>
      <c r="N78" s="19">
        <f t="shared" si="5"/>
        <v>0.44360453826816765</v>
      </c>
      <c r="O78" s="17" t="s">
        <v>1027</v>
      </c>
      <c r="P78" s="17" t="s">
        <v>1026</v>
      </c>
      <c r="Q78" s="17" t="s">
        <v>1023</v>
      </c>
      <c r="R78" s="17" t="str">
        <f>VLOOKUP(A78,[1]Export!$A:$I,9,0)</f>
        <v>Comprou Marcas</v>
      </c>
      <c r="S78" s="17" t="s">
        <v>1023</v>
      </c>
      <c r="T78" s="20"/>
      <c r="U78" s="17"/>
      <c r="V78" s="17"/>
    </row>
    <row r="79" spans="1:22" x14ac:dyDescent="0.35">
      <c r="A79" s="5">
        <v>27704045000101</v>
      </c>
      <c r="B79" s="7"/>
      <c r="C79" s="4"/>
      <c r="D79" s="6" t="s">
        <v>148</v>
      </c>
      <c r="E79" s="6" t="s">
        <v>149</v>
      </c>
      <c r="F79" s="6" t="s">
        <v>8</v>
      </c>
      <c r="G79" s="11" t="s">
        <v>20</v>
      </c>
      <c r="H79" s="6" t="s">
        <v>17</v>
      </c>
      <c r="I79" s="21" t="s">
        <v>1072</v>
      </c>
      <c r="J79" s="18">
        <f>VLOOKUP(A79,[2]Export!$A:$B,2,0)</f>
        <v>731.8846996102385</v>
      </c>
      <c r="K79" s="18">
        <f>VLOOKUP(A79,[2]Export!$A:$C,3,0)</f>
        <v>189.4</v>
      </c>
      <c r="L79" s="19">
        <f t="shared" si="4"/>
        <v>0.25878393154121682</v>
      </c>
      <c r="M79" s="18">
        <f>VLOOKUP(A79,[2]Export!$A:$G,7,0)</f>
        <v>0</v>
      </c>
      <c r="N79" s="19">
        <f t="shared" si="5"/>
        <v>0</v>
      </c>
      <c r="O79" s="17" t="s">
        <v>1025</v>
      </c>
      <c r="P79" s="17" t="s">
        <v>1026</v>
      </c>
      <c r="Q79" s="17" t="s">
        <v>1023</v>
      </c>
      <c r="R79" s="17" t="str">
        <f>VLOOKUP(A79,[1]Export!$A:$I,9,0)</f>
        <v>Não Comprou</v>
      </c>
      <c r="S79" s="17" t="s">
        <v>1023</v>
      </c>
      <c r="T79" s="20"/>
      <c r="U79" s="17"/>
      <c r="V79" s="17"/>
    </row>
    <row r="80" spans="1:22" x14ac:dyDescent="0.35">
      <c r="A80" s="4">
        <v>29630512000113</v>
      </c>
      <c r="B80" s="7"/>
      <c r="C80" s="4"/>
      <c r="D80" s="1" t="s">
        <v>150</v>
      </c>
      <c r="E80" s="1" t="s">
        <v>52</v>
      </c>
      <c r="F80" s="1" t="s">
        <v>8</v>
      </c>
      <c r="G80" s="10" t="s">
        <v>33</v>
      </c>
      <c r="H80" s="1" t="s">
        <v>17</v>
      </c>
      <c r="I80" s="21" t="s">
        <v>1072</v>
      </c>
      <c r="J80" s="18">
        <f>VLOOKUP(A80,[2]Export!$A:$B,2,0)</f>
        <v>4081.9543917798301</v>
      </c>
      <c r="K80" s="18">
        <f>VLOOKUP(A80,[2]Export!$A:$C,3,0)</f>
        <v>2695.87</v>
      </c>
      <c r="L80" s="19">
        <f t="shared" si="4"/>
        <v>0.66043609047393981</v>
      </c>
      <c r="M80" s="18">
        <f>VLOOKUP(A80,[2]Export!$A:$G,7,0)</f>
        <v>137.85</v>
      </c>
      <c r="N80" s="19">
        <f t="shared" si="5"/>
        <v>3.3770588000101118E-2</v>
      </c>
      <c r="O80" s="17" t="s">
        <v>1025</v>
      </c>
      <c r="P80" s="17" t="s">
        <v>1026</v>
      </c>
      <c r="Q80" s="17" t="s">
        <v>1023</v>
      </c>
      <c r="R80" s="17" t="str">
        <f>VLOOKUP(A80,[1]Export!$A:$I,9,0)</f>
        <v>Comprou Marcas</v>
      </c>
      <c r="S80" s="17" t="s">
        <v>1022</v>
      </c>
      <c r="T80" s="20"/>
      <c r="U80" s="17"/>
      <c r="V80" s="17"/>
    </row>
    <row r="81" spans="1:22" x14ac:dyDescent="0.35">
      <c r="A81" s="4">
        <v>19651628000185</v>
      </c>
      <c r="B81" s="7" t="s">
        <v>993</v>
      </c>
      <c r="C81" s="4"/>
      <c r="D81" s="1" t="s">
        <v>59</v>
      </c>
      <c r="E81" s="1" t="s">
        <v>35</v>
      </c>
      <c r="F81" s="1" t="s">
        <v>8</v>
      </c>
      <c r="G81" s="10" t="s">
        <v>9</v>
      </c>
      <c r="H81" s="1" t="s">
        <v>10</v>
      </c>
      <c r="I81" s="21" t="s">
        <v>1070</v>
      </c>
      <c r="J81" s="18">
        <f>VLOOKUP(A81,[2]Export!$A:$B,2,0)</f>
        <v>10159.440018075791</v>
      </c>
      <c r="K81" s="18">
        <f>VLOOKUP(A81,[2]Export!$A:$C,3,0)</f>
        <v>5887.5300000000007</v>
      </c>
      <c r="L81" s="19">
        <f t="shared" si="4"/>
        <v>0.5795132398562165</v>
      </c>
      <c r="M81" s="18">
        <f>VLOOKUP(A81,[2]Export!$A:$G,7,0)</f>
        <v>7388.9399999999987</v>
      </c>
      <c r="N81" s="19">
        <f t="shared" si="5"/>
        <v>0.72729796001093694</v>
      </c>
      <c r="O81" s="17" t="s">
        <v>1027</v>
      </c>
      <c r="P81" s="17" t="s">
        <v>1028</v>
      </c>
      <c r="Q81" s="17" t="s">
        <v>1023</v>
      </c>
      <c r="R81" s="17" t="str">
        <f>VLOOKUP(A81,[1]Export!$A:$I,9,0)</f>
        <v>Comprou Marcas e SG</v>
      </c>
      <c r="S81" s="17" t="s">
        <v>1022</v>
      </c>
      <c r="T81" s="20"/>
      <c r="U81" s="17"/>
      <c r="V81" s="17"/>
    </row>
    <row r="82" spans="1:22" x14ac:dyDescent="0.35">
      <c r="A82" s="4">
        <v>11411195000189</v>
      </c>
      <c r="B82" s="7"/>
      <c r="C82" s="4"/>
      <c r="D82" s="1" t="s">
        <v>153</v>
      </c>
      <c r="E82" s="1" t="s">
        <v>14</v>
      </c>
      <c r="F82" s="1" t="s">
        <v>15</v>
      </c>
      <c r="G82" s="10" t="s">
        <v>20</v>
      </c>
      <c r="H82" s="1" t="s">
        <v>17</v>
      </c>
      <c r="I82" s="21" t="s">
        <v>1067</v>
      </c>
      <c r="J82" s="18">
        <f>VLOOKUP(A82,[2]Export!$A:$B,2,0)</f>
        <v>3167.79131739267</v>
      </c>
      <c r="K82" s="18">
        <f>VLOOKUP(A82,[2]Export!$A:$C,3,0)</f>
        <v>1843.8799999999999</v>
      </c>
      <c r="L82" s="19">
        <f t="shared" si="4"/>
        <v>0.58207117049542634</v>
      </c>
      <c r="M82" s="18">
        <f>VLOOKUP(A82,[2]Export!$A:$G,7,0)</f>
        <v>1782.6899999999998</v>
      </c>
      <c r="N82" s="19">
        <f t="shared" si="5"/>
        <v>0.562754872839063</v>
      </c>
      <c r="O82" s="17" t="s">
        <v>1025</v>
      </c>
      <c r="P82" s="17" t="s">
        <v>1026</v>
      </c>
      <c r="Q82" s="17" t="s">
        <v>1023</v>
      </c>
      <c r="R82" s="17" t="str">
        <f>VLOOKUP(A82,[1]Export!$A:$I,9,0)</f>
        <v>Comprou Marcas</v>
      </c>
      <c r="S82" s="17" t="s">
        <v>1023</v>
      </c>
      <c r="T82" s="20"/>
      <c r="U82" s="17"/>
      <c r="V82" s="17"/>
    </row>
    <row r="83" spans="1:22" x14ac:dyDescent="0.35">
      <c r="A83" s="5">
        <v>12476127000160</v>
      </c>
      <c r="B83" s="7"/>
      <c r="C83" s="4"/>
      <c r="D83" s="6" t="s">
        <v>154</v>
      </c>
      <c r="E83" s="6" t="s">
        <v>98</v>
      </c>
      <c r="F83" s="6" t="s">
        <v>15</v>
      </c>
      <c r="G83" s="11" t="s">
        <v>16</v>
      </c>
      <c r="H83" s="6" t="s">
        <v>17</v>
      </c>
      <c r="I83" s="21" t="s">
        <v>1073</v>
      </c>
      <c r="J83" s="18">
        <f>VLOOKUP(A83,[2]Export!$A:$B,2,0)</f>
        <v>23154.949232804956</v>
      </c>
      <c r="K83" s="18">
        <f>VLOOKUP(A83,[2]Export!$A:$C,3,0)</f>
        <v>10693.58</v>
      </c>
      <c r="L83" s="19">
        <f t="shared" si="4"/>
        <v>0.4618269680699531</v>
      </c>
      <c r="M83" s="18">
        <f>VLOOKUP(A83,[2]Export!$A:$G,7,0)</f>
        <v>3857.6499999999992</v>
      </c>
      <c r="N83" s="19">
        <f t="shared" si="5"/>
        <v>0.16660153132768019</v>
      </c>
      <c r="O83" s="17" t="s">
        <v>1029</v>
      </c>
      <c r="P83" s="17" t="s">
        <v>1026</v>
      </c>
      <c r="Q83" s="17" t="s">
        <v>1022</v>
      </c>
      <c r="R83" s="17" t="str">
        <f>VLOOKUP(A83,[1]Export!$A:$I,9,0)</f>
        <v>Comprou Marcas</v>
      </c>
      <c r="S83" s="17" t="s">
        <v>1023</v>
      </c>
      <c r="T83" s="20">
        <v>2</v>
      </c>
      <c r="U83" s="17"/>
      <c r="V83" s="17"/>
    </row>
    <row r="84" spans="1:22" x14ac:dyDescent="0.35">
      <c r="A84" s="4">
        <v>19436791000206</v>
      </c>
      <c r="B84" s="7" t="s">
        <v>996</v>
      </c>
      <c r="C84" s="4"/>
      <c r="D84" s="1" t="s">
        <v>59</v>
      </c>
      <c r="E84" s="1" t="s">
        <v>155</v>
      </c>
      <c r="F84" s="1" t="s">
        <v>15</v>
      </c>
      <c r="G84" s="10" t="s">
        <v>9</v>
      </c>
      <c r="H84" s="1" t="s">
        <v>10</v>
      </c>
      <c r="I84" s="21" t="s">
        <v>1069</v>
      </c>
      <c r="J84" s="18">
        <f>VLOOKUP(A84,[2]Export!$A:$B,2,0)</f>
        <v>19428.138101137305</v>
      </c>
      <c r="K84" s="18">
        <f>VLOOKUP(A84,[2]Export!$A:$C,3,0)</f>
        <v>14499.77</v>
      </c>
      <c r="L84" s="19">
        <f t="shared" si="4"/>
        <v>0.7463283369985515</v>
      </c>
      <c r="M84" s="18">
        <f>VLOOKUP(A84,[2]Export!$A:$G,7,0)</f>
        <v>12283.959999999997</v>
      </c>
      <c r="N84" s="19">
        <f t="shared" si="5"/>
        <v>0.63227674911786358</v>
      </c>
      <c r="O84" s="17" t="s">
        <v>1027</v>
      </c>
      <c r="P84" s="17" t="s">
        <v>1028</v>
      </c>
      <c r="Q84" s="17" t="s">
        <v>1023</v>
      </c>
      <c r="R84" s="17" t="str">
        <f>VLOOKUP(A84,[1]Export!$A:$I,9,0)</f>
        <v>Comprou Marcas e SG</v>
      </c>
      <c r="S84" s="17" t="s">
        <v>1022</v>
      </c>
      <c r="T84" s="20"/>
      <c r="U84" s="17"/>
      <c r="V84" s="17"/>
    </row>
    <row r="85" spans="1:22" x14ac:dyDescent="0.35">
      <c r="A85" s="5">
        <v>19671223000109</v>
      </c>
      <c r="B85" s="7" t="s">
        <v>994</v>
      </c>
      <c r="C85" s="4"/>
      <c r="D85" s="6" t="s">
        <v>156</v>
      </c>
      <c r="E85" s="6" t="s">
        <v>157</v>
      </c>
      <c r="F85" s="6" t="s">
        <v>48</v>
      </c>
      <c r="G85" s="11" t="s">
        <v>92</v>
      </c>
      <c r="H85" s="6" t="s">
        <v>17</v>
      </c>
      <c r="I85" s="21" t="s">
        <v>1071</v>
      </c>
      <c r="J85" s="18">
        <f>VLOOKUP(A85,[2]Export!$A:$B,2,0)</f>
        <v>20020.363440446486</v>
      </c>
      <c r="K85" s="18">
        <f>VLOOKUP(A85,[2]Export!$A:$C,3,0)</f>
        <v>9972.61</v>
      </c>
      <c r="L85" s="19">
        <f t="shared" si="4"/>
        <v>0.49812332476705506</v>
      </c>
      <c r="M85" s="18">
        <f>VLOOKUP(A85,[2]Export!$A:$G,7,0)</f>
        <v>6122.5300000000016</v>
      </c>
      <c r="N85" s="19">
        <f t="shared" si="5"/>
        <v>0.30581512759308127</v>
      </c>
      <c r="O85" s="17" t="s">
        <v>1027</v>
      </c>
      <c r="P85" s="17" t="s">
        <v>1028</v>
      </c>
      <c r="Q85" s="17" t="s">
        <v>1023</v>
      </c>
      <c r="R85" s="17" t="str">
        <f>VLOOKUP(A85,[1]Export!$A:$I,9,0)</f>
        <v>Comprou Marcas</v>
      </c>
      <c r="S85" s="17" t="s">
        <v>1022</v>
      </c>
      <c r="T85" s="20">
        <v>3</v>
      </c>
      <c r="U85" s="17"/>
      <c r="V85" s="17"/>
    </row>
    <row r="86" spans="1:22" x14ac:dyDescent="0.35">
      <c r="A86" s="4">
        <v>21206725000100</v>
      </c>
      <c r="B86" s="7"/>
      <c r="C86" s="4"/>
      <c r="D86" s="1" t="s">
        <v>158</v>
      </c>
      <c r="E86" s="1" t="s">
        <v>52</v>
      </c>
      <c r="F86" s="1" t="s">
        <v>8</v>
      </c>
      <c r="G86" s="10" t="s">
        <v>33</v>
      </c>
      <c r="H86" s="1" t="s">
        <v>17</v>
      </c>
      <c r="I86" s="21" t="s">
        <v>1072</v>
      </c>
      <c r="J86" s="18">
        <f>VLOOKUP(A86,[2]Export!$A:$B,2,0)</f>
        <v>15423.846601623234</v>
      </c>
      <c r="K86" s="18">
        <f>VLOOKUP(A86,[2]Export!$A:$C,3,0)</f>
        <v>9196.6</v>
      </c>
      <c r="L86" s="19">
        <f t="shared" si="4"/>
        <v>0.59625852341089369</v>
      </c>
      <c r="M86" s="18">
        <f>VLOOKUP(A86,[2]Export!$A:$G,7,0)</f>
        <v>137.85</v>
      </c>
      <c r="N86" s="19">
        <f t="shared" si="5"/>
        <v>8.9374592188625895E-3</v>
      </c>
      <c r="O86" s="17" t="s">
        <v>1027</v>
      </c>
      <c r="P86" s="17" t="s">
        <v>1026</v>
      </c>
      <c r="Q86" s="17" t="s">
        <v>1023</v>
      </c>
      <c r="R86" s="17" t="str">
        <f>VLOOKUP(A86,[1]Export!$A:$I,9,0)</f>
        <v>Comprou Marcas</v>
      </c>
      <c r="S86" s="17" t="s">
        <v>1022</v>
      </c>
      <c r="T86" s="20"/>
      <c r="U86" s="17"/>
      <c r="V86" s="17">
        <v>1</v>
      </c>
    </row>
    <row r="87" spans="1:22" x14ac:dyDescent="0.35">
      <c r="A87" s="5">
        <v>34565893000215</v>
      </c>
      <c r="B87" s="7" t="s">
        <v>997</v>
      </c>
      <c r="C87" s="4"/>
      <c r="D87" s="6" t="s">
        <v>29</v>
      </c>
      <c r="E87" s="6" t="s">
        <v>14</v>
      </c>
      <c r="F87" s="6" t="s">
        <v>15</v>
      </c>
      <c r="G87" s="11" t="s">
        <v>9</v>
      </c>
      <c r="H87" s="6" t="s">
        <v>10</v>
      </c>
      <c r="I87" s="21" t="s">
        <v>1067</v>
      </c>
      <c r="J87" s="18">
        <f>VLOOKUP(A87,[2]Export!$A:$B,2,0)</f>
        <v>2644.9200107252223</v>
      </c>
      <c r="K87" s="18">
        <f>VLOOKUP(A87,[2]Export!$A:$C,3,0)</f>
        <v>1989.7999999999997</v>
      </c>
      <c r="L87" s="19">
        <f t="shared" si="4"/>
        <v>0.7523100857233137</v>
      </c>
      <c r="M87" s="18">
        <f>VLOOKUP(A87,[2]Export!$A:$G,7,0)</f>
        <v>873.82</v>
      </c>
      <c r="N87" s="19">
        <f t="shared" si="5"/>
        <v>0.33037672082960401</v>
      </c>
      <c r="O87" s="17" t="s">
        <v>1027</v>
      </c>
      <c r="P87" s="17" t="s">
        <v>1028</v>
      </c>
      <c r="Q87" s="17" t="s">
        <v>1023</v>
      </c>
      <c r="R87" s="17" t="str">
        <f>VLOOKUP(A87,[1]Export!$A:$I,9,0)</f>
        <v>Comprou Marcas</v>
      </c>
      <c r="S87" s="17" t="s">
        <v>1022</v>
      </c>
      <c r="T87" s="20"/>
      <c r="U87" s="17"/>
      <c r="V87" s="17"/>
    </row>
    <row r="88" spans="1:22" x14ac:dyDescent="0.35">
      <c r="A88" s="4">
        <v>45665886000120</v>
      </c>
      <c r="B88" s="7"/>
      <c r="C88" s="4"/>
      <c r="D88" s="1" t="s">
        <v>159</v>
      </c>
      <c r="E88" s="1" t="s">
        <v>160</v>
      </c>
      <c r="F88" s="1" t="s">
        <v>8</v>
      </c>
      <c r="G88" s="10" t="s">
        <v>36</v>
      </c>
      <c r="H88" s="1" t="s">
        <v>17</v>
      </c>
      <c r="I88" s="21" t="s">
        <v>1068</v>
      </c>
      <c r="J88" s="18">
        <f>VLOOKUP(A88,[2]Export!$A:$B,2,0)</f>
        <v>4915.2488927500717</v>
      </c>
      <c r="K88" s="18">
        <f>VLOOKUP(A88,[2]Export!$A:$C,3,0)</f>
        <v>1389.46</v>
      </c>
      <c r="L88" s="19">
        <f t="shared" si="4"/>
        <v>0.28268354875160756</v>
      </c>
      <c r="M88" s="18">
        <f>VLOOKUP(A88,[2]Export!$A:$G,7,0)</f>
        <v>134.41999999999999</v>
      </c>
      <c r="N88" s="19">
        <f t="shared" si="5"/>
        <v>2.7347546977380482E-2</v>
      </c>
      <c r="O88" s="17" t="s">
        <v>1027</v>
      </c>
      <c r="P88" s="17" t="s">
        <v>1028</v>
      </c>
      <c r="Q88" s="17" t="s">
        <v>1023</v>
      </c>
      <c r="R88" s="17" t="str">
        <f>VLOOKUP(A88,[1]Export!$A:$I,9,0)</f>
        <v>Comprou Marcas</v>
      </c>
      <c r="S88" s="17" t="s">
        <v>1022</v>
      </c>
      <c r="T88" s="20"/>
      <c r="U88" s="17"/>
      <c r="V88" s="17"/>
    </row>
    <row r="89" spans="1:22" x14ac:dyDescent="0.35">
      <c r="A89" s="5">
        <v>47964776000195</v>
      </c>
      <c r="B89" s="7"/>
      <c r="C89" s="4"/>
      <c r="D89" s="6" t="s">
        <v>161</v>
      </c>
      <c r="E89" s="6" t="s">
        <v>162</v>
      </c>
      <c r="F89" s="6" t="s">
        <v>8</v>
      </c>
      <c r="G89" s="11" t="s">
        <v>20</v>
      </c>
      <c r="H89" s="6" t="s">
        <v>17</v>
      </c>
      <c r="I89" s="21" t="s">
        <v>1072</v>
      </c>
      <c r="J89" s="18">
        <f>VLOOKUP(A89,[2]Export!$A:$B,2,0)</f>
        <v>6144.9412804426001</v>
      </c>
      <c r="K89" s="18">
        <f>VLOOKUP(A89,[2]Export!$A:$C,3,0)</f>
        <v>2301.0299999999997</v>
      </c>
      <c r="L89" s="19">
        <f t="shared" si="4"/>
        <v>0.37445923321081176</v>
      </c>
      <c r="M89" s="18">
        <f>VLOOKUP(A89,[2]Export!$A:$G,7,0)</f>
        <v>137.85</v>
      </c>
      <c r="N89" s="19">
        <f t="shared" si="5"/>
        <v>2.2433086616910864E-2</v>
      </c>
      <c r="O89" s="17" t="s">
        <v>1029</v>
      </c>
      <c r="P89" s="17" t="s">
        <v>1026</v>
      </c>
      <c r="Q89" s="17" t="s">
        <v>1023</v>
      </c>
      <c r="R89" s="17" t="str">
        <f>VLOOKUP(A89,[1]Export!$A:$I,9,0)</f>
        <v>Comprou Marcas</v>
      </c>
      <c r="S89" s="17" t="s">
        <v>1022</v>
      </c>
      <c r="T89" s="20"/>
      <c r="U89" s="17"/>
      <c r="V89" s="17"/>
    </row>
    <row r="90" spans="1:22" x14ac:dyDescent="0.35">
      <c r="A90" s="4">
        <v>48771512000188</v>
      </c>
      <c r="B90" s="7"/>
      <c r="C90" s="4"/>
      <c r="D90" s="1" t="s">
        <v>163</v>
      </c>
      <c r="E90" s="1" t="s">
        <v>50</v>
      </c>
      <c r="F90" s="1" t="s">
        <v>48</v>
      </c>
      <c r="G90" s="10" t="s">
        <v>80</v>
      </c>
      <c r="H90" s="1" t="s">
        <v>17</v>
      </c>
      <c r="I90" s="21" t="s">
        <v>1071</v>
      </c>
      <c r="J90" s="18">
        <f>VLOOKUP(A90,[2]Export!$A:$B,2,0)</f>
        <v>2283.2352436436972</v>
      </c>
      <c r="K90" s="18">
        <f>VLOOKUP(A90,[2]Export!$A:$C,3,0)</f>
        <v>1427.79</v>
      </c>
      <c r="L90" s="19">
        <f t="shared" si="4"/>
        <v>0.62533635286807487</v>
      </c>
      <c r="M90" s="18">
        <f>VLOOKUP(A90,[2]Export!$A:$G,7,0)</f>
        <v>518.41999999999996</v>
      </c>
      <c r="N90" s="19">
        <f t="shared" si="5"/>
        <v>0.22705500952791893</v>
      </c>
      <c r="O90" s="17" t="s">
        <v>1027</v>
      </c>
      <c r="P90" s="17" t="s">
        <v>1028</v>
      </c>
      <c r="Q90" s="17" t="s">
        <v>1023</v>
      </c>
      <c r="R90" s="17" t="str">
        <f>VLOOKUP(A90,[1]Export!$A:$I,9,0)</f>
        <v>Comprou Marcas</v>
      </c>
      <c r="S90" s="17" t="s">
        <v>1022</v>
      </c>
      <c r="T90" s="20"/>
      <c r="U90" s="17"/>
      <c r="V90" s="17"/>
    </row>
    <row r="91" spans="1:22" x14ac:dyDescent="0.35">
      <c r="A91" s="5">
        <v>48771964000160</v>
      </c>
      <c r="B91" s="7"/>
      <c r="C91" s="4"/>
      <c r="D91" s="6" t="s">
        <v>164</v>
      </c>
      <c r="E91" s="6" t="s">
        <v>52</v>
      </c>
      <c r="F91" s="6" t="s">
        <v>8</v>
      </c>
      <c r="G91" s="11" t="s">
        <v>64</v>
      </c>
      <c r="H91" s="6" t="s">
        <v>17</v>
      </c>
      <c r="I91" s="21" t="s">
        <v>1072</v>
      </c>
      <c r="J91" s="18">
        <f>VLOOKUP(A91,[2]Export!$A:$B,2,0)</f>
        <v>2701.3333607141117</v>
      </c>
      <c r="K91" s="18">
        <f>VLOOKUP(A91,[2]Export!$A:$C,3,0)</f>
        <v>770.26</v>
      </c>
      <c r="L91" s="19">
        <f t="shared" si="4"/>
        <v>0.28514066838325269</v>
      </c>
      <c r="M91" s="18">
        <f>VLOOKUP(A91,[2]Export!$A:$G,7,0)</f>
        <v>137.85</v>
      </c>
      <c r="N91" s="19">
        <f t="shared" si="5"/>
        <v>5.1030354862814348E-2</v>
      </c>
      <c r="O91" s="17" t="s">
        <v>1029</v>
      </c>
      <c r="P91" s="17" t="s">
        <v>1026</v>
      </c>
      <c r="Q91" s="17" t="s">
        <v>1022</v>
      </c>
      <c r="R91" s="17" t="str">
        <f>VLOOKUP(A91,[1]Export!$A:$I,9,0)</f>
        <v>Comprou Marcas</v>
      </c>
      <c r="S91" s="17" t="s">
        <v>1023</v>
      </c>
      <c r="T91" s="20"/>
      <c r="U91" s="17"/>
      <c r="V91" s="17"/>
    </row>
    <row r="92" spans="1:22" x14ac:dyDescent="0.35">
      <c r="A92" s="4">
        <v>48892332000154</v>
      </c>
      <c r="B92" s="7"/>
      <c r="C92" s="4"/>
      <c r="D92" s="1" t="s">
        <v>165</v>
      </c>
      <c r="E92" s="1" t="s">
        <v>166</v>
      </c>
      <c r="F92" s="1" t="s">
        <v>8</v>
      </c>
      <c r="G92" s="10" t="s">
        <v>36</v>
      </c>
      <c r="H92" s="1" t="s">
        <v>17</v>
      </c>
      <c r="I92" s="21" t="s">
        <v>1068</v>
      </c>
      <c r="J92" s="18">
        <f>VLOOKUP(A92,[2]Export!$A:$B,2,0)</f>
        <v>2630.6135406137564</v>
      </c>
      <c r="K92" s="18">
        <f>VLOOKUP(A92,[2]Export!$A:$C,3,0)</f>
        <v>130.39999999999998</v>
      </c>
      <c r="L92" s="19">
        <f t="shared" si="4"/>
        <v>4.9570185048760887E-2</v>
      </c>
      <c r="M92" s="18">
        <f>VLOOKUP(A92,[2]Export!$A:$G,7,0)</f>
        <v>137.85</v>
      </c>
      <c r="N92" s="19">
        <f t="shared" si="5"/>
        <v>5.2402223995181671E-2</v>
      </c>
      <c r="O92" s="17" t="s">
        <v>1029</v>
      </c>
      <c r="P92" s="17" t="s">
        <v>1026</v>
      </c>
      <c r="Q92" s="17" t="s">
        <v>1022</v>
      </c>
      <c r="R92" s="17" t="str">
        <f>VLOOKUP(A92,[1]Export!$A:$I,9,0)</f>
        <v>Não Comprou</v>
      </c>
      <c r="S92" s="17" t="s">
        <v>1023</v>
      </c>
      <c r="T92" s="20"/>
      <c r="U92" s="17"/>
      <c r="V92" s="17"/>
    </row>
    <row r="93" spans="1:22" x14ac:dyDescent="0.35">
      <c r="A93" s="5">
        <v>34975101000108</v>
      </c>
      <c r="B93" s="7"/>
      <c r="C93" s="4"/>
      <c r="D93" s="6" t="s">
        <v>167</v>
      </c>
      <c r="E93" s="6" t="s">
        <v>122</v>
      </c>
      <c r="F93" s="6" t="s">
        <v>8</v>
      </c>
      <c r="G93" s="11" t="s">
        <v>36</v>
      </c>
      <c r="H93" s="6" t="s">
        <v>17</v>
      </c>
      <c r="I93" s="21" t="s">
        <v>1066</v>
      </c>
      <c r="J93" s="18">
        <f>VLOOKUP(A93,[2]Export!$A:$B,2,0)</f>
        <v>4488.7591338650336</v>
      </c>
      <c r="K93" s="18">
        <f>VLOOKUP(A93,[2]Export!$A:$C,3,0)</f>
        <v>1916.55</v>
      </c>
      <c r="L93" s="19">
        <f t="shared" si="4"/>
        <v>0.42696654973994114</v>
      </c>
      <c r="M93" s="18">
        <f>VLOOKUP(A93,[2]Export!$A:$G,7,0)</f>
        <v>0</v>
      </c>
      <c r="N93" s="19">
        <f t="shared" si="5"/>
        <v>0</v>
      </c>
      <c r="O93" s="17" t="s">
        <v>1025</v>
      </c>
      <c r="P93" s="17" t="s">
        <v>1026</v>
      </c>
      <c r="Q93" s="17" t="s">
        <v>1023</v>
      </c>
      <c r="R93" s="17" t="str">
        <f>VLOOKUP(A93,[1]Export!$A:$I,9,0)</f>
        <v>Não Comprou</v>
      </c>
      <c r="S93" s="17" t="s">
        <v>1023</v>
      </c>
      <c r="T93" s="20"/>
      <c r="U93" s="17"/>
      <c r="V93" s="17"/>
    </row>
    <row r="94" spans="1:22" x14ac:dyDescent="0.35">
      <c r="A94" s="4">
        <v>36728431000205</v>
      </c>
      <c r="B94" s="7" t="s">
        <v>998</v>
      </c>
      <c r="C94" s="4"/>
      <c r="D94" s="1" t="s">
        <v>168</v>
      </c>
      <c r="E94" s="1" t="s">
        <v>14</v>
      </c>
      <c r="F94" s="1" t="s">
        <v>15</v>
      </c>
      <c r="G94" s="10" t="s">
        <v>9</v>
      </c>
      <c r="H94" s="1" t="s">
        <v>10</v>
      </c>
      <c r="I94" s="21" t="s">
        <v>1067</v>
      </c>
      <c r="J94" s="18">
        <f>VLOOKUP(A94,[2]Export!$A:$B,2,0)</f>
        <v>8814.396516952922</v>
      </c>
      <c r="K94" s="18">
        <f>VLOOKUP(A94,[2]Export!$A:$C,3,0)</f>
        <v>6039.86</v>
      </c>
      <c r="L94" s="19">
        <f t="shared" si="4"/>
        <v>0.68522671840135674</v>
      </c>
      <c r="M94" s="18">
        <f>VLOOKUP(A94,[2]Export!$A:$G,7,0)</f>
        <v>8249.14</v>
      </c>
      <c r="N94" s="19">
        <f t="shared" si="5"/>
        <v>0.93587121751718882</v>
      </c>
      <c r="O94" s="17" t="s">
        <v>1027</v>
      </c>
      <c r="P94" s="17" t="s">
        <v>1028</v>
      </c>
      <c r="Q94" s="17" t="s">
        <v>1023</v>
      </c>
      <c r="R94" s="17" t="str">
        <f>VLOOKUP(A94,[1]Export!$A:$I,9,0)</f>
        <v>Comprou Marcas</v>
      </c>
      <c r="S94" s="17" t="s">
        <v>1022</v>
      </c>
      <c r="T94" s="20"/>
      <c r="U94" s="17"/>
      <c r="V94" s="17"/>
    </row>
    <row r="95" spans="1:22" x14ac:dyDescent="0.35">
      <c r="A95" s="5">
        <v>37489689000170</v>
      </c>
      <c r="B95" s="7"/>
      <c r="C95" s="4"/>
      <c r="D95" s="6" t="s">
        <v>169</v>
      </c>
      <c r="E95" s="6" t="s">
        <v>22</v>
      </c>
      <c r="F95" s="6" t="s">
        <v>8</v>
      </c>
      <c r="G95" s="11" t="s">
        <v>36</v>
      </c>
      <c r="H95" s="6" t="s">
        <v>17</v>
      </c>
      <c r="I95" s="21" t="s">
        <v>1068</v>
      </c>
      <c r="J95" s="18">
        <f>VLOOKUP(A95,[2]Export!$A:$B,2,0)</f>
        <v>601.71829391534982</v>
      </c>
      <c r="K95" s="18">
        <f>VLOOKUP(A95,[2]Export!$A:$C,3,0)</f>
        <v>983.38999999999987</v>
      </c>
      <c r="L95" s="19">
        <f t="shared" si="4"/>
        <v>1.6343029785601697</v>
      </c>
      <c r="M95" s="18">
        <f>VLOOKUP(A95,[2]Export!$A:$G,7,0)</f>
        <v>0</v>
      </c>
      <c r="N95" s="19">
        <f t="shared" si="5"/>
        <v>0</v>
      </c>
      <c r="O95" s="17" t="s">
        <v>1029</v>
      </c>
      <c r="P95" s="17" t="s">
        <v>1026</v>
      </c>
      <c r="Q95" s="17" t="s">
        <v>1023</v>
      </c>
      <c r="R95" s="17" t="str">
        <f>VLOOKUP(A95,[1]Export!$A:$I,9,0)</f>
        <v>Não Comprou</v>
      </c>
      <c r="S95" s="17" t="s">
        <v>1022</v>
      </c>
      <c r="T95" s="20"/>
      <c r="U95" s="17"/>
      <c r="V95" s="17"/>
    </row>
    <row r="96" spans="1:22" x14ac:dyDescent="0.35">
      <c r="A96" s="4">
        <v>3577994000282</v>
      </c>
      <c r="B96" s="7"/>
      <c r="C96" s="4"/>
      <c r="D96" s="1" t="s">
        <v>170</v>
      </c>
      <c r="E96" s="1" t="s">
        <v>171</v>
      </c>
      <c r="F96" s="1" t="s">
        <v>8</v>
      </c>
      <c r="G96" s="10" t="s">
        <v>36</v>
      </c>
      <c r="H96" s="1" t="s">
        <v>17</v>
      </c>
      <c r="I96" s="21" t="s">
        <v>1070</v>
      </c>
      <c r="J96" s="18">
        <f>VLOOKUP(A96,[2]Export!$A:$B,2,0)</f>
        <v>3673.1987321938732</v>
      </c>
      <c r="K96" s="18">
        <f>VLOOKUP(A96,[2]Export!$A:$C,3,0)</f>
        <v>1874.8399999999997</v>
      </c>
      <c r="L96" s="19">
        <f t="shared" si="4"/>
        <v>0.51041071738588539</v>
      </c>
      <c r="M96" s="18">
        <f>VLOOKUP(A96,[2]Export!$A:$G,7,0)</f>
        <v>2061.5499999999997</v>
      </c>
      <c r="N96" s="19">
        <f t="shared" si="5"/>
        <v>0.56124107359927899</v>
      </c>
      <c r="O96" s="17" t="s">
        <v>1027</v>
      </c>
      <c r="P96" s="17" t="s">
        <v>1028</v>
      </c>
      <c r="Q96" s="17" t="s">
        <v>1023</v>
      </c>
      <c r="R96" s="17" t="str">
        <f>VLOOKUP(A96,[1]Export!$A:$I,9,0)</f>
        <v>Comprou Marcas</v>
      </c>
      <c r="S96" s="17" t="s">
        <v>1022</v>
      </c>
      <c r="T96" s="20"/>
      <c r="U96" s="17"/>
      <c r="V96" s="17"/>
    </row>
    <row r="97" spans="1:22" x14ac:dyDescent="0.35">
      <c r="A97" s="5">
        <v>3836752000185</v>
      </c>
      <c r="B97" s="7"/>
      <c r="C97" s="4"/>
      <c r="D97" s="6" t="s">
        <v>172</v>
      </c>
      <c r="E97" s="6" t="s">
        <v>94</v>
      </c>
      <c r="F97" s="6" t="s">
        <v>15</v>
      </c>
      <c r="G97" s="11" t="s">
        <v>36</v>
      </c>
      <c r="H97" s="6" t="s">
        <v>17</v>
      </c>
      <c r="I97" s="21" t="s">
        <v>1069</v>
      </c>
      <c r="J97" s="18">
        <f>VLOOKUP(A97,[2]Export!$A:$B,2,0)</f>
        <v>7239.8632883610362</v>
      </c>
      <c r="K97" s="18">
        <f>VLOOKUP(A97,[2]Export!$A:$C,3,0)</f>
        <v>3427.8600000000006</v>
      </c>
      <c r="L97" s="19">
        <f t="shared" si="4"/>
        <v>0.47347026642211654</v>
      </c>
      <c r="M97" s="18">
        <f>VLOOKUP(A97,[2]Export!$A:$G,7,0)</f>
        <v>0</v>
      </c>
      <c r="N97" s="19">
        <f t="shared" si="5"/>
        <v>0</v>
      </c>
      <c r="O97" s="17" t="s">
        <v>1025</v>
      </c>
      <c r="P97" s="17" t="s">
        <v>1026</v>
      </c>
      <c r="Q97" s="17" t="s">
        <v>1022</v>
      </c>
      <c r="R97" s="17" t="str">
        <f>VLOOKUP(A97,[1]Export!$A:$I,9,0)</f>
        <v>Não Comprou</v>
      </c>
      <c r="S97" s="17" t="s">
        <v>1022</v>
      </c>
      <c r="T97" s="20"/>
      <c r="U97" s="17"/>
      <c r="V97" s="17"/>
    </row>
    <row r="98" spans="1:22" x14ac:dyDescent="0.35">
      <c r="A98" s="4">
        <v>4564557000106</v>
      </c>
      <c r="B98" s="7"/>
      <c r="C98" s="4"/>
      <c r="D98" s="1" t="s">
        <v>173</v>
      </c>
      <c r="E98" s="1" t="s">
        <v>174</v>
      </c>
      <c r="F98" s="1" t="s">
        <v>48</v>
      </c>
      <c r="G98" s="10" t="s">
        <v>20</v>
      </c>
      <c r="H98" s="1" t="s">
        <v>17</v>
      </c>
      <c r="I98" s="21" t="s">
        <v>1073</v>
      </c>
      <c r="J98" s="18">
        <f>VLOOKUP(A98,[2]Export!$A:$B,2,0)</f>
        <v>2660.8150448173178</v>
      </c>
      <c r="K98" s="18">
        <f>VLOOKUP(A98,[2]Export!$A:$C,3,0)</f>
        <v>1514.1</v>
      </c>
      <c r="L98" s="19">
        <f t="shared" si="4"/>
        <v>0.5690361691802418</v>
      </c>
      <c r="M98" s="18">
        <f>VLOOKUP(A98,[2]Export!$A:$G,7,0)</f>
        <v>267.67</v>
      </c>
      <c r="N98" s="19">
        <f t="shared" si="5"/>
        <v>0.10059699584206812</v>
      </c>
      <c r="O98" s="17" t="s">
        <v>1027</v>
      </c>
      <c r="P98" s="17" t="s">
        <v>1028</v>
      </c>
      <c r="Q98" s="17" t="s">
        <v>1023</v>
      </c>
      <c r="R98" s="17" t="str">
        <f>VLOOKUP(A98,[1]Export!$A:$I,9,0)</f>
        <v>Comprou Marcas e SG</v>
      </c>
      <c r="S98" s="17" t="s">
        <v>1022</v>
      </c>
      <c r="T98" s="20"/>
      <c r="U98" s="17"/>
      <c r="V98" s="17"/>
    </row>
    <row r="99" spans="1:22" x14ac:dyDescent="0.35">
      <c r="A99" s="4">
        <v>14511974000144</v>
      </c>
      <c r="B99" s="7"/>
      <c r="C99" s="4"/>
      <c r="D99" s="1" t="s">
        <v>623</v>
      </c>
      <c r="E99" s="1" t="s">
        <v>14</v>
      </c>
      <c r="F99" s="1" t="s">
        <v>15</v>
      </c>
      <c r="G99" s="10" t="s">
        <v>38</v>
      </c>
      <c r="H99" s="1" t="s">
        <v>17</v>
      </c>
      <c r="I99" s="21" t="s">
        <v>1067</v>
      </c>
      <c r="J99" s="18">
        <f>VLOOKUP(A99,[2]Export!$A:$B,2,0)</f>
        <v>3945.0686839929949</v>
      </c>
      <c r="K99" s="18">
        <f>VLOOKUP(A99,[2]Export!$A:$C,3,0)</f>
        <v>1619.03</v>
      </c>
      <c r="L99" s="19">
        <f t="shared" si="4"/>
        <v>0.41039336186190334</v>
      </c>
      <c r="M99" s="18">
        <f>VLOOKUP(A99,[2]Export!$A:$G,7,0)</f>
        <v>0</v>
      </c>
      <c r="N99" s="19">
        <f t="shared" si="5"/>
        <v>0</v>
      </c>
      <c r="O99" s="17" t="s">
        <v>1031</v>
      </c>
      <c r="P99" s="17" t="s">
        <v>1026</v>
      </c>
      <c r="Q99" s="17" t="s">
        <v>1023</v>
      </c>
      <c r="R99" s="17" t="str">
        <f>VLOOKUP(A99,[1]Export!$A:$I,9,0)</f>
        <v>Não Comprou</v>
      </c>
      <c r="S99" s="17" t="s">
        <v>1023</v>
      </c>
      <c r="T99" s="20"/>
      <c r="U99" s="17"/>
      <c r="V99" s="17"/>
    </row>
    <row r="100" spans="1:22" x14ac:dyDescent="0.35">
      <c r="A100" s="4">
        <v>4972853000499</v>
      </c>
      <c r="B100" s="7" t="s">
        <v>135</v>
      </c>
      <c r="C100" s="4"/>
      <c r="D100" s="1" t="s">
        <v>134</v>
      </c>
      <c r="E100" s="1" t="s">
        <v>35</v>
      </c>
      <c r="F100" s="1" t="s">
        <v>8</v>
      </c>
      <c r="G100" s="10" t="s">
        <v>135</v>
      </c>
      <c r="H100" s="1" t="s">
        <v>17</v>
      </c>
      <c r="I100" s="21" t="s">
        <v>1070</v>
      </c>
      <c r="J100" s="18">
        <f>VLOOKUP(A100,[2]Export!$A:$B,2,0)</f>
        <v>4520.1129601150096</v>
      </c>
      <c r="K100" s="18">
        <f>VLOOKUP(A100,[2]Export!$A:$C,3,0)</f>
        <v>3922.4800000000005</v>
      </c>
      <c r="L100" s="19">
        <f t="shared" si="4"/>
        <v>0.86778362280136401</v>
      </c>
      <c r="M100" s="18">
        <f>VLOOKUP(A100,[2]Export!$A:$G,7,0)</f>
        <v>3181.6700000000005</v>
      </c>
      <c r="N100" s="19">
        <f t="shared" si="5"/>
        <v>0.70389170095409437</v>
      </c>
      <c r="O100" s="17" t="s">
        <v>1025</v>
      </c>
      <c r="P100" s="17" t="s">
        <v>1026</v>
      </c>
      <c r="Q100" s="17" t="s">
        <v>1022</v>
      </c>
      <c r="R100" s="17" t="str">
        <f>VLOOKUP(A100,[1]Export!$A:$I,9,0)</f>
        <v>Comprou Marcas e SG</v>
      </c>
      <c r="S100" s="17" t="s">
        <v>1022</v>
      </c>
      <c r="T100" s="20"/>
      <c r="U100" s="17"/>
      <c r="V100" s="17"/>
    </row>
    <row r="101" spans="1:22" x14ac:dyDescent="0.35">
      <c r="A101" s="5">
        <v>4972853000812</v>
      </c>
      <c r="B101" s="7" t="s">
        <v>135</v>
      </c>
      <c r="C101" s="4"/>
      <c r="D101" s="6" t="s">
        <v>134</v>
      </c>
      <c r="E101" s="6" t="s">
        <v>35</v>
      </c>
      <c r="F101" s="6" t="s">
        <v>8</v>
      </c>
      <c r="G101" s="11" t="s">
        <v>135</v>
      </c>
      <c r="H101" s="6" t="s">
        <v>17</v>
      </c>
      <c r="I101" s="21" t="s">
        <v>1070</v>
      </c>
      <c r="J101" s="18">
        <f>VLOOKUP(A101,[2]Export!$A:$B,2,0)</f>
        <v>44175.319068929399</v>
      </c>
      <c r="K101" s="18">
        <f>VLOOKUP(A101,[2]Export!$A:$C,3,0)</f>
        <v>34420.089999999997</v>
      </c>
      <c r="L101" s="19">
        <f t="shared" si="4"/>
        <v>0.77917015033422321</v>
      </c>
      <c r="M101" s="18">
        <f>VLOOKUP(A101,[2]Export!$A:$G,7,0)</f>
        <v>32194.909999999993</v>
      </c>
      <c r="N101" s="19">
        <f t="shared" si="5"/>
        <v>0.72879858433539202</v>
      </c>
      <c r="O101" s="17" t="s">
        <v>1025</v>
      </c>
      <c r="P101" s="17" t="s">
        <v>1026</v>
      </c>
      <c r="Q101" s="17" t="s">
        <v>1022</v>
      </c>
      <c r="R101" s="17" t="str">
        <f>VLOOKUP(A101,[1]Export!$A:$I,9,0)</f>
        <v>Comprou Marcas e SG</v>
      </c>
      <c r="S101" s="17" t="s">
        <v>1022</v>
      </c>
      <c r="T101" s="20">
        <v>4</v>
      </c>
      <c r="U101" s="17"/>
      <c r="V101" s="17">
        <v>1</v>
      </c>
    </row>
    <row r="102" spans="1:22" x14ac:dyDescent="0.35">
      <c r="A102" s="4">
        <v>5674541000119</v>
      </c>
      <c r="B102" s="7"/>
      <c r="C102" s="4"/>
      <c r="D102" s="1" t="s">
        <v>177</v>
      </c>
      <c r="E102" s="1" t="s">
        <v>178</v>
      </c>
      <c r="F102" s="1" t="s">
        <v>15</v>
      </c>
      <c r="G102" s="10" t="s">
        <v>36</v>
      </c>
      <c r="H102" s="1" t="s">
        <v>17</v>
      </c>
      <c r="I102" s="21" t="s">
        <v>1073</v>
      </c>
      <c r="J102" s="18">
        <f>VLOOKUP(A102,[2]Export!$A:$B,2,0)</f>
        <v>3834.8720979186523</v>
      </c>
      <c r="K102" s="18">
        <f>VLOOKUP(A102,[2]Export!$A:$C,3,0)</f>
        <v>1915.83</v>
      </c>
      <c r="L102" s="19">
        <f t="shared" si="4"/>
        <v>0.49958119882011243</v>
      </c>
      <c r="M102" s="18">
        <f>VLOOKUP(A102,[2]Export!$A:$G,7,0)</f>
        <v>419.21</v>
      </c>
      <c r="N102" s="19">
        <f t="shared" si="5"/>
        <v>0.10931524945187168</v>
      </c>
      <c r="O102" s="17" t="s">
        <v>1025</v>
      </c>
      <c r="P102" s="17" t="s">
        <v>1026</v>
      </c>
      <c r="Q102" s="17" t="s">
        <v>1022</v>
      </c>
      <c r="R102" s="17" t="str">
        <f>VLOOKUP(A102,[1]Export!$A:$I,9,0)</f>
        <v>Comprou Marcas</v>
      </c>
      <c r="S102" s="17" t="s">
        <v>1022</v>
      </c>
      <c r="T102" s="20"/>
      <c r="U102" s="17"/>
      <c r="V102" s="17"/>
    </row>
    <row r="103" spans="1:22" x14ac:dyDescent="0.35">
      <c r="A103" s="5">
        <v>531367000131</v>
      </c>
      <c r="B103" s="7"/>
      <c r="C103" s="4"/>
      <c r="D103" s="6" t="s">
        <v>179</v>
      </c>
      <c r="E103" s="6" t="s">
        <v>180</v>
      </c>
      <c r="F103" s="6" t="s">
        <v>15</v>
      </c>
      <c r="G103" s="11" t="s">
        <v>9</v>
      </c>
      <c r="H103" s="6" t="s">
        <v>10</v>
      </c>
      <c r="I103" s="21" t="s">
        <v>1069</v>
      </c>
      <c r="J103" s="18">
        <f>VLOOKUP(A103,[2]Export!$A:$B,2,0)</f>
        <v>2510.5119527779052</v>
      </c>
      <c r="K103" s="18">
        <f>VLOOKUP(A103,[2]Export!$A:$C,3,0)</f>
        <v>1154.3700000000001</v>
      </c>
      <c r="L103" s="19">
        <f t="shared" si="4"/>
        <v>0.45981458033795808</v>
      </c>
      <c r="M103" s="18">
        <f>VLOOKUP(A103,[2]Export!$A:$G,7,0)</f>
        <v>996.67000000000007</v>
      </c>
      <c r="N103" s="19">
        <f t="shared" si="5"/>
        <v>0.39699870733424525</v>
      </c>
      <c r="O103" s="17" t="s">
        <v>1027</v>
      </c>
      <c r="P103" s="17" t="s">
        <v>1028</v>
      </c>
      <c r="Q103" s="17" t="s">
        <v>1023</v>
      </c>
      <c r="R103" s="17" t="str">
        <f>VLOOKUP(A103,[1]Export!$A:$I,9,0)</f>
        <v>Comprou Marcas</v>
      </c>
      <c r="S103" s="17" t="s">
        <v>1022</v>
      </c>
      <c r="T103" s="20"/>
      <c r="U103" s="17"/>
      <c r="V103" s="17"/>
    </row>
    <row r="104" spans="1:22" x14ac:dyDescent="0.35">
      <c r="A104" s="4">
        <v>10309605000112</v>
      </c>
      <c r="B104" s="7"/>
      <c r="C104" s="4"/>
      <c r="D104" s="1" t="s">
        <v>181</v>
      </c>
      <c r="E104" s="1" t="s">
        <v>100</v>
      </c>
      <c r="F104" s="1" t="s">
        <v>15</v>
      </c>
      <c r="G104" s="10" t="s">
        <v>103</v>
      </c>
      <c r="H104" s="1" t="s">
        <v>17</v>
      </c>
      <c r="I104" s="21" t="s">
        <v>1073</v>
      </c>
      <c r="J104" s="18">
        <f>VLOOKUP(A104,[2]Export!$A:$B,2,0)</f>
        <v>13543.786136610917</v>
      </c>
      <c r="K104" s="18">
        <f>VLOOKUP(A104,[2]Export!$A:$C,3,0)</f>
        <v>6332.6200000000008</v>
      </c>
      <c r="L104" s="19">
        <f t="shared" si="4"/>
        <v>0.46756644974494715</v>
      </c>
      <c r="M104" s="18">
        <f>VLOOKUP(A104,[2]Export!$A:$G,7,0)</f>
        <v>6424.3000000000011</v>
      </c>
      <c r="N104" s="19">
        <f t="shared" si="5"/>
        <v>0.47433560565713151</v>
      </c>
      <c r="O104" s="17" t="s">
        <v>1030</v>
      </c>
      <c r="P104" s="17" t="s">
        <v>1026</v>
      </c>
      <c r="Q104" s="17" t="s">
        <v>1022</v>
      </c>
      <c r="R104" s="17" t="str">
        <f>VLOOKUP(A104,[1]Export!$A:$I,9,0)</f>
        <v>Comprou Marcas</v>
      </c>
      <c r="S104" s="17" t="s">
        <v>1022</v>
      </c>
      <c r="T104" s="20"/>
      <c r="U104" s="17">
        <v>1</v>
      </c>
      <c r="V104" s="17"/>
    </row>
    <row r="105" spans="1:22" x14ac:dyDescent="0.35">
      <c r="A105" s="5">
        <v>19651628000347</v>
      </c>
      <c r="B105" s="7" t="s">
        <v>993</v>
      </c>
      <c r="C105" s="4"/>
      <c r="D105" s="6" t="s">
        <v>59</v>
      </c>
      <c r="E105" s="6" t="s">
        <v>35</v>
      </c>
      <c r="F105" s="6" t="s">
        <v>8</v>
      </c>
      <c r="G105" s="11" t="s">
        <v>9</v>
      </c>
      <c r="H105" s="6" t="s">
        <v>10</v>
      </c>
      <c r="I105" s="21" t="s">
        <v>1070</v>
      </c>
      <c r="J105" s="18">
        <f>VLOOKUP(A105,[2]Export!$A:$B,2,0)</f>
        <v>6265.4712192037787</v>
      </c>
      <c r="K105" s="18">
        <f>VLOOKUP(A105,[2]Export!$A:$C,3,0)</f>
        <v>2524.0199999999995</v>
      </c>
      <c r="L105" s="19">
        <f t="shared" si="4"/>
        <v>0.40284599700399776</v>
      </c>
      <c r="M105" s="18">
        <f>VLOOKUP(A105,[2]Export!$A:$G,7,0)</f>
        <v>3698.0099999999998</v>
      </c>
      <c r="N105" s="19">
        <f t="shared" si="5"/>
        <v>0.59022057090702684</v>
      </c>
      <c r="O105" s="17" t="s">
        <v>1027</v>
      </c>
      <c r="P105" s="17" t="s">
        <v>1028</v>
      </c>
      <c r="Q105" s="17" t="s">
        <v>1023</v>
      </c>
      <c r="R105" s="17" t="str">
        <f>VLOOKUP(A105,[1]Export!$A:$I,9,0)</f>
        <v>Comprou Marcas e SG</v>
      </c>
      <c r="S105" s="17" t="s">
        <v>1022</v>
      </c>
      <c r="T105" s="20"/>
      <c r="U105" s="17"/>
      <c r="V105" s="17"/>
    </row>
    <row r="106" spans="1:22" x14ac:dyDescent="0.35">
      <c r="A106" s="4">
        <v>19651628000851</v>
      </c>
      <c r="B106" s="7" t="s">
        <v>993</v>
      </c>
      <c r="C106" s="4"/>
      <c r="D106" s="1" t="s">
        <v>104</v>
      </c>
      <c r="E106" s="1" t="s">
        <v>105</v>
      </c>
      <c r="F106" s="1" t="s">
        <v>8</v>
      </c>
      <c r="G106" s="10" t="s">
        <v>20</v>
      </c>
      <c r="H106" s="1" t="s">
        <v>10</v>
      </c>
      <c r="I106" s="21" t="s">
        <v>1070</v>
      </c>
      <c r="J106" s="18">
        <f>VLOOKUP(A106,[2]Export!$A:$B,2,0)</f>
        <v>13.43852877</v>
      </c>
      <c r="K106" s="18">
        <f>VLOOKUP(A106,[2]Export!$A:$C,3,0)</f>
        <v>3677.8100000000013</v>
      </c>
      <c r="L106" s="19">
        <f t="shared" si="4"/>
        <v>273.67653579834553</v>
      </c>
      <c r="M106" s="18">
        <f>VLOOKUP(A106,[2]Export!$A:$G,7,0)</f>
        <v>67.540000000000006</v>
      </c>
      <c r="N106" s="19">
        <f t="shared" si="5"/>
        <v>5.0258477811034972</v>
      </c>
      <c r="O106" s="17"/>
      <c r="P106" s="17"/>
      <c r="Q106" s="17"/>
      <c r="R106" s="17" t="str">
        <f>VLOOKUP(A106,[1]Export!$A:$I,9,0)</f>
        <v>Comprou Marcas</v>
      </c>
      <c r="S106" s="17" t="s">
        <v>1022</v>
      </c>
      <c r="T106" s="20"/>
      <c r="U106" s="17"/>
      <c r="V106" s="17"/>
    </row>
    <row r="107" spans="1:22" x14ac:dyDescent="0.35">
      <c r="A107" s="5">
        <v>10737685000450</v>
      </c>
      <c r="B107" s="7" t="s">
        <v>999</v>
      </c>
      <c r="C107" s="4"/>
      <c r="D107" s="6" t="s">
        <v>183</v>
      </c>
      <c r="E107" s="6" t="s">
        <v>113</v>
      </c>
      <c r="F107" s="6" t="s">
        <v>8</v>
      </c>
      <c r="G107" s="11" t="s">
        <v>64</v>
      </c>
      <c r="H107" s="6" t="s">
        <v>17</v>
      </c>
      <c r="I107" s="21" t="s">
        <v>1072</v>
      </c>
      <c r="J107" s="18">
        <f>VLOOKUP(A107,[2]Export!$A:$B,2,0)</f>
        <v>45368.032309507158</v>
      </c>
      <c r="K107" s="18">
        <f>VLOOKUP(A107,[2]Export!$A:$C,3,0)</f>
        <v>12157.66</v>
      </c>
      <c r="L107" s="19">
        <f t="shared" si="4"/>
        <v>0.26797856069795395</v>
      </c>
      <c r="M107" s="18">
        <f>VLOOKUP(A107,[2]Export!$A:$G,7,0)</f>
        <v>9603.6899999999969</v>
      </c>
      <c r="N107" s="19">
        <f t="shared" si="5"/>
        <v>0.21168407601375039</v>
      </c>
      <c r="O107" s="17" t="s">
        <v>1027</v>
      </c>
      <c r="P107" s="17" t="s">
        <v>1028</v>
      </c>
      <c r="Q107" s="17" t="s">
        <v>1023</v>
      </c>
      <c r="R107" s="17" t="str">
        <f>VLOOKUP(A107,[1]Export!$A:$I,9,0)</f>
        <v>Comprou Marcas</v>
      </c>
      <c r="S107" s="17" t="s">
        <v>1022</v>
      </c>
      <c r="T107" s="20">
        <v>6</v>
      </c>
      <c r="U107" s="17"/>
      <c r="V107" s="17">
        <v>2</v>
      </c>
    </row>
    <row r="108" spans="1:22" x14ac:dyDescent="0.35">
      <c r="A108" s="5">
        <v>73399826000149</v>
      </c>
      <c r="B108" s="7"/>
      <c r="C108" s="4"/>
      <c r="D108" s="6" t="s">
        <v>964</v>
      </c>
      <c r="E108" s="6" t="s">
        <v>14</v>
      </c>
      <c r="F108" s="6" t="s">
        <v>15</v>
      </c>
      <c r="G108" s="11" t="s">
        <v>38</v>
      </c>
      <c r="H108" s="6" t="s">
        <v>17</v>
      </c>
      <c r="I108" s="21" t="s">
        <v>1067</v>
      </c>
      <c r="J108" s="18">
        <f>VLOOKUP(A108,[2]Export!$A:$B,2,0)</f>
        <v>1089.3643341737318</v>
      </c>
      <c r="K108" s="18">
        <f>VLOOKUP(A108,[2]Export!$A:$C,3,0)</f>
        <v>184.82000000000002</v>
      </c>
      <c r="L108" s="19">
        <f t="shared" si="4"/>
        <v>0.1696585744568033</v>
      </c>
      <c r="M108" s="18">
        <f>VLOOKUP(A108,[2]Export!$A:$G,7,0)</f>
        <v>0</v>
      </c>
      <c r="N108" s="19">
        <f t="shared" si="5"/>
        <v>0</v>
      </c>
      <c r="O108" s="17" t="s">
        <v>1029</v>
      </c>
      <c r="P108" s="17" t="s">
        <v>1026</v>
      </c>
      <c r="Q108" s="17" t="s">
        <v>1022</v>
      </c>
      <c r="R108" s="17" t="str">
        <f>VLOOKUP(A108,[1]Export!$A:$I,9,0)</f>
        <v>Não Comprou</v>
      </c>
      <c r="S108" s="17" t="s">
        <v>1023</v>
      </c>
      <c r="T108" s="20"/>
      <c r="U108" s="17"/>
      <c r="V108" s="17"/>
    </row>
    <row r="109" spans="1:22" x14ac:dyDescent="0.35">
      <c r="A109" s="5">
        <v>22524747000181</v>
      </c>
      <c r="B109" s="7"/>
      <c r="C109" s="4"/>
      <c r="D109" s="6" t="s">
        <v>185</v>
      </c>
      <c r="E109" s="6" t="s">
        <v>186</v>
      </c>
      <c r="F109" s="6" t="s">
        <v>15</v>
      </c>
      <c r="G109" s="11" t="s">
        <v>36</v>
      </c>
      <c r="H109" s="6" t="s">
        <v>17</v>
      </c>
      <c r="I109" s="21" t="s">
        <v>1067</v>
      </c>
      <c r="J109" s="18">
        <f>VLOOKUP(A109,[2]Export!$A:$B,2,0)</f>
        <v>9296.2182898952542</v>
      </c>
      <c r="K109" s="18">
        <f>VLOOKUP(A109,[2]Export!$A:$C,3,0)</f>
        <v>6319.4600000000009</v>
      </c>
      <c r="L109" s="19">
        <f t="shared" si="4"/>
        <v>0.6797882539902369</v>
      </c>
      <c r="M109" s="18">
        <f>VLOOKUP(A109,[2]Export!$A:$G,7,0)</f>
        <v>0</v>
      </c>
      <c r="N109" s="19">
        <f t="shared" si="5"/>
        <v>0</v>
      </c>
      <c r="O109" s="17"/>
      <c r="P109" s="17"/>
      <c r="Q109" s="17"/>
      <c r="R109" s="17" t="str">
        <f>VLOOKUP(A109,[1]Export!$A:$I,9,0)</f>
        <v>Não Comprou</v>
      </c>
      <c r="S109" s="17"/>
      <c r="T109" s="20"/>
      <c r="U109" s="17"/>
      <c r="V109" s="17"/>
    </row>
    <row r="110" spans="1:22" x14ac:dyDescent="0.35">
      <c r="A110" s="4">
        <v>24385511000137</v>
      </c>
      <c r="B110" s="7"/>
      <c r="C110" s="4"/>
      <c r="D110" s="1" t="s">
        <v>187</v>
      </c>
      <c r="E110" s="1" t="s">
        <v>155</v>
      </c>
      <c r="F110" s="1" t="s">
        <v>15</v>
      </c>
      <c r="G110" s="10" t="s">
        <v>20</v>
      </c>
      <c r="H110" s="1" t="s">
        <v>17</v>
      </c>
      <c r="I110" s="21" t="s">
        <v>1069</v>
      </c>
      <c r="J110" s="18">
        <f>VLOOKUP(A110,[2]Export!$A:$B,2,0)</f>
        <v>2153.7782084643354</v>
      </c>
      <c r="K110" s="18">
        <f>VLOOKUP(A110,[2]Export!$A:$C,3,0)</f>
        <v>1378.45</v>
      </c>
      <c r="L110" s="19">
        <f t="shared" si="4"/>
        <v>0.64001483280994298</v>
      </c>
      <c r="M110" s="18">
        <f>VLOOKUP(A110,[2]Export!$A:$G,7,0)</f>
        <v>0</v>
      </c>
      <c r="N110" s="19">
        <f t="shared" si="5"/>
        <v>0</v>
      </c>
      <c r="O110" s="17" t="s">
        <v>1025</v>
      </c>
      <c r="P110" s="17" t="s">
        <v>1026</v>
      </c>
      <c r="Q110" s="17" t="s">
        <v>1023</v>
      </c>
      <c r="R110" s="17" t="str">
        <f>VLOOKUP(A110,[1]Export!$A:$I,9,0)</f>
        <v>Não Comprou</v>
      </c>
      <c r="S110" s="17" t="s">
        <v>1023</v>
      </c>
      <c r="T110" s="20"/>
      <c r="U110" s="17"/>
      <c r="V110" s="17">
        <v>1</v>
      </c>
    </row>
    <row r="111" spans="1:22" x14ac:dyDescent="0.35">
      <c r="A111" s="5">
        <v>26034403000145</v>
      </c>
      <c r="B111" s="7"/>
      <c r="C111" s="4"/>
      <c r="D111" s="6" t="s">
        <v>188</v>
      </c>
      <c r="E111" s="6" t="s">
        <v>52</v>
      </c>
      <c r="F111" s="6" t="s">
        <v>8</v>
      </c>
      <c r="G111" s="11" t="s">
        <v>16</v>
      </c>
      <c r="H111" s="6" t="s">
        <v>17</v>
      </c>
      <c r="I111" s="21" t="s">
        <v>1072</v>
      </c>
      <c r="J111" s="18">
        <f>VLOOKUP(A111,[2]Export!$A:$B,2,0)</f>
        <v>2628.2879985005989</v>
      </c>
      <c r="K111" s="18">
        <f>VLOOKUP(A111,[2]Export!$A:$C,3,0)</f>
        <v>1604.7900000000004</v>
      </c>
      <c r="L111" s="19">
        <f t="shared" si="4"/>
        <v>0.61058377198979352</v>
      </c>
      <c r="M111" s="18">
        <f>VLOOKUP(A111,[2]Export!$A:$G,7,0)</f>
        <v>137.85</v>
      </c>
      <c r="N111" s="19">
        <f t="shared" si="5"/>
        <v>5.2448590138767695E-2</v>
      </c>
      <c r="O111" s="17" t="s">
        <v>1029</v>
      </c>
      <c r="P111" s="17" t="s">
        <v>1026</v>
      </c>
      <c r="Q111" s="17" t="s">
        <v>1022</v>
      </c>
      <c r="R111" s="17" t="str">
        <f>VLOOKUP(A111,[1]Export!$A:$I,9,0)</f>
        <v>Comprou Marcas</v>
      </c>
      <c r="S111" s="17" t="s">
        <v>1022</v>
      </c>
      <c r="T111" s="20"/>
      <c r="U111" s="17"/>
      <c r="V111" s="17"/>
    </row>
    <row r="112" spans="1:22" x14ac:dyDescent="0.35">
      <c r="A112" s="4">
        <v>26661675000175</v>
      </c>
      <c r="B112" s="7"/>
      <c r="C112" s="4"/>
      <c r="D112" s="1" t="s">
        <v>189</v>
      </c>
      <c r="E112" s="1" t="s">
        <v>40</v>
      </c>
      <c r="F112" s="1" t="s">
        <v>8</v>
      </c>
      <c r="G112" s="10" t="s">
        <v>190</v>
      </c>
      <c r="H112" s="1" t="s">
        <v>17</v>
      </c>
      <c r="I112" s="21" t="s">
        <v>1070</v>
      </c>
      <c r="J112" s="18">
        <f>VLOOKUP(A112,[2]Export!$A:$B,2,0)</f>
        <v>16542.312373378587</v>
      </c>
      <c r="K112" s="18">
        <f>VLOOKUP(A112,[2]Export!$A:$C,3,0)</f>
        <v>7327.9100000000008</v>
      </c>
      <c r="L112" s="19">
        <f t="shared" si="4"/>
        <v>0.44297978629594426</v>
      </c>
      <c r="M112" s="18">
        <f>VLOOKUP(A112,[2]Export!$A:$G,7,0)</f>
        <v>7622.6800000000012</v>
      </c>
      <c r="N112" s="19">
        <f t="shared" si="5"/>
        <v>0.460798939588828</v>
      </c>
      <c r="O112" s="17" t="s">
        <v>1027</v>
      </c>
      <c r="P112" s="17" t="s">
        <v>1028</v>
      </c>
      <c r="Q112" s="17" t="s">
        <v>1023</v>
      </c>
      <c r="R112" s="17" t="str">
        <f>VLOOKUP(A112,[1]Export!$A:$I,9,0)</f>
        <v>Comprou Marcas</v>
      </c>
      <c r="S112" s="17" t="s">
        <v>1022</v>
      </c>
      <c r="T112" s="20"/>
      <c r="U112" s="17"/>
      <c r="V112" s="17"/>
    </row>
    <row r="113" spans="1:22" x14ac:dyDescent="0.35">
      <c r="A113" s="5">
        <v>12881115000111</v>
      </c>
      <c r="B113" s="7"/>
      <c r="C113" s="4"/>
      <c r="D113" s="6" t="s">
        <v>191</v>
      </c>
      <c r="E113" s="6" t="s">
        <v>149</v>
      </c>
      <c r="F113" s="6" t="s">
        <v>8</v>
      </c>
      <c r="G113" s="11" t="s">
        <v>33</v>
      </c>
      <c r="H113" s="6" t="s">
        <v>17</v>
      </c>
      <c r="I113" s="21" t="s">
        <v>1072</v>
      </c>
      <c r="J113" s="18">
        <f>VLOOKUP(A113,[2]Export!$A:$B,2,0)</f>
        <v>1769.943479186968</v>
      </c>
      <c r="K113" s="18">
        <f>VLOOKUP(A113,[2]Export!$A:$C,3,0)</f>
        <v>371.18</v>
      </c>
      <c r="L113" s="19">
        <f t="shared" si="4"/>
        <v>0.20971291138093479</v>
      </c>
      <c r="M113" s="18">
        <f>VLOOKUP(A113,[2]Export!$A:$G,7,0)</f>
        <v>0</v>
      </c>
      <c r="N113" s="19">
        <f t="shared" si="5"/>
        <v>0</v>
      </c>
      <c r="O113" s="17" t="s">
        <v>1027</v>
      </c>
      <c r="P113" s="17" t="s">
        <v>1026</v>
      </c>
      <c r="Q113" s="17" t="s">
        <v>1023</v>
      </c>
      <c r="R113" s="17" t="str">
        <f>VLOOKUP(A113,[1]Export!$A:$I,9,0)</f>
        <v>Não Comprou</v>
      </c>
      <c r="S113" s="17" t="s">
        <v>1022</v>
      </c>
      <c r="T113" s="20"/>
      <c r="U113" s="17"/>
      <c r="V113" s="17"/>
    </row>
    <row r="114" spans="1:22" x14ac:dyDescent="0.35">
      <c r="A114" s="4">
        <v>13412480000140</v>
      </c>
      <c r="B114" s="7"/>
      <c r="C114" s="4"/>
      <c r="D114" s="1" t="s">
        <v>192</v>
      </c>
      <c r="E114" s="1" t="s">
        <v>193</v>
      </c>
      <c r="F114" s="1" t="s">
        <v>194</v>
      </c>
      <c r="G114" s="10" t="s">
        <v>20</v>
      </c>
      <c r="H114" s="1" t="s">
        <v>17</v>
      </c>
      <c r="I114" s="21" t="s">
        <v>1068</v>
      </c>
      <c r="J114" s="18">
        <f>VLOOKUP(A114,[2]Export!$A:$B,2,0)</f>
        <v>1492.017577893899</v>
      </c>
      <c r="K114" s="18">
        <f>VLOOKUP(A114,[2]Export!$A:$C,3,0)</f>
        <v>1346.1699999999998</v>
      </c>
      <c r="L114" s="19">
        <f t="shared" si="4"/>
        <v>0.90224808336388729</v>
      </c>
      <c r="M114" s="18">
        <f>VLOOKUP(A114,[2]Export!$A:$G,7,0)</f>
        <v>0</v>
      </c>
      <c r="N114" s="19">
        <f t="shared" si="5"/>
        <v>0</v>
      </c>
      <c r="O114" s="17" t="s">
        <v>1025</v>
      </c>
      <c r="P114" s="17" t="s">
        <v>1026</v>
      </c>
      <c r="Q114" s="17" t="s">
        <v>1023</v>
      </c>
      <c r="R114" s="17" t="str">
        <f>VLOOKUP(A114,[1]Export!$A:$I,9,0)</f>
        <v>Não Comprou</v>
      </c>
      <c r="S114" s="17" t="s">
        <v>1022</v>
      </c>
      <c r="T114" s="20"/>
      <c r="U114" s="17"/>
      <c r="V114" s="17"/>
    </row>
    <row r="115" spans="1:22" x14ac:dyDescent="0.35">
      <c r="A115" s="5">
        <v>14782944000172</v>
      </c>
      <c r="B115" s="7"/>
      <c r="C115" s="4"/>
      <c r="D115" s="6" t="s">
        <v>195</v>
      </c>
      <c r="E115" s="6" t="s">
        <v>61</v>
      </c>
      <c r="F115" s="6" t="s">
        <v>8</v>
      </c>
      <c r="G115" s="11" t="s">
        <v>20</v>
      </c>
      <c r="H115" s="6" t="s">
        <v>17</v>
      </c>
      <c r="I115" s="21" t="s">
        <v>1066</v>
      </c>
      <c r="J115" s="18">
        <f>VLOOKUP(A115,[2]Export!$A:$B,2,0)</f>
        <v>2255.4714599977387</v>
      </c>
      <c r="K115" s="18">
        <f>VLOOKUP(A115,[2]Export!$A:$C,3,0)</f>
        <v>811.97</v>
      </c>
      <c r="L115" s="19">
        <f t="shared" si="4"/>
        <v>0.36000012166006928</v>
      </c>
      <c r="M115" s="18">
        <f>VLOOKUP(A115,[2]Export!$A:$G,7,0)</f>
        <v>796.58</v>
      </c>
      <c r="N115" s="19">
        <f t="shared" si="5"/>
        <v>0.35317671454853994</v>
      </c>
      <c r="O115" s="17" t="s">
        <v>1025</v>
      </c>
      <c r="P115" s="17" t="s">
        <v>1026</v>
      </c>
      <c r="Q115" s="17" t="s">
        <v>1023</v>
      </c>
      <c r="R115" s="17" t="str">
        <f>VLOOKUP(A115,[1]Export!$A:$I,9,0)</f>
        <v>Comprou Marcas</v>
      </c>
      <c r="S115" s="17" t="s">
        <v>1022</v>
      </c>
      <c r="T115" s="20"/>
      <c r="U115" s="17"/>
      <c r="V115" s="17"/>
    </row>
    <row r="116" spans="1:22" x14ac:dyDescent="0.35">
      <c r="A116" s="4">
        <v>15056307000181</v>
      </c>
      <c r="B116" s="7"/>
      <c r="C116" s="4"/>
      <c r="D116" s="1" t="s">
        <v>154</v>
      </c>
      <c r="E116" s="1" t="s">
        <v>196</v>
      </c>
      <c r="F116" s="1" t="s">
        <v>48</v>
      </c>
      <c r="G116" s="10" t="s">
        <v>197</v>
      </c>
      <c r="H116" s="1" t="s">
        <v>17</v>
      </c>
      <c r="I116" s="21" t="s">
        <v>1071</v>
      </c>
      <c r="J116" s="18">
        <f>VLOOKUP(A116,[2]Export!$A:$B,2,0)</f>
        <v>3422.2466306673541</v>
      </c>
      <c r="K116" s="18">
        <f>VLOOKUP(A116,[2]Export!$A:$C,3,0)</f>
        <v>3203.5499999999997</v>
      </c>
      <c r="L116" s="19">
        <f t="shared" si="4"/>
        <v>0.9360955961772085</v>
      </c>
      <c r="M116" s="18">
        <f>VLOOKUP(A116,[2]Export!$A:$G,7,0)</f>
        <v>0</v>
      </c>
      <c r="N116" s="19">
        <f t="shared" si="5"/>
        <v>0</v>
      </c>
      <c r="O116" s="17"/>
      <c r="P116" s="17"/>
      <c r="Q116" s="17"/>
      <c r="R116" s="17" t="str">
        <f>VLOOKUP(A116,[1]Export!$A:$I,9,0)</f>
        <v>Não Comprou</v>
      </c>
      <c r="S116" s="17"/>
      <c r="T116" s="20"/>
      <c r="U116" s="17"/>
      <c r="V116" s="17"/>
    </row>
    <row r="117" spans="1:22" x14ac:dyDescent="0.35">
      <c r="A117" s="5">
        <v>15448038000107</v>
      </c>
      <c r="B117" s="7"/>
      <c r="C117" s="4"/>
      <c r="D117" s="6" t="s">
        <v>198</v>
      </c>
      <c r="E117" s="6" t="s">
        <v>199</v>
      </c>
      <c r="F117" s="6" t="s">
        <v>15</v>
      </c>
      <c r="G117" s="11" t="s">
        <v>20</v>
      </c>
      <c r="H117" s="6" t="s">
        <v>17</v>
      </c>
      <c r="I117" s="21" t="s">
        <v>1069</v>
      </c>
      <c r="J117" s="18">
        <f>VLOOKUP(A117,[2]Export!$A:$B,2,0)</f>
        <v>3006.1930933430244</v>
      </c>
      <c r="K117" s="18">
        <f>VLOOKUP(A117,[2]Export!$A:$C,3,0)</f>
        <v>2252.77</v>
      </c>
      <c r="L117" s="19">
        <f t="shared" si="4"/>
        <v>0.74937634744374204</v>
      </c>
      <c r="M117" s="18">
        <f>VLOOKUP(A117,[2]Export!$A:$G,7,0)</f>
        <v>1048.96</v>
      </c>
      <c r="N117" s="19">
        <f t="shared" si="5"/>
        <v>0.34893300843609765</v>
      </c>
      <c r="O117" s="17" t="s">
        <v>1025</v>
      </c>
      <c r="P117" s="17" t="s">
        <v>1026</v>
      </c>
      <c r="Q117" s="17" t="s">
        <v>1023</v>
      </c>
      <c r="R117" s="17" t="str">
        <f>VLOOKUP(A117,[1]Export!$A:$I,9,0)</f>
        <v>Comprou Marcas</v>
      </c>
      <c r="S117" s="17" t="s">
        <v>1022</v>
      </c>
      <c r="T117" s="20"/>
      <c r="U117" s="17"/>
      <c r="V117" s="17"/>
    </row>
    <row r="118" spans="1:22" x14ac:dyDescent="0.35">
      <c r="A118" s="4">
        <v>35976688000124</v>
      </c>
      <c r="B118" s="7"/>
      <c r="C118" s="4"/>
      <c r="D118" s="1" t="s">
        <v>200</v>
      </c>
      <c r="E118" s="1" t="s">
        <v>182</v>
      </c>
      <c r="F118" s="1" t="s">
        <v>8</v>
      </c>
      <c r="G118" s="10" t="s">
        <v>20</v>
      </c>
      <c r="H118" s="1" t="s">
        <v>17</v>
      </c>
      <c r="I118" s="21" t="s">
        <v>1072</v>
      </c>
      <c r="J118" s="18">
        <f>VLOOKUP(A118,[2]Export!$A:$B,2,0)</f>
        <v>1846.9604656784461</v>
      </c>
      <c r="K118" s="18">
        <f>VLOOKUP(A118,[2]Export!$A:$C,3,0)</f>
        <v>1255.69</v>
      </c>
      <c r="L118" s="19">
        <f t="shared" si="4"/>
        <v>0.67986836932037198</v>
      </c>
      <c r="M118" s="18">
        <f>VLOOKUP(A118,[2]Export!$A:$G,7,0)</f>
        <v>137.85</v>
      </c>
      <c r="N118" s="19">
        <f t="shared" si="5"/>
        <v>7.4636140059101588E-2</v>
      </c>
      <c r="O118" s="17" t="s">
        <v>1025</v>
      </c>
      <c r="P118" s="17" t="s">
        <v>1026</v>
      </c>
      <c r="Q118" s="17" t="s">
        <v>1023</v>
      </c>
      <c r="R118" s="17" t="str">
        <f>VLOOKUP(A118,[1]Export!$A:$I,9,0)</f>
        <v>Comprou Marcas</v>
      </c>
      <c r="S118" s="17" t="s">
        <v>1023</v>
      </c>
      <c r="T118" s="20"/>
      <c r="U118" s="17"/>
      <c r="V118" s="17"/>
    </row>
    <row r="119" spans="1:22" x14ac:dyDescent="0.35">
      <c r="A119" s="5">
        <v>36728431000469</v>
      </c>
      <c r="B119" s="7"/>
      <c r="C119" s="4"/>
      <c r="D119" s="6" t="s">
        <v>201</v>
      </c>
      <c r="E119" s="6" t="s">
        <v>14</v>
      </c>
      <c r="F119" s="6" t="s">
        <v>15</v>
      </c>
      <c r="G119" s="11" t="s">
        <v>9</v>
      </c>
      <c r="H119" s="6" t="s">
        <v>10</v>
      </c>
      <c r="I119" s="21" t="s">
        <v>1067</v>
      </c>
      <c r="J119" s="18">
        <f>VLOOKUP(A119,[2]Export!$A:$B,2,0)</f>
        <v>3712.2664245732899</v>
      </c>
      <c r="K119" s="18">
        <f>VLOOKUP(A119,[2]Export!$A:$C,3,0)</f>
        <v>1334.8400000000004</v>
      </c>
      <c r="L119" s="19">
        <f t="shared" si="4"/>
        <v>0.3595754849824484</v>
      </c>
      <c r="M119" s="18">
        <f>VLOOKUP(A119,[2]Export!$A:$G,7,0)</f>
        <v>2283.61</v>
      </c>
      <c r="N119" s="19">
        <f t="shared" si="5"/>
        <v>0.61515250761197504</v>
      </c>
      <c r="O119" s="17" t="s">
        <v>1027</v>
      </c>
      <c r="P119" s="17" t="s">
        <v>1028</v>
      </c>
      <c r="Q119" s="17" t="s">
        <v>1023</v>
      </c>
      <c r="R119" s="17" t="str">
        <f>VLOOKUP(A119,[1]Export!$A:$I,9,0)</f>
        <v>Comprou Marcas</v>
      </c>
      <c r="S119" s="17" t="s">
        <v>1022</v>
      </c>
      <c r="T119" s="20"/>
      <c r="U119" s="17"/>
      <c r="V119" s="17"/>
    </row>
    <row r="120" spans="1:22" x14ac:dyDescent="0.35">
      <c r="A120" s="4">
        <v>39350015000115</v>
      </c>
      <c r="B120" s="7"/>
      <c r="C120" s="4"/>
      <c r="D120" s="1" t="s">
        <v>202</v>
      </c>
      <c r="E120" s="1" t="s">
        <v>203</v>
      </c>
      <c r="F120" s="1" t="s">
        <v>8</v>
      </c>
      <c r="G120" s="10" t="s">
        <v>74</v>
      </c>
      <c r="H120" s="1" t="s">
        <v>17</v>
      </c>
      <c r="I120" s="21" t="s">
        <v>1072</v>
      </c>
      <c r="J120" s="18">
        <f>VLOOKUP(A120,[2]Export!$A:$B,2,0)</f>
        <v>6350.2997404043235</v>
      </c>
      <c r="K120" s="18">
        <f>VLOOKUP(A120,[2]Export!$A:$C,3,0)</f>
        <v>4717.72</v>
      </c>
      <c r="L120" s="19">
        <f t="shared" si="4"/>
        <v>0.74291296361699344</v>
      </c>
      <c r="M120" s="18">
        <f>VLOOKUP(A120,[2]Export!$A:$G,7,0)</f>
        <v>0</v>
      </c>
      <c r="N120" s="19">
        <f t="shared" si="5"/>
        <v>0</v>
      </c>
      <c r="O120" s="17" t="s">
        <v>1029</v>
      </c>
      <c r="P120" s="17" t="s">
        <v>1026</v>
      </c>
      <c r="Q120" s="17" t="s">
        <v>1023</v>
      </c>
      <c r="R120" s="17" t="str">
        <f>VLOOKUP(A120,[1]Export!$A:$I,9,0)</f>
        <v>Não Comprou</v>
      </c>
      <c r="S120" s="17" t="s">
        <v>1022</v>
      </c>
      <c r="T120" s="20">
        <v>4</v>
      </c>
      <c r="U120" s="17"/>
      <c r="V120" s="17"/>
    </row>
    <row r="121" spans="1:22" x14ac:dyDescent="0.35">
      <c r="A121" s="5">
        <v>42162995000137</v>
      </c>
      <c r="B121" s="7"/>
      <c r="C121" s="4"/>
      <c r="D121" s="6" t="s">
        <v>204</v>
      </c>
      <c r="E121" s="6" t="s">
        <v>14</v>
      </c>
      <c r="F121" s="6" t="s">
        <v>15</v>
      </c>
      <c r="G121" s="11" t="s">
        <v>36</v>
      </c>
      <c r="H121" s="6" t="s">
        <v>17</v>
      </c>
      <c r="I121" s="21" t="s">
        <v>1067</v>
      </c>
      <c r="J121" s="18">
        <f>VLOOKUP(A121,[2]Export!$A:$B,2,0)</f>
        <v>3316.486914874476</v>
      </c>
      <c r="K121" s="18">
        <f>VLOOKUP(A121,[2]Export!$A:$C,3,0)</f>
        <v>2123.75</v>
      </c>
      <c r="L121" s="19">
        <f t="shared" si="4"/>
        <v>0.6403613385220851</v>
      </c>
      <c r="M121" s="18">
        <f>VLOOKUP(A121,[2]Export!$A:$G,7,0)</f>
        <v>889.92</v>
      </c>
      <c r="N121" s="19">
        <f t="shared" si="5"/>
        <v>0.26833213060745092</v>
      </c>
      <c r="O121" s="17" t="s">
        <v>1025</v>
      </c>
      <c r="P121" s="17" t="s">
        <v>1026</v>
      </c>
      <c r="Q121" s="17" t="s">
        <v>1023</v>
      </c>
      <c r="R121" s="17" t="str">
        <f>VLOOKUP(A121,[1]Export!$A:$I,9,0)</f>
        <v>Comprou Marcas</v>
      </c>
      <c r="S121" s="17" t="s">
        <v>1023</v>
      </c>
      <c r="T121" s="20"/>
      <c r="U121" s="17"/>
      <c r="V121" s="17"/>
    </row>
    <row r="122" spans="1:22" x14ac:dyDescent="0.35">
      <c r="A122" s="4">
        <v>43533082000142</v>
      </c>
      <c r="B122" s="7"/>
      <c r="C122" s="4"/>
      <c r="D122" s="1" t="s">
        <v>205</v>
      </c>
      <c r="E122" s="1" t="s">
        <v>206</v>
      </c>
      <c r="F122" s="1" t="s">
        <v>48</v>
      </c>
      <c r="G122" s="10" t="s">
        <v>20</v>
      </c>
      <c r="H122" s="1" t="s">
        <v>17</v>
      </c>
      <c r="I122" s="21" t="s">
        <v>1073</v>
      </c>
      <c r="J122" s="18">
        <f>VLOOKUP(A122,[2]Export!$A:$B,2,0)</f>
        <v>1559.9559594339769</v>
      </c>
      <c r="K122" s="18">
        <f>VLOOKUP(A122,[2]Export!$A:$C,3,0)</f>
        <v>3524.8999999999996</v>
      </c>
      <c r="L122" s="19">
        <f t="shared" si="4"/>
        <v>2.2596150735428417</v>
      </c>
      <c r="M122" s="18">
        <f>VLOOKUP(A122,[2]Export!$A:$G,7,0)</f>
        <v>0</v>
      </c>
      <c r="N122" s="19">
        <f t="shared" si="5"/>
        <v>0</v>
      </c>
      <c r="O122" s="17" t="s">
        <v>1025</v>
      </c>
      <c r="P122" s="17" t="s">
        <v>1026</v>
      </c>
      <c r="Q122" s="17" t="s">
        <v>1023</v>
      </c>
      <c r="R122" s="17" t="str">
        <f>VLOOKUP(A122,[1]Export!$A:$I,9,0)</f>
        <v>Não Comprou</v>
      </c>
      <c r="S122" s="17" t="s">
        <v>1022</v>
      </c>
      <c r="T122" s="20">
        <v>1</v>
      </c>
      <c r="U122" s="17"/>
      <c r="V122" s="17">
        <v>6</v>
      </c>
    </row>
    <row r="123" spans="1:22" x14ac:dyDescent="0.35">
      <c r="A123" s="5">
        <v>36728431000116</v>
      </c>
      <c r="B123" s="7"/>
      <c r="C123" s="4"/>
      <c r="D123" s="6" t="s">
        <v>168</v>
      </c>
      <c r="E123" s="6" t="s">
        <v>14</v>
      </c>
      <c r="F123" s="6" t="s">
        <v>15</v>
      </c>
      <c r="G123" s="11" t="s">
        <v>9</v>
      </c>
      <c r="H123" s="6" t="s">
        <v>10</v>
      </c>
      <c r="I123" s="21" t="s">
        <v>1067</v>
      </c>
      <c r="J123" s="18">
        <f>VLOOKUP(A123,[2]Export!$A:$B,2,0)</f>
        <v>5339.5951158266034</v>
      </c>
      <c r="K123" s="18">
        <f>VLOOKUP(A123,[2]Export!$A:$C,3,0)</f>
        <v>3007.099999999999</v>
      </c>
      <c r="L123" s="19">
        <f t="shared" si="4"/>
        <v>0.56317004094316625</v>
      </c>
      <c r="M123" s="18">
        <f>VLOOKUP(A123,[2]Export!$A:$G,7,0)</f>
        <v>4730.1600000000008</v>
      </c>
      <c r="N123" s="19">
        <f t="shared" si="5"/>
        <v>0.88586491997862682</v>
      </c>
      <c r="O123" s="17" t="s">
        <v>1027</v>
      </c>
      <c r="P123" s="17" t="s">
        <v>1028</v>
      </c>
      <c r="Q123" s="17" t="s">
        <v>1023</v>
      </c>
      <c r="R123" s="17" t="str">
        <f>VLOOKUP(A123,[1]Export!$A:$I,9,0)</f>
        <v>Comprou Marcas</v>
      </c>
      <c r="S123" s="17" t="s">
        <v>1022</v>
      </c>
      <c r="T123" s="20"/>
      <c r="U123" s="17"/>
      <c r="V123" s="17"/>
    </row>
    <row r="124" spans="1:22" x14ac:dyDescent="0.35">
      <c r="A124" s="4">
        <v>18096092000110</v>
      </c>
      <c r="B124" s="7"/>
      <c r="C124" s="4"/>
      <c r="D124" s="1" t="s">
        <v>207</v>
      </c>
      <c r="E124" s="1" t="s">
        <v>208</v>
      </c>
      <c r="F124" s="1" t="s">
        <v>15</v>
      </c>
      <c r="G124" s="10" t="s">
        <v>36</v>
      </c>
      <c r="H124" s="1" t="s">
        <v>17</v>
      </c>
      <c r="I124" s="21" t="s">
        <v>1067</v>
      </c>
      <c r="J124" s="18">
        <f>VLOOKUP(A124,[2]Export!$A:$B,2,0)</f>
        <v>4287.1491389053581</v>
      </c>
      <c r="K124" s="18">
        <f>VLOOKUP(A124,[2]Export!$A:$C,3,0)</f>
        <v>4647.49</v>
      </c>
      <c r="L124" s="19">
        <f t="shared" si="4"/>
        <v>1.0840513939262322</v>
      </c>
      <c r="M124" s="18">
        <f>VLOOKUP(A124,[2]Export!$A:$G,7,0)</f>
        <v>4024.4900000000007</v>
      </c>
      <c r="N124" s="19">
        <f t="shared" si="5"/>
        <v>0.93873337959676806</v>
      </c>
      <c r="O124" s="17" t="s">
        <v>1027</v>
      </c>
      <c r="P124" s="17" t="s">
        <v>1028</v>
      </c>
      <c r="Q124" s="17" t="s">
        <v>1022</v>
      </c>
      <c r="R124" s="17" t="str">
        <f>VLOOKUP(A124,[1]Export!$A:$I,9,0)</f>
        <v>Comprou Marcas</v>
      </c>
      <c r="S124" s="17" t="s">
        <v>1022</v>
      </c>
      <c r="T124" s="20"/>
      <c r="U124" s="17"/>
      <c r="V124" s="17"/>
    </row>
    <row r="125" spans="1:22" x14ac:dyDescent="0.35">
      <c r="A125" s="5">
        <v>1069181000175</v>
      </c>
      <c r="B125" s="7"/>
      <c r="C125" s="4"/>
      <c r="D125" s="6" t="s">
        <v>209</v>
      </c>
      <c r="E125" s="6" t="s">
        <v>210</v>
      </c>
      <c r="F125" s="6" t="s">
        <v>8</v>
      </c>
      <c r="G125" s="11" t="s">
        <v>20</v>
      </c>
      <c r="H125" s="6" t="s">
        <v>17</v>
      </c>
      <c r="I125" s="21" t="s">
        <v>1068</v>
      </c>
      <c r="J125" s="18">
        <f>VLOOKUP(A125,[2]Export!$A:$B,2,0)</f>
        <v>393.16066964743146</v>
      </c>
      <c r="K125" s="18">
        <f>VLOOKUP(A125,[2]Export!$A:$C,3,0)</f>
        <v>0</v>
      </c>
      <c r="L125" s="19">
        <f t="shared" si="4"/>
        <v>0</v>
      </c>
      <c r="M125" s="18">
        <f>VLOOKUP(A125,[2]Export!$A:$G,7,0)</f>
        <v>0</v>
      </c>
      <c r="N125" s="19">
        <f t="shared" si="5"/>
        <v>0</v>
      </c>
      <c r="O125" s="17" t="s">
        <v>1025</v>
      </c>
      <c r="P125" s="17" t="s">
        <v>1026</v>
      </c>
      <c r="Q125" s="17" t="s">
        <v>1023</v>
      </c>
      <c r="R125" s="17" t="str">
        <f>VLOOKUP(A125,[1]Export!$A:$I,9,0)</f>
        <v>Não Comprou</v>
      </c>
      <c r="S125" s="17" t="s">
        <v>1023</v>
      </c>
      <c r="T125" s="20"/>
      <c r="U125" s="17"/>
      <c r="V125" s="17"/>
    </row>
    <row r="126" spans="1:22" x14ac:dyDescent="0.35">
      <c r="A126" s="4">
        <v>1561919000117</v>
      </c>
      <c r="B126" s="7"/>
      <c r="C126" s="4"/>
      <c r="D126" s="1" t="s">
        <v>211</v>
      </c>
      <c r="E126" s="1" t="s">
        <v>212</v>
      </c>
      <c r="F126" s="1" t="s">
        <v>15</v>
      </c>
      <c r="G126" s="10" t="s">
        <v>36</v>
      </c>
      <c r="H126" s="1" t="s">
        <v>17</v>
      </c>
      <c r="I126" s="21" t="s">
        <v>1067</v>
      </c>
      <c r="J126" s="18">
        <f>VLOOKUP(A126,[2]Export!$A:$B,2,0)</f>
        <v>8400.0043320821933</v>
      </c>
      <c r="K126" s="18">
        <f>VLOOKUP(A126,[2]Export!$A:$C,3,0)</f>
        <v>2803.1299999999997</v>
      </c>
      <c r="L126" s="19">
        <f t="shared" si="4"/>
        <v>0.33370578028084896</v>
      </c>
      <c r="M126" s="18">
        <f>VLOOKUP(A126,[2]Export!$A:$G,7,0)</f>
        <v>0</v>
      </c>
      <c r="N126" s="19">
        <f t="shared" si="5"/>
        <v>0</v>
      </c>
      <c r="O126" s="17" t="s">
        <v>1025</v>
      </c>
      <c r="P126" s="17" t="s">
        <v>1026</v>
      </c>
      <c r="Q126" s="17" t="s">
        <v>1022</v>
      </c>
      <c r="R126" s="17" t="str">
        <f>VLOOKUP(A126,[1]Export!$A:$I,9,0)</f>
        <v>Não Comprou</v>
      </c>
      <c r="S126" s="17" t="s">
        <v>1022</v>
      </c>
      <c r="T126" s="20"/>
      <c r="U126" s="17"/>
      <c r="V126" s="17"/>
    </row>
    <row r="127" spans="1:22" x14ac:dyDescent="0.35">
      <c r="A127" s="5">
        <v>1569011000150</v>
      </c>
      <c r="B127" s="7"/>
      <c r="C127" s="4"/>
      <c r="D127" s="6" t="s">
        <v>213</v>
      </c>
      <c r="E127" s="6" t="s">
        <v>125</v>
      </c>
      <c r="F127" s="6" t="s">
        <v>15</v>
      </c>
      <c r="G127" s="11" t="s">
        <v>16</v>
      </c>
      <c r="H127" s="6" t="s">
        <v>17</v>
      </c>
      <c r="I127" s="21" t="s">
        <v>1067</v>
      </c>
      <c r="J127" s="18">
        <f>VLOOKUP(A127,[2]Export!$A:$B,2,0)</f>
        <v>6849.2105873064929</v>
      </c>
      <c r="K127" s="18">
        <f>VLOOKUP(A127,[2]Export!$A:$C,3,0)</f>
        <v>2139.7400000000002</v>
      </c>
      <c r="L127" s="19">
        <f t="shared" si="4"/>
        <v>0.31240680553252931</v>
      </c>
      <c r="M127" s="18">
        <f>VLOOKUP(A127,[2]Export!$A:$G,7,0)</f>
        <v>1379.81</v>
      </c>
      <c r="N127" s="19">
        <f t="shared" si="5"/>
        <v>0.20145533305066932</v>
      </c>
      <c r="O127" s="17" t="s">
        <v>1029</v>
      </c>
      <c r="P127" s="17" t="s">
        <v>1026</v>
      </c>
      <c r="Q127" s="17" t="s">
        <v>1022</v>
      </c>
      <c r="R127" s="17" t="str">
        <f>VLOOKUP(A127,[1]Export!$A:$I,9,0)</f>
        <v>Comprou Marcas</v>
      </c>
      <c r="S127" s="17" t="s">
        <v>1022</v>
      </c>
      <c r="T127" s="20"/>
      <c r="U127" s="17"/>
      <c r="V127" s="17"/>
    </row>
    <row r="128" spans="1:22" x14ac:dyDescent="0.35">
      <c r="A128" s="4">
        <v>2025871000195</v>
      </c>
      <c r="B128" s="7" t="s">
        <v>994</v>
      </c>
      <c r="C128" s="4"/>
      <c r="D128" s="1" t="s">
        <v>214</v>
      </c>
      <c r="E128" s="1" t="s">
        <v>50</v>
      </c>
      <c r="F128" s="1" t="s">
        <v>48</v>
      </c>
      <c r="G128" s="10" t="s">
        <v>92</v>
      </c>
      <c r="H128" s="1" t="s">
        <v>17</v>
      </c>
      <c r="I128" s="21" t="s">
        <v>1071</v>
      </c>
      <c r="J128" s="18">
        <f>VLOOKUP(A128,[2]Export!$A:$B,2,0)</f>
        <v>8586.7630668873317</v>
      </c>
      <c r="K128" s="18">
        <f>VLOOKUP(A128,[2]Export!$A:$C,3,0)</f>
        <v>5660.8700000000017</v>
      </c>
      <c r="L128" s="19">
        <f t="shared" si="4"/>
        <v>0.65925540927403803</v>
      </c>
      <c r="M128" s="18">
        <f>VLOOKUP(A128,[2]Export!$A:$G,7,0)</f>
        <v>4054.58</v>
      </c>
      <c r="N128" s="19">
        <f t="shared" si="5"/>
        <v>0.4721895746297527</v>
      </c>
      <c r="O128" s="17" t="s">
        <v>1027</v>
      </c>
      <c r="P128" s="17" t="s">
        <v>1028</v>
      </c>
      <c r="Q128" s="17" t="s">
        <v>1023</v>
      </c>
      <c r="R128" s="17" t="str">
        <f>VLOOKUP(A128,[1]Export!$A:$I,9,0)</f>
        <v>Comprou Marcas e SG</v>
      </c>
      <c r="S128" s="17" t="s">
        <v>1022</v>
      </c>
      <c r="T128" s="20"/>
      <c r="U128" s="17"/>
      <c r="V128" s="17"/>
    </row>
    <row r="129" spans="1:22" x14ac:dyDescent="0.35">
      <c r="A129" s="5">
        <v>2222873000174</v>
      </c>
      <c r="B129" s="7"/>
      <c r="C129" s="4"/>
      <c r="D129" s="6" t="s">
        <v>215</v>
      </c>
      <c r="E129" s="6" t="s">
        <v>216</v>
      </c>
      <c r="F129" s="6" t="s">
        <v>15</v>
      </c>
      <c r="G129" s="11" t="s">
        <v>16</v>
      </c>
      <c r="H129" s="6" t="s">
        <v>17</v>
      </c>
      <c r="I129" s="21" t="s">
        <v>1073</v>
      </c>
      <c r="J129" s="18">
        <f>VLOOKUP(A129,[2]Export!$A:$B,2,0)</f>
        <v>5056.1381288460116</v>
      </c>
      <c r="K129" s="18">
        <f>VLOOKUP(A129,[2]Export!$A:$C,3,0)</f>
        <v>2264.0100000000002</v>
      </c>
      <c r="L129" s="19">
        <f t="shared" si="4"/>
        <v>0.44777455486896023</v>
      </c>
      <c r="M129" s="18">
        <f>VLOOKUP(A129,[2]Export!$A:$G,7,0)</f>
        <v>599.9799999999999</v>
      </c>
      <c r="N129" s="19">
        <f t="shared" si="5"/>
        <v>0.11866368851298302</v>
      </c>
      <c r="O129" s="17" t="s">
        <v>1027</v>
      </c>
      <c r="P129" s="17" t="s">
        <v>1028</v>
      </c>
      <c r="Q129" s="17" t="s">
        <v>1023</v>
      </c>
      <c r="R129" s="17" t="str">
        <f>VLOOKUP(A129,[1]Export!$A:$I,9,0)</f>
        <v>Comprou Marcas</v>
      </c>
      <c r="S129" s="17" t="s">
        <v>1022</v>
      </c>
      <c r="T129" s="20"/>
      <c r="U129" s="17"/>
      <c r="V129" s="17"/>
    </row>
    <row r="130" spans="1:22" x14ac:dyDescent="0.35">
      <c r="A130" s="5">
        <v>19651628000690</v>
      </c>
      <c r="B130" s="7" t="s">
        <v>993</v>
      </c>
      <c r="C130" s="4"/>
      <c r="D130" s="6" t="s">
        <v>470</v>
      </c>
      <c r="E130" s="6" t="s">
        <v>35</v>
      </c>
      <c r="F130" s="6" t="s">
        <v>8</v>
      </c>
      <c r="G130" s="11" t="s">
        <v>9</v>
      </c>
      <c r="H130" s="6" t="s">
        <v>10</v>
      </c>
      <c r="I130" s="21" t="s">
        <v>1070</v>
      </c>
      <c r="J130" s="18">
        <f>VLOOKUP(A130,[2]Export!$A:$B,2,0)</f>
        <v>16077.580325756697</v>
      </c>
      <c r="K130" s="18">
        <f>VLOOKUP(A130,[2]Export!$A:$C,3,0)</f>
        <v>8082.71</v>
      </c>
      <c r="L130" s="19">
        <f t="shared" si="4"/>
        <v>0.50273174421970024</v>
      </c>
      <c r="M130" s="18">
        <f>VLOOKUP(A130,[2]Export!$A:$G,7,0)</f>
        <v>5247.5599999999986</v>
      </c>
      <c r="N130" s="19">
        <f t="shared" si="5"/>
        <v>0.32638991027731162</v>
      </c>
      <c r="O130" s="17" t="s">
        <v>1027</v>
      </c>
      <c r="P130" s="17" t="s">
        <v>1028</v>
      </c>
      <c r="Q130" s="17" t="s">
        <v>1023</v>
      </c>
      <c r="R130" s="17" t="str">
        <f>VLOOKUP(A130,[1]Export!$A:$I,9,0)</f>
        <v>Comprou Marcas e SG</v>
      </c>
      <c r="S130" s="17" t="s">
        <v>1022</v>
      </c>
      <c r="T130" s="20"/>
      <c r="U130" s="17"/>
      <c r="V130" s="17"/>
    </row>
    <row r="131" spans="1:22" x14ac:dyDescent="0.35">
      <c r="A131" s="5">
        <v>6940115000142</v>
      </c>
      <c r="B131" s="7"/>
      <c r="C131" s="4"/>
      <c r="D131" s="6" t="s">
        <v>217</v>
      </c>
      <c r="E131" s="6" t="s">
        <v>35</v>
      </c>
      <c r="F131" s="6" t="s">
        <v>8</v>
      </c>
      <c r="G131" s="11" t="s">
        <v>197</v>
      </c>
      <c r="H131" s="6" t="s">
        <v>17</v>
      </c>
      <c r="I131" s="21" t="s">
        <v>1070</v>
      </c>
      <c r="J131" s="18">
        <f>VLOOKUP(A131,[2]Export!$A:$B,2,0)</f>
        <v>3799.6427197281369</v>
      </c>
      <c r="K131" s="18">
        <f>VLOOKUP(A131,[2]Export!$A:$C,3,0)</f>
        <v>829.04000000000008</v>
      </c>
      <c r="L131" s="19">
        <f t="shared" si="4"/>
        <v>0.21818893542162238</v>
      </c>
      <c r="M131" s="18">
        <f>VLOOKUP(A131,[2]Export!$A:$G,7,0)</f>
        <v>527.45000000000005</v>
      </c>
      <c r="N131" s="19">
        <f t="shared" si="5"/>
        <v>0.13881568318553353</v>
      </c>
      <c r="O131" s="17" t="s">
        <v>1027</v>
      </c>
      <c r="P131" s="17" t="s">
        <v>1028</v>
      </c>
      <c r="Q131" s="17" t="s">
        <v>1023</v>
      </c>
      <c r="R131" s="17" t="str">
        <f>VLOOKUP(A131,[1]Export!$A:$I,9,0)</f>
        <v>Comprou Marcas</v>
      </c>
      <c r="S131" s="17" t="s">
        <v>1022</v>
      </c>
      <c r="T131" s="20"/>
      <c r="U131" s="17">
        <v>1</v>
      </c>
      <c r="V131" s="17"/>
    </row>
    <row r="132" spans="1:22" x14ac:dyDescent="0.35">
      <c r="A132" s="4">
        <v>8087667000266</v>
      </c>
      <c r="B132" s="7" t="s">
        <v>1001</v>
      </c>
      <c r="C132" s="4"/>
      <c r="D132" s="1" t="s">
        <v>218</v>
      </c>
      <c r="E132" s="1" t="s">
        <v>219</v>
      </c>
      <c r="F132" s="1" t="s">
        <v>8</v>
      </c>
      <c r="G132" s="10" t="s">
        <v>36</v>
      </c>
      <c r="H132" s="1" t="s">
        <v>17</v>
      </c>
      <c r="I132" s="21" t="s">
        <v>1070</v>
      </c>
      <c r="J132" s="18">
        <f>VLOOKUP(A132,[2]Export!$A:$B,2,0)</f>
        <v>19196.936341061344</v>
      </c>
      <c r="K132" s="18">
        <f>VLOOKUP(A132,[2]Export!$A:$C,3,0)</f>
        <v>9892.3799999999992</v>
      </c>
      <c r="L132" s="19">
        <f t="shared" si="4"/>
        <v>0.51531035078970722</v>
      </c>
      <c r="M132" s="18">
        <f>VLOOKUP(A132,[2]Export!$A:$G,7,0)</f>
        <v>8259.9100000000017</v>
      </c>
      <c r="N132" s="19">
        <f t="shared" si="5"/>
        <v>0.43027230247841386</v>
      </c>
      <c r="O132" s="17" t="s">
        <v>1025</v>
      </c>
      <c r="P132" s="17" t="s">
        <v>1026</v>
      </c>
      <c r="Q132" s="17" t="s">
        <v>1023</v>
      </c>
      <c r="R132" s="17" t="str">
        <f>VLOOKUP(A132,[1]Export!$A:$I,9,0)</f>
        <v>Comprou Marcas</v>
      </c>
      <c r="S132" s="17" t="s">
        <v>1022</v>
      </c>
      <c r="T132" s="20">
        <v>4</v>
      </c>
      <c r="U132" s="17"/>
      <c r="V132" s="17"/>
    </row>
    <row r="133" spans="1:22" x14ac:dyDescent="0.35">
      <c r="A133" s="5">
        <v>8967701000106</v>
      </c>
      <c r="B133" s="7"/>
      <c r="C133" s="4"/>
      <c r="D133" s="6" t="s">
        <v>220</v>
      </c>
      <c r="E133" s="6" t="s">
        <v>221</v>
      </c>
      <c r="F133" s="6" t="s">
        <v>15</v>
      </c>
      <c r="G133" s="11" t="s">
        <v>20</v>
      </c>
      <c r="H133" s="6" t="s">
        <v>17</v>
      </c>
      <c r="I133" s="21" t="s">
        <v>1073</v>
      </c>
      <c r="J133" s="18">
        <f>VLOOKUP(A133,[2]Export!$A:$B,2,0)</f>
        <v>2385.0235105481283</v>
      </c>
      <c r="K133" s="18">
        <f>VLOOKUP(A133,[2]Export!$A:$C,3,0)</f>
        <v>1418.51</v>
      </c>
      <c r="L133" s="19">
        <f t="shared" si="4"/>
        <v>0.59475723980347539</v>
      </c>
      <c r="M133" s="18">
        <f>VLOOKUP(A133,[2]Export!$A:$G,7,0)</f>
        <v>488.13999999999993</v>
      </c>
      <c r="N133" s="19">
        <f t="shared" si="5"/>
        <v>0.20466884198043614</v>
      </c>
      <c r="O133" s="17" t="s">
        <v>1027</v>
      </c>
      <c r="P133" s="17" t="s">
        <v>1028</v>
      </c>
      <c r="Q133" s="17" t="s">
        <v>1022</v>
      </c>
      <c r="R133" s="17" t="str">
        <f>VLOOKUP(A133,[1]Export!$A:$I,9,0)</f>
        <v>Comprou Marcas</v>
      </c>
      <c r="S133" s="17" t="s">
        <v>1023</v>
      </c>
      <c r="T133" s="20"/>
      <c r="U133" s="17"/>
      <c r="V133" s="17"/>
    </row>
    <row r="134" spans="1:22" x14ac:dyDescent="0.35">
      <c r="A134" s="4">
        <v>9137352000168</v>
      </c>
      <c r="B134" s="7"/>
      <c r="C134" s="4"/>
      <c r="D134" s="1" t="s">
        <v>222</v>
      </c>
      <c r="E134" s="1" t="s">
        <v>193</v>
      </c>
      <c r="F134" s="1" t="s">
        <v>194</v>
      </c>
      <c r="G134" s="10" t="s">
        <v>20</v>
      </c>
      <c r="H134" s="1" t="s">
        <v>17</v>
      </c>
      <c r="I134" s="21" t="s">
        <v>1068</v>
      </c>
      <c r="J134" s="18">
        <f>VLOOKUP(A134,[2]Export!$A:$B,2,0)</f>
        <v>151.31757555855862</v>
      </c>
      <c r="K134" s="18">
        <f>VLOOKUP(A134,[2]Export!$A:$C,3,0)</f>
        <v>0</v>
      </c>
      <c r="L134" s="19">
        <f t="shared" si="4"/>
        <v>0</v>
      </c>
      <c r="M134" s="18">
        <f>VLOOKUP(A134,[2]Export!$A:$G,7,0)</f>
        <v>0</v>
      </c>
      <c r="N134" s="19">
        <f t="shared" si="5"/>
        <v>0</v>
      </c>
      <c r="O134" s="17" t="s">
        <v>1029</v>
      </c>
      <c r="P134" s="17" t="s">
        <v>1026</v>
      </c>
      <c r="Q134" s="17" t="s">
        <v>1022</v>
      </c>
      <c r="R134" s="17" t="str">
        <f>VLOOKUP(A134,[1]Export!$A:$I,9,0)</f>
        <v>Não Comprou</v>
      </c>
      <c r="S134" s="17" t="s">
        <v>1023</v>
      </c>
      <c r="T134" s="20"/>
      <c r="U134" s="17"/>
      <c r="V134" s="17"/>
    </row>
    <row r="135" spans="1:22" x14ac:dyDescent="0.35">
      <c r="A135" s="4">
        <v>10870136000106</v>
      </c>
      <c r="B135" s="7"/>
      <c r="C135" s="4"/>
      <c r="D135" s="1" t="s">
        <v>184</v>
      </c>
      <c r="E135" s="1" t="s">
        <v>146</v>
      </c>
      <c r="F135" s="1" t="s">
        <v>8</v>
      </c>
      <c r="G135" s="10" t="s">
        <v>38</v>
      </c>
      <c r="H135" s="1" t="s">
        <v>17</v>
      </c>
      <c r="I135" s="21" t="s">
        <v>1072</v>
      </c>
      <c r="J135" s="18">
        <f>VLOOKUP(A135,[2]Export!$A:$B,2,0)</f>
        <v>6396.6318826220413</v>
      </c>
      <c r="K135" s="18">
        <f>VLOOKUP(A135,[2]Export!$A:$C,3,0)</f>
        <v>2053.31</v>
      </c>
      <c r="L135" s="19">
        <f t="shared" si="4"/>
        <v>0.32099861891041453</v>
      </c>
      <c r="M135" s="18">
        <f>VLOOKUP(A135,[2]Export!$A:$G,7,0)</f>
        <v>668.67</v>
      </c>
      <c r="N135" s="19">
        <f t="shared" si="5"/>
        <v>0.10453470080349624</v>
      </c>
      <c r="O135" s="17" t="s">
        <v>1031</v>
      </c>
      <c r="P135" s="17" t="s">
        <v>1026</v>
      </c>
      <c r="Q135" s="17" t="s">
        <v>1022</v>
      </c>
      <c r="R135" s="17" t="str">
        <f>VLOOKUP(A135,[1]Export!$A:$I,9,0)</f>
        <v>Comprou Marcas</v>
      </c>
      <c r="S135" s="17" t="s">
        <v>1022</v>
      </c>
      <c r="T135" s="20"/>
      <c r="U135" s="17"/>
      <c r="V135" s="17">
        <v>2</v>
      </c>
    </row>
    <row r="136" spans="1:22" x14ac:dyDescent="0.35">
      <c r="A136" s="4">
        <v>10742383000127</v>
      </c>
      <c r="B136" s="7"/>
      <c r="C136" s="4"/>
      <c r="D136" s="1" t="s">
        <v>224</v>
      </c>
      <c r="E136" s="1" t="s">
        <v>35</v>
      </c>
      <c r="F136" s="1" t="s">
        <v>8</v>
      </c>
      <c r="G136" s="10" t="s">
        <v>20</v>
      </c>
      <c r="H136" s="1" t="s">
        <v>17</v>
      </c>
      <c r="I136" s="21" t="s">
        <v>1070</v>
      </c>
      <c r="J136" s="18">
        <f>VLOOKUP(A136,[2]Export!$A:$B,2,0)</f>
        <v>97.493367849103336</v>
      </c>
      <c r="K136" s="18">
        <f>VLOOKUP(A136,[2]Export!$A:$C,3,0)</f>
        <v>0</v>
      </c>
      <c r="L136" s="19">
        <f t="shared" si="4"/>
        <v>0</v>
      </c>
      <c r="M136" s="18">
        <f>VLOOKUP(A136,[2]Export!$A:$G,7,0)</f>
        <v>0</v>
      </c>
      <c r="N136" s="19">
        <f t="shared" si="5"/>
        <v>0</v>
      </c>
      <c r="O136" s="17" t="s">
        <v>1025</v>
      </c>
      <c r="P136" s="17" t="s">
        <v>1026</v>
      </c>
      <c r="Q136" s="17" t="s">
        <v>1022</v>
      </c>
      <c r="R136" s="17" t="str">
        <f>VLOOKUP(A136,[1]Export!$A:$I,9,0)</f>
        <v>Não Comprou</v>
      </c>
      <c r="S136" s="17" t="s">
        <v>1023</v>
      </c>
      <c r="T136" s="20"/>
      <c r="U136" s="17"/>
      <c r="V136" s="17"/>
    </row>
    <row r="137" spans="1:22" x14ac:dyDescent="0.35">
      <c r="A137" s="5">
        <v>8226395000157</v>
      </c>
      <c r="B137" s="7"/>
      <c r="C137" s="4"/>
      <c r="D137" s="6" t="s">
        <v>225</v>
      </c>
      <c r="E137" s="6" t="s">
        <v>226</v>
      </c>
      <c r="F137" s="6" t="s">
        <v>15</v>
      </c>
      <c r="G137" s="11" t="s">
        <v>36</v>
      </c>
      <c r="H137" s="6" t="s">
        <v>17</v>
      </c>
      <c r="I137" s="21" t="s">
        <v>1069</v>
      </c>
      <c r="J137" s="18">
        <f>VLOOKUP(A137,[2]Export!$A:$B,2,0)</f>
        <v>4374.9470766634358</v>
      </c>
      <c r="K137" s="18">
        <f>VLOOKUP(A137,[2]Export!$A:$C,3,0)</f>
        <v>675.15</v>
      </c>
      <c r="L137" s="19">
        <f t="shared" si="4"/>
        <v>0.15432186679499327</v>
      </c>
      <c r="M137" s="18">
        <f>VLOOKUP(A137,[2]Export!$A:$G,7,0)</f>
        <v>0</v>
      </c>
      <c r="N137" s="19">
        <f t="shared" si="5"/>
        <v>0</v>
      </c>
      <c r="O137" s="17" t="s">
        <v>1025</v>
      </c>
      <c r="P137" s="17" t="s">
        <v>1026</v>
      </c>
      <c r="Q137" s="17" t="s">
        <v>1022</v>
      </c>
      <c r="R137" s="17" t="str">
        <f>VLOOKUP(A137,[1]Export!$A:$I,9,0)</f>
        <v>Não Comprou</v>
      </c>
      <c r="S137" s="17" t="s">
        <v>1023</v>
      </c>
      <c r="T137" s="20"/>
      <c r="U137" s="17"/>
      <c r="V137" s="17"/>
    </row>
    <row r="138" spans="1:22" x14ac:dyDescent="0.35">
      <c r="A138" s="4">
        <v>8954952000237</v>
      </c>
      <c r="B138" s="7" t="s">
        <v>227</v>
      </c>
      <c r="C138" s="4">
        <v>137437</v>
      </c>
      <c r="D138" s="1" t="s">
        <v>227</v>
      </c>
      <c r="E138" s="1" t="s">
        <v>35</v>
      </c>
      <c r="F138" s="1" t="s">
        <v>8</v>
      </c>
      <c r="G138" s="10" t="s">
        <v>16</v>
      </c>
      <c r="H138" s="1" t="s">
        <v>17</v>
      </c>
      <c r="I138" s="21" t="s">
        <v>1070</v>
      </c>
      <c r="J138" s="18">
        <f>VLOOKUP(A138,[2]Export!$A:$B,2,0)</f>
        <v>14139.680487773532</v>
      </c>
      <c r="K138" s="18">
        <f>VLOOKUP(A138,[2]Export!$A:$C,3,0)</f>
        <v>9995.82</v>
      </c>
      <c r="L138" s="19">
        <f t="shared" si="4"/>
        <v>0.70693393734344312</v>
      </c>
      <c r="M138" s="18">
        <f>VLOOKUP(A138,[2]Export!$A:$G,7,0)</f>
        <v>3749.0900000000011</v>
      </c>
      <c r="N138" s="19">
        <f t="shared" si="5"/>
        <v>0.26514672684731516</v>
      </c>
      <c r="O138" s="17" t="s">
        <v>1027</v>
      </c>
      <c r="P138" s="17" t="s">
        <v>1028</v>
      </c>
      <c r="Q138" s="17" t="s">
        <v>1023</v>
      </c>
      <c r="R138" s="17" t="str">
        <f>VLOOKUP(A138,[1]Export!$A:$I,9,0)</f>
        <v>Comprou Marcas e SG</v>
      </c>
      <c r="S138" s="17" t="s">
        <v>1022</v>
      </c>
      <c r="T138" s="20"/>
      <c r="U138" s="17"/>
      <c r="V138" s="17"/>
    </row>
    <row r="139" spans="1:22" x14ac:dyDescent="0.35">
      <c r="A139" s="5">
        <v>8954952000318</v>
      </c>
      <c r="B139" s="7" t="s">
        <v>227</v>
      </c>
      <c r="C139" s="4"/>
      <c r="D139" s="6" t="s">
        <v>227</v>
      </c>
      <c r="E139" s="6" t="s">
        <v>35</v>
      </c>
      <c r="F139" s="6" t="s">
        <v>8</v>
      </c>
      <c r="G139" s="11" t="s">
        <v>16</v>
      </c>
      <c r="H139" s="6" t="s">
        <v>17</v>
      </c>
      <c r="I139" s="21" t="s">
        <v>1070</v>
      </c>
      <c r="J139" s="18">
        <f>VLOOKUP(A139,[2]Export!$A:$B,2,0)</f>
        <v>17770.341882431076</v>
      </c>
      <c r="K139" s="18">
        <f>VLOOKUP(A139,[2]Export!$A:$C,3,0)</f>
        <v>11000.779999999995</v>
      </c>
      <c r="L139" s="19">
        <f t="shared" si="4"/>
        <v>0.61905280566808263</v>
      </c>
      <c r="M139" s="18">
        <f>VLOOKUP(A139,[2]Export!$A:$G,7,0)</f>
        <v>9676.1399999999921</v>
      </c>
      <c r="N139" s="19">
        <f t="shared" si="5"/>
        <v>0.54451062697710151</v>
      </c>
      <c r="O139" s="17" t="s">
        <v>1027</v>
      </c>
      <c r="P139" s="17" t="s">
        <v>1028</v>
      </c>
      <c r="Q139" s="17" t="s">
        <v>1023</v>
      </c>
      <c r="R139" s="17" t="str">
        <f>VLOOKUP(A139,[1]Export!$A:$I,9,0)</f>
        <v>Comprou Marcas e SG</v>
      </c>
      <c r="S139" s="17" t="s">
        <v>1022</v>
      </c>
      <c r="T139" s="20">
        <v>17</v>
      </c>
      <c r="U139" s="17"/>
      <c r="V139" s="17">
        <v>1</v>
      </c>
    </row>
    <row r="140" spans="1:22" x14ac:dyDescent="0.35">
      <c r="A140" s="4">
        <v>9555593000127</v>
      </c>
      <c r="B140" s="7"/>
      <c r="C140" s="4">
        <v>13685</v>
      </c>
      <c r="D140" s="1" t="s">
        <v>228</v>
      </c>
      <c r="E140" s="1" t="s">
        <v>221</v>
      </c>
      <c r="F140" s="1" t="s">
        <v>15</v>
      </c>
      <c r="G140" s="10" t="s">
        <v>229</v>
      </c>
      <c r="H140" s="1" t="s">
        <v>17</v>
      </c>
      <c r="I140" s="21" t="s">
        <v>1073</v>
      </c>
      <c r="J140" s="18">
        <f>VLOOKUP(A140,[2]Export!$A:$B,2,0)</f>
        <v>6110.2289990059153</v>
      </c>
      <c r="K140" s="18">
        <f>VLOOKUP(A140,[2]Export!$A:$C,3,0)</f>
        <v>4213.3300000000008</v>
      </c>
      <c r="L140" s="19">
        <f t="shared" si="4"/>
        <v>0.68955353403047182</v>
      </c>
      <c r="M140" s="18">
        <f>VLOOKUP(A140,[2]Export!$A:$G,7,0)</f>
        <v>2594.6799999999998</v>
      </c>
      <c r="N140" s="19">
        <f t="shared" si="5"/>
        <v>0.42464529568730291</v>
      </c>
      <c r="O140" s="17" t="s">
        <v>1029</v>
      </c>
      <c r="P140" s="17" t="s">
        <v>1026</v>
      </c>
      <c r="Q140" s="17" t="s">
        <v>1022</v>
      </c>
      <c r="R140" s="17" t="str">
        <f>VLOOKUP(A140,[1]Export!$A:$I,9,0)</f>
        <v>Comprou Marcas</v>
      </c>
      <c r="S140" s="17" t="s">
        <v>1022</v>
      </c>
      <c r="T140" s="20"/>
      <c r="U140" s="17">
        <v>2</v>
      </c>
      <c r="V140" s="17">
        <v>3</v>
      </c>
    </row>
    <row r="141" spans="1:22" x14ac:dyDescent="0.35">
      <c r="A141" s="5">
        <v>10309726000164</v>
      </c>
      <c r="B141" s="7"/>
      <c r="C141" s="4"/>
      <c r="D141" s="6" t="s">
        <v>230</v>
      </c>
      <c r="E141" s="6" t="s">
        <v>47</v>
      </c>
      <c r="F141" s="6" t="s">
        <v>48</v>
      </c>
      <c r="G141" s="11" t="s">
        <v>80</v>
      </c>
      <c r="H141" s="6" t="s">
        <v>17</v>
      </c>
      <c r="I141" s="21" t="s">
        <v>1071</v>
      </c>
      <c r="J141" s="18">
        <f>VLOOKUP(A141,[2]Export!$A:$B,2,0)</f>
        <v>4462.731656251296</v>
      </c>
      <c r="K141" s="18">
        <f>VLOOKUP(A141,[2]Export!$A:$C,3,0)</f>
        <v>1318.02</v>
      </c>
      <c r="L141" s="19">
        <f t="shared" ref="L141:L204" si="6">K141/J141</f>
        <v>0.29533929026490907</v>
      </c>
      <c r="M141" s="18">
        <f>VLOOKUP(A141,[2]Export!$A:$G,7,0)</f>
        <v>45.41</v>
      </c>
      <c r="N141" s="19">
        <f t="shared" ref="N141:N204" si="7">M141/J141</f>
        <v>1.0175382142099149E-2</v>
      </c>
      <c r="O141" s="17" t="s">
        <v>1027</v>
      </c>
      <c r="P141" s="17" t="s">
        <v>1028</v>
      </c>
      <c r="Q141" s="17" t="s">
        <v>1023</v>
      </c>
      <c r="R141" s="17" t="str">
        <f>VLOOKUP(A141,[1]Export!$A:$I,9,0)</f>
        <v>Comprou Marcas e SG</v>
      </c>
      <c r="S141" s="17" t="s">
        <v>1022</v>
      </c>
      <c r="T141" s="20"/>
      <c r="U141" s="17"/>
      <c r="V141" s="17"/>
    </row>
    <row r="142" spans="1:22" x14ac:dyDescent="0.35">
      <c r="A142" s="4">
        <v>49413331000142</v>
      </c>
      <c r="B142" s="7"/>
      <c r="C142" s="4"/>
      <c r="D142" s="1" t="s">
        <v>90</v>
      </c>
      <c r="E142" s="1" t="s">
        <v>171</v>
      </c>
      <c r="F142" s="1" t="s">
        <v>8</v>
      </c>
      <c r="G142" s="10" t="s">
        <v>64</v>
      </c>
      <c r="H142" s="1" t="s">
        <v>17</v>
      </c>
      <c r="I142" s="21" t="s">
        <v>1070</v>
      </c>
      <c r="J142" s="18">
        <f>VLOOKUP(A142,[2]Export!$A:$B,2,0)</f>
        <v>2050.2748365508019</v>
      </c>
      <c r="K142" s="18">
        <f>VLOOKUP(A142,[2]Export!$A:$C,3,0)</f>
        <v>609.95000000000005</v>
      </c>
      <c r="L142" s="19">
        <f t="shared" si="6"/>
        <v>0.29749670099162173</v>
      </c>
      <c r="M142" s="18">
        <f>VLOOKUP(A142,[2]Export!$A:$G,7,0)</f>
        <v>0</v>
      </c>
      <c r="N142" s="19">
        <f t="shared" si="7"/>
        <v>0</v>
      </c>
      <c r="O142" s="17" t="s">
        <v>1029</v>
      </c>
      <c r="P142" s="17" t="s">
        <v>1026</v>
      </c>
      <c r="Q142" s="17" t="s">
        <v>1022</v>
      </c>
      <c r="R142" s="17" t="str">
        <f>VLOOKUP(A142,[1]Export!$A:$I,9,0)</f>
        <v>Não Comprou</v>
      </c>
      <c r="S142" s="17" t="s">
        <v>1023</v>
      </c>
      <c r="T142" s="20"/>
      <c r="U142" s="17"/>
      <c r="V142" s="17"/>
    </row>
    <row r="143" spans="1:22" x14ac:dyDescent="0.35">
      <c r="A143" s="5">
        <v>23088454000161</v>
      </c>
      <c r="B143" s="7"/>
      <c r="C143" s="4"/>
      <c r="D143" s="6" t="s">
        <v>231</v>
      </c>
      <c r="E143" s="6" t="s">
        <v>232</v>
      </c>
      <c r="F143" s="6" t="s">
        <v>8</v>
      </c>
      <c r="G143" s="11" t="s">
        <v>36</v>
      </c>
      <c r="H143" s="6" t="s">
        <v>17</v>
      </c>
      <c r="I143" s="21" t="s">
        <v>1068</v>
      </c>
      <c r="J143" s="18">
        <f>VLOOKUP(A143,[2]Export!$A:$B,2,0)</f>
        <v>3591.0654510559334</v>
      </c>
      <c r="K143" s="18">
        <f>VLOOKUP(A143,[2]Export!$A:$C,3,0)</f>
        <v>1339.33</v>
      </c>
      <c r="L143" s="19">
        <f t="shared" si="6"/>
        <v>0.37296173468689553</v>
      </c>
      <c r="M143" s="18">
        <f>VLOOKUP(A143,[2]Export!$A:$G,7,0)</f>
        <v>871.9899999999999</v>
      </c>
      <c r="N143" s="19">
        <f t="shared" si="7"/>
        <v>0.24282208494517857</v>
      </c>
      <c r="O143" s="17" t="s">
        <v>1025</v>
      </c>
      <c r="P143" s="17" t="s">
        <v>1026</v>
      </c>
      <c r="Q143" s="17" t="s">
        <v>1022</v>
      </c>
      <c r="R143" s="17" t="str">
        <f>VLOOKUP(A143,[1]Export!$A:$I,9,0)</f>
        <v>Comprou Marcas</v>
      </c>
      <c r="S143" s="17" t="s">
        <v>1022</v>
      </c>
      <c r="T143" s="20"/>
      <c r="U143" s="17"/>
      <c r="V143" s="17"/>
    </row>
    <row r="144" spans="1:22" x14ac:dyDescent="0.35">
      <c r="A144" s="4">
        <v>23716744000102</v>
      </c>
      <c r="B144" s="7"/>
      <c r="C144" s="4"/>
      <c r="D144" s="1" t="s">
        <v>233</v>
      </c>
      <c r="E144" s="1" t="s">
        <v>45</v>
      </c>
      <c r="F144" s="1" t="s">
        <v>8</v>
      </c>
      <c r="G144" s="10" t="s">
        <v>20</v>
      </c>
      <c r="H144" s="1" t="s">
        <v>17</v>
      </c>
      <c r="I144" s="21" t="s">
        <v>1068</v>
      </c>
      <c r="J144" s="18">
        <f>VLOOKUP(A144,[2]Export!$A:$B,2,0)</f>
        <v>4097.1738713064851</v>
      </c>
      <c r="K144" s="18">
        <f>VLOOKUP(A144,[2]Export!$A:$C,3,0)</f>
        <v>806.25000000000011</v>
      </c>
      <c r="L144" s="19">
        <f t="shared" si="6"/>
        <v>0.19678198322174387</v>
      </c>
      <c r="M144" s="18">
        <f>VLOOKUP(A144,[2]Export!$A:$G,7,0)</f>
        <v>0</v>
      </c>
      <c r="N144" s="19">
        <f t="shared" si="7"/>
        <v>0</v>
      </c>
      <c r="O144" s="17" t="s">
        <v>1025</v>
      </c>
      <c r="P144" s="17" t="s">
        <v>1026</v>
      </c>
      <c r="Q144" s="17" t="s">
        <v>1023</v>
      </c>
      <c r="R144" s="17" t="str">
        <f>VLOOKUP(A144,[1]Export!$A:$I,9,0)</f>
        <v>Não Comprou</v>
      </c>
      <c r="S144" s="17" t="s">
        <v>1022</v>
      </c>
      <c r="T144" s="20"/>
      <c r="U144" s="17"/>
      <c r="V144" s="17"/>
    </row>
    <row r="145" spans="1:22" x14ac:dyDescent="0.35">
      <c r="A145" s="5">
        <v>10693312000505</v>
      </c>
      <c r="B145" s="7"/>
      <c r="C145" s="4"/>
      <c r="D145" s="6" t="s">
        <v>90</v>
      </c>
      <c r="E145" s="6" t="s">
        <v>166</v>
      </c>
      <c r="F145" s="6" t="s">
        <v>8</v>
      </c>
      <c r="G145" s="11" t="s">
        <v>64</v>
      </c>
      <c r="H145" s="6" t="s">
        <v>17</v>
      </c>
      <c r="I145" s="21" t="s">
        <v>1068</v>
      </c>
      <c r="J145" s="18">
        <f>VLOOKUP(A145,[2]Export!$A:$B,2,0)</f>
        <v>24948.062461456342</v>
      </c>
      <c r="K145" s="18">
        <f>VLOOKUP(A145,[2]Export!$A:$C,3,0)</f>
        <v>15931.13</v>
      </c>
      <c r="L145" s="19">
        <f t="shared" si="6"/>
        <v>0.63857183396958761</v>
      </c>
      <c r="M145" s="18">
        <f>VLOOKUP(A145,[2]Export!$A:$G,7,0)</f>
        <v>15027.180000000002</v>
      </c>
      <c r="N145" s="19">
        <f t="shared" si="7"/>
        <v>0.60233855928556912</v>
      </c>
      <c r="O145" s="17" t="s">
        <v>1029</v>
      </c>
      <c r="P145" s="17" t="s">
        <v>1026</v>
      </c>
      <c r="Q145" s="17" t="s">
        <v>1022</v>
      </c>
      <c r="R145" s="17" t="str">
        <f>VLOOKUP(A145,[1]Export!$A:$I,9,0)</f>
        <v>Comprou Marcas e SG</v>
      </c>
      <c r="S145" s="17" t="s">
        <v>1022</v>
      </c>
      <c r="T145" s="20">
        <v>4</v>
      </c>
      <c r="U145" s="17"/>
      <c r="V145" s="17">
        <v>1</v>
      </c>
    </row>
    <row r="146" spans="1:22" x14ac:dyDescent="0.35">
      <c r="A146" s="4">
        <v>15272871000131</v>
      </c>
      <c r="B146" s="7"/>
      <c r="C146" s="4"/>
      <c r="D146" s="1" t="s">
        <v>234</v>
      </c>
      <c r="E146" s="1" t="s">
        <v>61</v>
      </c>
      <c r="F146" s="1" t="s">
        <v>8</v>
      </c>
      <c r="G146" s="10" t="s">
        <v>20</v>
      </c>
      <c r="H146" s="1" t="s">
        <v>17</v>
      </c>
      <c r="I146" s="21" t="s">
        <v>1066</v>
      </c>
      <c r="J146" s="18">
        <f>VLOOKUP(A146,[2]Export!$A:$B,2,0)</f>
        <v>1582.8168275046232</v>
      </c>
      <c r="K146" s="18">
        <f>VLOOKUP(A146,[2]Export!$A:$C,3,0)</f>
        <v>0</v>
      </c>
      <c r="L146" s="19">
        <f t="shared" si="6"/>
        <v>0</v>
      </c>
      <c r="M146" s="18">
        <f>VLOOKUP(A146,[2]Export!$A:$G,7,0)</f>
        <v>0</v>
      </c>
      <c r="N146" s="19">
        <f t="shared" si="7"/>
        <v>0</v>
      </c>
      <c r="O146" s="17" t="s">
        <v>1025</v>
      </c>
      <c r="P146" s="17" t="s">
        <v>1026</v>
      </c>
      <c r="Q146" s="17" t="s">
        <v>1023</v>
      </c>
      <c r="R146" s="17" t="str">
        <f>VLOOKUP(A146,[1]Export!$A:$I,9,0)</f>
        <v>Não Comprou</v>
      </c>
      <c r="S146" s="17" t="s">
        <v>1023</v>
      </c>
      <c r="T146" s="20"/>
      <c r="U146" s="17"/>
      <c r="V146" s="17"/>
    </row>
    <row r="147" spans="1:22" x14ac:dyDescent="0.35">
      <c r="A147" s="5">
        <v>26609370000114</v>
      </c>
      <c r="B147" s="7"/>
      <c r="C147" s="4"/>
      <c r="D147" s="6" t="s">
        <v>235</v>
      </c>
      <c r="E147" s="6" t="s">
        <v>45</v>
      </c>
      <c r="F147" s="6" t="s">
        <v>8</v>
      </c>
      <c r="G147" s="11" t="s">
        <v>20</v>
      </c>
      <c r="H147" s="6" t="s">
        <v>17</v>
      </c>
      <c r="I147" s="21" t="s">
        <v>1068</v>
      </c>
      <c r="J147" s="18">
        <f>VLOOKUP(A147,[2]Export!$A:$B,2,0)</f>
        <v>568.66951488794348</v>
      </c>
      <c r="K147" s="18">
        <f>VLOOKUP(A147,[2]Export!$A:$C,3,0)</f>
        <v>251.81999999999996</v>
      </c>
      <c r="L147" s="19">
        <f t="shared" si="6"/>
        <v>0.4428231044697748</v>
      </c>
      <c r="M147" s="18">
        <f>VLOOKUP(A147,[2]Export!$A:$G,7,0)</f>
        <v>0</v>
      </c>
      <c r="N147" s="19">
        <f t="shared" si="7"/>
        <v>0</v>
      </c>
      <c r="O147" s="17" t="s">
        <v>1025</v>
      </c>
      <c r="P147" s="17" t="s">
        <v>1026</v>
      </c>
      <c r="Q147" s="17" t="s">
        <v>1023</v>
      </c>
      <c r="R147" s="17" t="str">
        <f>VLOOKUP(A147,[1]Export!$A:$I,9,0)</f>
        <v>Não Comprou</v>
      </c>
      <c r="S147" s="17" t="s">
        <v>1023</v>
      </c>
      <c r="T147" s="20"/>
      <c r="U147" s="17"/>
      <c r="V147" s="17"/>
    </row>
    <row r="148" spans="1:22" x14ac:dyDescent="0.35">
      <c r="A148" s="4">
        <v>19651628000509</v>
      </c>
      <c r="B148" s="7" t="s">
        <v>993</v>
      </c>
      <c r="C148" s="4"/>
      <c r="D148" s="1" t="s">
        <v>29</v>
      </c>
      <c r="E148" s="1" t="s">
        <v>35</v>
      </c>
      <c r="F148" s="1" t="s">
        <v>8</v>
      </c>
      <c r="G148" s="10" t="s">
        <v>9</v>
      </c>
      <c r="H148" s="1" t="s">
        <v>10</v>
      </c>
      <c r="I148" s="21" t="s">
        <v>1070</v>
      </c>
      <c r="J148" s="18">
        <f>VLOOKUP(A148,[2]Export!$A:$B,2,0)</f>
        <v>13820.441939742703</v>
      </c>
      <c r="K148" s="18">
        <f>VLOOKUP(A148,[2]Export!$A:$C,3,0)</f>
        <v>7993.3199999999979</v>
      </c>
      <c r="L148" s="19">
        <f t="shared" si="6"/>
        <v>0.57836934845144405</v>
      </c>
      <c r="M148" s="18">
        <f>VLOOKUP(A148,[2]Export!$A:$G,7,0)</f>
        <v>3619.9800000000009</v>
      </c>
      <c r="N148" s="19">
        <f t="shared" si="7"/>
        <v>0.26192939529597958</v>
      </c>
      <c r="O148" s="17" t="s">
        <v>1027</v>
      </c>
      <c r="P148" s="17" t="s">
        <v>1028</v>
      </c>
      <c r="Q148" s="17" t="s">
        <v>1023</v>
      </c>
      <c r="R148" s="17" t="str">
        <f>VLOOKUP(A148,[1]Export!$A:$I,9,0)</f>
        <v>Comprou Marcas e SG</v>
      </c>
      <c r="S148" s="17" t="s">
        <v>1022</v>
      </c>
      <c r="T148" s="20"/>
      <c r="U148" s="17"/>
      <c r="V148" s="17"/>
    </row>
    <row r="149" spans="1:22" x14ac:dyDescent="0.35">
      <c r="A149" s="5">
        <v>29141097000134</v>
      </c>
      <c r="B149" s="7"/>
      <c r="C149" s="4"/>
      <c r="D149" s="6" t="s">
        <v>236</v>
      </c>
      <c r="E149" s="6" t="s">
        <v>52</v>
      </c>
      <c r="F149" s="6" t="s">
        <v>8</v>
      </c>
      <c r="G149" s="11" t="s">
        <v>36</v>
      </c>
      <c r="H149" s="6" t="s">
        <v>17</v>
      </c>
      <c r="I149" s="21" t="s">
        <v>1072</v>
      </c>
      <c r="J149" s="18">
        <f>VLOOKUP(A149,[2]Export!$A:$B,2,0)</f>
        <v>3664.22340054799</v>
      </c>
      <c r="K149" s="18">
        <f>VLOOKUP(A149,[2]Export!$A:$C,3,0)</f>
        <v>5868.76</v>
      </c>
      <c r="L149" s="19">
        <f t="shared" si="6"/>
        <v>1.6016381531547226</v>
      </c>
      <c r="M149" s="18">
        <f>VLOOKUP(A149,[2]Export!$A:$G,7,0)</f>
        <v>4283.1899999999996</v>
      </c>
      <c r="N149" s="19">
        <f t="shared" si="7"/>
        <v>1.1689216327147089</v>
      </c>
      <c r="O149" s="17" t="s">
        <v>1025</v>
      </c>
      <c r="P149" s="17" t="s">
        <v>1026</v>
      </c>
      <c r="Q149" s="17" t="s">
        <v>1023</v>
      </c>
      <c r="R149" s="17" t="str">
        <f>VLOOKUP(A149,[1]Export!$A:$I,9,0)</f>
        <v>Comprou Marcas</v>
      </c>
      <c r="S149" s="17" t="s">
        <v>1023</v>
      </c>
      <c r="T149" s="20"/>
      <c r="U149" s="17"/>
      <c r="V149" s="17">
        <v>1</v>
      </c>
    </row>
    <row r="150" spans="1:22" x14ac:dyDescent="0.35">
      <c r="A150" s="4">
        <v>30425108000197</v>
      </c>
      <c r="B150" s="7"/>
      <c r="C150" s="4"/>
      <c r="D150" s="1" t="s">
        <v>237</v>
      </c>
      <c r="E150" s="1" t="s">
        <v>35</v>
      </c>
      <c r="F150" s="1" t="s">
        <v>8</v>
      </c>
      <c r="G150" s="10" t="s">
        <v>20</v>
      </c>
      <c r="H150" s="1" t="s">
        <v>17</v>
      </c>
      <c r="I150" s="21" t="s">
        <v>1070</v>
      </c>
      <c r="J150" s="18">
        <f>VLOOKUP(A150,[2]Export!$A:$B,2,0)</f>
        <v>1290.962100058696</v>
      </c>
      <c r="K150" s="18">
        <f>VLOOKUP(A150,[2]Export!$A:$C,3,0)</f>
        <v>239.05</v>
      </c>
      <c r="L150" s="19">
        <f t="shared" si="6"/>
        <v>0.18517197366919691</v>
      </c>
      <c r="M150" s="18">
        <f>VLOOKUP(A150,[2]Export!$A:$G,7,0)</f>
        <v>0</v>
      </c>
      <c r="N150" s="19">
        <f t="shared" si="7"/>
        <v>0</v>
      </c>
      <c r="O150" s="17" t="s">
        <v>1025</v>
      </c>
      <c r="P150" s="17" t="s">
        <v>1026</v>
      </c>
      <c r="Q150" s="17" t="s">
        <v>1023</v>
      </c>
      <c r="R150" s="17" t="str">
        <f>VLOOKUP(A150,[1]Export!$A:$I,9,0)</f>
        <v>Não Comprou</v>
      </c>
      <c r="S150" s="17" t="s">
        <v>1022</v>
      </c>
      <c r="T150" s="20"/>
      <c r="U150" s="17"/>
      <c r="V150" s="17"/>
    </row>
    <row r="151" spans="1:22" x14ac:dyDescent="0.35">
      <c r="A151" s="5">
        <v>30531806000177</v>
      </c>
      <c r="B151" s="7"/>
      <c r="C151" s="4"/>
      <c r="D151" s="6" t="s">
        <v>238</v>
      </c>
      <c r="E151" s="6" t="s">
        <v>14</v>
      </c>
      <c r="F151" s="6" t="s">
        <v>15</v>
      </c>
      <c r="G151" s="11" t="s">
        <v>36</v>
      </c>
      <c r="H151" s="6" t="s">
        <v>17</v>
      </c>
      <c r="I151" s="21" t="s">
        <v>1067</v>
      </c>
      <c r="J151" s="18">
        <f>VLOOKUP(A151,[2]Export!$A:$B,2,0)</f>
        <v>2633.404285375289</v>
      </c>
      <c r="K151" s="18">
        <f>VLOOKUP(A151,[2]Export!$A:$C,3,0)</f>
        <v>1126.49</v>
      </c>
      <c r="L151" s="19">
        <f t="shared" si="6"/>
        <v>0.42776948691699379</v>
      </c>
      <c r="M151" s="18">
        <f>VLOOKUP(A151,[2]Export!$A:$G,7,0)</f>
        <v>900.03999999999985</v>
      </c>
      <c r="N151" s="19">
        <f t="shared" si="7"/>
        <v>0.3417781329659127</v>
      </c>
      <c r="O151" s="17" t="s">
        <v>1027</v>
      </c>
      <c r="P151" s="17" t="s">
        <v>1028</v>
      </c>
      <c r="Q151" s="17" t="s">
        <v>1023</v>
      </c>
      <c r="R151" s="17" t="str">
        <f>VLOOKUP(A151,[1]Export!$A:$I,9,0)</f>
        <v>Comprou Marcas</v>
      </c>
      <c r="S151" s="17" t="s">
        <v>1023</v>
      </c>
      <c r="T151" s="20"/>
      <c r="U151" s="17"/>
      <c r="V151" s="17"/>
    </row>
    <row r="152" spans="1:22" x14ac:dyDescent="0.35">
      <c r="A152" s="4">
        <v>37447212000121</v>
      </c>
      <c r="B152" s="7"/>
      <c r="C152" s="4"/>
      <c r="D152" s="1" t="s">
        <v>239</v>
      </c>
      <c r="E152" s="1" t="s">
        <v>240</v>
      </c>
      <c r="F152" s="1" t="s">
        <v>8</v>
      </c>
      <c r="G152" s="10" t="s">
        <v>20</v>
      </c>
      <c r="H152" s="1" t="s">
        <v>17</v>
      </c>
      <c r="I152" s="21" t="s">
        <v>1068</v>
      </c>
      <c r="J152" s="18">
        <f>VLOOKUP(A152,[2]Export!$A:$B,2,0)</f>
        <v>3003.133128997004</v>
      </c>
      <c r="K152" s="18">
        <f>VLOOKUP(A152,[2]Export!$A:$C,3,0)</f>
        <v>1136.45</v>
      </c>
      <c r="L152" s="19">
        <f t="shared" si="6"/>
        <v>0.37842145225828044</v>
      </c>
      <c r="M152" s="18">
        <f>VLOOKUP(A152,[2]Export!$A:$G,7,0)</f>
        <v>0</v>
      </c>
      <c r="N152" s="19">
        <f t="shared" si="7"/>
        <v>0</v>
      </c>
      <c r="O152" s="17" t="s">
        <v>1025</v>
      </c>
      <c r="P152" s="17" t="s">
        <v>1026</v>
      </c>
      <c r="Q152" s="17" t="s">
        <v>1023</v>
      </c>
      <c r="R152" s="17" t="str">
        <f>VLOOKUP(A152,[1]Export!$A:$I,9,0)</f>
        <v>Não Comprou</v>
      </c>
      <c r="S152" s="17" t="s">
        <v>1022</v>
      </c>
      <c r="T152" s="20"/>
      <c r="U152" s="17"/>
      <c r="V152" s="17"/>
    </row>
    <row r="153" spans="1:22" x14ac:dyDescent="0.35">
      <c r="A153" s="5">
        <v>27717961000178</v>
      </c>
      <c r="B153" s="7"/>
      <c r="C153" s="4"/>
      <c r="D153" s="6" t="s">
        <v>241</v>
      </c>
      <c r="E153" s="6" t="s">
        <v>199</v>
      </c>
      <c r="F153" s="6" t="s">
        <v>15</v>
      </c>
      <c r="G153" s="11" t="s">
        <v>36</v>
      </c>
      <c r="H153" s="6" t="s">
        <v>17</v>
      </c>
      <c r="I153" s="21" t="s">
        <v>1069</v>
      </c>
      <c r="J153" s="18">
        <f>VLOOKUP(A153,[2]Export!$A:$B,2,0)</f>
        <v>7918.6791504710873</v>
      </c>
      <c r="K153" s="18">
        <f>VLOOKUP(A153,[2]Export!$A:$C,3,0)</f>
        <v>7738.5899999999983</v>
      </c>
      <c r="L153" s="19">
        <f t="shared" si="6"/>
        <v>0.97725767807370056</v>
      </c>
      <c r="M153" s="18">
        <f>VLOOKUP(A153,[2]Export!$A:$G,7,0)</f>
        <v>4913.0400000000009</v>
      </c>
      <c r="N153" s="19">
        <f t="shared" si="7"/>
        <v>0.62043680601804918</v>
      </c>
      <c r="O153" s="17" t="s">
        <v>1025</v>
      </c>
      <c r="P153" s="17" t="s">
        <v>1026</v>
      </c>
      <c r="Q153" s="17" t="s">
        <v>1023</v>
      </c>
      <c r="R153" s="17" t="str">
        <f>VLOOKUP(A153,[1]Export!$A:$I,9,0)</f>
        <v>Comprou Marcas</v>
      </c>
      <c r="S153" s="17" t="s">
        <v>1022</v>
      </c>
      <c r="T153" s="20"/>
      <c r="U153" s="17"/>
      <c r="V153" s="17"/>
    </row>
    <row r="154" spans="1:22" x14ac:dyDescent="0.35">
      <c r="A154" s="4">
        <v>29041586000114</v>
      </c>
      <c r="B154" s="7"/>
      <c r="C154" s="4"/>
      <c r="D154" s="1" t="s">
        <v>242</v>
      </c>
      <c r="E154" s="1" t="s">
        <v>61</v>
      </c>
      <c r="F154" s="1" t="s">
        <v>8</v>
      </c>
      <c r="G154" s="10" t="s">
        <v>20</v>
      </c>
      <c r="H154" s="1" t="s">
        <v>17</v>
      </c>
      <c r="I154" s="21" t="s">
        <v>1066</v>
      </c>
      <c r="J154" s="18">
        <f>VLOOKUP(A154,[2]Export!$A:$B,2,0)</f>
        <v>730.62091223784944</v>
      </c>
      <c r="K154" s="18">
        <f>VLOOKUP(A154,[2]Export!$A:$C,3,0)</f>
        <v>181.69</v>
      </c>
      <c r="L154" s="19">
        <f t="shared" si="6"/>
        <v>0.24867889346815172</v>
      </c>
      <c r="M154" s="18">
        <f>VLOOKUP(A154,[2]Export!$A:$G,7,0)</f>
        <v>0</v>
      </c>
      <c r="N154" s="19">
        <f t="shared" si="7"/>
        <v>0</v>
      </c>
      <c r="O154" s="17" t="s">
        <v>1025</v>
      </c>
      <c r="P154" s="17" t="s">
        <v>1026</v>
      </c>
      <c r="Q154" s="17" t="s">
        <v>1023</v>
      </c>
      <c r="R154" s="17" t="str">
        <f>VLOOKUP(A154,[1]Export!$A:$I,9,0)</f>
        <v>Não Comprou</v>
      </c>
      <c r="S154" s="17" t="s">
        <v>1023</v>
      </c>
      <c r="T154" s="20"/>
      <c r="U154" s="17"/>
      <c r="V154" s="17"/>
    </row>
    <row r="155" spans="1:22" x14ac:dyDescent="0.35">
      <c r="A155" s="5">
        <v>29576260000191</v>
      </c>
      <c r="B155" s="7"/>
      <c r="C155" s="4"/>
      <c r="D155" s="6" t="s">
        <v>243</v>
      </c>
      <c r="E155" s="6" t="s">
        <v>14</v>
      </c>
      <c r="F155" s="6" t="s">
        <v>15</v>
      </c>
      <c r="G155" s="11" t="s">
        <v>20</v>
      </c>
      <c r="H155" s="6" t="s">
        <v>17</v>
      </c>
      <c r="I155" s="21" t="s">
        <v>1067</v>
      </c>
      <c r="J155" s="18">
        <f>VLOOKUP(A155,[2]Export!$A:$B,2,0)</f>
        <v>6842.1078066538657</v>
      </c>
      <c r="K155" s="18">
        <f>VLOOKUP(A155,[2]Export!$A:$C,3,0)</f>
        <v>1698.51</v>
      </c>
      <c r="L155" s="19">
        <f t="shared" si="6"/>
        <v>0.24824367694823807</v>
      </c>
      <c r="M155" s="18">
        <f>VLOOKUP(A155,[2]Export!$A:$G,7,0)</f>
        <v>0</v>
      </c>
      <c r="N155" s="19">
        <f t="shared" si="7"/>
        <v>0</v>
      </c>
      <c r="O155" s="17" t="s">
        <v>1025</v>
      </c>
      <c r="P155" s="17" t="s">
        <v>1026</v>
      </c>
      <c r="Q155" s="17" t="s">
        <v>1023</v>
      </c>
      <c r="R155" s="17" t="str">
        <f>VLOOKUP(A155,[1]Export!$A:$I,9,0)</f>
        <v>Não Comprou</v>
      </c>
      <c r="S155" s="17" t="s">
        <v>1022</v>
      </c>
      <c r="T155" s="20"/>
      <c r="U155" s="17"/>
      <c r="V155" s="17"/>
    </row>
    <row r="156" spans="1:22" x14ac:dyDescent="0.35">
      <c r="A156" s="4">
        <v>1531920000107</v>
      </c>
      <c r="B156" s="7"/>
      <c r="C156" s="4"/>
      <c r="D156" s="1" t="s">
        <v>244</v>
      </c>
      <c r="E156" s="1" t="s">
        <v>245</v>
      </c>
      <c r="F156" s="1" t="s">
        <v>15</v>
      </c>
      <c r="G156" s="10" t="s">
        <v>36</v>
      </c>
      <c r="H156" s="1" t="s">
        <v>17</v>
      </c>
      <c r="I156" s="21" t="s">
        <v>1069</v>
      </c>
      <c r="J156" s="18">
        <f>VLOOKUP(A156,[2]Export!$A:$B,2,0)</f>
        <v>11946.195927996103</v>
      </c>
      <c r="K156" s="18">
        <f>VLOOKUP(A156,[2]Export!$A:$C,3,0)</f>
        <v>7941.3999999999978</v>
      </c>
      <c r="L156" s="19">
        <f t="shared" si="6"/>
        <v>0.66476391713860972</v>
      </c>
      <c r="M156" s="18">
        <f>VLOOKUP(A156,[2]Export!$A:$G,7,0)</f>
        <v>6574.7000000000007</v>
      </c>
      <c r="N156" s="19">
        <f t="shared" si="7"/>
        <v>0.55035929760636904</v>
      </c>
      <c r="O156" s="17" t="s">
        <v>1025</v>
      </c>
      <c r="P156" s="17" t="s">
        <v>1026</v>
      </c>
      <c r="Q156" s="17" t="s">
        <v>1022</v>
      </c>
      <c r="R156" s="17" t="str">
        <f>VLOOKUP(A156,[1]Export!$A:$I,9,0)</f>
        <v>Comprou Marcas</v>
      </c>
      <c r="S156" s="17" t="s">
        <v>1022</v>
      </c>
      <c r="T156" s="20">
        <v>4</v>
      </c>
      <c r="U156" s="17"/>
      <c r="V156" s="17"/>
    </row>
    <row r="157" spans="1:22" x14ac:dyDescent="0.35">
      <c r="A157" s="5">
        <v>2100833000150</v>
      </c>
      <c r="B157" s="7"/>
      <c r="C157" s="4"/>
      <c r="D157" s="6" t="s">
        <v>246</v>
      </c>
      <c r="E157" s="6" t="s">
        <v>125</v>
      </c>
      <c r="F157" s="6" t="s">
        <v>15</v>
      </c>
      <c r="G157" s="11" t="s">
        <v>9</v>
      </c>
      <c r="H157" s="6" t="s">
        <v>10</v>
      </c>
      <c r="I157" s="21" t="s">
        <v>1067</v>
      </c>
      <c r="J157" s="18">
        <f>VLOOKUP(A157,[2]Export!$A:$B,2,0)</f>
        <v>41134.389910313344</v>
      </c>
      <c r="K157" s="18">
        <f>VLOOKUP(A157,[2]Export!$A:$C,3,0)</f>
        <v>27416.680000000022</v>
      </c>
      <c r="L157" s="19">
        <f t="shared" si="6"/>
        <v>0.66651480816361941</v>
      </c>
      <c r="M157" s="18">
        <f>VLOOKUP(A157,[2]Export!$A:$G,7,0)</f>
        <v>15551.699999999995</v>
      </c>
      <c r="N157" s="19">
        <f t="shared" si="7"/>
        <v>0.37807051554448418</v>
      </c>
      <c r="O157" s="17" t="s">
        <v>1027</v>
      </c>
      <c r="P157" s="17" t="s">
        <v>1028</v>
      </c>
      <c r="Q157" s="17" t="s">
        <v>1023</v>
      </c>
      <c r="R157" s="17" t="str">
        <f>VLOOKUP(A157,[1]Export!$A:$I,9,0)</f>
        <v>Comprou Marcas e SG</v>
      </c>
      <c r="S157" s="17" t="s">
        <v>1022</v>
      </c>
      <c r="T157" s="20"/>
      <c r="U157" s="17"/>
      <c r="V157" s="17"/>
    </row>
    <row r="158" spans="1:22" x14ac:dyDescent="0.35">
      <c r="A158" s="4">
        <v>4050862000180</v>
      </c>
      <c r="B158" s="7" t="s">
        <v>997</v>
      </c>
      <c r="C158" s="4"/>
      <c r="D158" s="1" t="s">
        <v>247</v>
      </c>
      <c r="E158" s="1" t="s">
        <v>14</v>
      </c>
      <c r="F158" s="1" t="s">
        <v>15</v>
      </c>
      <c r="G158" s="10" t="s">
        <v>9</v>
      </c>
      <c r="H158" s="1" t="s">
        <v>10</v>
      </c>
      <c r="I158" s="21" t="s">
        <v>1067</v>
      </c>
      <c r="J158" s="18">
        <f>VLOOKUP(A158,[2]Export!$A:$B,2,0)</f>
        <v>4548.1790713563269</v>
      </c>
      <c r="K158" s="18">
        <f>VLOOKUP(A158,[2]Export!$A:$C,3,0)</f>
        <v>2660.95</v>
      </c>
      <c r="L158" s="19">
        <f t="shared" si="6"/>
        <v>0.58505831856054635</v>
      </c>
      <c r="M158" s="18">
        <f>VLOOKUP(A158,[2]Export!$A:$G,7,0)</f>
        <v>866.24999999999989</v>
      </c>
      <c r="N158" s="19">
        <f t="shared" si="7"/>
        <v>0.19046083859263543</v>
      </c>
      <c r="O158" s="17" t="s">
        <v>1027</v>
      </c>
      <c r="P158" s="17" t="s">
        <v>1028</v>
      </c>
      <c r="Q158" s="17" t="s">
        <v>1023</v>
      </c>
      <c r="R158" s="17" t="str">
        <f>VLOOKUP(A158,[1]Export!$A:$I,9,0)</f>
        <v>Comprou Marcas</v>
      </c>
      <c r="S158" s="17" t="s">
        <v>1022</v>
      </c>
      <c r="T158" s="20"/>
      <c r="U158" s="17"/>
      <c r="V158" s="17"/>
    </row>
    <row r="159" spans="1:22" x14ac:dyDescent="0.35">
      <c r="A159" s="5">
        <v>4237820000152</v>
      </c>
      <c r="B159" s="7"/>
      <c r="C159" s="4">
        <v>11444</v>
      </c>
      <c r="D159" s="6" t="s">
        <v>248</v>
      </c>
      <c r="E159" s="6" t="s">
        <v>24</v>
      </c>
      <c r="F159" s="6" t="s">
        <v>15</v>
      </c>
      <c r="G159" s="11" t="s">
        <v>36</v>
      </c>
      <c r="H159" s="6" t="s">
        <v>17</v>
      </c>
      <c r="I159" s="21" t="s">
        <v>1069</v>
      </c>
      <c r="J159" s="18">
        <f>VLOOKUP(A159,[2]Export!$A:$B,2,0)</f>
        <v>17184.950526547444</v>
      </c>
      <c r="K159" s="18">
        <f>VLOOKUP(A159,[2]Export!$A:$C,3,0)</f>
        <v>7254.1900000000005</v>
      </c>
      <c r="L159" s="19">
        <f t="shared" si="6"/>
        <v>0.42212457864185715</v>
      </c>
      <c r="M159" s="18">
        <f>VLOOKUP(A159,[2]Export!$A:$G,7,0)</f>
        <v>3674.7200000000003</v>
      </c>
      <c r="N159" s="19">
        <f t="shared" si="7"/>
        <v>0.21383360949007474</v>
      </c>
      <c r="O159" s="17" t="s">
        <v>1031</v>
      </c>
      <c r="P159" s="17" t="s">
        <v>1026</v>
      </c>
      <c r="Q159" s="17" t="s">
        <v>1023</v>
      </c>
      <c r="R159" s="17" t="str">
        <f>VLOOKUP(A159,[1]Export!$A:$I,9,0)</f>
        <v>Comprou Marcas</v>
      </c>
      <c r="S159" s="17" t="s">
        <v>1022</v>
      </c>
      <c r="T159" s="20">
        <v>1</v>
      </c>
      <c r="U159" s="17"/>
      <c r="V159" s="17"/>
    </row>
    <row r="160" spans="1:22" x14ac:dyDescent="0.35">
      <c r="A160" s="4">
        <v>5562705000116</v>
      </c>
      <c r="B160" s="7"/>
      <c r="C160" s="4"/>
      <c r="D160" s="1" t="s">
        <v>249</v>
      </c>
      <c r="E160" s="1" t="s">
        <v>122</v>
      </c>
      <c r="F160" s="1" t="s">
        <v>8</v>
      </c>
      <c r="G160" s="10" t="s">
        <v>36</v>
      </c>
      <c r="H160" s="1" t="s">
        <v>17</v>
      </c>
      <c r="I160" s="21" t="s">
        <v>1066</v>
      </c>
      <c r="J160" s="18">
        <f>VLOOKUP(A160,[2]Export!$A:$B,2,0)</f>
        <v>4260.7273689377935</v>
      </c>
      <c r="K160" s="18">
        <f>VLOOKUP(A160,[2]Export!$A:$C,3,0)</f>
        <v>2033.6299999999999</v>
      </c>
      <c r="L160" s="19">
        <f t="shared" si="6"/>
        <v>0.47729643882541756</v>
      </c>
      <c r="M160" s="18">
        <f>VLOOKUP(A160,[2]Export!$A:$G,7,0)</f>
        <v>758.37000000000012</v>
      </c>
      <c r="N160" s="19">
        <f t="shared" si="7"/>
        <v>0.17799073593133066</v>
      </c>
      <c r="O160" s="17" t="s">
        <v>1025</v>
      </c>
      <c r="P160" s="17" t="s">
        <v>1026</v>
      </c>
      <c r="Q160" s="17" t="s">
        <v>1023</v>
      </c>
      <c r="R160" s="17" t="str">
        <f>VLOOKUP(A160,[1]Export!$A:$I,9,0)</f>
        <v>Comprou Marcas</v>
      </c>
      <c r="S160" s="17" t="s">
        <v>1022</v>
      </c>
      <c r="T160" s="20"/>
      <c r="U160" s="17"/>
      <c r="V160" s="17"/>
    </row>
    <row r="161" spans="1:22" x14ac:dyDescent="0.35">
      <c r="A161" s="5">
        <v>5628142000111</v>
      </c>
      <c r="B161" s="7"/>
      <c r="C161" s="4"/>
      <c r="D161" s="6" t="s">
        <v>250</v>
      </c>
      <c r="E161" s="6" t="s">
        <v>50</v>
      </c>
      <c r="F161" s="6" t="s">
        <v>48</v>
      </c>
      <c r="G161" s="11" t="s">
        <v>80</v>
      </c>
      <c r="H161" s="6" t="s">
        <v>17</v>
      </c>
      <c r="I161" s="21" t="s">
        <v>1071</v>
      </c>
      <c r="J161" s="18">
        <f>VLOOKUP(A161,[2]Export!$A:$B,2,0)</f>
        <v>2583.5305426702002</v>
      </c>
      <c r="K161" s="18">
        <f>VLOOKUP(A161,[2]Export!$A:$C,3,0)</f>
        <v>867.62000000000012</v>
      </c>
      <c r="L161" s="19">
        <f t="shared" si="6"/>
        <v>0.33582726647515226</v>
      </c>
      <c r="M161" s="18">
        <f>VLOOKUP(A161,[2]Export!$A:$G,7,0)</f>
        <v>242.53</v>
      </c>
      <c r="N161" s="19">
        <f t="shared" si="7"/>
        <v>9.3875414280697386E-2</v>
      </c>
      <c r="O161" s="17" t="s">
        <v>1027</v>
      </c>
      <c r="P161" s="17" t="s">
        <v>1028</v>
      </c>
      <c r="Q161" s="17" t="s">
        <v>1023</v>
      </c>
      <c r="R161" s="17" t="str">
        <f>VLOOKUP(A161,[1]Export!$A:$I,9,0)</f>
        <v>Comprou Marcas</v>
      </c>
      <c r="S161" s="17" t="s">
        <v>1022</v>
      </c>
      <c r="T161" s="20"/>
      <c r="U161" s="17"/>
      <c r="V161" s="17"/>
    </row>
    <row r="162" spans="1:22" x14ac:dyDescent="0.35">
      <c r="A162" s="4">
        <v>3744695000104</v>
      </c>
      <c r="B162" s="7"/>
      <c r="C162" s="4"/>
      <c r="D162" s="1" t="s">
        <v>251</v>
      </c>
      <c r="E162" s="1" t="s">
        <v>252</v>
      </c>
      <c r="F162" s="1" t="s">
        <v>15</v>
      </c>
      <c r="G162" s="10" t="s">
        <v>36</v>
      </c>
      <c r="H162" s="1" t="s">
        <v>17</v>
      </c>
      <c r="I162" s="21" t="s">
        <v>1069</v>
      </c>
      <c r="J162" s="18">
        <f>VLOOKUP(A162,[2]Export!$A:$B,2,0)</f>
        <v>3298.5606450017285</v>
      </c>
      <c r="K162" s="18">
        <f>VLOOKUP(A162,[2]Export!$A:$C,3,0)</f>
        <v>2283.1200000000003</v>
      </c>
      <c r="L162" s="19">
        <f t="shared" si="6"/>
        <v>0.69215644207105487</v>
      </c>
      <c r="M162" s="18">
        <f>VLOOKUP(A162,[2]Export!$A:$G,7,0)</f>
        <v>252.37</v>
      </c>
      <c r="N162" s="19">
        <f t="shared" si="7"/>
        <v>7.6509128423154327E-2</v>
      </c>
      <c r="O162" s="17" t="s">
        <v>1025</v>
      </c>
      <c r="P162" s="17" t="s">
        <v>1026</v>
      </c>
      <c r="Q162" s="17" t="s">
        <v>1023</v>
      </c>
      <c r="R162" s="17" t="str">
        <f>VLOOKUP(A162,[1]Export!$A:$I,9,0)</f>
        <v>Comprou Marcas</v>
      </c>
      <c r="S162" s="17" t="s">
        <v>1022</v>
      </c>
      <c r="T162" s="20"/>
      <c r="U162" s="17"/>
      <c r="V162" s="17"/>
    </row>
    <row r="163" spans="1:22" x14ac:dyDescent="0.35">
      <c r="A163" s="5">
        <v>19651628000266</v>
      </c>
      <c r="B163" s="7" t="s">
        <v>993</v>
      </c>
      <c r="C163" s="4"/>
      <c r="D163" s="6" t="s">
        <v>559</v>
      </c>
      <c r="E163" s="6" t="s">
        <v>35</v>
      </c>
      <c r="F163" s="6" t="s">
        <v>8</v>
      </c>
      <c r="G163" s="11" t="s">
        <v>9</v>
      </c>
      <c r="H163" s="6" t="s">
        <v>10</v>
      </c>
      <c r="I163" s="21" t="s">
        <v>1070</v>
      </c>
      <c r="J163" s="18">
        <f>VLOOKUP(A163,[2]Export!$A:$B,2,0)</f>
        <v>11779.891386150268</v>
      </c>
      <c r="K163" s="18">
        <f>VLOOKUP(A163,[2]Export!$A:$C,3,0)</f>
        <v>9291.1299999999974</v>
      </c>
      <c r="L163" s="19">
        <f t="shared" si="6"/>
        <v>0.78872798529565979</v>
      </c>
      <c r="M163" s="18">
        <f>VLOOKUP(A163,[2]Export!$A:$G,7,0)</f>
        <v>2984.21</v>
      </c>
      <c r="N163" s="19">
        <f t="shared" si="7"/>
        <v>0.2533308586791016</v>
      </c>
      <c r="O163" s="17" t="s">
        <v>1027</v>
      </c>
      <c r="P163" s="17" t="s">
        <v>1028</v>
      </c>
      <c r="Q163" s="17" t="s">
        <v>1023</v>
      </c>
      <c r="R163" s="17" t="str">
        <f>VLOOKUP(A163,[1]Export!$A:$I,9,0)</f>
        <v>Comprou Marcas e SG</v>
      </c>
      <c r="S163" s="17" t="s">
        <v>1022</v>
      </c>
      <c r="T163" s="20">
        <v>1</v>
      </c>
      <c r="U163" s="17"/>
      <c r="V163" s="17">
        <v>3</v>
      </c>
    </row>
    <row r="164" spans="1:22" x14ac:dyDescent="0.35">
      <c r="A164" s="4">
        <v>4225403000190</v>
      </c>
      <c r="B164" s="7"/>
      <c r="C164" s="4"/>
      <c r="D164" s="1" t="s">
        <v>253</v>
      </c>
      <c r="E164" s="1" t="s">
        <v>22</v>
      </c>
      <c r="F164" s="1" t="s">
        <v>8</v>
      </c>
      <c r="G164" s="10" t="s">
        <v>20</v>
      </c>
      <c r="H164" s="1" t="s">
        <v>17</v>
      </c>
      <c r="I164" s="21" t="s">
        <v>1068</v>
      </c>
      <c r="J164" s="18">
        <f>VLOOKUP(A164,[2]Export!$A:$B,2,0)</f>
        <v>3876.0461901337449</v>
      </c>
      <c r="K164" s="18">
        <f>VLOOKUP(A164,[2]Export!$A:$C,3,0)</f>
        <v>1680.93</v>
      </c>
      <c r="L164" s="19">
        <f t="shared" si="6"/>
        <v>0.43367130254502945</v>
      </c>
      <c r="M164" s="18">
        <f>VLOOKUP(A164,[2]Export!$A:$G,7,0)</f>
        <v>0</v>
      </c>
      <c r="N164" s="19">
        <f t="shared" si="7"/>
        <v>0</v>
      </c>
      <c r="O164" s="17" t="s">
        <v>1025</v>
      </c>
      <c r="P164" s="17" t="s">
        <v>1026</v>
      </c>
      <c r="Q164" s="17" t="s">
        <v>1023</v>
      </c>
      <c r="R164" s="17" t="str">
        <f>VLOOKUP(A164,[1]Export!$A:$I,9,0)</f>
        <v>Não Comprou</v>
      </c>
      <c r="S164" s="17" t="s">
        <v>1023</v>
      </c>
      <c r="T164" s="20"/>
      <c r="U164" s="17"/>
      <c r="V164" s="17"/>
    </row>
    <row r="165" spans="1:22" x14ac:dyDescent="0.35">
      <c r="A165" s="5">
        <v>4834843000144</v>
      </c>
      <c r="B165" s="7" t="s">
        <v>994</v>
      </c>
      <c r="C165" s="4">
        <v>13471</v>
      </c>
      <c r="D165" s="6" t="s">
        <v>91</v>
      </c>
      <c r="E165" s="6" t="s">
        <v>50</v>
      </c>
      <c r="F165" s="6" t="s">
        <v>48</v>
      </c>
      <c r="G165" s="11" t="s">
        <v>92</v>
      </c>
      <c r="H165" s="6" t="s">
        <v>17</v>
      </c>
      <c r="I165" s="21" t="s">
        <v>1071</v>
      </c>
      <c r="J165" s="18">
        <f>VLOOKUP(A165,[2]Export!$A:$B,2,0)</f>
        <v>9320.8642371830938</v>
      </c>
      <c r="K165" s="18">
        <f>VLOOKUP(A165,[2]Export!$A:$C,3,0)</f>
        <v>4300.7599999999993</v>
      </c>
      <c r="L165" s="19">
        <f t="shared" si="6"/>
        <v>0.46141214919140955</v>
      </c>
      <c r="M165" s="18">
        <f>VLOOKUP(A165,[2]Export!$A:$G,7,0)</f>
        <v>3919.0999999999995</v>
      </c>
      <c r="N165" s="19">
        <f t="shared" si="7"/>
        <v>0.42046530238749735</v>
      </c>
      <c r="O165" s="17" t="s">
        <v>1027</v>
      </c>
      <c r="P165" s="17" t="s">
        <v>1028</v>
      </c>
      <c r="Q165" s="17" t="s">
        <v>1023</v>
      </c>
      <c r="R165" s="17" t="str">
        <f>VLOOKUP(A165,[1]Export!$A:$I,9,0)</f>
        <v>Comprou Marcas e SG</v>
      </c>
      <c r="S165" s="17" t="s">
        <v>1022</v>
      </c>
      <c r="T165" s="20"/>
      <c r="U165" s="17"/>
      <c r="V165" s="17"/>
    </row>
    <row r="166" spans="1:22" x14ac:dyDescent="0.35">
      <c r="A166" s="4">
        <v>4834843001469</v>
      </c>
      <c r="B166" s="7" t="s">
        <v>994</v>
      </c>
      <c r="C166" s="4"/>
      <c r="D166" s="1" t="s">
        <v>91</v>
      </c>
      <c r="E166" s="1" t="s">
        <v>254</v>
      </c>
      <c r="F166" s="1" t="s">
        <v>255</v>
      </c>
      <c r="G166" s="10" t="s">
        <v>92</v>
      </c>
      <c r="H166" s="1" t="s">
        <v>17</v>
      </c>
      <c r="I166" s="21" t="s">
        <v>1071</v>
      </c>
      <c r="J166" s="18">
        <f>VLOOKUP(A166,[2]Export!$A:$B,2,0)</f>
        <v>5788.6244183784174</v>
      </c>
      <c r="K166" s="18">
        <f>VLOOKUP(A166,[2]Export!$A:$C,3,0)</f>
        <v>3377.8999999999996</v>
      </c>
      <c r="L166" s="19">
        <f t="shared" si="6"/>
        <v>0.58354105498284503</v>
      </c>
      <c r="M166" s="18">
        <f>VLOOKUP(A166,[2]Export!$A:$G,7,0)</f>
        <v>3423.3799999999997</v>
      </c>
      <c r="N166" s="19">
        <f t="shared" si="7"/>
        <v>0.59139784386961491</v>
      </c>
      <c r="O166" s="17" t="s">
        <v>1027</v>
      </c>
      <c r="P166" s="17" t="s">
        <v>1028</v>
      </c>
      <c r="Q166" s="17" t="s">
        <v>1023</v>
      </c>
      <c r="R166" s="17" t="str">
        <f>VLOOKUP(A166,[1]Export!$A:$I,9,0)</f>
        <v>Comprou Marcas e SG</v>
      </c>
      <c r="S166" s="17" t="s">
        <v>1022</v>
      </c>
      <c r="T166" s="20"/>
      <c r="U166" s="17"/>
      <c r="V166" s="17"/>
    </row>
    <row r="167" spans="1:22" x14ac:dyDescent="0.35">
      <c r="A167" s="5">
        <v>8963901000190</v>
      </c>
      <c r="B167" s="7"/>
      <c r="C167" s="4"/>
      <c r="D167" s="6" t="s">
        <v>256</v>
      </c>
      <c r="E167" s="6" t="s">
        <v>257</v>
      </c>
      <c r="F167" s="6" t="s">
        <v>8</v>
      </c>
      <c r="G167" s="11" t="s">
        <v>16</v>
      </c>
      <c r="H167" s="6" t="s">
        <v>17</v>
      </c>
      <c r="I167" s="21" t="s">
        <v>1072</v>
      </c>
      <c r="J167" s="18">
        <f>VLOOKUP(A167,[2]Export!$A:$B,2,0)</f>
        <v>13214.014002437179</v>
      </c>
      <c r="K167" s="18">
        <f>VLOOKUP(A167,[2]Export!$A:$C,3,0)</f>
        <v>3025.3999999999996</v>
      </c>
      <c r="L167" s="19">
        <f t="shared" si="6"/>
        <v>0.22895389693411841</v>
      </c>
      <c r="M167" s="18">
        <f>VLOOKUP(A167,[2]Export!$A:$G,7,0)</f>
        <v>1645.1499999999999</v>
      </c>
      <c r="N167" s="19">
        <f t="shared" si="7"/>
        <v>0.12450039781224465</v>
      </c>
      <c r="O167" s="17" t="s">
        <v>1029</v>
      </c>
      <c r="P167" s="17" t="s">
        <v>1026</v>
      </c>
      <c r="Q167" s="17" t="s">
        <v>1022</v>
      </c>
      <c r="R167" s="17" t="str">
        <f>VLOOKUP(A167,[1]Export!$A:$I,9,0)</f>
        <v>Comprou Marcas</v>
      </c>
      <c r="S167" s="17" t="s">
        <v>1022</v>
      </c>
      <c r="T167" s="20"/>
      <c r="U167" s="17"/>
      <c r="V167" s="17"/>
    </row>
    <row r="168" spans="1:22" x14ac:dyDescent="0.35">
      <c r="A168" s="4">
        <v>9495338000136</v>
      </c>
      <c r="B168" s="7"/>
      <c r="C168" s="4">
        <v>111658</v>
      </c>
      <c r="D168" s="1" t="s">
        <v>258</v>
      </c>
      <c r="E168" s="1" t="s">
        <v>259</v>
      </c>
      <c r="F168" s="1" t="s">
        <v>15</v>
      </c>
      <c r="G168" s="10" t="s">
        <v>33</v>
      </c>
      <c r="H168" s="1" t="s">
        <v>17</v>
      </c>
      <c r="I168" s="21" t="s">
        <v>1069</v>
      </c>
      <c r="J168" s="18">
        <f>VLOOKUP(A168,[2]Export!$A:$B,2,0)</f>
        <v>9667.8345503204455</v>
      </c>
      <c r="K168" s="18">
        <f>VLOOKUP(A168,[2]Export!$A:$C,3,0)</f>
        <v>4820.1000000000013</v>
      </c>
      <c r="L168" s="19">
        <f t="shared" si="6"/>
        <v>0.49857079937722315</v>
      </c>
      <c r="M168" s="18">
        <f>VLOOKUP(A168,[2]Export!$A:$G,7,0)</f>
        <v>3708.3200000000006</v>
      </c>
      <c r="N168" s="19">
        <f t="shared" si="7"/>
        <v>0.38357296876549118</v>
      </c>
      <c r="O168" s="17" t="s">
        <v>1027</v>
      </c>
      <c r="P168" s="17" t="s">
        <v>1026</v>
      </c>
      <c r="Q168" s="17" t="s">
        <v>1023</v>
      </c>
      <c r="R168" s="17" t="str">
        <f>VLOOKUP(A168,[1]Export!$A:$I,9,0)</f>
        <v>Comprou Marcas</v>
      </c>
      <c r="S168" s="17" t="s">
        <v>1022</v>
      </c>
      <c r="T168" s="20"/>
      <c r="U168" s="17"/>
      <c r="V168" s="17"/>
    </row>
    <row r="169" spans="1:22" x14ac:dyDescent="0.35">
      <c r="A169" s="4">
        <v>19651628000428</v>
      </c>
      <c r="B169" s="7" t="s">
        <v>993</v>
      </c>
      <c r="C169" s="4"/>
      <c r="D169" s="1" t="s">
        <v>470</v>
      </c>
      <c r="E169" s="1" t="s">
        <v>35</v>
      </c>
      <c r="F169" s="1" t="s">
        <v>8</v>
      </c>
      <c r="G169" s="10" t="s">
        <v>9</v>
      </c>
      <c r="H169" s="1" t="s">
        <v>10</v>
      </c>
      <c r="I169" s="21" t="s">
        <v>1070</v>
      </c>
      <c r="J169" s="18">
        <f>VLOOKUP(A169,[2]Export!$A:$B,2,0)</f>
        <v>6806.9426973570844</v>
      </c>
      <c r="K169" s="18">
        <f>VLOOKUP(A169,[2]Export!$A:$C,3,0)</f>
        <v>2910.01</v>
      </c>
      <c r="L169" s="19">
        <f t="shared" si="6"/>
        <v>0.42750616971255878</v>
      </c>
      <c r="M169" s="18">
        <f>VLOOKUP(A169,[2]Export!$A:$G,7,0)</f>
        <v>1141.79</v>
      </c>
      <c r="N169" s="19">
        <f t="shared" si="7"/>
        <v>0.16773903509475996</v>
      </c>
      <c r="O169" s="17" t="s">
        <v>1027</v>
      </c>
      <c r="P169" s="17" t="s">
        <v>1028</v>
      </c>
      <c r="Q169" s="17" t="s">
        <v>1023</v>
      </c>
      <c r="R169" s="17" t="str">
        <f>VLOOKUP(A169,[1]Export!$A:$I,9,0)</f>
        <v>Comprou Marcas e SG</v>
      </c>
      <c r="S169" s="17" t="s">
        <v>1022</v>
      </c>
      <c r="T169" s="20"/>
      <c r="U169" s="17"/>
      <c r="V169" s="17"/>
    </row>
    <row r="170" spans="1:22" x14ac:dyDescent="0.35">
      <c r="A170" s="5">
        <v>19651628000770</v>
      </c>
      <c r="B170" s="7" t="s">
        <v>993</v>
      </c>
      <c r="C170" s="4"/>
      <c r="D170" s="6" t="s">
        <v>104</v>
      </c>
      <c r="E170" s="6" t="s">
        <v>35</v>
      </c>
      <c r="F170" s="6" t="s">
        <v>8</v>
      </c>
      <c r="G170" s="11" t="s">
        <v>9</v>
      </c>
      <c r="H170" s="6" t="s">
        <v>10</v>
      </c>
      <c r="I170" s="21" t="s">
        <v>1070</v>
      </c>
      <c r="J170" s="18">
        <f>VLOOKUP(A170,[2]Export!$A:$B,2,0)</f>
        <v>9186.7028109200419</v>
      </c>
      <c r="K170" s="18">
        <f>VLOOKUP(A170,[2]Export!$A:$C,3,0)</f>
        <v>5666.82</v>
      </c>
      <c r="L170" s="19">
        <f t="shared" si="6"/>
        <v>0.61685025809956207</v>
      </c>
      <c r="M170" s="18">
        <f>VLOOKUP(A170,[2]Export!$A:$G,7,0)</f>
        <v>4400.369999999999</v>
      </c>
      <c r="N170" s="19">
        <f t="shared" si="7"/>
        <v>0.47899339845514227</v>
      </c>
      <c r="O170" s="17" t="s">
        <v>1027</v>
      </c>
      <c r="P170" s="17" t="s">
        <v>1028</v>
      </c>
      <c r="Q170" s="17" t="s">
        <v>1023</v>
      </c>
      <c r="R170" s="17" t="str">
        <f>VLOOKUP(A170,[1]Export!$A:$I,9,0)</f>
        <v>Comprou Marcas e SG</v>
      </c>
      <c r="S170" s="17" t="s">
        <v>1022</v>
      </c>
      <c r="T170" s="20">
        <v>3</v>
      </c>
      <c r="U170" s="17"/>
      <c r="V170" s="17"/>
    </row>
    <row r="171" spans="1:22" x14ac:dyDescent="0.35">
      <c r="A171" s="5">
        <v>7139095000178</v>
      </c>
      <c r="B171" s="7"/>
      <c r="C171" s="4"/>
      <c r="D171" s="6" t="s">
        <v>261</v>
      </c>
      <c r="E171" s="6" t="s">
        <v>178</v>
      </c>
      <c r="F171" s="6" t="s">
        <v>15</v>
      </c>
      <c r="G171" s="11" t="s">
        <v>190</v>
      </c>
      <c r="H171" s="6" t="s">
        <v>17</v>
      </c>
      <c r="I171" s="21" t="s">
        <v>1073</v>
      </c>
      <c r="J171" s="18">
        <f>VLOOKUP(A171,[2]Export!$A:$B,2,0)</f>
        <v>6521.4619802438092</v>
      </c>
      <c r="K171" s="18">
        <f>VLOOKUP(A171,[2]Export!$A:$C,3,0)</f>
        <v>1812.35</v>
      </c>
      <c r="L171" s="19">
        <f t="shared" si="6"/>
        <v>0.27790547663857484</v>
      </c>
      <c r="M171" s="18">
        <f>VLOOKUP(A171,[2]Export!$A:$G,7,0)</f>
        <v>0</v>
      </c>
      <c r="N171" s="19">
        <f t="shared" si="7"/>
        <v>0</v>
      </c>
      <c r="O171" s="17" t="s">
        <v>1025</v>
      </c>
      <c r="P171" s="17" t="s">
        <v>1026</v>
      </c>
      <c r="Q171" s="17" t="s">
        <v>1023</v>
      </c>
      <c r="R171" s="17" t="str">
        <f>VLOOKUP(A171,[1]Export!$A:$I,9,0)</f>
        <v>Não Comprou</v>
      </c>
      <c r="S171" s="17" t="s">
        <v>1022</v>
      </c>
      <c r="T171" s="20">
        <v>4</v>
      </c>
      <c r="U171" s="17"/>
      <c r="V171" s="17"/>
    </row>
    <row r="172" spans="1:22" x14ac:dyDescent="0.35">
      <c r="A172" s="5">
        <v>24769226000110</v>
      </c>
      <c r="B172" s="7" t="s">
        <v>995</v>
      </c>
      <c r="C172" s="4"/>
      <c r="D172" s="6" t="s">
        <v>29</v>
      </c>
      <c r="E172" s="6" t="s">
        <v>115</v>
      </c>
      <c r="F172" s="6" t="s">
        <v>8</v>
      </c>
      <c r="G172" s="11" t="s">
        <v>9</v>
      </c>
      <c r="H172" s="6" t="s">
        <v>10</v>
      </c>
      <c r="I172" s="21" t="s">
        <v>1066</v>
      </c>
      <c r="J172" s="18">
        <f>VLOOKUP(A172,[2]Export!$A:$B,2,0)</f>
        <v>41658.41111463643</v>
      </c>
      <c r="K172" s="18">
        <f>VLOOKUP(A172,[2]Export!$A:$C,3,0)</f>
        <v>25107.79</v>
      </c>
      <c r="L172" s="19">
        <f t="shared" si="6"/>
        <v>0.60270637617233869</v>
      </c>
      <c r="M172" s="18">
        <f>VLOOKUP(A172,[2]Export!$A:$G,7,0)</f>
        <v>14496.760000000009</v>
      </c>
      <c r="N172" s="19">
        <f t="shared" si="7"/>
        <v>0.34799118862473033</v>
      </c>
      <c r="O172" s="17" t="s">
        <v>1027</v>
      </c>
      <c r="P172" s="17" t="s">
        <v>1028</v>
      </c>
      <c r="Q172" s="17" t="s">
        <v>1022</v>
      </c>
      <c r="R172" s="17" t="str">
        <f>VLOOKUP(A172,[1]Export!$A:$I,9,0)</f>
        <v>Comprou Marcas e SG</v>
      </c>
      <c r="S172" s="17" t="s">
        <v>1022</v>
      </c>
      <c r="T172" s="20"/>
      <c r="U172" s="17">
        <v>3</v>
      </c>
      <c r="V172" s="17">
        <v>3</v>
      </c>
    </row>
    <row r="173" spans="1:22" x14ac:dyDescent="0.35">
      <c r="A173" s="5">
        <v>10689094000101</v>
      </c>
      <c r="B173" s="7"/>
      <c r="C173" s="4"/>
      <c r="D173" s="6" t="s">
        <v>262</v>
      </c>
      <c r="E173" s="6" t="s">
        <v>193</v>
      </c>
      <c r="F173" s="6" t="s">
        <v>194</v>
      </c>
      <c r="G173" s="11" t="s">
        <v>36</v>
      </c>
      <c r="H173" s="6" t="s">
        <v>17</v>
      </c>
      <c r="I173" s="21" t="s">
        <v>1068</v>
      </c>
      <c r="J173" s="18">
        <f>VLOOKUP(A173,[2]Export!$A:$B,2,0)</f>
        <v>2686.5223856969255</v>
      </c>
      <c r="K173" s="18">
        <f>VLOOKUP(A173,[2]Export!$A:$C,3,0)</f>
        <v>1812.97</v>
      </c>
      <c r="L173" s="19">
        <f t="shared" si="6"/>
        <v>0.67483897013189698</v>
      </c>
      <c r="M173" s="18">
        <f>VLOOKUP(A173,[2]Export!$A:$G,7,0)</f>
        <v>0</v>
      </c>
      <c r="N173" s="19">
        <f t="shared" si="7"/>
        <v>0</v>
      </c>
      <c r="O173" s="17" t="s">
        <v>1025</v>
      </c>
      <c r="P173" s="17" t="s">
        <v>1026</v>
      </c>
      <c r="Q173" s="17" t="s">
        <v>1023</v>
      </c>
      <c r="R173" s="17" t="str">
        <f>VLOOKUP(A173,[1]Export!$A:$I,9,0)</f>
        <v>Não Comprou</v>
      </c>
      <c r="S173" s="17" t="s">
        <v>1023</v>
      </c>
      <c r="T173" s="20"/>
      <c r="U173" s="17"/>
      <c r="V173" s="17"/>
    </row>
    <row r="174" spans="1:22" x14ac:dyDescent="0.35">
      <c r="A174" s="4">
        <v>11318768000124</v>
      </c>
      <c r="B174" s="7"/>
      <c r="C174" s="4"/>
      <c r="D174" s="1" t="s">
        <v>263</v>
      </c>
      <c r="E174" s="1" t="s">
        <v>98</v>
      </c>
      <c r="F174" s="1" t="s">
        <v>15</v>
      </c>
      <c r="G174" s="10" t="s">
        <v>87</v>
      </c>
      <c r="H174" s="1" t="s">
        <v>17</v>
      </c>
      <c r="I174" s="21" t="s">
        <v>1073</v>
      </c>
      <c r="J174" s="18">
        <f>VLOOKUP(A174,[2]Export!$A:$B,2,0)</f>
        <v>8160.5485489288294</v>
      </c>
      <c r="K174" s="18">
        <f>VLOOKUP(A174,[2]Export!$A:$C,3,0)</f>
        <v>5171.2699999999986</v>
      </c>
      <c r="L174" s="19">
        <f t="shared" si="6"/>
        <v>0.63369146926756414</v>
      </c>
      <c r="M174" s="18">
        <f>VLOOKUP(A174,[2]Export!$A:$G,7,0)</f>
        <v>651.29999999999995</v>
      </c>
      <c r="N174" s="19">
        <f t="shared" si="7"/>
        <v>7.9810811257962674E-2</v>
      </c>
      <c r="O174" s="17" t="s">
        <v>1025</v>
      </c>
      <c r="P174" s="17" t="s">
        <v>1026</v>
      </c>
      <c r="Q174" s="17" t="s">
        <v>1023</v>
      </c>
      <c r="R174" s="17" t="str">
        <f>VLOOKUP(A174,[1]Export!$A:$I,9,0)</f>
        <v>Não Comprou</v>
      </c>
      <c r="S174" s="17" t="s">
        <v>1023</v>
      </c>
      <c r="T174" s="20">
        <v>1</v>
      </c>
      <c r="U174" s="17"/>
      <c r="V174" s="17">
        <v>1</v>
      </c>
    </row>
    <row r="175" spans="1:22" x14ac:dyDescent="0.35">
      <c r="A175" s="5">
        <v>45924995000115</v>
      </c>
      <c r="B175" s="7"/>
      <c r="C175" s="4"/>
      <c r="D175" s="6" t="s">
        <v>264</v>
      </c>
      <c r="E175" s="6" t="s">
        <v>35</v>
      </c>
      <c r="F175" s="6" t="s">
        <v>8</v>
      </c>
      <c r="G175" s="11" t="s">
        <v>33</v>
      </c>
      <c r="H175" s="6" t="s">
        <v>17</v>
      </c>
      <c r="I175" s="21" t="s">
        <v>1070</v>
      </c>
      <c r="J175" s="18">
        <f>VLOOKUP(A175,[2]Export!$A:$B,2,0)</f>
        <v>4752.5958535760856</v>
      </c>
      <c r="K175" s="18">
        <f>VLOOKUP(A175,[2]Export!$A:$C,3,0)</f>
        <v>2185.46</v>
      </c>
      <c r="L175" s="19">
        <f t="shared" si="6"/>
        <v>0.45984553859246269</v>
      </c>
      <c r="M175" s="18">
        <f>VLOOKUP(A175,[2]Export!$A:$G,7,0)</f>
        <v>1628.9399999999998</v>
      </c>
      <c r="N175" s="19">
        <f t="shared" si="7"/>
        <v>0.34274742691918686</v>
      </c>
      <c r="O175" s="17" t="s">
        <v>1029</v>
      </c>
      <c r="P175" s="17" t="s">
        <v>1026</v>
      </c>
      <c r="Q175" s="17" t="s">
        <v>1023</v>
      </c>
      <c r="R175" s="17" t="str">
        <f>VLOOKUP(A175,[1]Export!$A:$I,9,0)</f>
        <v>Comprou Marcas</v>
      </c>
      <c r="S175" s="17" t="s">
        <v>1022</v>
      </c>
      <c r="T175" s="20"/>
      <c r="U175" s="17"/>
      <c r="V175" s="17"/>
    </row>
    <row r="176" spans="1:22" x14ac:dyDescent="0.35">
      <c r="A176" s="4">
        <v>45290499000157</v>
      </c>
      <c r="B176" s="7"/>
      <c r="C176" s="4"/>
      <c r="D176" s="1" t="s">
        <v>223</v>
      </c>
      <c r="E176" s="1" t="s">
        <v>265</v>
      </c>
      <c r="F176" s="1" t="s">
        <v>15</v>
      </c>
      <c r="G176" s="10" t="s">
        <v>16</v>
      </c>
      <c r="H176" s="1" t="s">
        <v>17</v>
      </c>
      <c r="I176" s="21" t="s">
        <v>1069</v>
      </c>
      <c r="J176" s="18">
        <f>VLOOKUP(A176,[2]Export!$A:$B,2,0)</f>
        <v>11011.335182389988</v>
      </c>
      <c r="K176" s="18">
        <f>VLOOKUP(A176,[2]Export!$A:$C,3,0)</f>
        <v>6388.6600000000017</v>
      </c>
      <c r="L176" s="19">
        <f t="shared" si="6"/>
        <v>0.580189404298322</v>
      </c>
      <c r="M176" s="18">
        <f>VLOOKUP(A176,[2]Export!$A:$G,7,0)</f>
        <v>0</v>
      </c>
      <c r="N176" s="19">
        <f t="shared" si="7"/>
        <v>0</v>
      </c>
      <c r="O176" s="17" t="s">
        <v>1029</v>
      </c>
      <c r="P176" s="17" t="s">
        <v>1026</v>
      </c>
      <c r="Q176" s="17" t="s">
        <v>1023</v>
      </c>
      <c r="R176" s="17" t="str">
        <f>VLOOKUP(A176,[1]Export!$A:$I,9,0)</f>
        <v>Não Comprou</v>
      </c>
      <c r="S176" s="17" t="s">
        <v>1022</v>
      </c>
      <c r="T176" s="20">
        <v>5</v>
      </c>
      <c r="U176" s="17"/>
      <c r="V176" s="17">
        <v>1</v>
      </c>
    </row>
    <row r="177" spans="1:22" x14ac:dyDescent="0.35">
      <c r="A177" s="5">
        <v>7217112000229</v>
      </c>
      <c r="B177" s="7" t="s">
        <v>1002</v>
      </c>
      <c r="C177" s="4"/>
      <c r="D177" s="6" t="s">
        <v>266</v>
      </c>
      <c r="E177" s="6" t="s">
        <v>12</v>
      </c>
      <c r="F177" s="6" t="s">
        <v>8</v>
      </c>
      <c r="G177" s="11" t="s">
        <v>20</v>
      </c>
      <c r="H177" s="6" t="s">
        <v>17</v>
      </c>
      <c r="I177" s="21" t="s">
        <v>1066</v>
      </c>
      <c r="J177" s="18">
        <f>VLOOKUP(A177,[2]Export!$A:$B,2,0)</f>
        <v>3872.4683115254188</v>
      </c>
      <c r="K177" s="18">
        <f>VLOOKUP(A177,[2]Export!$A:$C,3,0)</f>
        <v>405.03000000000003</v>
      </c>
      <c r="L177" s="19">
        <f t="shared" si="6"/>
        <v>0.1045922051303896</v>
      </c>
      <c r="M177" s="18">
        <f>VLOOKUP(A177,[2]Export!$A:$G,7,0)</f>
        <v>158.22</v>
      </c>
      <c r="N177" s="19">
        <f t="shared" si="7"/>
        <v>4.085766164415041E-2</v>
      </c>
      <c r="O177" s="17" t="s">
        <v>1027</v>
      </c>
      <c r="P177" s="17" t="s">
        <v>1028</v>
      </c>
      <c r="Q177" s="17" t="s">
        <v>1023</v>
      </c>
      <c r="R177" s="17" t="str">
        <f>VLOOKUP(A177,[1]Export!$A:$I,9,0)</f>
        <v>Comprou Marcas</v>
      </c>
      <c r="S177" s="17" t="s">
        <v>1022</v>
      </c>
      <c r="T177" s="20"/>
      <c r="U177" s="17"/>
      <c r="V177" s="17"/>
    </row>
    <row r="178" spans="1:22" x14ac:dyDescent="0.35">
      <c r="A178" s="4">
        <v>7734117000148</v>
      </c>
      <c r="B178" s="7" t="s">
        <v>1003</v>
      </c>
      <c r="C178" s="4">
        <v>12589</v>
      </c>
      <c r="D178" s="1" t="s">
        <v>267</v>
      </c>
      <c r="E178" s="1" t="s">
        <v>146</v>
      </c>
      <c r="F178" s="1" t="s">
        <v>8</v>
      </c>
      <c r="G178" s="10" t="s">
        <v>36</v>
      </c>
      <c r="H178" s="1" t="s">
        <v>17</v>
      </c>
      <c r="I178" s="21" t="s">
        <v>1072</v>
      </c>
      <c r="J178" s="18">
        <f>VLOOKUP(A178,[2]Export!$A:$B,2,0)</f>
        <v>10053.63029000497</v>
      </c>
      <c r="K178" s="18">
        <f>VLOOKUP(A178,[2]Export!$A:$C,3,0)</f>
        <v>3502.33</v>
      </c>
      <c r="L178" s="19">
        <f t="shared" si="6"/>
        <v>0.34836470995774688</v>
      </c>
      <c r="M178" s="18">
        <f>VLOOKUP(A178,[2]Export!$A:$G,7,0)</f>
        <v>137.85</v>
      </c>
      <c r="N178" s="19">
        <f t="shared" si="7"/>
        <v>1.3711465015482665E-2</v>
      </c>
      <c r="O178" s="17" t="s">
        <v>1025</v>
      </c>
      <c r="P178" s="17" t="s">
        <v>1026</v>
      </c>
      <c r="Q178" s="17" t="s">
        <v>1023</v>
      </c>
      <c r="R178" s="17" t="str">
        <f>VLOOKUP(A178,[1]Export!$A:$I,9,0)</f>
        <v>Comprou Marcas</v>
      </c>
      <c r="S178" s="17" t="s">
        <v>1022</v>
      </c>
      <c r="T178" s="20"/>
      <c r="U178" s="17"/>
      <c r="V178" s="17"/>
    </row>
    <row r="179" spans="1:22" x14ac:dyDescent="0.35">
      <c r="A179" s="5">
        <v>7796647000110</v>
      </c>
      <c r="B179" s="7" t="s">
        <v>1003</v>
      </c>
      <c r="C179" s="4"/>
      <c r="D179" s="6" t="s">
        <v>268</v>
      </c>
      <c r="E179" s="6" t="s">
        <v>146</v>
      </c>
      <c r="F179" s="6" t="s">
        <v>8</v>
      </c>
      <c r="G179" s="11" t="s">
        <v>36</v>
      </c>
      <c r="H179" s="6" t="s">
        <v>17</v>
      </c>
      <c r="I179" s="21" t="s">
        <v>1072</v>
      </c>
      <c r="J179" s="18">
        <f>VLOOKUP(A179,[2]Export!$A:$B,2,0)</f>
        <v>7863.0767675222314</v>
      </c>
      <c r="K179" s="18">
        <f>VLOOKUP(A179,[2]Export!$A:$C,3,0)</f>
        <v>1769.6900000000003</v>
      </c>
      <c r="L179" s="19">
        <f t="shared" si="6"/>
        <v>0.22506329930664726</v>
      </c>
      <c r="M179" s="18">
        <f>VLOOKUP(A179,[2]Export!$A:$G,7,0)</f>
        <v>137.85</v>
      </c>
      <c r="N179" s="19">
        <f t="shared" si="7"/>
        <v>1.753130537519075E-2</v>
      </c>
      <c r="O179" s="17" t="s">
        <v>1025</v>
      </c>
      <c r="P179" s="17" t="s">
        <v>1026</v>
      </c>
      <c r="Q179" s="17" t="s">
        <v>1023</v>
      </c>
      <c r="R179" s="17" t="str">
        <f>VLOOKUP(A179,[1]Export!$A:$I,9,0)</f>
        <v>Comprou Marcas</v>
      </c>
      <c r="S179" s="17" t="s">
        <v>1022</v>
      </c>
      <c r="T179" s="20"/>
      <c r="U179" s="17"/>
      <c r="V179" s="17"/>
    </row>
    <row r="180" spans="1:22" x14ac:dyDescent="0.35">
      <c r="A180" s="4">
        <v>9039622000360</v>
      </c>
      <c r="B180" s="7" t="s">
        <v>1004</v>
      </c>
      <c r="C180" s="4"/>
      <c r="D180" s="1" t="s">
        <v>165</v>
      </c>
      <c r="E180" s="1" t="s">
        <v>40</v>
      </c>
      <c r="F180" s="1" t="s">
        <v>8</v>
      </c>
      <c r="G180" s="10" t="s">
        <v>36</v>
      </c>
      <c r="H180" s="1" t="s">
        <v>17</v>
      </c>
      <c r="I180" s="21" t="s">
        <v>1070</v>
      </c>
      <c r="J180" s="18">
        <f>VLOOKUP(A180,[2]Export!$A:$B,2,0)</f>
        <v>12744.097746034087</v>
      </c>
      <c r="K180" s="18">
        <f>VLOOKUP(A180,[2]Export!$A:$C,3,0)</f>
        <v>12132.480000000001</v>
      </c>
      <c r="L180" s="19">
        <f t="shared" si="6"/>
        <v>0.95200776404713161</v>
      </c>
      <c r="M180" s="18">
        <f>VLOOKUP(A180,[2]Export!$A:$G,7,0)</f>
        <v>15822.859999999997</v>
      </c>
      <c r="N180" s="19">
        <f t="shared" si="7"/>
        <v>1.2415833835646786</v>
      </c>
      <c r="O180" s="17" t="s">
        <v>1025</v>
      </c>
      <c r="P180" s="17" t="s">
        <v>1026</v>
      </c>
      <c r="Q180" s="17" t="s">
        <v>1022</v>
      </c>
      <c r="R180" s="17" t="str">
        <f>VLOOKUP(A180,[1]Export!$A:$I,9,0)</f>
        <v>Comprou Marcas e SG</v>
      </c>
      <c r="S180" s="17" t="s">
        <v>1022</v>
      </c>
      <c r="T180" s="20">
        <v>4</v>
      </c>
      <c r="U180" s="17"/>
      <c r="V180" s="17"/>
    </row>
    <row r="181" spans="1:22" x14ac:dyDescent="0.35">
      <c r="A181" s="5">
        <v>53889242000144</v>
      </c>
      <c r="B181" s="7"/>
      <c r="C181" s="4"/>
      <c r="D181" s="6" t="s">
        <v>269</v>
      </c>
      <c r="E181" s="6" t="s">
        <v>270</v>
      </c>
      <c r="F181" s="6" t="s">
        <v>48</v>
      </c>
      <c r="G181" s="11" t="s">
        <v>80</v>
      </c>
      <c r="H181" s="6" t="s">
        <v>17</v>
      </c>
      <c r="I181" s="21" t="s">
        <v>1073</v>
      </c>
      <c r="J181" s="18">
        <f>VLOOKUP(A181,[2]Export!$A:$B,2,0)</f>
        <v>8815.6539094857562</v>
      </c>
      <c r="K181" s="18">
        <f>VLOOKUP(A181,[2]Export!$A:$C,3,0)</f>
        <v>2753.8199999999997</v>
      </c>
      <c r="L181" s="19">
        <f t="shared" si="6"/>
        <v>0.31237841551797468</v>
      </c>
      <c r="M181" s="18">
        <f>VLOOKUP(A181,[2]Export!$A:$G,7,0)</f>
        <v>0</v>
      </c>
      <c r="N181" s="19">
        <f t="shared" si="7"/>
        <v>0</v>
      </c>
      <c r="O181" s="17" t="s">
        <v>1029</v>
      </c>
      <c r="P181" s="17" t="s">
        <v>1026</v>
      </c>
      <c r="Q181" s="17" t="s">
        <v>1023</v>
      </c>
      <c r="R181" s="17" t="str">
        <f>VLOOKUP(A181,[1]Export!$A:$I,9,0)</f>
        <v>Não Comprou</v>
      </c>
      <c r="S181" s="17" t="s">
        <v>1022</v>
      </c>
      <c r="T181" s="20"/>
      <c r="U181" s="17"/>
      <c r="V181" s="17"/>
    </row>
    <row r="182" spans="1:22" x14ac:dyDescent="0.35">
      <c r="A182" s="4">
        <v>58750720000154</v>
      </c>
      <c r="B182" s="7"/>
      <c r="C182" s="4">
        <v>1488</v>
      </c>
      <c r="D182" s="1" t="s">
        <v>271</v>
      </c>
      <c r="E182" s="1" t="s">
        <v>272</v>
      </c>
      <c r="F182" s="1" t="s">
        <v>48</v>
      </c>
      <c r="G182" s="10" t="s">
        <v>20</v>
      </c>
      <c r="H182" s="1" t="s">
        <v>17</v>
      </c>
      <c r="I182" s="21" t="s">
        <v>1071</v>
      </c>
      <c r="J182" s="18">
        <f>VLOOKUP(A182,[2]Export!$A:$B,2,0)</f>
        <v>5673.4816686489112</v>
      </c>
      <c r="K182" s="18">
        <f>VLOOKUP(A182,[2]Export!$A:$C,3,0)</f>
        <v>2707.9299999999994</v>
      </c>
      <c r="L182" s="19">
        <f t="shared" si="6"/>
        <v>0.47729598122502942</v>
      </c>
      <c r="M182" s="18">
        <f>VLOOKUP(A182,[2]Export!$A:$G,7,0)</f>
        <v>1232.2400000000002</v>
      </c>
      <c r="N182" s="19">
        <f t="shared" si="7"/>
        <v>0.21719291115528486</v>
      </c>
      <c r="O182" s="17" t="s">
        <v>1029</v>
      </c>
      <c r="P182" s="17" t="s">
        <v>1026</v>
      </c>
      <c r="Q182" s="17" t="s">
        <v>1023</v>
      </c>
      <c r="R182" s="17" t="str">
        <f>VLOOKUP(A182,[1]Export!$A:$I,9,0)</f>
        <v>Comprou Marcas</v>
      </c>
      <c r="S182" s="17" t="s">
        <v>1022</v>
      </c>
      <c r="T182" s="20"/>
      <c r="U182" s="17"/>
      <c r="V182" s="17"/>
    </row>
    <row r="183" spans="1:22" x14ac:dyDescent="0.35">
      <c r="A183" s="5">
        <v>60919809000143</v>
      </c>
      <c r="B183" s="7"/>
      <c r="C183" s="4"/>
      <c r="D183" s="6" t="s">
        <v>273</v>
      </c>
      <c r="E183" s="6" t="s">
        <v>94</v>
      </c>
      <c r="F183" s="6" t="s">
        <v>15</v>
      </c>
      <c r="G183" s="11" t="s">
        <v>36</v>
      </c>
      <c r="H183" s="6" t="s">
        <v>17</v>
      </c>
      <c r="I183" s="21" t="s">
        <v>1069</v>
      </c>
      <c r="J183" s="18">
        <f>VLOOKUP(A183,[2]Export!$A:$B,2,0)</f>
        <v>4053.2231692512087</v>
      </c>
      <c r="K183" s="18">
        <f>VLOOKUP(A183,[2]Export!$A:$C,3,0)</f>
        <v>1341.9599999999998</v>
      </c>
      <c r="L183" s="19">
        <f t="shared" si="6"/>
        <v>0.33108465632498424</v>
      </c>
      <c r="M183" s="18">
        <f>VLOOKUP(A183,[2]Export!$A:$G,7,0)</f>
        <v>0</v>
      </c>
      <c r="N183" s="19">
        <f t="shared" si="7"/>
        <v>0</v>
      </c>
      <c r="O183" s="17" t="s">
        <v>1029</v>
      </c>
      <c r="P183" s="17" t="s">
        <v>1026</v>
      </c>
      <c r="Q183" s="17" t="s">
        <v>1022</v>
      </c>
      <c r="R183" s="17" t="str">
        <f>VLOOKUP(A183,[1]Export!$A:$I,9,0)</f>
        <v>Não Comprou</v>
      </c>
      <c r="S183" s="17" t="s">
        <v>1023</v>
      </c>
      <c r="T183" s="20"/>
      <c r="U183" s="17"/>
      <c r="V183" s="17"/>
    </row>
    <row r="184" spans="1:22" x14ac:dyDescent="0.35">
      <c r="A184" s="4">
        <v>47468096000180</v>
      </c>
      <c r="B184" s="7"/>
      <c r="C184" s="4"/>
      <c r="D184" s="1" t="s">
        <v>274</v>
      </c>
      <c r="E184" s="1" t="s">
        <v>275</v>
      </c>
      <c r="F184" s="1" t="s">
        <v>15</v>
      </c>
      <c r="G184" s="10" t="s">
        <v>33</v>
      </c>
      <c r="H184" s="1" t="s">
        <v>17</v>
      </c>
      <c r="I184" s="21" t="s">
        <v>1073</v>
      </c>
      <c r="J184" s="18">
        <f>VLOOKUP(A184,[2]Export!$A:$B,2,0)</f>
        <v>4446.8679660960033</v>
      </c>
      <c r="K184" s="18">
        <f>VLOOKUP(A184,[2]Export!$A:$C,3,0)</f>
        <v>2052.11</v>
      </c>
      <c r="L184" s="19">
        <f t="shared" si="6"/>
        <v>0.46147311223220094</v>
      </c>
      <c r="M184" s="18">
        <f>VLOOKUP(A184,[2]Export!$A:$G,7,0)</f>
        <v>226.8</v>
      </c>
      <c r="N184" s="19">
        <f t="shared" si="7"/>
        <v>5.1002188895460369E-2</v>
      </c>
      <c r="O184" s="17" t="s">
        <v>1027</v>
      </c>
      <c r="P184" s="17" t="s">
        <v>1028</v>
      </c>
      <c r="Q184" s="17" t="s">
        <v>1023</v>
      </c>
      <c r="R184" s="17" t="str">
        <f>VLOOKUP(A184,[1]Export!$A:$I,9,0)</f>
        <v>Comprou Marcas</v>
      </c>
      <c r="S184" s="17" t="s">
        <v>1022</v>
      </c>
      <c r="T184" s="20"/>
      <c r="U184" s="17"/>
      <c r="V184" s="17"/>
    </row>
    <row r="185" spans="1:22" x14ac:dyDescent="0.35">
      <c r="A185" s="5">
        <v>49182677000187</v>
      </c>
      <c r="B185" s="7"/>
      <c r="C185" s="4"/>
      <c r="D185" s="6" t="s">
        <v>230</v>
      </c>
      <c r="E185" s="6" t="s">
        <v>50</v>
      </c>
      <c r="F185" s="6" t="s">
        <v>48</v>
      </c>
      <c r="G185" s="11" t="s">
        <v>276</v>
      </c>
      <c r="H185" s="6" t="s">
        <v>17</v>
      </c>
      <c r="I185" s="21" t="s">
        <v>1071</v>
      </c>
      <c r="J185" s="18">
        <f>VLOOKUP(A185,[2]Export!$A:$B,2,0)</f>
        <v>2109.3872524554695</v>
      </c>
      <c r="K185" s="18">
        <f>VLOOKUP(A185,[2]Export!$A:$C,3,0)</f>
        <v>236.17000000000002</v>
      </c>
      <c r="L185" s="19">
        <f t="shared" si="6"/>
        <v>0.11196142373814109</v>
      </c>
      <c r="M185" s="18">
        <f>VLOOKUP(A185,[2]Export!$A:$G,7,0)</f>
        <v>565.81999999999994</v>
      </c>
      <c r="N185" s="19">
        <f t="shared" si="7"/>
        <v>0.26823903450698638</v>
      </c>
      <c r="O185" s="17" t="s">
        <v>1029</v>
      </c>
      <c r="P185" s="17" t="s">
        <v>1026</v>
      </c>
      <c r="Q185" s="17" t="s">
        <v>1022</v>
      </c>
      <c r="R185" s="17" t="str">
        <f>VLOOKUP(A185,[1]Export!$A:$I,9,0)</f>
        <v>Não Comprou</v>
      </c>
      <c r="S185" s="17" t="s">
        <v>1023</v>
      </c>
      <c r="T185" s="20"/>
      <c r="U185" s="17"/>
      <c r="V185" s="17"/>
    </row>
    <row r="186" spans="1:22" x14ac:dyDescent="0.35">
      <c r="A186" s="4">
        <v>52479223000187</v>
      </c>
      <c r="B186" s="7"/>
      <c r="C186" s="4"/>
      <c r="D186" s="1" t="s">
        <v>277</v>
      </c>
      <c r="E186" s="1" t="s">
        <v>182</v>
      </c>
      <c r="F186" s="1" t="s">
        <v>8</v>
      </c>
      <c r="G186" s="10" t="s">
        <v>74</v>
      </c>
      <c r="H186" s="1" t="s">
        <v>17</v>
      </c>
      <c r="I186" s="21" t="s">
        <v>1072</v>
      </c>
      <c r="J186" s="18">
        <f>VLOOKUP(A186,[2]Export!$A:$B,2,0)</f>
        <v>2143.6029904611232</v>
      </c>
      <c r="K186" s="18">
        <f>VLOOKUP(A186,[2]Export!$A:$C,3,0)</f>
        <v>565.51</v>
      </c>
      <c r="L186" s="19">
        <f t="shared" si="6"/>
        <v>0.26381284338400263</v>
      </c>
      <c r="M186" s="18">
        <f>VLOOKUP(A186,[2]Export!$A:$G,7,0)</f>
        <v>0</v>
      </c>
      <c r="N186" s="19">
        <f t="shared" si="7"/>
        <v>0</v>
      </c>
      <c r="O186" s="17" t="s">
        <v>1029</v>
      </c>
      <c r="P186" s="17" t="s">
        <v>1026</v>
      </c>
      <c r="Q186" s="17" t="s">
        <v>1022</v>
      </c>
      <c r="R186" s="17" t="str">
        <f>VLOOKUP(A186,[1]Export!$A:$I,9,0)</f>
        <v>Não Comprou</v>
      </c>
      <c r="S186" s="17" t="s">
        <v>1023</v>
      </c>
      <c r="T186" s="20"/>
      <c r="U186" s="17"/>
      <c r="V186" s="17"/>
    </row>
    <row r="187" spans="1:22" x14ac:dyDescent="0.35">
      <c r="A187" s="5">
        <v>53284997000115</v>
      </c>
      <c r="B187" s="7"/>
      <c r="C187" s="4"/>
      <c r="D187" s="6" t="s">
        <v>278</v>
      </c>
      <c r="E187" s="6" t="s">
        <v>35</v>
      </c>
      <c r="F187" s="6" t="s">
        <v>8</v>
      </c>
      <c r="G187" s="11" t="s">
        <v>279</v>
      </c>
      <c r="H187" s="6" t="s">
        <v>17</v>
      </c>
      <c r="I187" s="21" t="s">
        <v>1070</v>
      </c>
      <c r="J187" s="18">
        <f>VLOOKUP(A187,[2]Export!$A:$B,2,0)</f>
        <v>3368.4664161046585</v>
      </c>
      <c r="K187" s="18">
        <f>VLOOKUP(A187,[2]Export!$A:$C,3,0)</f>
        <v>1728.44</v>
      </c>
      <c r="L187" s="19">
        <f t="shared" si="6"/>
        <v>0.51312371461871131</v>
      </c>
      <c r="M187" s="18">
        <f>VLOOKUP(A187,[2]Export!$A:$G,7,0)</f>
        <v>0</v>
      </c>
      <c r="N187" s="19">
        <f t="shared" si="7"/>
        <v>0</v>
      </c>
      <c r="O187" s="17" t="s">
        <v>1027</v>
      </c>
      <c r="P187" s="17" t="s">
        <v>1028</v>
      </c>
      <c r="Q187" s="17" t="s">
        <v>1023</v>
      </c>
      <c r="R187" s="17" t="str">
        <f>VLOOKUP(A187,[1]Export!$A:$I,9,0)</f>
        <v>Não Comprou</v>
      </c>
      <c r="S187" s="17" t="s">
        <v>1022</v>
      </c>
      <c r="T187" s="20"/>
      <c r="U187" s="17"/>
      <c r="V187" s="17">
        <v>1</v>
      </c>
    </row>
    <row r="188" spans="1:22" x14ac:dyDescent="0.35">
      <c r="A188" s="4">
        <v>53548149000176</v>
      </c>
      <c r="B188" s="7"/>
      <c r="C188" s="4"/>
      <c r="D188" s="1" t="s">
        <v>280</v>
      </c>
      <c r="E188" s="1" t="s">
        <v>43</v>
      </c>
      <c r="F188" s="1" t="s">
        <v>8</v>
      </c>
      <c r="G188" s="10" t="s">
        <v>20</v>
      </c>
      <c r="H188" s="1" t="s">
        <v>17</v>
      </c>
      <c r="I188" s="21" t="s">
        <v>1068</v>
      </c>
      <c r="J188" s="18">
        <f>VLOOKUP(A188,[2]Export!$A:$B,2,0)</f>
        <v>1977.4674903859127</v>
      </c>
      <c r="K188" s="18">
        <f>VLOOKUP(A188,[2]Export!$A:$C,3,0)</f>
        <v>559.54</v>
      </c>
      <c r="L188" s="19">
        <f t="shared" si="6"/>
        <v>0.28295787552532808</v>
      </c>
      <c r="M188" s="18">
        <f>VLOOKUP(A188,[2]Export!$A:$G,7,0)</f>
        <v>0</v>
      </c>
      <c r="N188" s="19">
        <f t="shared" si="7"/>
        <v>0</v>
      </c>
      <c r="O188" s="17" t="s">
        <v>1025</v>
      </c>
      <c r="P188" s="17" t="s">
        <v>1026</v>
      </c>
      <c r="Q188" s="17" t="s">
        <v>1022</v>
      </c>
      <c r="R188" s="17" t="str">
        <f>VLOOKUP(A188,[1]Export!$A:$I,9,0)</f>
        <v>Não Comprou</v>
      </c>
      <c r="S188" s="17" t="s">
        <v>1023</v>
      </c>
      <c r="T188" s="20"/>
      <c r="U188" s="17"/>
      <c r="V188" s="17"/>
    </row>
    <row r="189" spans="1:22" x14ac:dyDescent="0.35">
      <c r="A189" s="5">
        <v>40190327000198</v>
      </c>
      <c r="B189" s="7"/>
      <c r="C189" s="4"/>
      <c r="D189" s="6" t="s">
        <v>281</v>
      </c>
      <c r="E189" s="6" t="s">
        <v>193</v>
      </c>
      <c r="F189" s="6" t="s">
        <v>194</v>
      </c>
      <c r="G189" s="11" t="s">
        <v>20</v>
      </c>
      <c r="H189" s="6" t="s">
        <v>17</v>
      </c>
      <c r="I189" s="21" t="s">
        <v>1068</v>
      </c>
      <c r="J189" s="18">
        <f>VLOOKUP(A189,[2]Export!$A:$B,2,0)</f>
        <v>1300.890489656646</v>
      </c>
      <c r="K189" s="18">
        <f>VLOOKUP(A189,[2]Export!$A:$C,3,0)</f>
        <v>210.8</v>
      </c>
      <c r="L189" s="19">
        <f t="shared" si="6"/>
        <v>0.16204284809218497</v>
      </c>
      <c r="M189" s="18">
        <f>VLOOKUP(A189,[2]Export!$A:$G,7,0)</f>
        <v>0</v>
      </c>
      <c r="N189" s="19">
        <f t="shared" si="7"/>
        <v>0</v>
      </c>
      <c r="O189" s="17" t="s">
        <v>1025</v>
      </c>
      <c r="P189" s="17" t="s">
        <v>1026</v>
      </c>
      <c r="Q189" s="17" t="s">
        <v>1023</v>
      </c>
      <c r="R189" s="17" t="str">
        <f>VLOOKUP(A189,[1]Export!$A:$I,9,0)</f>
        <v>Não Comprou</v>
      </c>
      <c r="S189" s="17" t="s">
        <v>1023</v>
      </c>
      <c r="T189" s="20"/>
      <c r="U189" s="17"/>
      <c r="V189" s="17"/>
    </row>
    <row r="190" spans="1:22" x14ac:dyDescent="0.35">
      <c r="A190" s="4">
        <v>40584253000174</v>
      </c>
      <c r="B190" s="7"/>
      <c r="C190" s="4"/>
      <c r="D190" s="1" t="s">
        <v>282</v>
      </c>
      <c r="E190" s="1" t="s">
        <v>208</v>
      </c>
      <c r="F190" s="1" t="s">
        <v>15</v>
      </c>
      <c r="G190" s="10" t="s">
        <v>20</v>
      </c>
      <c r="H190" s="1" t="s">
        <v>17</v>
      </c>
      <c r="I190" s="21" t="s">
        <v>1067</v>
      </c>
      <c r="J190" s="18">
        <f>VLOOKUP(A190,[2]Export!$A:$B,2,0)</f>
        <v>3412.3832869686507</v>
      </c>
      <c r="K190" s="18">
        <f>VLOOKUP(A190,[2]Export!$A:$C,3,0)</f>
        <v>1504.67</v>
      </c>
      <c r="L190" s="19">
        <f t="shared" si="6"/>
        <v>0.44094401872910804</v>
      </c>
      <c r="M190" s="18">
        <f>VLOOKUP(A190,[2]Export!$A:$G,7,0)</f>
        <v>1186.8999999999999</v>
      </c>
      <c r="N190" s="19">
        <f t="shared" si="7"/>
        <v>0.34782141986586979</v>
      </c>
      <c r="O190" s="17" t="s">
        <v>1025</v>
      </c>
      <c r="P190" s="17" t="s">
        <v>1026</v>
      </c>
      <c r="Q190" s="17" t="s">
        <v>1022</v>
      </c>
      <c r="R190" s="17" t="str">
        <f>VLOOKUP(A190,[1]Export!$A:$I,9,0)</f>
        <v>Não Comprou</v>
      </c>
      <c r="S190" s="17" t="s">
        <v>1023</v>
      </c>
      <c r="T190" s="20"/>
      <c r="U190" s="17"/>
      <c r="V190" s="17"/>
    </row>
    <row r="191" spans="1:22" x14ac:dyDescent="0.35">
      <c r="A191" s="5">
        <v>42070773000275</v>
      </c>
      <c r="B191" s="7"/>
      <c r="C191" s="4"/>
      <c r="D191" s="6" t="s">
        <v>283</v>
      </c>
      <c r="E191" s="6" t="s">
        <v>100</v>
      </c>
      <c r="F191" s="6" t="s">
        <v>15</v>
      </c>
      <c r="G191" s="11" t="s">
        <v>190</v>
      </c>
      <c r="H191" s="6" t="s">
        <v>17</v>
      </c>
      <c r="I191" s="21" t="s">
        <v>1073</v>
      </c>
      <c r="J191" s="18">
        <f>VLOOKUP(A191,[2]Export!$A:$B,2,0)</f>
        <v>12793.213878944354</v>
      </c>
      <c r="K191" s="18">
        <f>VLOOKUP(A191,[2]Export!$A:$C,3,0)</f>
        <v>8340.8799999999974</v>
      </c>
      <c r="L191" s="19">
        <f t="shared" si="6"/>
        <v>0.65197690579751755</v>
      </c>
      <c r="M191" s="18">
        <f>VLOOKUP(A191,[2]Export!$A:$G,7,0)</f>
        <v>4016.58</v>
      </c>
      <c r="N191" s="19">
        <f t="shared" si="7"/>
        <v>0.31396176426086864</v>
      </c>
      <c r="O191" s="17" t="s">
        <v>1027</v>
      </c>
      <c r="P191" s="17" t="s">
        <v>1028</v>
      </c>
      <c r="Q191" s="17" t="s">
        <v>1023</v>
      </c>
      <c r="R191" s="17" t="str">
        <f>VLOOKUP(A191,[1]Export!$A:$I,9,0)</f>
        <v>Comprou Marcas</v>
      </c>
      <c r="S191" s="17" t="s">
        <v>1022</v>
      </c>
      <c r="T191" s="20"/>
      <c r="U191" s="17"/>
      <c r="V191" s="17"/>
    </row>
    <row r="192" spans="1:22" x14ac:dyDescent="0.35">
      <c r="A192" s="4">
        <v>52837594000193</v>
      </c>
      <c r="B192" s="7"/>
      <c r="C192" s="4"/>
      <c r="D192" s="1" t="s">
        <v>284</v>
      </c>
      <c r="E192" s="1" t="s">
        <v>285</v>
      </c>
      <c r="F192" s="1" t="s">
        <v>8</v>
      </c>
      <c r="G192" s="10" t="s">
        <v>20</v>
      </c>
      <c r="H192" s="1" t="s">
        <v>17</v>
      </c>
      <c r="I192" s="21" t="s">
        <v>1066</v>
      </c>
      <c r="J192" s="18">
        <f>VLOOKUP(A192,[2]Export!$A:$B,2,0)</f>
        <v>5123.3965920924529</v>
      </c>
      <c r="K192" s="18">
        <f>VLOOKUP(A192,[2]Export!$A:$C,3,0)</f>
        <v>3770.6200000000003</v>
      </c>
      <c r="L192" s="19">
        <f t="shared" si="6"/>
        <v>0.73596098451945857</v>
      </c>
      <c r="M192" s="18">
        <f>VLOOKUP(A192,[2]Export!$A:$G,7,0)</f>
        <v>0</v>
      </c>
      <c r="N192" s="19">
        <f t="shared" si="7"/>
        <v>0</v>
      </c>
      <c r="O192" s="17" t="s">
        <v>1025</v>
      </c>
      <c r="P192" s="17" t="s">
        <v>1026</v>
      </c>
      <c r="Q192" s="17" t="s">
        <v>1023</v>
      </c>
      <c r="R192" s="17" t="str">
        <f>VLOOKUP(A192,[1]Export!$A:$I,9,0)</f>
        <v>Não Comprou</v>
      </c>
      <c r="S192" s="17" t="s">
        <v>1023</v>
      </c>
      <c r="T192" s="20"/>
      <c r="U192" s="17"/>
      <c r="V192" s="17"/>
    </row>
    <row r="193" spans="1:22" x14ac:dyDescent="0.35">
      <c r="A193" s="5">
        <v>53446228000176</v>
      </c>
      <c r="B193" s="7"/>
      <c r="C193" s="4"/>
      <c r="D193" s="6" t="s">
        <v>286</v>
      </c>
      <c r="E193" s="6" t="s">
        <v>152</v>
      </c>
      <c r="F193" s="6" t="s">
        <v>8</v>
      </c>
      <c r="G193" s="11" t="s">
        <v>74</v>
      </c>
      <c r="H193" s="6" t="s">
        <v>17</v>
      </c>
      <c r="I193" s="21" t="s">
        <v>1068</v>
      </c>
      <c r="J193" s="18">
        <f>VLOOKUP(A193,[2]Export!$A:$B,2,0)</f>
        <v>1804.1833018142574</v>
      </c>
      <c r="K193" s="18">
        <f>VLOOKUP(A193,[2]Export!$A:$C,3,0)</f>
        <v>758.57</v>
      </c>
      <c r="L193" s="19">
        <f t="shared" si="6"/>
        <v>0.42045062673908706</v>
      </c>
      <c r="M193" s="18">
        <f>VLOOKUP(A193,[2]Export!$A:$G,7,0)</f>
        <v>0</v>
      </c>
      <c r="N193" s="19">
        <f t="shared" si="7"/>
        <v>0</v>
      </c>
      <c r="O193" s="17" t="s">
        <v>1029</v>
      </c>
      <c r="P193" s="17" t="s">
        <v>1026</v>
      </c>
      <c r="Q193" s="17" t="s">
        <v>1022</v>
      </c>
      <c r="R193" s="17" t="str">
        <f>VLOOKUP(A193,[1]Export!$A:$I,9,0)</f>
        <v>Não Comprou</v>
      </c>
      <c r="S193" s="17" t="s">
        <v>1023</v>
      </c>
      <c r="T193" s="20"/>
      <c r="U193" s="17"/>
      <c r="V193" s="17"/>
    </row>
    <row r="194" spans="1:22" x14ac:dyDescent="0.35">
      <c r="A194" s="4">
        <v>33540619000148</v>
      </c>
      <c r="B194" s="7"/>
      <c r="C194" s="4"/>
      <c r="D194" s="1" t="s">
        <v>887</v>
      </c>
      <c r="E194" s="1" t="s">
        <v>52</v>
      </c>
      <c r="F194" s="1" t="s">
        <v>8</v>
      </c>
      <c r="G194" s="10" t="s">
        <v>38</v>
      </c>
      <c r="H194" s="1" t="s">
        <v>17</v>
      </c>
      <c r="I194" s="21" t="s">
        <v>1072</v>
      </c>
      <c r="J194" s="18">
        <f>VLOOKUP(A194,[2]Export!$A:$B,2,0)</f>
        <v>12791.999054648481</v>
      </c>
      <c r="K194" s="18">
        <f>VLOOKUP(A194,[2]Export!$A:$C,3,0)</f>
        <v>7256.6299999999992</v>
      </c>
      <c r="L194" s="19">
        <f t="shared" si="6"/>
        <v>0.56727880990289903</v>
      </c>
      <c r="M194" s="18">
        <f>VLOOKUP(A194,[2]Export!$A:$G,7,0)</f>
        <v>0</v>
      </c>
      <c r="N194" s="19">
        <f t="shared" si="7"/>
        <v>0</v>
      </c>
      <c r="O194" s="17" t="s">
        <v>1025</v>
      </c>
      <c r="P194" s="17" t="s">
        <v>1026</v>
      </c>
      <c r="Q194" s="17" t="s">
        <v>1023</v>
      </c>
      <c r="R194" s="17" t="str">
        <f>VLOOKUP(A194,[1]Export!$A:$I,9,0)</f>
        <v>Não Comprou</v>
      </c>
      <c r="S194" s="17" t="s">
        <v>1022</v>
      </c>
      <c r="T194" s="20"/>
      <c r="U194" s="17"/>
      <c r="V194" s="17"/>
    </row>
    <row r="195" spans="1:22" x14ac:dyDescent="0.35">
      <c r="A195" s="5">
        <v>42569761000109</v>
      </c>
      <c r="B195" s="7"/>
      <c r="C195" s="4"/>
      <c r="D195" s="6" t="s">
        <v>287</v>
      </c>
      <c r="E195" s="6" t="s">
        <v>98</v>
      </c>
      <c r="F195" s="6" t="s">
        <v>15</v>
      </c>
      <c r="G195" s="11" t="s">
        <v>197</v>
      </c>
      <c r="H195" s="6" t="s">
        <v>17</v>
      </c>
      <c r="I195" s="21" t="s">
        <v>1073</v>
      </c>
      <c r="J195" s="18">
        <f>VLOOKUP(A195,[2]Export!$A:$B,2,0)</f>
        <v>6673.5765250154573</v>
      </c>
      <c r="K195" s="18">
        <f>VLOOKUP(A195,[2]Export!$A:$C,3,0)</f>
        <v>3774.9600000000005</v>
      </c>
      <c r="L195" s="19">
        <f t="shared" si="6"/>
        <v>0.5656577078047752</v>
      </c>
      <c r="M195" s="18">
        <f>VLOOKUP(A195,[2]Export!$A:$G,7,0)</f>
        <v>2210.5</v>
      </c>
      <c r="N195" s="19">
        <f t="shared" si="7"/>
        <v>0.3312316853959924</v>
      </c>
      <c r="O195" s="17" t="s">
        <v>1027</v>
      </c>
      <c r="P195" s="17" t="s">
        <v>1026</v>
      </c>
      <c r="Q195" s="17" t="s">
        <v>1023</v>
      </c>
      <c r="R195" s="17" t="str">
        <f>VLOOKUP(A195,[1]Export!$A:$I,9,0)</f>
        <v>Comprou Marcas</v>
      </c>
      <c r="S195" s="17" t="s">
        <v>1022</v>
      </c>
      <c r="T195" s="20"/>
      <c r="U195" s="17"/>
      <c r="V195" s="17"/>
    </row>
    <row r="196" spans="1:22" x14ac:dyDescent="0.35">
      <c r="A196" s="4">
        <v>43002849000107</v>
      </c>
      <c r="B196" s="7"/>
      <c r="C196" s="4"/>
      <c r="D196" s="1" t="s">
        <v>288</v>
      </c>
      <c r="E196" s="1" t="s">
        <v>272</v>
      </c>
      <c r="F196" s="1" t="s">
        <v>48</v>
      </c>
      <c r="G196" s="10" t="s">
        <v>20</v>
      </c>
      <c r="H196" s="1" t="s">
        <v>17</v>
      </c>
      <c r="I196" s="21" t="s">
        <v>1071</v>
      </c>
      <c r="J196" s="18">
        <f>VLOOKUP(A196,[2]Export!$A:$B,2,0)</f>
        <v>5315.7437625572293</v>
      </c>
      <c r="K196" s="18">
        <f>VLOOKUP(A196,[2]Export!$A:$C,3,0)</f>
        <v>2721.7999999999997</v>
      </c>
      <c r="L196" s="19">
        <f t="shared" si="6"/>
        <v>0.51202618515431064</v>
      </c>
      <c r="M196" s="18">
        <f>VLOOKUP(A196,[2]Export!$A:$G,7,0)</f>
        <v>1344.6599999999999</v>
      </c>
      <c r="N196" s="19">
        <f t="shared" si="7"/>
        <v>0.25295801680123275</v>
      </c>
      <c r="O196" s="17" t="s">
        <v>1025</v>
      </c>
      <c r="P196" s="17" t="s">
        <v>1026</v>
      </c>
      <c r="Q196" s="17" t="s">
        <v>1023</v>
      </c>
      <c r="R196" s="17" t="str">
        <f>VLOOKUP(A196,[1]Export!$A:$I,9,0)</f>
        <v>Comprou Marcas</v>
      </c>
      <c r="S196" s="17" t="s">
        <v>1022</v>
      </c>
      <c r="T196" s="20"/>
      <c r="U196" s="17"/>
      <c r="V196" s="17"/>
    </row>
    <row r="197" spans="1:22" x14ac:dyDescent="0.35">
      <c r="A197" s="5">
        <v>8986750000277</v>
      </c>
      <c r="B197" s="7"/>
      <c r="C197" s="4"/>
      <c r="D197" s="6" t="s">
        <v>289</v>
      </c>
      <c r="E197" s="6" t="s">
        <v>14</v>
      </c>
      <c r="F197" s="6" t="s">
        <v>15</v>
      </c>
      <c r="G197" s="11" t="s">
        <v>36</v>
      </c>
      <c r="H197" s="6" t="s">
        <v>17</v>
      </c>
      <c r="I197" s="21" t="s">
        <v>1067</v>
      </c>
      <c r="J197" s="18">
        <f>VLOOKUP(A197,[2]Export!$A:$B,2,0)</f>
        <v>2549.3682453426704</v>
      </c>
      <c r="K197" s="18">
        <f>VLOOKUP(A197,[2]Export!$A:$C,3,0)</f>
        <v>2165.33</v>
      </c>
      <c r="L197" s="19">
        <f t="shared" si="6"/>
        <v>0.84935944579828626</v>
      </c>
      <c r="M197" s="18">
        <f>VLOOKUP(A197,[2]Export!$A:$G,7,0)</f>
        <v>1737.1800000000003</v>
      </c>
      <c r="N197" s="19">
        <f t="shared" si="7"/>
        <v>0.68141587751144961</v>
      </c>
      <c r="O197" s="17" t="s">
        <v>1027</v>
      </c>
      <c r="P197" s="17" t="s">
        <v>1026</v>
      </c>
      <c r="Q197" s="17" t="s">
        <v>1023</v>
      </c>
      <c r="R197" s="17" t="str">
        <f>VLOOKUP(A197,[1]Export!$A:$I,9,0)</f>
        <v>Comprou Marcas</v>
      </c>
      <c r="S197" s="17" t="s">
        <v>1023</v>
      </c>
      <c r="T197" s="20"/>
      <c r="U197" s="17"/>
      <c r="V197" s="17"/>
    </row>
    <row r="198" spans="1:22" x14ac:dyDescent="0.35">
      <c r="A198" s="5">
        <v>10341045000698</v>
      </c>
      <c r="B198" s="7" t="s">
        <v>995</v>
      </c>
      <c r="C198" s="4"/>
      <c r="D198" s="6" t="s">
        <v>25</v>
      </c>
      <c r="E198" s="6" t="s">
        <v>115</v>
      </c>
      <c r="F198" s="6" t="s">
        <v>8</v>
      </c>
      <c r="G198" s="11" t="s">
        <v>9</v>
      </c>
      <c r="H198" s="6" t="s">
        <v>10</v>
      </c>
      <c r="I198" s="21" t="s">
        <v>1066</v>
      </c>
      <c r="J198" s="18">
        <f>VLOOKUP(A198,[2]Export!$A:$B,2,0)</f>
        <v>4421.2678533289536</v>
      </c>
      <c r="K198" s="18">
        <f>VLOOKUP(A198,[2]Export!$A:$C,3,0)</f>
        <v>2890.5800000000004</v>
      </c>
      <c r="L198" s="19">
        <f t="shared" si="6"/>
        <v>0.65378983945149682</v>
      </c>
      <c r="M198" s="18">
        <f>VLOOKUP(A198,[2]Export!$A:$G,7,0)</f>
        <v>1419.44</v>
      </c>
      <c r="N198" s="19">
        <f t="shared" si="7"/>
        <v>0.32104818054197859</v>
      </c>
      <c r="O198" s="17" t="s">
        <v>1027</v>
      </c>
      <c r="P198" s="17" t="s">
        <v>1028</v>
      </c>
      <c r="Q198" s="17" t="s">
        <v>1023</v>
      </c>
      <c r="R198" s="17" t="str">
        <f>VLOOKUP(A198,[1]Export!$A:$I,9,0)</f>
        <v>Comprou Marcas e SG</v>
      </c>
      <c r="S198" s="17" t="s">
        <v>1022</v>
      </c>
      <c r="T198" s="20"/>
      <c r="U198" s="17"/>
      <c r="V198" s="17"/>
    </row>
    <row r="199" spans="1:22" x14ac:dyDescent="0.35">
      <c r="A199" s="4">
        <v>10341045000930</v>
      </c>
      <c r="B199" s="7" t="s">
        <v>995</v>
      </c>
      <c r="C199" s="4"/>
      <c r="D199" s="1" t="s">
        <v>25</v>
      </c>
      <c r="E199" s="1" t="s">
        <v>182</v>
      </c>
      <c r="F199" s="1" t="s">
        <v>8</v>
      </c>
      <c r="G199" s="10" t="s">
        <v>9</v>
      </c>
      <c r="H199" s="1" t="s">
        <v>10</v>
      </c>
      <c r="I199" s="21" t="s">
        <v>1072</v>
      </c>
      <c r="J199" s="18">
        <f>VLOOKUP(A199,[2]Export!$A:$B,2,0)</f>
        <v>4386.8997287881803</v>
      </c>
      <c r="K199" s="18">
        <f>VLOOKUP(A199,[2]Export!$A:$C,3,0)</f>
        <v>2203.0099999999998</v>
      </c>
      <c r="L199" s="19">
        <f t="shared" si="6"/>
        <v>0.5021792464375634</v>
      </c>
      <c r="M199" s="18">
        <f>VLOOKUP(A199,[2]Export!$A:$G,7,0)</f>
        <v>1852.71</v>
      </c>
      <c r="N199" s="19">
        <f t="shared" si="7"/>
        <v>0.4223278658141989</v>
      </c>
      <c r="O199" s="17" t="s">
        <v>1027</v>
      </c>
      <c r="P199" s="17" t="s">
        <v>1028</v>
      </c>
      <c r="Q199" s="17" t="s">
        <v>1023</v>
      </c>
      <c r="R199" s="17" t="str">
        <f>VLOOKUP(A199,[1]Export!$A:$I,9,0)</f>
        <v>Comprou Marcas e SG</v>
      </c>
      <c r="S199" s="17" t="s">
        <v>1022</v>
      </c>
      <c r="T199" s="20"/>
      <c r="U199" s="17"/>
      <c r="V199" s="17"/>
    </row>
    <row r="200" spans="1:22" x14ac:dyDescent="0.35">
      <c r="A200" s="5">
        <v>10341045001317</v>
      </c>
      <c r="B200" s="7" t="s">
        <v>995</v>
      </c>
      <c r="C200" s="4"/>
      <c r="D200" s="6" t="s">
        <v>25</v>
      </c>
      <c r="E200" s="6" t="s">
        <v>52</v>
      </c>
      <c r="F200" s="6" t="s">
        <v>8</v>
      </c>
      <c r="G200" s="11" t="s">
        <v>9</v>
      </c>
      <c r="H200" s="6" t="s">
        <v>10</v>
      </c>
      <c r="I200" s="21" t="s">
        <v>1072</v>
      </c>
      <c r="J200" s="18">
        <f>VLOOKUP(A200,[2]Export!$A:$B,2,0)</f>
        <v>32536.033406322054</v>
      </c>
      <c r="K200" s="18">
        <f>VLOOKUP(A200,[2]Export!$A:$C,3,0)</f>
        <v>21528.219999999994</v>
      </c>
      <c r="L200" s="19">
        <f t="shared" si="6"/>
        <v>0.66167315883739108</v>
      </c>
      <c r="M200" s="18">
        <f>VLOOKUP(A200,[2]Export!$A:$G,7,0)</f>
        <v>16384.209999999995</v>
      </c>
      <c r="N200" s="19">
        <f t="shared" si="7"/>
        <v>0.50357121888178269</v>
      </c>
      <c r="O200" s="17" t="s">
        <v>1027</v>
      </c>
      <c r="P200" s="17" t="s">
        <v>1028</v>
      </c>
      <c r="Q200" s="17" t="s">
        <v>1023</v>
      </c>
      <c r="R200" s="17" t="str">
        <f>VLOOKUP(A200,[1]Export!$A:$I,9,0)</f>
        <v>Comprou Marcas e SG</v>
      </c>
      <c r="S200" s="17" t="s">
        <v>1022</v>
      </c>
      <c r="T200" s="20"/>
      <c r="U200" s="17">
        <v>1</v>
      </c>
      <c r="V200" s="17">
        <v>1</v>
      </c>
    </row>
    <row r="201" spans="1:22" x14ac:dyDescent="0.35">
      <c r="A201" s="5">
        <v>4427375000193</v>
      </c>
      <c r="B201" s="7"/>
      <c r="C201" s="4">
        <v>155485</v>
      </c>
      <c r="D201" s="6" t="s">
        <v>292</v>
      </c>
      <c r="E201" s="6" t="s">
        <v>293</v>
      </c>
      <c r="F201" s="6" t="s">
        <v>15</v>
      </c>
      <c r="G201" s="11" t="s">
        <v>36</v>
      </c>
      <c r="H201" s="6" t="s">
        <v>17</v>
      </c>
      <c r="I201" s="21" t="s">
        <v>1067</v>
      </c>
      <c r="J201" s="18">
        <f>VLOOKUP(A201,[2]Export!$A:$B,2,0)</f>
        <v>10914.819766878141</v>
      </c>
      <c r="K201" s="18">
        <f>VLOOKUP(A201,[2]Export!$A:$C,3,0)</f>
        <v>9560.8499999999985</v>
      </c>
      <c r="L201" s="19">
        <f t="shared" si="6"/>
        <v>0.87595124832139981</v>
      </c>
      <c r="M201" s="18">
        <f>VLOOKUP(A201,[2]Export!$A:$G,7,0)</f>
        <v>7364.9499999999989</v>
      </c>
      <c r="N201" s="19">
        <f t="shared" si="7"/>
        <v>0.67476606644019033</v>
      </c>
      <c r="O201" s="17" t="s">
        <v>1029</v>
      </c>
      <c r="P201" s="17" t="s">
        <v>1026</v>
      </c>
      <c r="Q201" s="17" t="s">
        <v>1022</v>
      </c>
      <c r="R201" s="17" t="str">
        <f>VLOOKUP(A201,[1]Export!$A:$I,9,0)</f>
        <v>Comprou Marcas e SG</v>
      </c>
      <c r="S201" s="17" t="s">
        <v>1022</v>
      </c>
      <c r="T201" s="20">
        <v>1</v>
      </c>
      <c r="U201" s="17"/>
      <c r="V201" s="17"/>
    </row>
    <row r="202" spans="1:22" x14ac:dyDescent="0.35">
      <c r="A202" s="4">
        <v>4437649000125</v>
      </c>
      <c r="B202" s="7"/>
      <c r="C202" s="4"/>
      <c r="D202" s="1" t="s">
        <v>294</v>
      </c>
      <c r="E202" s="1" t="s">
        <v>295</v>
      </c>
      <c r="F202" s="1" t="s">
        <v>48</v>
      </c>
      <c r="G202" s="10" t="s">
        <v>80</v>
      </c>
      <c r="H202" s="1" t="s">
        <v>17</v>
      </c>
      <c r="I202" s="21" t="s">
        <v>1071</v>
      </c>
      <c r="J202" s="18">
        <f>VLOOKUP(A202,[2]Export!$A:$B,2,0)</f>
        <v>5256.4156992222788</v>
      </c>
      <c r="K202" s="18">
        <f>VLOOKUP(A202,[2]Export!$A:$C,3,0)</f>
        <v>3366.71</v>
      </c>
      <c r="L202" s="19">
        <f t="shared" si="6"/>
        <v>0.64049538557198338</v>
      </c>
      <c r="M202" s="18">
        <f>VLOOKUP(A202,[2]Export!$A:$G,7,0)</f>
        <v>275.42</v>
      </c>
      <c r="N202" s="19">
        <f t="shared" si="7"/>
        <v>5.2396921354745635E-2</v>
      </c>
      <c r="O202" s="17"/>
      <c r="P202" s="17"/>
      <c r="Q202" s="17"/>
      <c r="R202" s="17" t="str">
        <f>VLOOKUP(A202,[1]Export!$A:$I,9,0)</f>
        <v>Comprou Marcas e SG</v>
      </c>
      <c r="S202" s="17"/>
      <c r="T202" s="20"/>
      <c r="U202" s="17"/>
      <c r="V202" s="17"/>
    </row>
    <row r="203" spans="1:22" x14ac:dyDescent="0.35">
      <c r="A203" s="5">
        <v>7217112000300</v>
      </c>
      <c r="B203" s="7" t="s">
        <v>1002</v>
      </c>
      <c r="C203" s="4"/>
      <c r="D203" s="6" t="s">
        <v>195</v>
      </c>
      <c r="E203" s="6" t="s">
        <v>296</v>
      </c>
      <c r="F203" s="6" t="s">
        <v>8</v>
      </c>
      <c r="G203" s="11" t="s">
        <v>20</v>
      </c>
      <c r="H203" s="6" t="s">
        <v>17</v>
      </c>
      <c r="I203" s="21" t="s">
        <v>1066</v>
      </c>
      <c r="J203" s="18">
        <f>VLOOKUP(A203,[2]Export!$A:$B,2,0)</f>
        <v>4604.4758975242648</v>
      </c>
      <c r="K203" s="18">
        <f>VLOOKUP(A203,[2]Export!$A:$C,3,0)</f>
        <v>2415.77</v>
      </c>
      <c r="L203" s="19">
        <f t="shared" si="6"/>
        <v>0.52465688902811103</v>
      </c>
      <c r="M203" s="18">
        <f>VLOOKUP(A203,[2]Export!$A:$G,7,0)</f>
        <v>2351.7700000000004</v>
      </c>
      <c r="N203" s="19">
        <f t="shared" si="7"/>
        <v>0.51075737007647282</v>
      </c>
      <c r="O203" s="17" t="s">
        <v>1027</v>
      </c>
      <c r="P203" s="17" t="s">
        <v>1028</v>
      </c>
      <c r="Q203" s="17" t="s">
        <v>1023</v>
      </c>
      <c r="R203" s="17" t="str">
        <f>VLOOKUP(A203,[1]Export!$A:$I,9,0)</f>
        <v>Comprou Marcas</v>
      </c>
      <c r="S203" s="17" t="s">
        <v>1022</v>
      </c>
      <c r="T203" s="20"/>
      <c r="U203" s="17"/>
      <c r="V203" s="17"/>
    </row>
    <row r="204" spans="1:22" x14ac:dyDescent="0.35">
      <c r="A204" s="4">
        <v>7236140000374</v>
      </c>
      <c r="B204" s="7"/>
      <c r="C204" s="4"/>
      <c r="D204" s="1" t="s">
        <v>297</v>
      </c>
      <c r="E204" s="1" t="s">
        <v>171</v>
      </c>
      <c r="F204" s="1" t="s">
        <v>8</v>
      </c>
      <c r="G204" s="10" t="s">
        <v>190</v>
      </c>
      <c r="H204" s="1" t="s">
        <v>17</v>
      </c>
      <c r="I204" s="21" t="s">
        <v>1070</v>
      </c>
      <c r="J204" s="18">
        <f>VLOOKUP(A204,[2]Export!$A:$B,2,0)</f>
        <v>5572.5400692475077</v>
      </c>
      <c r="K204" s="18">
        <f>VLOOKUP(A204,[2]Export!$A:$C,3,0)</f>
        <v>6313.7900000000009</v>
      </c>
      <c r="L204" s="19">
        <f t="shared" si="6"/>
        <v>1.1330183222626138</v>
      </c>
      <c r="M204" s="18">
        <f>VLOOKUP(A204,[2]Export!$A:$G,7,0)</f>
        <v>5529.7199999999993</v>
      </c>
      <c r="N204" s="19">
        <f t="shared" si="7"/>
        <v>0.99231587952434575</v>
      </c>
      <c r="O204" s="17" t="s">
        <v>1027</v>
      </c>
      <c r="P204" s="17" t="s">
        <v>1028</v>
      </c>
      <c r="Q204" s="17" t="s">
        <v>1023</v>
      </c>
      <c r="R204" s="17" t="str">
        <f>VLOOKUP(A204,[1]Export!$A:$I,9,0)</f>
        <v>Comprou Marcas</v>
      </c>
      <c r="S204" s="17" t="s">
        <v>1022</v>
      </c>
      <c r="T204" s="20">
        <v>1</v>
      </c>
      <c r="U204" s="17"/>
      <c r="V204" s="17"/>
    </row>
    <row r="205" spans="1:22" x14ac:dyDescent="0.35">
      <c r="A205" s="5">
        <v>7284256000117</v>
      </c>
      <c r="B205" s="7"/>
      <c r="C205" s="4"/>
      <c r="D205" s="6" t="s">
        <v>298</v>
      </c>
      <c r="E205" s="6" t="s">
        <v>94</v>
      </c>
      <c r="F205" s="6" t="s">
        <v>15</v>
      </c>
      <c r="G205" s="11" t="s">
        <v>16</v>
      </c>
      <c r="H205" s="6" t="s">
        <v>17</v>
      </c>
      <c r="I205" s="21" t="s">
        <v>1069</v>
      </c>
      <c r="J205" s="18">
        <f>VLOOKUP(A205,[2]Export!$A:$B,2,0)</f>
        <v>1566.6339110433412</v>
      </c>
      <c r="K205" s="18">
        <f>VLOOKUP(A205,[2]Export!$A:$C,3,0)</f>
        <v>1509.99</v>
      </c>
      <c r="L205" s="19">
        <f t="shared" ref="L205:L268" si="8">K205/J205</f>
        <v>0.96384355614668282</v>
      </c>
      <c r="M205" s="18">
        <f>VLOOKUP(A205,[2]Export!$A:$G,7,0)</f>
        <v>1406.64</v>
      </c>
      <c r="N205" s="19">
        <f t="shared" ref="N205:N268" si="9">M205/J205</f>
        <v>0.8978740917609852</v>
      </c>
      <c r="O205" s="17" t="s">
        <v>1029</v>
      </c>
      <c r="P205" s="17" t="s">
        <v>1026</v>
      </c>
      <c r="Q205" s="17" t="s">
        <v>1023</v>
      </c>
      <c r="R205" s="17" t="str">
        <f>VLOOKUP(A205,[1]Export!$A:$I,9,0)</f>
        <v>Comprou Marcas</v>
      </c>
      <c r="S205" s="17" t="s">
        <v>1023</v>
      </c>
      <c r="T205" s="20"/>
      <c r="U205" s="17"/>
      <c r="V205" s="17"/>
    </row>
    <row r="206" spans="1:22" x14ac:dyDescent="0.35">
      <c r="A206" s="4">
        <v>8087667000185</v>
      </c>
      <c r="B206" s="7" t="s">
        <v>1001</v>
      </c>
      <c r="C206" s="4">
        <v>591</v>
      </c>
      <c r="D206" s="1" t="s">
        <v>218</v>
      </c>
      <c r="E206" s="1" t="s">
        <v>171</v>
      </c>
      <c r="F206" s="1" t="s">
        <v>8</v>
      </c>
      <c r="G206" s="10" t="s">
        <v>36</v>
      </c>
      <c r="H206" s="1" t="s">
        <v>17</v>
      </c>
      <c r="I206" s="21" t="s">
        <v>1070</v>
      </c>
      <c r="J206" s="18">
        <f>VLOOKUP(A206,[2]Export!$A:$B,2,0)</f>
        <v>9228.1168122835843</v>
      </c>
      <c r="K206" s="18">
        <f>VLOOKUP(A206,[2]Export!$A:$C,3,0)</f>
        <v>4621.2599999999993</v>
      </c>
      <c r="L206" s="19">
        <f t="shared" si="8"/>
        <v>0.5007803969113851</v>
      </c>
      <c r="M206" s="18">
        <f>VLOOKUP(A206,[2]Export!$A:$G,7,0)</f>
        <v>4182.0600000000004</v>
      </c>
      <c r="N206" s="19">
        <f t="shared" si="9"/>
        <v>0.45318672109061764</v>
      </c>
      <c r="O206" s="17" t="s">
        <v>1025</v>
      </c>
      <c r="P206" s="17" t="s">
        <v>1026</v>
      </c>
      <c r="Q206" s="17" t="s">
        <v>1023</v>
      </c>
      <c r="R206" s="17" t="str">
        <f>VLOOKUP(A206,[1]Export!$A:$I,9,0)</f>
        <v>Comprou Marcas</v>
      </c>
      <c r="S206" s="17" t="s">
        <v>1022</v>
      </c>
      <c r="T206" s="20">
        <v>4</v>
      </c>
      <c r="U206" s="17"/>
      <c r="V206" s="17"/>
    </row>
    <row r="207" spans="1:22" x14ac:dyDescent="0.35">
      <c r="A207" s="5">
        <v>23288222000157</v>
      </c>
      <c r="B207" s="7"/>
      <c r="C207" s="4"/>
      <c r="D207" s="6" t="s">
        <v>299</v>
      </c>
      <c r="E207" s="6" t="s">
        <v>182</v>
      </c>
      <c r="F207" s="6" t="s">
        <v>8</v>
      </c>
      <c r="G207" s="11" t="s">
        <v>36</v>
      </c>
      <c r="H207" s="6" t="s">
        <v>17</v>
      </c>
      <c r="I207" s="21" t="s">
        <v>1072</v>
      </c>
      <c r="J207" s="18">
        <f>VLOOKUP(A207,[2]Export!$A:$B,2,0)</f>
        <v>3192.4791422022731</v>
      </c>
      <c r="K207" s="18">
        <f>VLOOKUP(A207,[2]Export!$A:$C,3,0)</f>
        <v>875.81000000000006</v>
      </c>
      <c r="L207" s="19">
        <f t="shared" si="8"/>
        <v>0.27433538669757401</v>
      </c>
      <c r="M207" s="18">
        <f>VLOOKUP(A207,[2]Export!$A:$G,7,0)</f>
        <v>0</v>
      </c>
      <c r="N207" s="19">
        <f t="shared" si="9"/>
        <v>0</v>
      </c>
      <c r="O207" s="17" t="s">
        <v>1029</v>
      </c>
      <c r="P207" s="17" t="s">
        <v>1026</v>
      </c>
      <c r="Q207" s="17" t="s">
        <v>1023</v>
      </c>
      <c r="R207" s="17" t="str">
        <f>VLOOKUP(A207,[1]Export!$A:$I,9,0)</f>
        <v>Não Comprou</v>
      </c>
      <c r="S207" s="17" t="s">
        <v>1023</v>
      </c>
      <c r="T207" s="20"/>
      <c r="U207" s="17"/>
      <c r="V207" s="17"/>
    </row>
    <row r="208" spans="1:22" x14ac:dyDescent="0.35">
      <c r="A208" s="4">
        <v>7272090000119</v>
      </c>
      <c r="B208" s="7"/>
      <c r="C208" s="4"/>
      <c r="D208" s="1" t="s">
        <v>300</v>
      </c>
      <c r="E208" s="1" t="s">
        <v>160</v>
      </c>
      <c r="F208" s="1" t="s">
        <v>8</v>
      </c>
      <c r="G208" s="10" t="s">
        <v>20</v>
      </c>
      <c r="H208" s="1" t="s">
        <v>17</v>
      </c>
      <c r="I208" s="21" t="s">
        <v>1068</v>
      </c>
      <c r="J208" s="18">
        <f>VLOOKUP(A208,[2]Export!$A:$B,2,0)</f>
        <v>1783.5504166971753</v>
      </c>
      <c r="K208" s="18">
        <f>VLOOKUP(A208,[2]Export!$A:$C,3,0)</f>
        <v>1066.1400000000001</v>
      </c>
      <c r="L208" s="19">
        <f t="shared" si="8"/>
        <v>0.59776274896355641</v>
      </c>
      <c r="M208" s="18">
        <f>VLOOKUP(A208,[2]Export!$A:$G,7,0)</f>
        <v>0</v>
      </c>
      <c r="N208" s="19">
        <f t="shared" si="9"/>
        <v>0</v>
      </c>
      <c r="O208" s="17" t="s">
        <v>1025</v>
      </c>
      <c r="P208" s="17" t="s">
        <v>1026</v>
      </c>
      <c r="Q208" s="17" t="s">
        <v>1023</v>
      </c>
      <c r="R208" s="17" t="str">
        <f>VLOOKUP(A208,[1]Export!$A:$I,9,0)</f>
        <v>Não Comprou</v>
      </c>
      <c r="S208" s="17" t="s">
        <v>1023</v>
      </c>
      <c r="T208" s="20"/>
      <c r="U208" s="17"/>
      <c r="V208" s="17"/>
    </row>
    <row r="209" spans="1:22" x14ac:dyDescent="0.35">
      <c r="A209" s="5">
        <v>7496421000102</v>
      </c>
      <c r="B209" s="7"/>
      <c r="C209" s="4"/>
      <c r="D209" s="6" t="s">
        <v>301</v>
      </c>
      <c r="E209" s="6" t="s">
        <v>149</v>
      </c>
      <c r="F209" s="6" t="s">
        <v>8</v>
      </c>
      <c r="G209" s="11" t="s">
        <v>20</v>
      </c>
      <c r="H209" s="6" t="s">
        <v>17</v>
      </c>
      <c r="I209" s="21" t="s">
        <v>1072</v>
      </c>
      <c r="J209" s="18">
        <f>VLOOKUP(A209,[2]Export!$A:$B,2,0)</f>
        <v>2071.45686641372</v>
      </c>
      <c r="K209" s="18">
        <f>VLOOKUP(A209,[2]Export!$A:$C,3,0)</f>
        <v>770.57999999999993</v>
      </c>
      <c r="L209" s="19">
        <f t="shared" si="8"/>
        <v>0.37199905655486454</v>
      </c>
      <c r="M209" s="18">
        <f>VLOOKUP(A209,[2]Export!$A:$G,7,0)</f>
        <v>0</v>
      </c>
      <c r="N209" s="19">
        <f t="shared" si="9"/>
        <v>0</v>
      </c>
      <c r="O209" s="17" t="s">
        <v>1025</v>
      </c>
      <c r="P209" s="17" t="s">
        <v>1026</v>
      </c>
      <c r="Q209" s="17" t="s">
        <v>1023</v>
      </c>
      <c r="R209" s="17" t="str">
        <f>VLOOKUP(A209,[1]Export!$A:$I,9,0)</f>
        <v>Não Comprou</v>
      </c>
      <c r="S209" s="17" t="s">
        <v>1023</v>
      </c>
      <c r="T209" s="20"/>
      <c r="U209" s="17"/>
      <c r="V209" s="17"/>
    </row>
    <row r="210" spans="1:22" x14ac:dyDescent="0.35">
      <c r="A210" s="4">
        <v>8685407000101</v>
      </c>
      <c r="B210" s="7"/>
      <c r="C210" s="4"/>
      <c r="D210" s="1" t="s">
        <v>302</v>
      </c>
      <c r="E210" s="1" t="s">
        <v>303</v>
      </c>
      <c r="F210" s="1" t="s">
        <v>48</v>
      </c>
      <c r="G210" s="10" t="s">
        <v>16</v>
      </c>
      <c r="H210" s="1" t="s">
        <v>17</v>
      </c>
      <c r="I210" s="21" t="s">
        <v>1071</v>
      </c>
      <c r="J210" s="18">
        <f>VLOOKUP(A210,[2]Export!$A:$B,2,0)</f>
        <v>7637.1919838081703</v>
      </c>
      <c r="K210" s="18">
        <f>VLOOKUP(A210,[2]Export!$A:$C,3,0)</f>
        <v>4399</v>
      </c>
      <c r="L210" s="19">
        <f t="shared" si="8"/>
        <v>0.57599704306588684</v>
      </c>
      <c r="M210" s="18">
        <f>VLOOKUP(A210,[2]Export!$A:$G,7,0)</f>
        <v>1412.66</v>
      </c>
      <c r="N210" s="19">
        <f t="shared" si="9"/>
        <v>0.18497112590530931</v>
      </c>
      <c r="O210" s="17" t="s">
        <v>1027</v>
      </c>
      <c r="P210" s="17" t="s">
        <v>1028</v>
      </c>
      <c r="Q210" s="17" t="s">
        <v>1023</v>
      </c>
      <c r="R210" s="17" t="str">
        <f>VLOOKUP(A210,[1]Export!$A:$I,9,0)</f>
        <v>Comprou Marcas</v>
      </c>
      <c r="S210" s="17" t="s">
        <v>1022</v>
      </c>
      <c r="T210" s="20"/>
      <c r="U210" s="17"/>
      <c r="V210" s="17">
        <v>1</v>
      </c>
    </row>
    <row r="211" spans="1:22" x14ac:dyDescent="0.35">
      <c r="A211" s="5">
        <v>9165147000106</v>
      </c>
      <c r="B211" s="7"/>
      <c r="C211" s="4"/>
      <c r="D211" s="6" t="s">
        <v>304</v>
      </c>
      <c r="E211" s="6" t="s">
        <v>305</v>
      </c>
      <c r="F211" s="6" t="s">
        <v>15</v>
      </c>
      <c r="G211" s="11" t="s">
        <v>20</v>
      </c>
      <c r="H211" s="6" t="s">
        <v>17</v>
      </c>
      <c r="I211" s="21" t="s">
        <v>1069</v>
      </c>
      <c r="J211" s="18">
        <f>VLOOKUP(A211,[2]Export!$A:$B,2,0)</f>
        <v>5314.3480111306872</v>
      </c>
      <c r="K211" s="18">
        <f>VLOOKUP(A211,[2]Export!$A:$C,3,0)</f>
        <v>2469.1200000000008</v>
      </c>
      <c r="L211" s="19">
        <f t="shared" si="8"/>
        <v>0.46461390839074307</v>
      </c>
      <c r="M211" s="18">
        <f>VLOOKUP(A211,[2]Export!$A:$G,7,0)</f>
        <v>0</v>
      </c>
      <c r="N211" s="19">
        <f t="shared" si="9"/>
        <v>0</v>
      </c>
      <c r="O211" s="17" t="s">
        <v>1025</v>
      </c>
      <c r="P211" s="17" t="s">
        <v>1026</v>
      </c>
      <c r="Q211" s="17" t="s">
        <v>1023</v>
      </c>
      <c r="R211" s="17" t="str">
        <f>VLOOKUP(A211,[1]Export!$A:$I,9,0)</f>
        <v>Não Comprou</v>
      </c>
      <c r="S211" s="17" t="s">
        <v>1022</v>
      </c>
      <c r="T211" s="20"/>
      <c r="U211" s="17"/>
      <c r="V211" s="17"/>
    </row>
    <row r="212" spans="1:22" x14ac:dyDescent="0.35">
      <c r="A212" s="4">
        <v>9364347000198</v>
      </c>
      <c r="B212" s="7"/>
      <c r="C212" s="4"/>
      <c r="D212" s="1" t="s">
        <v>306</v>
      </c>
      <c r="E212" s="1" t="s">
        <v>307</v>
      </c>
      <c r="F212" s="1" t="s">
        <v>8</v>
      </c>
      <c r="G212" s="10" t="s">
        <v>20</v>
      </c>
      <c r="H212" s="1" t="s">
        <v>17</v>
      </c>
      <c r="I212" s="21" t="s">
        <v>1068</v>
      </c>
      <c r="J212" s="18">
        <f>VLOOKUP(A212,[2]Export!$A:$B,2,0)</f>
        <v>1790.5959823099993</v>
      </c>
      <c r="K212" s="18">
        <f>VLOOKUP(A212,[2]Export!$A:$C,3,0)</f>
        <v>1005.8900000000001</v>
      </c>
      <c r="L212" s="19">
        <f t="shared" si="8"/>
        <v>0.56176268121764061</v>
      </c>
      <c r="M212" s="18">
        <f>VLOOKUP(A212,[2]Export!$A:$G,7,0)</f>
        <v>0</v>
      </c>
      <c r="N212" s="19">
        <f t="shared" si="9"/>
        <v>0</v>
      </c>
      <c r="O212" s="17" t="s">
        <v>1025</v>
      </c>
      <c r="P212" s="17" t="s">
        <v>1026</v>
      </c>
      <c r="Q212" s="17" t="s">
        <v>1023</v>
      </c>
      <c r="R212" s="17" t="str">
        <f>VLOOKUP(A212,[1]Export!$A:$I,9,0)</f>
        <v>Não Comprou</v>
      </c>
      <c r="S212" s="17" t="s">
        <v>1023</v>
      </c>
      <c r="T212" s="20"/>
      <c r="U212" s="17"/>
      <c r="V212" s="17"/>
    </row>
    <row r="213" spans="1:22" x14ac:dyDescent="0.35">
      <c r="A213" s="5">
        <v>38872460000506</v>
      </c>
      <c r="B213" s="7" t="s">
        <v>308</v>
      </c>
      <c r="C213" s="4"/>
      <c r="D213" s="6" t="s">
        <v>308</v>
      </c>
      <c r="E213" s="6" t="s">
        <v>307</v>
      </c>
      <c r="F213" s="6" t="s">
        <v>8</v>
      </c>
      <c r="G213" s="11" t="s">
        <v>74</v>
      </c>
      <c r="H213" s="6" t="s">
        <v>17</v>
      </c>
      <c r="I213" s="21" t="s">
        <v>1068</v>
      </c>
      <c r="J213" s="18">
        <f>VLOOKUP(A213,[2]Export!$A:$B,2,0)</f>
        <v>1609.7694292658314</v>
      </c>
      <c r="K213" s="18">
        <f>VLOOKUP(A213,[2]Export!$A:$C,3,0)</f>
        <v>1633.98</v>
      </c>
      <c r="L213" s="19">
        <f t="shared" si="8"/>
        <v>1.0150397754448663</v>
      </c>
      <c r="M213" s="18">
        <f>VLOOKUP(A213,[2]Export!$A:$G,7,0)</f>
        <v>1890.48</v>
      </c>
      <c r="N213" s="19">
        <f t="shared" si="9"/>
        <v>1.1743793649145098</v>
      </c>
      <c r="O213" s="17" t="s">
        <v>1029</v>
      </c>
      <c r="P213" s="17" t="s">
        <v>1026</v>
      </c>
      <c r="Q213" s="17" t="s">
        <v>1023</v>
      </c>
      <c r="R213" s="17" t="str">
        <f>VLOOKUP(A213,[1]Export!$A:$I,9,0)</f>
        <v>Comprou Marcas</v>
      </c>
      <c r="S213" s="17" t="s">
        <v>1022</v>
      </c>
      <c r="T213" s="20"/>
      <c r="U213" s="17"/>
      <c r="V213" s="17"/>
    </row>
    <row r="214" spans="1:22" x14ac:dyDescent="0.35">
      <c r="A214" s="4">
        <v>7754019000172</v>
      </c>
      <c r="B214" s="7"/>
      <c r="C214" s="4"/>
      <c r="D214" s="1" t="s">
        <v>309</v>
      </c>
      <c r="E214" s="1" t="s">
        <v>43</v>
      </c>
      <c r="F214" s="1" t="s">
        <v>8</v>
      </c>
      <c r="G214" s="10" t="s">
        <v>20</v>
      </c>
      <c r="H214" s="1" t="s">
        <v>17</v>
      </c>
      <c r="I214" s="21" t="s">
        <v>1068</v>
      </c>
      <c r="J214" s="18">
        <f>VLOOKUP(A214,[2]Export!$A:$B,2,0)</f>
        <v>1879.0845119968251</v>
      </c>
      <c r="K214" s="18">
        <f>VLOOKUP(A214,[2]Export!$A:$C,3,0)</f>
        <v>498.68999999999994</v>
      </c>
      <c r="L214" s="19">
        <f t="shared" si="8"/>
        <v>0.2653898730026053</v>
      </c>
      <c r="M214" s="18">
        <f>VLOOKUP(A214,[2]Export!$A:$G,7,0)</f>
        <v>0</v>
      </c>
      <c r="N214" s="19">
        <f t="shared" si="9"/>
        <v>0</v>
      </c>
      <c r="O214" s="17" t="s">
        <v>1029</v>
      </c>
      <c r="P214" s="17" t="s">
        <v>1026</v>
      </c>
      <c r="Q214" s="17" t="s">
        <v>1023</v>
      </c>
      <c r="R214" s="17" t="str">
        <f>VLOOKUP(A214,[1]Export!$A:$I,9,0)</f>
        <v>Não Comprou</v>
      </c>
      <c r="S214" s="17" t="s">
        <v>1023</v>
      </c>
      <c r="T214" s="20"/>
      <c r="U214" s="17"/>
      <c r="V214" s="17"/>
    </row>
    <row r="215" spans="1:22" x14ac:dyDescent="0.35">
      <c r="A215" s="5">
        <v>8087667000932</v>
      </c>
      <c r="B215" s="7" t="s">
        <v>1001</v>
      </c>
      <c r="C215" s="4"/>
      <c r="D215" s="6" t="s">
        <v>218</v>
      </c>
      <c r="E215" s="6" t="s">
        <v>35</v>
      </c>
      <c r="F215" s="6" t="s">
        <v>8</v>
      </c>
      <c r="G215" s="11" t="s">
        <v>36</v>
      </c>
      <c r="H215" s="6" t="s">
        <v>17</v>
      </c>
      <c r="I215" s="21" t="s">
        <v>1070</v>
      </c>
      <c r="J215" s="18">
        <f>VLOOKUP(A215,[2]Export!$A:$B,2,0)</f>
        <v>12662.594469881225</v>
      </c>
      <c r="K215" s="18">
        <f>VLOOKUP(A215,[2]Export!$A:$C,3,0)</f>
        <v>9897.8200000000052</v>
      </c>
      <c r="L215" s="19">
        <f t="shared" si="8"/>
        <v>0.78165813676988471</v>
      </c>
      <c r="M215" s="18">
        <f>VLOOKUP(A215,[2]Export!$A:$G,7,0)</f>
        <v>9380.8300000000017</v>
      </c>
      <c r="N215" s="19">
        <f t="shared" si="9"/>
        <v>0.74083001096757017</v>
      </c>
      <c r="O215" s="17" t="s">
        <v>1025</v>
      </c>
      <c r="P215" s="17" t="s">
        <v>1026</v>
      </c>
      <c r="Q215" s="17" t="s">
        <v>1023</v>
      </c>
      <c r="R215" s="17" t="str">
        <f>VLOOKUP(A215,[1]Export!$A:$I,9,0)</f>
        <v>Comprou Marcas</v>
      </c>
      <c r="S215" s="17" t="s">
        <v>1022</v>
      </c>
      <c r="T215" s="20">
        <v>4</v>
      </c>
      <c r="U215" s="17"/>
      <c r="V215" s="17"/>
    </row>
    <row r="216" spans="1:22" x14ac:dyDescent="0.35">
      <c r="A216" s="4">
        <v>10280518000180</v>
      </c>
      <c r="B216" s="7"/>
      <c r="C216" s="4"/>
      <c r="D216" s="1" t="s">
        <v>310</v>
      </c>
      <c r="E216" s="1" t="s">
        <v>35</v>
      </c>
      <c r="F216" s="1" t="s">
        <v>8</v>
      </c>
      <c r="G216" s="10" t="s">
        <v>20</v>
      </c>
      <c r="H216" s="1" t="s">
        <v>17</v>
      </c>
      <c r="I216" s="21" t="s">
        <v>1070</v>
      </c>
      <c r="J216" s="18">
        <f>VLOOKUP(A216,[2]Export!$A:$B,2,0)</f>
        <v>324.92938901659545</v>
      </c>
      <c r="K216" s="18">
        <f>VLOOKUP(A216,[2]Export!$A:$C,3,0)</f>
        <v>0</v>
      </c>
      <c r="L216" s="19">
        <f t="shared" si="8"/>
        <v>0</v>
      </c>
      <c r="M216" s="18">
        <f>VLOOKUP(A216,[2]Export!$A:$G,7,0)</f>
        <v>0</v>
      </c>
      <c r="N216" s="19">
        <f t="shared" si="9"/>
        <v>0</v>
      </c>
      <c r="O216" s="17" t="s">
        <v>1025</v>
      </c>
      <c r="P216" s="17" t="s">
        <v>1026</v>
      </c>
      <c r="Q216" s="17" t="s">
        <v>1023</v>
      </c>
      <c r="R216" s="17" t="str">
        <f>VLOOKUP(A216,[1]Export!$A:$I,9,0)</f>
        <v>Não Comprou</v>
      </c>
      <c r="S216" s="17" t="s">
        <v>1023</v>
      </c>
      <c r="T216" s="20"/>
      <c r="U216" s="17"/>
      <c r="V216" s="17"/>
    </row>
    <row r="217" spans="1:22" x14ac:dyDescent="0.35">
      <c r="A217" s="5">
        <v>10497520000105</v>
      </c>
      <c r="B217" s="7"/>
      <c r="C217" s="4"/>
      <c r="D217" s="6" t="s">
        <v>311</v>
      </c>
      <c r="E217" s="6" t="s">
        <v>312</v>
      </c>
      <c r="F217" s="6" t="s">
        <v>48</v>
      </c>
      <c r="G217" s="11" t="s">
        <v>80</v>
      </c>
      <c r="H217" s="6" t="s">
        <v>17</v>
      </c>
      <c r="I217" s="21" t="s">
        <v>1073</v>
      </c>
      <c r="J217" s="18">
        <f>VLOOKUP(A217,[2]Export!$A:$B,2,0)</f>
        <v>11760.241795338341</v>
      </c>
      <c r="K217" s="18">
        <f>VLOOKUP(A217,[2]Export!$A:$C,3,0)</f>
        <v>5646.199999999998</v>
      </c>
      <c r="L217" s="19">
        <f t="shared" si="8"/>
        <v>0.48010917617681154</v>
      </c>
      <c r="M217" s="18">
        <f>VLOOKUP(A217,[2]Export!$A:$G,7,0)</f>
        <v>0</v>
      </c>
      <c r="N217" s="19">
        <f t="shared" si="9"/>
        <v>0</v>
      </c>
      <c r="O217" s="17" t="s">
        <v>1029</v>
      </c>
      <c r="P217" s="17" t="s">
        <v>1026</v>
      </c>
      <c r="Q217" s="17" t="s">
        <v>1022</v>
      </c>
      <c r="R217" s="17" t="str">
        <f>VLOOKUP(A217,[1]Export!$A:$I,9,0)</f>
        <v>Não Comprou</v>
      </c>
      <c r="S217" s="17" t="s">
        <v>1022</v>
      </c>
      <c r="T217" s="20"/>
      <c r="U217" s="17"/>
      <c r="V217" s="17"/>
    </row>
    <row r="218" spans="1:22" x14ac:dyDescent="0.35">
      <c r="A218" s="4">
        <v>18332251000139</v>
      </c>
      <c r="B218" s="7" t="s">
        <v>998</v>
      </c>
      <c r="C218" s="4"/>
      <c r="D218" s="1" t="s">
        <v>25</v>
      </c>
      <c r="E218" s="1" t="s">
        <v>275</v>
      </c>
      <c r="F218" s="1" t="s">
        <v>15</v>
      </c>
      <c r="G218" s="10" t="s">
        <v>9</v>
      </c>
      <c r="H218" s="1" t="s">
        <v>10</v>
      </c>
      <c r="I218" s="21" t="s">
        <v>1073</v>
      </c>
      <c r="J218" s="18">
        <f>VLOOKUP(A218,[2]Export!$A:$B,2,0)</f>
        <v>18316.582778702996</v>
      </c>
      <c r="K218" s="18">
        <f>VLOOKUP(A218,[2]Export!$A:$C,3,0)</f>
        <v>10213.789999999997</v>
      </c>
      <c r="L218" s="19">
        <f t="shared" si="8"/>
        <v>0.55762530180442527</v>
      </c>
      <c r="M218" s="18">
        <f>VLOOKUP(A218,[2]Export!$A:$G,7,0)</f>
        <v>7935.7199999999993</v>
      </c>
      <c r="N218" s="19">
        <f t="shared" si="9"/>
        <v>0.43325330362533543</v>
      </c>
      <c r="O218" s="17" t="s">
        <v>1027</v>
      </c>
      <c r="P218" s="17" t="s">
        <v>1028</v>
      </c>
      <c r="Q218" s="17" t="s">
        <v>1023</v>
      </c>
      <c r="R218" s="17" t="str">
        <f>VLOOKUP(A218,[1]Export!$A:$I,9,0)</f>
        <v>Comprou Marcas</v>
      </c>
      <c r="S218" s="17" t="s">
        <v>1022</v>
      </c>
      <c r="T218" s="20"/>
      <c r="U218" s="17"/>
      <c r="V218" s="17"/>
    </row>
    <row r="219" spans="1:22" x14ac:dyDescent="0.35">
      <c r="A219" s="4">
        <v>10341045001902</v>
      </c>
      <c r="B219" s="7" t="s">
        <v>995</v>
      </c>
      <c r="C219" s="4"/>
      <c r="D219" s="1" t="s">
        <v>25</v>
      </c>
      <c r="E219" s="1" t="s">
        <v>260</v>
      </c>
      <c r="F219" s="1" t="s">
        <v>8</v>
      </c>
      <c r="G219" s="10" t="s">
        <v>9</v>
      </c>
      <c r="H219" s="1" t="s">
        <v>10</v>
      </c>
      <c r="I219" s="21" t="s">
        <v>1066</v>
      </c>
      <c r="J219" s="18">
        <f>VLOOKUP(A219,[2]Export!$A:$B,2,0)</f>
        <v>23881.360988403314</v>
      </c>
      <c r="K219" s="18">
        <f>VLOOKUP(A219,[2]Export!$A:$C,3,0)</f>
        <v>14246.299999999997</v>
      </c>
      <c r="L219" s="19">
        <f t="shared" si="8"/>
        <v>0.59654472820531201</v>
      </c>
      <c r="M219" s="18">
        <f>VLOOKUP(A219,[2]Export!$A:$G,7,0)</f>
        <v>10988.479999999996</v>
      </c>
      <c r="N219" s="19">
        <f t="shared" si="9"/>
        <v>0.46012787986982628</v>
      </c>
      <c r="O219" s="17" t="s">
        <v>1027</v>
      </c>
      <c r="P219" s="17" t="s">
        <v>1028</v>
      </c>
      <c r="Q219" s="17" t="s">
        <v>1023</v>
      </c>
      <c r="R219" s="17" t="str">
        <f>VLOOKUP(A219,[1]Export!$A:$I,9,0)</f>
        <v>Comprou Marcas e SG</v>
      </c>
      <c r="S219" s="17" t="s">
        <v>1022</v>
      </c>
      <c r="T219" s="20">
        <v>3</v>
      </c>
      <c r="U219" s="17">
        <v>5</v>
      </c>
      <c r="V219" s="17">
        <v>2</v>
      </c>
    </row>
    <row r="220" spans="1:22" x14ac:dyDescent="0.35">
      <c r="A220" s="4">
        <v>7688383000181</v>
      </c>
      <c r="B220" s="7"/>
      <c r="C220" s="4"/>
      <c r="D220" s="1" t="s">
        <v>929</v>
      </c>
      <c r="E220" s="1" t="s">
        <v>146</v>
      </c>
      <c r="F220" s="1" t="s">
        <v>8</v>
      </c>
      <c r="G220" s="10" t="s">
        <v>38</v>
      </c>
      <c r="H220" s="1" t="s">
        <v>17</v>
      </c>
      <c r="I220" s="21" t="s">
        <v>1072</v>
      </c>
      <c r="J220" s="18">
        <f>VLOOKUP(A220,[2]Export!$A:$B,2,0)</f>
        <v>6143.0691232539448</v>
      </c>
      <c r="K220" s="18">
        <f>VLOOKUP(A220,[2]Export!$A:$C,3,0)</f>
        <v>4528.6900000000005</v>
      </c>
      <c r="L220" s="19">
        <f t="shared" si="8"/>
        <v>0.73720316492241944</v>
      </c>
      <c r="M220" s="18">
        <f>VLOOKUP(A220,[2]Export!$A:$G,7,0)</f>
        <v>3002.4500000000003</v>
      </c>
      <c r="N220" s="19">
        <f t="shared" si="9"/>
        <v>0.48875406409388106</v>
      </c>
      <c r="O220" s="17" t="s">
        <v>1029</v>
      </c>
      <c r="P220" s="17" t="s">
        <v>1026</v>
      </c>
      <c r="Q220" s="17" t="s">
        <v>1022</v>
      </c>
      <c r="R220" s="17" t="str">
        <f>VLOOKUP(A220,[1]Export!$A:$I,9,0)</f>
        <v>Comprou Marcas</v>
      </c>
      <c r="S220" s="17" t="s">
        <v>1022</v>
      </c>
      <c r="T220" s="20"/>
      <c r="U220" s="17">
        <v>1</v>
      </c>
      <c r="V220" s="17">
        <v>1</v>
      </c>
    </row>
    <row r="221" spans="1:22" x14ac:dyDescent="0.35">
      <c r="A221" s="5">
        <v>4834843000900</v>
      </c>
      <c r="B221" s="7" t="s">
        <v>994</v>
      </c>
      <c r="C221" s="4"/>
      <c r="D221" s="6" t="s">
        <v>91</v>
      </c>
      <c r="E221" s="6" t="s">
        <v>50</v>
      </c>
      <c r="F221" s="6" t="s">
        <v>48</v>
      </c>
      <c r="G221" s="11" t="s">
        <v>92</v>
      </c>
      <c r="H221" s="6" t="s">
        <v>17</v>
      </c>
      <c r="I221" s="21" t="s">
        <v>1071</v>
      </c>
      <c r="J221" s="18">
        <f>VLOOKUP(A221,[2]Export!$A:$B,2,0)</f>
        <v>8982.6240795125195</v>
      </c>
      <c r="K221" s="18">
        <f>VLOOKUP(A221,[2]Export!$A:$C,3,0)</f>
        <v>7077.409999999998</v>
      </c>
      <c r="L221" s="19">
        <f t="shared" si="8"/>
        <v>0.78790005429950971</v>
      </c>
      <c r="M221" s="18">
        <f>VLOOKUP(A221,[2]Export!$A:$G,7,0)</f>
        <v>6409.0299999999988</v>
      </c>
      <c r="N221" s="19">
        <f t="shared" si="9"/>
        <v>0.71349195327205683</v>
      </c>
      <c r="O221" s="17" t="s">
        <v>1027</v>
      </c>
      <c r="P221" s="17" t="s">
        <v>1028</v>
      </c>
      <c r="Q221" s="17" t="s">
        <v>1023</v>
      </c>
      <c r="R221" s="17" t="str">
        <f>VLOOKUP(A221,[1]Export!$A:$I,9,0)</f>
        <v>Comprou Marcas e SG</v>
      </c>
      <c r="S221" s="17" t="s">
        <v>1022</v>
      </c>
      <c r="T221" s="20">
        <v>3</v>
      </c>
      <c r="U221" s="17">
        <v>4</v>
      </c>
      <c r="V221" s="17">
        <v>4</v>
      </c>
    </row>
    <row r="222" spans="1:22" x14ac:dyDescent="0.35">
      <c r="A222" s="4">
        <v>4972853000146</v>
      </c>
      <c r="B222" s="7" t="s">
        <v>135</v>
      </c>
      <c r="C222" s="4">
        <v>46829</v>
      </c>
      <c r="D222" s="1" t="s">
        <v>134</v>
      </c>
      <c r="E222" s="1" t="s">
        <v>35</v>
      </c>
      <c r="F222" s="1" t="s">
        <v>8</v>
      </c>
      <c r="G222" s="10" t="s">
        <v>135</v>
      </c>
      <c r="H222" s="1" t="s">
        <v>17</v>
      </c>
      <c r="I222" s="21" t="s">
        <v>1070</v>
      </c>
      <c r="J222" s="18">
        <f>VLOOKUP(A222,[2]Export!$A:$B,2,0)</f>
        <v>11873.430065890458</v>
      </c>
      <c r="K222" s="18">
        <f>VLOOKUP(A222,[2]Export!$A:$C,3,0)</f>
        <v>17380.680000000004</v>
      </c>
      <c r="L222" s="19">
        <f t="shared" si="8"/>
        <v>1.4638297361038548</v>
      </c>
      <c r="M222" s="18">
        <f>VLOOKUP(A222,[2]Export!$A:$G,7,0)</f>
        <v>15893.729999999998</v>
      </c>
      <c r="N222" s="19">
        <f t="shared" si="9"/>
        <v>1.3385963375199308</v>
      </c>
      <c r="O222" s="17" t="s">
        <v>1025</v>
      </c>
      <c r="P222" s="17" t="s">
        <v>1026</v>
      </c>
      <c r="Q222" s="17" t="s">
        <v>1022</v>
      </c>
      <c r="R222" s="17" t="str">
        <f>VLOOKUP(A222,[1]Export!$A:$I,9,0)</f>
        <v>Comprou Marcas e SG</v>
      </c>
      <c r="S222" s="17" t="s">
        <v>1022</v>
      </c>
      <c r="T222" s="20">
        <v>4</v>
      </c>
      <c r="U222" s="17"/>
      <c r="V222" s="17"/>
    </row>
    <row r="223" spans="1:22" x14ac:dyDescent="0.35">
      <c r="A223" s="5">
        <v>5113547000117</v>
      </c>
      <c r="B223" s="7"/>
      <c r="C223" s="4"/>
      <c r="D223" s="6" t="s">
        <v>315</v>
      </c>
      <c r="E223" s="6" t="s">
        <v>316</v>
      </c>
      <c r="F223" s="6" t="s">
        <v>48</v>
      </c>
      <c r="G223" s="11" t="s">
        <v>20</v>
      </c>
      <c r="H223" s="6" t="s">
        <v>17</v>
      </c>
      <c r="I223" s="21" t="s">
        <v>1071</v>
      </c>
      <c r="J223" s="18">
        <f>VLOOKUP(A223,[2]Export!$A:$B,2,0)</f>
        <v>9656.8574937672529</v>
      </c>
      <c r="K223" s="18">
        <f>VLOOKUP(A223,[2]Export!$A:$C,3,0)</f>
        <v>4181.45</v>
      </c>
      <c r="L223" s="19">
        <f t="shared" si="8"/>
        <v>0.43300317962637425</v>
      </c>
      <c r="M223" s="18">
        <f>VLOOKUP(A223,[2]Export!$A:$G,7,0)</f>
        <v>3735.5399999999995</v>
      </c>
      <c r="N223" s="19">
        <f t="shared" si="9"/>
        <v>0.38682770273984046</v>
      </c>
      <c r="O223" s="17" t="s">
        <v>1027</v>
      </c>
      <c r="P223" s="17" t="s">
        <v>1026</v>
      </c>
      <c r="Q223" s="17" t="s">
        <v>1023</v>
      </c>
      <c r="R223" s="17" t="str">
        <f>VLOOKUP(A223,[1]Export!$A:$I,9,0)</f>
        <v>Comprou Marcas</v>
      </c>
      <c r="S223" s="17" t="s">
        <v>1022</v>
      </c>
      <c r="T223" s="20"/>
      <c r="U223" s="17"/>
      <c r="V223" s="17"/>
    </row>
    <row r="224" spans="1:22" x14ac:dyDescent="0.35">
      <c r="A224" s="4">
        <v>6368293000140</v>
      </c>
      <c r="B224" s="7"/>
      <c r="C224" s="4"/>
      <c r="D224" s="1" t="s">
        <v>317</v>
      </c>
      <c r="E224" s="1" t="s">
        <v>35</v>
      </c>
      <c r="F224" s="1" t="s">
        <v>8</v>
      </c>
      <c r="G224" s="10" t="s">
        <v>20</v>
      </c>
      <c r="H224" s="1" t="s">
        <v>17</v>
      </c>
      <c r="I224" s="21" t="s">
        <v>1070</v>
      </c>
      <c r="J224" s="18">
        <f>VLOOKUP(A224,[2]Export!$A:$B,2,0)</f>
        <v>11331.053713827969</v>
      </c>
      <c r="K224" s="18">
        <f>VLOOKUP(A224,[2]Export!$A:$C,3,0)</f>
        <v>4740.87</v>
      </c>
      <c r="L224" s="19">
        <f t="shared" si="8"/>
        <v>0.4183962162507826</v>
      </c>
      <c r="M224" s="18">
        <f>VLOOKUP(A224,[2]Export!$A:$G,7,0)</f>
        <v>0</v>
      </c>
      <c r="N224" s="19">
        <f t="shared" si="9"/>
        <v>0</v>
      </c>
      <c r="O224" s="17" t="s">
        <v>1025</v>
      </c>
      <c r="P224" s="17" t="s">
        <v>1026</v>
      </c>
      <c r="Q224" s="17" t="s">
        <v>1023</v>
      </c>
      <c r="R224" s="17" t="str">
        <f>VLOOKUP(A224,[1]Export!$A:$I,9,0)</f>
        <v>Não Comprou</v>
      </c>
      <c r="S224" s="17" t="s">
        <v>1022</v>
      </c>
      <c r="T224" s="20"/>
      <c r="U224" s="17"/>
      <c r="V224" s="17">
        <v>1</v>
      </c>
    </row>
    <row r="225" spans="1:22" x14ac:dyDescent="0.35">
      <c r="A225" s="5">
        <v>7234960000165</v>
      </c>
      <c r="B225" s="7"/>
      <c r="C225" s="4"/>
      <c r="D225" s="6" t="s">
        <v>318</v>
      </c>
      <c r="E225" s="6" t="s">
        <v>203</v>
      </c>
      <c r="F225" s="6" t="s">
        <v>8</v>
      </c>
      <c r="G225" s="11" t="s">
        <v>16</v>
      </c>
      <c r="H225" s="6" t="s">
        <v>17</v>
      </c>
      <c r="I225" s="21" t="s">
        <v>1072</v>
      </c>
      <c r="J225" s="18">
        <f>VLOOKUP(A225,[2]Export!$A:$B,2,0)</f>
        <v>11592.584261847447</v>
      </c>
      <c r="K225" s="18">
        <f>VLOOKUP(A225,[2]Export!$A:$C,3,0)</f>
        <v>3894.2</v>
      </c>
      <c r="L225" s="19">
        <f t="shared" si="8"/>
        <v>0.33592164715302247</v>
      </c>
      <c r="M225" s="18">
        <f>VLOOKUP(A225,[2]Export!$A:$G,7,0)</f>
        <v>2239.92</v>
      </c>
      <c r="N225" s="19">
        <f t="shared" si="9"/>
        <v>0.19322007495531771</v>
      </c>
      <c r="O225" s="17" t="s">
        <v>1029</v>
      </c>
      <c r="P225" s="17" t="s">
        <v>1026</v>
      </c>
      <c r="Q225" s="17" t="s">
        <v>1022</v>
      </c>
      <c r="R225" s="17" t="str">
        <f>VLOOKUP(A225,[1]Export!$A:$I,9,0)</f>
        <v>Comprou Marcas</v>
      </c>
      <c r="S225" s="17" t="s">
        <v>1023</v>
      </c>
      <c r="T225" s="20">
        <v>4</v>
      </c>
      <c r="U225" s="17"/>
      <c r="V225" s="17"/>
    </row>
    <row r="226" spans="1:22" x14ac:dyDescent="0.35">
      <c r="A226" s="4">
        <v>12104635000118</v>
      </c>
      <c r="B226" s="7" t="s">
        <v>319</v>
      </c>
      <c r="C226" s="4"/>
      <c r="D226" s="1" t="s">
        <v>319</v>
      </c>
      <c r="E226" s="1" t="s">
        <v>155</v>
      </c>
      <c r="F226" s="1" t="s">
        <v>15</v>
      </c>
      <c r="G226" s="10" t="s">
        <v>36</v>
      </c>
      <c r="H226" s="1" t="s">
        <v>17</v>
      </c>
      <c r="I226" s="21" t="s">
        <v>1069</v>
      </c>
      <c r="J226" s="18">
        <f>VLOOKUP(A226,[2]Export!$A:$B,2,0)</f>
        <v>1482.8325909295763</v>
      </c>
      <c r="K226" s="18">
        <f>VLOOKUP(A226,[2]Export!$A:$C,3,0)</f>
        <v>1025.6199999999999</v>
      </c>
      <c r="L226" s="19">
        <f t="shared" si="8"/>
        <v>0.69166270439001254</v>
      </c>
      <c r="M226" s="18">
        <f>VLOOKUP(A226,[2]Export!$A:$G,7,0)</f>
        <v>0</v>
      </c>
      <c r="N226" s="19">
        <f t="shared" si="9"/>
        <v>0</v>
      </c>
      <c r="O226" s="17" t="s">
        <v>1025</v>
      </c>
      <c r="P226" s="17" t="s">
        <v>1026</v>
      </c>
      <c r="Q226" s="17" t="s">
        <v>1022</v>
      </c>
      <c r="R226" s="17" t="str">
        <f>VLOOKUP(A226,[1]Export!$A:$I,9,0)</f>
        <v>Não Comprou</v>
      </c>
      <c r="S226" s="17" t="s">
        <v>1023</v>
      </c>
      <c r="T226" s="20"/>
      <c r="U226" s="17"/>
      <c r="V226" s="17"/>
    </row>
    <row r="227" spans="1:22" x14ac:dyDescent="0.35">
      <c r="A227" s="5">
        <v>1189590000105</v>
      </c>
      <c r="B227" s="7"/>
      <c r="C227" s="4"/>
      <c r="D227" s="6" t="s">
        <v>320</v>
      </c>
      <c r="E227" s="6" t="s">
        <v>14</v>
      </c>
      <c r="F227" s="6" t="s">
        <v>15</v>
      </c>
      <c r="G227" s="11" t="s">
        <v>20</v>
      </c>
      <c r="H227" s="6" t="s">
        <v>17</v>
      </c>
      <c r="I227" s="21" t="s">
        <v>1067</v>
      </c>
      <c r="J227" s="18">
        <f>VLOOKUP(A227,[2]Export!$A:$B,2,0)</f>
        <v>6105.1419757076228</v>
      </c>
      <c r="K227" s="18">
        <f>VLOOKUP(A227,[2]Export!$A:$C,3,0)</f>
        <v>4988.66</v>
      </c>
      <c r="L227" s="19">
        <f t="shared" si="8"/>
        <v>0.81712432239084565</v>
      </c>
      <c r="M227" s="18">
        <f>VLOOKUP(A227,[2]Export!$A:$G,7,0)</f>
        <v>2471.0800000000004</v>
      </c>
      <c r="N227" s="19">
        <f t="shared" si="9"/>
        <v>0.40475389595073052</v>
      </c>
      <c r="O227" s="17"/>
      <c r="P227" s="17"/>
      <c r="Q227" s="17"/>
      <c r="R227" s="17" t="str">
        <f>VLOOKUP(A227,[1]Export!$A:$I,9,0)</f>
        <v>Comprou Marcas</v>
      </c>
      <c r="S227" s="17"/>
      <c r="T227" s="20"/>
      <c r="U227" s="17"/>
      <c r="V227" s="17"/>
    </row>
    <row r="228" spans="1:22" x14ac:dyDescent="0.35">
      <c r="A228" s="4">
        <v>1282599000166</v>
      </c>
      <c r="B228" s="7"/>
      <c r="C228" s="4"/>
      <c r="D228" s="1" t="s">
        <v>321</v>
      </c>
      <c r="E228" s="1" t="s">
        <v>322</v>
      </c>
      <c r="F228" s="1" t="s">
        <v>8</v>
      </c>
      <c r="G228" s="10" t="s">
        <v>36</v>
      </c>
      <c r="H228" s="1" t="s">
        <v>17</v>
      </c>
      <c r="I228" s="21" t="s">
        <v>1066</v>
      </c>
      <c r="J228" s="18">
        <f>VLOOKUP(A228,[2]Export!$A:$B,2,0)</f>
        <v>5564.3590814763447</v>
      </c>
      <c r="K228" s="18">
        <f>VLOOKUP(A228,[2]Export!$A:$C,3,0)</f>
        <v>5540.11</v>
      </c>
      <c r="L228" s="19">
        <f t="shared" si="8"/>
        <v>0.99564207105952784</v>
      </c>
      <c r="M228" s="18">
        <f>VLOOKUP(A228,[2]Export!$A:$G,7,0)</f>
        <v>2325.91</v>
      </c>
      <c r="N228" s="19">
        <f t="shared" si="9"/>
        <v>0.4180014204588115</v>
      </c>
      <c r="O228" s="17" t="s">
        <v>1031</v>
      </c>
      <c r="P228" s="17" t="s">
        <v>1026</v>
      </c>
      <c r="Q228" s="17" t="s">
        <v>1023</v>
      </c>
      <c r="R228" s="17" t="str">
        <f>VLOOKUP(A228,[1]Export!$A:$I,9,0)</f>
        <v>Comprou Marcas</v>
      </c>
      <c r="S228" s="17" t="s">
        <v>1023</v>
      </c>
      <c r="T228" s="20"/>
      <c r="U228" s="17"/>
      <c r="V228" s="17">
        <v>1</v>
      </c>
    </row>
    <row r="229" spans="1:22" x14ac:dyDescent="0.35">
      <c r="A229" s="5">
        <v>1719283000199</v>
      </c>
      <c r="B229" s="7"/>
      <c r="C229" s="4"/>
      <c r="D229" s="6" t="s">
        <v>323</v>
      </c>
      <c r="E229" s="6" t="s">
        <v>324</v>
      </c>
      <c r="F229" s="6" t="s">
        <v>15</v>
      </c>
      <c r="G229" s="11" t="s">
        <v>20</v>
      </c>
      <c r="H229" s="6" t="s">
        <v>17</v>
      </c>
      <c r="I229" s="21" t="s">
        <v>1067</v>
      </c>
      <c r="J229" s="18">
        <f>VLOOKUP(A229,[2]Export!$A:$B,2,0)</f>
        <v>3787.5702169322594</v>
      </c>
      <c r="K229" s="18">
        <f>VLOOKUP(A229,[2]Export!$A:$C,3,0)</f>
        <v>1307.22</v>
      </c>
      <c r="L229" s="19">
        <f t="shared" si="8"/>
        <v>0.34513419557374758</v>
      </c>
      <c r="M229" s="18">
        <f>VLOOKUP(A229,[2]Export!$A:$G,7,0)</f>
        <v>0</v>
      </c>
      <c r="N229" s="19">
        <f t="shared" si="9"/>
        <v>0</v>
      </c>
      <c r="O229" s="17"/>
      <c r="P229" s="17"/>
      <c r="Q229" s="17"/>
      <c r="R229" s="17" t="str">
        <f>VLOOKUP(A229,[1]Export!$A:$I,9,0)</f>
        <v>Não Comprou</v>
      </c>
      <c r="S229" s="17"/>
      <c r="T229" s="20"/>
      <c r="U229" s="17"/>
      <c r="V229" s="17"/>
    </row>
    <row r="230" spans="1:22" x14ac:dyDescent="0.35">
      <c r="A230" s="4">
        <v>1738769000174</v>
      </c>
      <c r="B230" s="7"/>
      <c r="C230" s="4"/>
      <c r="D230" s="1" t="s">
        <v>325</v>
      </c>
      <c r="E230" s="1" t="s">
        <v>122</v>
      </c>
      <c r="F230" s="1" t="s">
        <v>8</v>
      </c>
      <c r="G230" s="10" t="s">
        <v>20</v>
      </c>
      <c r="H230" s="1" t="s">
        <v>17</v>
      </c>
      <c r="I230" s="21" t="s">
        <v>1066</v>
      </c>
      <c r="J230" s="18">
        <f>VLOOKUP(A230,[2]Export!$A:$B,2,0)</f>
        <v>3350.5870385202734</v>
      </c>
      <c r="K230" s="18">
        <f>VLOOKUP(A230,[2]Export!$A:$C,3,0)</f>
        <v>2023.5499999999997</v>
      </c>
      <c r="L230" s="19">
        <f t="shared" si="8"/>
        <v>0.60393894464943199</v>
      </c>
      <c r="M230" s="18">
        <f>VLOOKUP(A230,[2]Export!$A:$G,7,0)</f>
        <v>2090.61</v>
      </c>
      <c r="N230" s="19">
        <f t="shared" si="9"/>
        <v>0.62395334786565659</v>
      </c>
      <c r="O230" s="17" t="s">
        <v>1025</v>
      </c>
      <c r="P230" s="17" t="s">
        <v>1026</v>
      </c>
      <c r="Q230" s="17" t="s">
        <v>1023</v>
      </c>
      <c r="R230" s="17" t="str">
        <f>VLOOKUP(A230,[1]Export!$A:$I,9,0)</f>
        <v>Comprou Marcas</v>
      </c>
      <c r="S230" s="17" t="s">
        <v>1022</v>
      </c>
      <c r="T230" s="20"/>
      <c r="U230" s="17"/>
      <c r="V230" s="17"/>
    </row>
    <row r="231" spans="1:22" x14ac:dyDescent="0.35">
      <c r="A231" s="5">
        <v>14782944000253</v>
      </c>
      <c r="B231" s="7"/>
      <c r="C231" s="4"/>
      <c r="D231" s="6" t="s">
        <v>195</v>
      </c>
      <c r="E231" s="6" t="s">
        <v>61</v>
      </c>
      <c r="F231" s="6" t="s">
        <v>8</v>
      </c>
      <c r="G231" s="11" t="s">
        <v>20</v>
      </c>
      <c r="H231" s="6" t="s">
        <v>17</v>
      </c>
      <c r="I231" s="21" t="s">
        <v>1066</v>
      </c>
      <c r="J231" s="18">
        <f>VLOOKUP(A231,[2]Export!$A:$B,2,0)</f>
        <v>1802.2785272390997</v>
      </c>
      <c r="K231" s="18">
        <f>VLOOKUP(A231,[2]Export!$A:$C,3,0)</f>
        <v>1230.8000000000002</v>
      </c>
      <c r="L231" s="19">
        <f t="shared" si="8"/>
        <v>0.68291331300798208</v>
      </c>
      <c r="M231" s="18">
        <f>VLOOKUP(A231,[2]Export!$A:$G,7,0)</f>
        <v>1115.71</v>
      </c>
      <c r="N231" s="19">
        <f t="shared" si="9"/>
        <v>0.61905525873914169</v>
      </c>
      <c r="O231" s="17" t="s">
        <v>1025</v>
      </c>
      <c r="P231" s="17" t="s">
        <v>1026</v>
      </c>
      <c r="Q231" s="17" t="s">
        <v>1023</v>
      </c>
      <c r="R231" s="17" t="str">
        <f>VLOOKUP(A231,[1]Export!$A:$I,9,0)</f>
        <v>Comprou Marcas</v>
      </c>
      <c r="S231" s="17" t="s">
        <v>1022</v>
      </c>
      <c r="T231" s="20"/>
      <c r="U231" s="17"/>
      <c r="V231" s="17"/>
    </row>
    <row r="232" spans="1:22" x14ac:dyDescent="0.35">
      <c r="A232" s="4">
        <v>15900640000125</v>
      </c>
      <c r="B232" s="7"/>
      <c r="C232" s="4"/>
      <c r="D232" s="1" t="s">
        <v>326</v>
      </c>
      <c r="E232" s="1" t="s">
        <v>327</v>
      </c>
      <c r="F232" s="1" t="s">
        <v>15</v>
      </c>
      <c r="G232" s="10" t="s">
        <v>20</v>
      </c>
      <c r="H232" s="1" t="s">
        <v>17</v>
      </c>
      <c r="I232" s="21" t="s">
        <v>1069</v>
      </c>
      <c r="J232" s="18">
        <f>VLOOKUP(A232,[2]Export!$A:$B,2,0)</f>
        <v>3947.0207597375684</v>
      </c>
      <c r="K232" s="18">
        <f>VLOOKUP(A232,[2]Export!$A:$C,3,0)</f>
        <v>1644.8899999999999</v>
      </c>
      <c r="L232" s="19">
        <f t="shared" si="8"/>
        <v>0.41674217089989823</v>
      </c>
      <c r="M232" s="18">
        <f>VLOOKUP(A232,[2]Export!$A:$G,7,0)</f>
        <v>0</v>
      </c>
      <c r="N232" s="19">
        <f t="shared" si="9"/>
        <v>0</v>
      </c>
      <c r="O232" s="17" t="s">
        <v>1025</v>
      </c>
      <c r="P232" s="17" t="s">
        <v>1026</v>
      </c>
      <c r="Q232" s="17" t="s">
        <v>1023</v>
      </c>
      <c r="R232" s="17" t="str">
        <f>VLOOKUP(A232,[1]Export!$A:$I,9,0)</f>
        <v>Não Comprou</v>
      </c>
      <c r="S232" s="17" t="s">
        <v>1022</v>
      </c>
      <c r="T232" s="20"/>
      <c r="U232" s="17"/>
      <c r="V232" s="17"/>
    </row>
    <row r="233" spans="1:22" x14ac:dyDescent="0.35">
      <c r="A233" s="5">
        <v>15946916000106</v>
      </c>
      <c r="B233" s="7"/>
      <c r="C233" s="4"/>
      <c r="D233" s="6" t="s">
        <v>328</v>
      </c>
      <c r="E233" s="6" t="s">
        <v>329</v>
      </c>
      <c r="F233" s="6" t="s">
        <v>8</v>
      </c>
      <c r="G233" s="11" t="s">
        <v>33</v>
      </c>
      <c r="H233" s="6" t="s">
        <v>17</v>
      </c>
      <c r="I233" s="21" t="s">
        <v>1070</v>
      </c>
      <c r="J233" s="18">
        <f>VLOOKUP(A233,[2]Export!$A:$B,2,0)</f>
        <v>10154.15799487712</v>
      </c>
      <c r="K233" s="18">
        <f>VLOOKUP(A233,[2]Export!$A:$C,3,0)</f>
        <v>5847.6600000000008</v>
      </c>
      <c r="L233" s="19">
        <f t="shared" si="8"/>
        <v>0.57588822263256167</v>
      </c>
      <c r="M233" s="18">
        <f>VLOOKUP(A233,[2]Export!$A:$G,7,0)</f>
        <v>3777</v>
      </c>
      <c r="N233" s="19">
        <f t="shared" si="9"/>
        <v>0.37196584905469626</v>
      </c>
      <c r="O233" s="17" t="s">
        <v>1027</v>
      </c>
      <c r="P233" s="17" t="s">
        <v>1026</v>
      </c>
      <c r="Q233" s="17" t="s">
        <v>1023</v>
      </c>
      <c r="R233" s="17" t="str">
        <f>VLOOKUP(A233,[1]Export!$A:$I,9,0)</f>
        <v>Comprou Marcas</v>
      </c>
      <c r="S233" s="17" t="s">
        <v>1022</v>
      </c>
      <c r="T233" s="20">
        <v>13</v>
      </c>
      <c r="U233" s="17"/>
      <c r="V233" s="17"/>
    </row>
    <row r="234" spans="1:22" x14ac:dyDescent="0.35">
      <c r="A234" s="4">
        <v>19436791000125</v>
      </c>
      <c r="B234" s="7" t="s">
        <v>996</v>
      </c>
      <c r="C234" s="4"/>
      <c r="D234" s="1" t="s">
        <v>59</v>
      </c>
      <c r="E234" s="1" t="s">
        <v>330</v>
      </c>
      <c r="F234" s="1" t="s">
        <v>15</v>
      </c>
      <c r="G234" s="10" t="s">
        <v>9</v>
      </c>
      <c r="H234" s="1" t="s">
        <v>10</v>
      </c>
      <c r="I234" s="21" t="s">
        <v>1069</v>
      </c>
      <c r="J234" s="18">
        <f>VLOOKUP(A234,[2]Export!$A:$B,2,0)</f>
        <v>11632.447979371749</v>
      </c>
      <c r="K234" s="18">
        <f>VLOOKUP(A234,[2]Export!$A:$C,3,0)</f>
        <v>6928.920000000001</v>
      </c>
      <c r="L234" s="19">
        <f t="shared" si="8"/>
        <v>0.5956545012956268</v>
      </c>
      <c r="M234" s="18">
        <f>VLOOKUP(A234,[2]Export!$A:$G,7,0)</f>
        <v>2990.5299999999997</v>
      </c>
      <c r="N234" s="19">
        <f t="shared" si="9"/>
        <v>0.25708518149431808</v>
      </c>
      <c r="O234" s="17" t="s">
        <v>1027</v>
      </c>
      <c r="P234" s="17" t="s">
        <v>1028</v>
      </c>
      <c r="Q234" s="17" t="s">
        <v>1023</v>
      </c>
      <c r="R234" s="17" t="str">
        <f>VLOOKUP(A234,[1]Export!$A:$I,9,0)</f>
        <v>Comprou Marcas e SG</v>
      </c>
      <c r="S234" s="17" t="s">
        <v>1022</v>
      </c>
      <c r="T234" s="20"/>
      <c r="U234" s="17"/>
      <c r="V234" s="17"/>
    </row>
    <row r="235" spans="1:22" x14ac:dyDescent="0.35">
      <c r="A235" s="5">
        <v>20397408000156</v>
      </c>
      <c r="B235" s="7"/>
      <c r="C235" s="4"/>
      <c r="D235" s="6" t="s">
        <v>331</v>
      </c>
      <c r="E235" s="6" t="s">
        <v>332</v>
      </c>
      <c r="F235" s="6" t="s">
        <v>8</v>
      </c>
      <c r="G235" s="11" t="s">
        <v>20</v>
      </c>
      <c r="H235" s="6" t="s">
        <v>17</v>
      </c>
      <c r="I235" s="21" t="s">
        <v>1072</v>
      </c>
      <c r="J235" s="18">
        <f>VLOOKUP(A235,[2]Export!$A:$B,2,0)</f>
        <v>2419.2426333230133</v>
      </c>
      <c r="K235" s="18">
        <f>VLOOKUP(A235,[2]Export!$A:$C,3,0)</f>
        <v>259.24</v>
      </c>
      <c r="L235" s="19">
        <f t="shared" si="8"/>
        <v>0.10715750310828237</v>
      </c>
      <c r="M235" s="18">
        <f>VLOOKUP(A235,[2]Export!$A:$G,7,0)</f>
        <v>0</v>
      </c>
      <c r="N235" s="19">
        <f t="shared" si="9"/>
        <v>0</v>
      </c>
      <c r="O235" s="17" t="s">
        <v>1027</v>
      </c>
      <c r="P235" s="17" t="s">
        <v>1028</v>
      </c>
      <c r="Q235" s="17" t="s">
        <v>1023</v>
      </c>
      <c r="R235" s="17" t="str">
        <f>VLOOKUP(A235,[1]Export!$A:$I,9,0)</f>
        <v>Não Comprou</v>
      </c>
      <c r="S235" s="17" t="s">
        <v>1022</v>
      </c>
      <c r="T235" s="20"/>
      <c r="U235" s="17"/>
      <c r="V235" s="17"/>
    </row>
    <row r="236" spans="1:22" x14ac:dyDescent="0.35">
      <c r="A236" s="4">
        <v>30878190000105</v>
      </c>
      <c r="B236" s="7"/>
      <c r="C236" s="4"/>
      <c r="D236" s="1" t="s">
        <v>333</v>
      </c>
      <c r="E236" s="1" t="s">
        <v>334</v>
      </c>
      <c r="F236" s="1" t="s">
        <v>15</v>
      </c>
      <c r="G236" s="10" t="s">
        <v>16</v>
      </c>
      <c r="H236" s="1" t="s">
        <v>17</v>
      </c>
      <c r="I236" s="21" t="s">
        <v>1067</v>
      </c>
      <c r="J236" s="18">
        <f>VLOOKUP(A236,[2]Export!$A:$B,2,0)</f>
        <v>9900.4632620860248</v>
      </c>
      <c r="K236" s="18">
        <f>VLOOKUP(A236,[2]Export!$A:$C,3,0)</f>
        <v>8762.5300000000007</v>
      </c>
      <c r="L236" s="19">
        <f t="shared" si="8"/>
        <v>0.8850626246507316</v>
      </c>
      <c r="M236" s="18">
        <f>VLOOKUP(A236,[2]Export!$A:$G,7,0)</f>
        <v>4317.46</v>
      </c>
      <c r="N236" s="19">
        <f t="shared" si="9"/>
        <v>0.43608666440223853</v>
      </c>
      <c r="O236" s="17" t="s">
        <v>1029</v>
      </c>
      <c r="P236" s="17" t="s">
        <v>1026</v>
      </c>
      <c r="Q236" s="17" t="s">
        <v>1022</v>
      </c>
      <c r="R236" s="17" t="str">
        <f>VLOOKUP(A236,[1]Export!$A:$I,9,0)</f>
        <v>Comprou Marcas</v>
      </c>
      <c r="S236" s="17" t="s">
        <v>1022</v>
      </c>
      <c r="T236" s="20"/>
      <c r="U236" s="17"/>
      <c r="V236" s="17">
        <v>1</v>
      </c>
    </row>
    <row r="237" spans="1:22" x14ac:dyDescent="0.35">
      <c r="A237" s="5">
        <v>16789469000191</v>
      </c>
      <c r="B237" s="7"/>
      <c r="C237" s="4"/>
      <c r="D237" s="6" t="s">
        <v>335</v>
      </c>
      <c r="E237" s="6" t="s">
        <v>52</v>
      </c>
      <c r="F237" s="6" t="s">
        <v>8</v>
      </c>
      <c r="G237" s="11" t="s">
        <v>336</v>
      </c>
      <c r="H237" s="6" t="s">
        <v>17</v>
      </c>
      <c r="I237" s="21" t="s">
        <v>1072</v>
      </c>
      <c r="J237" s="18">
        <f>VLOOKUP(A237,[2]Export!$A:$B,2,0)</f>
        <v>1540.9093389653433</v>
      </c>
      <c r="K237" s="18">
        <f>VLOOKUP(A237,[2]Export!$A:$C,3,0)</f>
        <v>0</v>
      </c>
      <c r="L237" s="19">
        <f t="shared" si="8"/>
        <v>0</v>
      </c>
      <c r="M237" s="18">
        <f>VLOOKUP(A237,[2]Export!$A:$G,7,0)</f>
        <v>0</v>
      </c>
      <c r="N237" s="19">
        <f t="shared" si="9"/>
        <v>0</v>
      </c>
      <c r="O237" s="17" t="s">
        <v>1029</v>
      </c>
      <c r="P237" s="17" t="s">
        <v>1026</v>
      </c>
      <c r="Q237" s="17" t="s">
        <v>1022</v>
      </c>
      <c r="R237" s="17" t="str">
        <f>VLOOKUP(A237,[1]Export!$A:$I,9,0)</f>
        <v>Não Comprou</v>
      </c>
      <c r="S237" s="17" t="s">
        <v>1023</v>
      </c>
      <c r="T237" s="20"/>
      <c r="U237" s="17"/>
      <c r="V237" s="17"/>
    </row>
    <row r="238" spans="1:22" x14ac:dyDescent="0.35">
      <c r="A238" s="4">
        <v>20412740000142</v>
      </c>
      <c r="B238" s="7"/>
      <c r="C238" s="4"/>
      <c r="D238" s="1" t="s">
        <v>337</v>
      </c>
      <c r="E238" s="1" t="s">
        <v>24</v>
      </c>
      <c r="F238" s="1" t="s">
        <v>15</v>
      </c>
      <c r="G238" s="10" t="s">
        <v>20</v>
      </c>
      <c r="H238" s="1" t="s">
        <v>17</v>
      </c>
      <c r="I238" s="21" t="s">
        <v>1069</v>
      </c>
      <c r="J238" s="18">
        <f>VLOOKUP(A238,[2]Export!$A:$B,2,0)</f>
        <v>1356.8254755727651</v>
      </c>
      <c r="K238" s="18">
        <f>VLOOKUP(A238,[2]Export!$A:$C,3,0)</f>
        <v>488.28</v>
      </c>
      <c r="L238" s="19">
        <f t="shared" si="8"/>
        <v>0.35986942225851071</v>
      </c>
      <c r="M238" s="18">
        <f>VLOOKUP(A238,[2]Export!$A:$G,7,0)</f>
        <v>0</v>
      </c>
      <c r="N238" s="19">
        <f t="shared" si="9"/>
        <v>0</v>
      </c>
      <c r="O238" s="17" t="s">
        <v>1025</v>
      </c>
      <c r="P238" s="17" t="s">
        <v>1026</v>
      </c>
      <c r="Q238" s="17" t="s">
        <v>1023</v>
      </c>
      <c r="R238" s="17" t="str">
        <f>VLOOKUP(A238,[1]Export!$A:$I,9,0)</f>
        <v>Não Comprou</v>
      </c>
      <c r="S238" s="17" t="s">
        <v>1023</v>
      </c>
      <c r="T238" s="20"/>
      <c r="U238" s="17"/>
      <c r="V238" s="17"/>
    </row>
    <row r="239" spans="1:22" x14ac:dyDescent="0.35">
      <c r="A239" s="4">
        <v>10341045002127</v>
      </c>
      <c r="B239" s="7" t="s">
        <v>995</v>
      </c>
      <c r="C239" s="4"/>
      <c r="D239" s="1" t="s">
        <v>25</v>
      </c>
      <c r="E239" s="1" t="s">
        <v>260</v>
      </c>
      <c r="F239" s="1" t="s">
        <v>8</v>
      </c>
      <c r="G239" s="10" t="s">
        <v>9</v>
      </c>
      <c r="H239" s="1" t="s">
        <v>10</v>
      </c>
      <c r="I239" s="21" t="s">
        <v>1066</v>
      </c>
      <c r="J239" s="18">
        <f>VLOOKUP(A239,[2]Export!$A:$B,2,0)</f>
        <v>14049.710908441331</v>
      </c>
      <c r="K239" s="18">
        <f>VLOOKUP(A239,[2]Export!$A:$C,3,0)</f>
        <v>7783.94</v>
      </c>
      <c r="L239" s="19">
        <f t="shared" si="8"/>
        <v>0.55402848149161998</v>
      </c>
      <c r="M239" s="18">
        <f>VLOOKUP(A239,[2]Export!$A:$G,7,0)</f>
        <v>5703.0600000000013</v>
      </c>
      <c r="N239" s="19">
        <f t="shared" si="9"/>
        <v>0.40592009594827289</v>
      </c>
      <c r="O239" s="17" t="s">
        <v>1027</v>
      </c>
      <c r="P239" s="17" t="s">
        <v>1028</v>
      </c>
      <c r="Q239" s="17" t="s">
        <v>1023</v>
      </c>
      <c r="R239" s="17" t="str">
        <f>VLOOKUP(A239,[1]Export!$A:$I,9,0)</f>
        <v>Comprou Marcas e SG</v>
      </c>
      <c r="S239" s="17"/>
      <c r="T239" s="20"/>
      <c r="U239" s="17"/>
      <c r="V239" s="17"/>
    </row>
    <row r="240" spans="1:22" x14ac:dyDescent="0.35">
      <c r="A240" s="4">
        <v>22315443000104</v>
      </c>
      <c r="B240" s="7"/>
      <c r="C240" s="4"/>
      <c r="D240" s="1" t="s">
        <v>338</v>
      </c>
      <c r="E240" s="1" t="s">
        <v>339</v>
      </c>
      <c r="F240" s="1" t="s">
        <v>8</v>
      </c>
      <c r="G240" s="10" t="s">
        <v>33</v>
      </c>
      <c r="H240" s="1" t="s">
        <v>17</v>
      </c>
      <c r="I240" s="21" t="s">
        <v>1072</v>
      </c>
      <c r="J240" s="18">
        <f>VLOOKUP(A240,[2]Export!$A:$B,2,0)</f>
        <v>6571.6177440860629</v>
      </c>
      <c r="K240" s="18">
        <f>VLOOKUP(A240,[2]Export!$A:$C,3,0)</f>
        <v>3158.5400000000004</v>
      </c>
      <c r="L240" s="19">
        <f t="shared" si="8"/>
        <v>0.4806335552372073</v>
      </c>
      <c r="M240" s="18">
        <f>VLOOKUP(A240,[2]Export!$A:$G,7,0)</f>
        <v>1669.95</v>
      </c>
      <c r="N240" s="19">
        <f t="shared" si="9"/>
        <v>0.25411551082727279</v>
      </c>
      <c r="O240" s="17" t="s">
        <v>1027</v>
      </c>
      <c r="P240" s="17" t="s">
        <v>1028</v>
      </c>
      <c r="Q240" s="17" t="s">
        <v>1023</v>
      </c>
      <c r="R240" s="17" t="str">
        <f>VLOOKUP(A240,[1]Export!$A:$I,9,0)</f>
        <v>Comprou Marcas</v>
      </c>
      <c r="S240" s="17" t="s">
        <v>1022</v>
      </c>
      <c r="T240" s="20"/>
      <c r="U240" s="17"/>
      <c r="V240" s="17"/>
    </row>
    <row r="241" spans="1:22" x14ac:dyDescent="0.35">
      <c r="A241" s="5">
        <v>9556154000139</v>
      </c>
      <c r="B241" s="7"/>
      <c r="C241" s="4"/>
      <c r="D241" s="6" t="s">
        <v>223</v>
      </c>
      <c r="E241" s="6" t="s">
        <v>12</v>
      </c>
      <c r="F241" s="6" t="s">
        <v>8</v>
      </c>
      <c r="G241" s="11" t="s">
        <v>38</v>
      </c>
      <c r="H241" s="6" t="s">
        <v>17</v>
      </c>
      <c r="I241" s="21" t="s">
        <v>1066</v>
      </c>
      <c r="J241" s="18">
        <f>VLOOKUP(A241,[2]Export!$A:$B,2,0)</f>
        <v>2582.0700025792644</v>
      </c>
      <c r="K241" s="18">
        <f>VLOOKUP(A241,[2]Export!$A:$C,3,0)</f>
        <v>5929.13</v>
      </c>
      <c r="L241" s="19">
        <f t="shared" si="8"/>
        <v>2.29627004460658</v>
      </c>
      <c r="M241" s="18">
        <f>VLOOKUP(A241,[2]Export!$A:$G,7,0)</f>
        <v>5479.3399999999992</v>
      </c>
      <c r="N241" s="19">
        <f t="shared" si="9"/>
        <v>2.1220725985455906</v>
      </c>
      <c r="O241" s="17" t="s">
        <v>1027</v>
      </c>
      <c r="P241" s="17" t="s">
        <v>1028</v>
      </c>
      <c r="Q241" s="17" t="s">
        <v>1023</v>
      </c>
      <c r="R241" s="17" t="str">
        <f>VLOOKUP(A241,[1]Export!$A:$I,9,0)</f>
        <v>Comprou Marcas</v>
      </c>
      <c r="S241" s="17" t="s">
        <v>1023</v>
      </c>
      <c r="T241" s="20"/>
      <c r="U241" s="17">
        <v>4</v>
      </c>
      <c r="V241" s="17">
        <v>8</v>
      </c>
    </row>
    <row r="242" spans="1:22" x14ac:dyDescent="0.35">
      <c r="A242" s="4">
        <v>7217112000148</v>
      </c>
      <c r="B242" s="7" t="s">
        <v>1002</v>
      </c>
      <c r="C242" s="4">
        <v>155487</v>
      </c>
      <c r="D242" s="1" t="s">
        <v>195</v>
      </c>
      <c r="E242" s="1" t="s">
        <v>12</v>
      </c>
      <c r="F242" s="1" t="s">
        <v>8</v>
      </c>
      <c r="G242" s="10" t="s">
        <v>20</v>
      </c>
      <c r="H242" s="1" t="s">
        <v>17</v>
      </c>
      <c r="I242" s="21" t="s">
        <v>1066</v>
      </c>
      <c r="J242" s="18">
        <f>VLOOKUP(A242,[2]Export!$A:$B,2,0)</f>
        <v>8811.4823298924966</v>
      </c>
      <c r="K242" s="18">
        <f>VLOOKUP(A242,[2]Export!$A:$C,3,0)</f>
        <v>4321.3599999999997</v>
      </c>
      <c r="L242" s="19">
        <f t="shared" si="8"/>
        <v>0.49042372647562488</v>
      </c>
      <c r="M242" s="18">
        <f>VLOOKUP(A242,[2]Export!$A:$G,7,0)</f>
        <v>3821.6899999999991</v>
      </c>
      <c r="N242" s="19">
        <f t="shared" si="9"/>
        <v>0.43371703612627288</v>
      </c>
      <c r="O242" s="17" t="s">
        <v>1027</v>
      </c>
      <c r="P242" s="17" t="s">
        <v>1028</v>
      </c>
      <c r="Q242" s="17" t="s">
        <v>1023</v>
      </c>
      <c r="R242" s="17" t="str">
        <f>VLOOKUP(A242,[1]Export!$A:$I,9,0)</f>
        <v>Comprou Marcas</v>
      </c>
      <c r="S242" s="17" t="s">
        <v>1022</v>
      </c>
      <c r="T242" s="20"/>
      <c r="U242" s="17"/>
      <c r="V242" s="17"/>
    </row>
    <row r="243" spans="1:22" x14ac:dyDescent="0.35">
      <c r="A243" s="5">
        <v>33689225000156</v>
      </c>
      <c r="B243" s="7"/>
      <c r="C243" s="4"/>
      <c r="D243" s="6" t="s">
        <v>341</v>
      </c>
      <c r="E243" s="6" t="s">
        <v>52</v>
      </c>
      <c r="F243" s="6" t="s">
        <v>8</v>
      </c>
      <c r="G243" s="11" t="s">
        <v>20</v>
      </c>
      <c r="H243" s="6" t="s">
        <v>17</v>
      </c>
      <c r="I243" s="21" t="s">
        <v>1072</v>
      </c>
      <c r="J243" s="18">
        <f>VLOOKUP(A243,[2]Export!$A:$B,2,0)</f>
        <v>6653.1504888866593</v>
      </c>
      <c r="K243" s="18">
        <f>VLOOKUP(A243,[2]Export!$A:$C,3,0)</f>
        <v>2008.46</v>
      </c>
      <c r="L243" s="19">
        <f t="shared" si="8"/>
        <v>0.30188104167415225</v>
      </c>
      <c r="M243" s="18">
        <f>VLOOKUP(A243,[2]Export!$A:$G,7,0)</f>
        <v>137.85</v>
      </c>
      <c r="N243" s="19">
        <f t="shared" si="9"/>
        <v>2.0719507281589819E-2</v>
      </c>
      <c r="O243" s="17" t="s">
        <v>1025</v>
      </c>
      <c r="P243" s="17" t="s">
        <v>1026</v>
      </c>
      <c r="Q243" s="17" t="s">
        <v>1023</v>
      </c>
      <c r="R243" s="17" t="str">
        <f>VLOOKUP(A243,[1]Export!$A:$I,9,0)</f>
        <v>Comprou Marcas</v>
      </c>
      <c r="S243" s="17" t="s">
        <v>1023</v>
      </c>
      <c r="T243" s="20"/>
      <c r="U243" s="17"/>
      <c r="V243" s="17"/>
    </row>
    <row r="244" spans="1:22" x14ac:dyDescent="0.35">
      <c r="A244" s="4">
        <v>33675901000132</v>
      </c>
      <c r="B244" s="7"/>
      <c r="C244" s="4"/>
      <c r="D244" s="1" t="s">
        <v>342</v>
      </c>
      <c r="E244" s="1" t="s">
        <v>343</v>
      </c>
      <c r="F244" s="1" t="s">
        <v>8</v>
      </c>
      <c r="G244" s="10" t="s">
        <v>16</v>
      </c>
      <c r="H244" s="1" t="s">
        <v>17</v>
      </c>
      <c r="I244" s="21" t="s">
        <v>1068</v>
      </c>
      <c r="J244" s="18">
        <f>VLOOKUP(A244,[2]Export!$A:$B,2,0)</f>
        <v>4427.4224002714254</v>
      </c>
      <c r="K244" s="18">
        <f>VLOOKUP(A244,[2]Export!$A:$C,3,0)</f>
        <v>2707.3300000000004</v>
      </c>
      <c r="L244" s="19">
        <f t="shared" si="8"/>
        <v>0.61149123694048846</v>
      </c>
      <c r="M244" s="18">
        <f>VLOOKUP(A244,[2]Export!$A:$G,7,0)</f>
        <v>982.61999999999989</v>
      </c>
      <c r="N244" s="19">
        <f t="shared" si="9"/>
        <v>0.22193951946842927</v>
      </c>
      <c r="O244" s="17" t="s">
        <v>1031</v>
      </c>
      <c r="P244" s="17" t="s">
        <v>1026</v>
      </c>
      <c r="Q244" s="17" t="s">
        <v>1023</v>
      </c>
      <c r="R244" s="17" t="str">
        <f>VLOOKUP(A244,[1]Export!$A:$I,9,0)</f>
        <v>Comprou Marcas</v>
      </c>
      <c r="S244" s="17" t="s">
        <v>1023</v>
      </c>
      <c r="T244" s="20"/>
      <c r="U244" s="17"/>
      <c r="V244" s="17"/>
    </row>
    <row r="245" spans="1:22" x14ac:dyDescent="0.35">
      <c r="A245" s="4">
        <v>10341045000426</v>
      </c>
      <c r="B245" s="7" t="s">
        <v>995</v>
      </c>
      <c r="C245" s="4"/>
      <c r="D245" s="1" t="s">
        <v>25</v>
      </c>
      <c r="E245" s="1" t="s">
        <v>115</v>
      </c>
      <c r="F245" s="1" t="s">
        <v>8</v>
      </c>
      <c r="G245" s="10" t="s">
        <v>9</v>
      </c>
      <c r="H245" s="1" t="s">
        <v>10</v>
      </c>
      <c r="I245" s="21" t="s">
        <v>1066</v>
      </c>
      <c r="J245" s="18">
        <f>VLOOKUP(A245,[2]Export!$A:$B,2,0)</f>
        <v>12101.626402963089</v>
      </c>
      <c r="K245" s="18">
        <f>VLOOKUP(A245,[2]Export!$A:$C,3,0)</f>
        <v>6327.9299999999985</v>
      </c>
      <c r="L245" s="19">
        <f t="shared" si="8"/>
        <v>0.52289913680119904</v>
      </c>
      <c r="M245" s="18">
        <f>VLOOKUP(A245,[2]Export!$A:$G,7,0)</f>
        <v>3583.4100000000003</v>
      </c>
      <c r="N245" s="19">
        <f t="shared" si="9"/>
        <v>0.2961097856336567</v>
      </c>
      <c r="O245" s="17" t="s">
        <v>1027</v>
      </c>
      <c r="P245" s="17" t="s">
        <v>1028</v>
      </c>
      <c r="Q245" s="17" t="s">
        <v>1023</v>
      </c>
      <c r="R245" s="17" t="str">
        <f>VLOOKUP(A245,[1]Export!$A:$I,9,0)</f>
        <v>Comprou Marcas e SG</v>
      </c>
      <c r="S245" s="17" t="s">
        <v>1022</v>
      </c>
      <c r="T245" s="20"/>
      <c r="U245" s="17"/>
      <c r="V245" s="17"/>
    </row>
    <row r="246" spans="1:22" x14ac:dyDescent="0.35">
      <c r="A246" s="4">
        <v>36630262000187</v>
      </c>
      <c r="B246" s="7"/>
      <c r="C246" s="4"/>
      <c r="D246" s="1" t="s">
        <v>345</v>
      </c>
      <c r="E246" s="1" t="s">
        <v>52</v>
      </c>
      <c r="F246" s="1" t="s">
        <v>8</v>
      </c>
      <c r="G246" s="10" t="s">
        <v>33</v>
      </c>
      <c r="H246" s="1" t="s">
        <v>17</v>
      </c>
      <c r="I246" s="21" t="s">
        <v>1072</v>
      </c>
      <c r="J246" s="18">
        <f>VLOOKUP(A246,[2]Export!$A:$B,2,0)</f>
        <v>6532.0276467028343</v>
      </c>
      <c r="K246" s="18">
        <f>VLOOKUP(A246,[2]Export!$A:$C,3,0)</f>
        <v>3497.1</v>
      </c>
      <c r="L246" s="19">
        <f t="shared" si="8"/>
        <v>0.5353774033343579</v>
      </c>
      <c r="M246" s="18">
        <f>VLOOKUP(A246,[2]Export!$A:$G,7,0)</f>
        <v>137.85</v>
      </c>
      <c r="N246" s="19">
        <f t="shared" si="9"/>
        <v>2.1103707371719776E-2</v>
      </c>
      <c r="O246" s="17" t="s">
        <v>1029</v>
      </c>
      <c r="P246" s="17" t="s">
        <v>1026</v>
      </c>
      <c r="Q246" s="17" t="s">
        <v>1022</v>
      </c>
      <c r="R246" s="17" t="str">
        <f>VLOOKUP(A246,[1]Export!$A:$I,9,0)</f>
        <v>Comprou Marcas</v>
      </c>
      <c r="S246" s="17" t="s">
        <v>1022</v>
      </c>
      <c r="T246" s="20"/>
      <c r="U246" s="17"/>
      <c r="V246" s="17"/>
    </row>
    <row r="247" spans="1:22" x14ac:dyDescent="0.35">
      <c r="A247" s="5">
        <v>97528758000139</v>
      </c>
      <c r="B247" s="7" t="s">
        <v>346</v>
      </c>
      <c r="C247" s="4">
        <v>116286</v>
      </c>
      <c r="D247" s="6" t="s">
        <v>346</v>
      </c>
      <c r="E247" s="6" t="s">
        <v>182</v>
      </c>
      <c r="F247" s="6" t="s">
        <v>8</v>
      </c>
      <c r="G247" s="11" t="s">
        <v>36</v>
      </c>
      <c r="H247" s="6" t="s">
        <v>17</v>
      </c>
      <c r="I247" s="21" t="s">
        <v>1072</v>
      </c>
      <c r="J247" s="18">
        <f>VLOOKUP(A247,[2]Export!$A:$B,2,0)</f>
        <v>2536.1303154805728</v>
      </c>
      <c r="K247" s="18">
        <f>VLOOKUP(A247,[2]Export!$A:$C,3,0)</f>
        <v>1770.6</v>
      </c>
      <c r="L247" s="19">
        <f t="shared" si="8"/>
        <v>0.69815024456441932</v>
      </c>
      <c r="M247" s="18">
        <f>VLOOKUP(A247,[2]Export!$A:$G,7,0)</f>
        <v>137.85</v>
      </c>
      <c r="N247" s="19">
        <f t="shared" si="9"/>
        <v>5.4354462449568063E-2</v>
      </c>
      <c r="O247" s="17" t="s">
        <v>1025</v>
      </c>
      <c r="P247" s="17" t="s">
        <v>1026</v>
      </c>
      <c r="Q247" s="17" t="s">
        <v>1023</v>
      </c>
      <c r="R247" s="17" t="str">
        <f>VLOOKUP(A247,[1]Export!$A:$I,9,0)</f>
        <v>Comprou Marcas</v>
      </c>
      <c r="S247" s="17" t="s">
        <v>1023</v>
      </c>
      <c r="T247" s="20"/>
      <c r="U247" s="17"/>
      <c r="V247" s="17"/>
    </row>
    <row r="248" spans="1:22" x14ac:dyDescent="0.35">
      <c r="A248" s="4">
        <v>64799330000171</v>
      </c>
      <c r="B248" s="7"/>
      <c r="C248" s="4"/>
      <c r="D248" s="1" t="s">
        <v>347</v>
      </c>
      <c r="E248" s="1" t="s">
        <v>14</v>
      </c>
      <c r="F248" s="1" t="s">
        <v>15</v>
      </c>
      <c r="G248" s="10" t="s">
        <v>20</v>
      </c>
      <c r="H248" s="1" t="s">
        <v>17</v>
      </c>
      <c r="I248" s="21" t="s">
        <v>1067</v>
      </c>
      <c r="J248" s="18">
        <f>VLOOKUP(A248,[2]Export!$A:$B,2,0)</f>
        <v>2978.9462490748751</v>
      </c>
      <c r="K248" s="18">
        <f>VLOOKUP(A248,[2]Export!$A:$C,3,0)</f>
        <v>3764.7000000000003</v>
      </c>
      <c r="L248" s="19">
        <f t="shared" si="8"/>
        <v>1.2637690261008048</v>
      </c>
      <c r="M248" s="18">
        <f>VLOOKUP(A248,[2]Export!$A:$G,7,0)</f>
        <v>589.80000000000007</v>
      </c>
      <c r="N248" s="19">
        <f t="shared" si="9"/>
        <v>0.19798947368827655</v>
      </c>
      <c r="O248" s="17" t="s">
        <v>1025</v>
      </c>
      <c r="P248" s="17" t="s">
        <v>1026</v>
      </c>
      <c r="Q248" s="17" t="s">
        <v>1023</v>
      </c>
      <c r="R248" s="17" t="str">
        <f>VLOOKUP(A248,[1]Export!$A:$I,9,0)</f>
        <v>Comprou Marcas</v>
      </c>
      <c r="S248" s="17" t="s">
        <v>1023</v>
      </c>
      <c r="T248" s="20"/>
      <c r="U248" s="17"/>
      <c r="V248" s="17"/>
    </row>
    <row r="249" spans="1:22" x14ac:dyDescent="0.35">
      <c r="A249" s="5">
        <v>48130762000139</v>
      </c>
      <c r="B249" s="7"/>
      <c r="C249" s="4"/>
      <c r="D249" s="6" t="s">
        <v>348</v>
      </c>
      <c r="E249" s="6" t="s">
        <v>160</v>
      </c>
      <c r="F249" s="6" t="s">
        <v>8</v>
      </c>
      <c r="G249" s="11" t="s">
        <v>33</v>
      </c>
      <c r="H249" s="6" t="s">
        <v>17</v>
      </c>
      <c r="I249" s="21" t="s">
        <v>1068</v>
      </c>
      <c r="J249" s="18">
        <f>VLOOKUP(A249,[2]Export!$A:$B,2,0)</f>
        <v>1020.1518610696065</v>
      </c>
      <c r="K249" s="18">
        <f>VLOOKUP(A249,[2]Export!$A:$C,3,0)</f>
        <v>0</v>
      </c>
      <c r="L249" s="19">
        <f t="shared" si="8"/>
        <v>0</v>
      </c>
      <c r="M249" s="18">
        <f>VLOOKUP(A249,[2]Export!$A:$G,7,0)</f>
        <v>0</v>
      </c>
      <c r="N249" s="19">
        <f t="shared" si="9"/>
        <v>0</v>
      </c>
      <c r="O249" s="17" t="s">
        <v>1030</v>
      </c>
      <c r="P249" s="17" t="s">
        <v>1026</v>
      </c>
      <c r="Q249" s="17" t="s">
        <v>1023</v>
      </c>
      <c r="R249" s="17" t="str">
        <f>VLOOKUP(A249,[1]Export!$A:$I,9,0)</f>
        <v>Não Comprou</v>
      </c>
      <c r="S249" s="17" t="s">
        <v>1023</v>
      </c>
      <c r="T249" s="20"/>
      <c r="U249" s="17"/>
      <c r="V249" s="17"/>
    </row>
    <row r="250" spans="1:22" x14ac:dyDescent="0.35">
      <c r="A250" s="4">
        <v>56129324000260</v>
      </c>
      <c r="B250" s="7"/>
      <c r="C250" s="4"/>
      <c r="D250" s="1" t="s">
        <v>349</v>
      </c>
      <c r="E250" s="1" t="s">
        <v>14</v>
      </c>
      <c r="F250" s="1" t="s">
        <v>15</v>
      </c>
      <c r="G250" s="10" t="s">
        <v>20</v>
      </c>
      <c r="H250" s="1" t="s">
        <v>17</v>
      </c>
      <c r="I250" s="21" t="s">
        <v>1067</v>
      </c>
      <c r="J250" s="18">
        <f>VLOOKUP(A250,[2]Export!$A:$B,2,0)</f>
        <v>1819.3548563943521</v>
      </c>
      <c r="K250" s="18">
        <f>VLOOKUP(A250,[2]Export!$A:$C,3,0)</f>
        <v>1996.0900000000006</v>
      </c>
      <c r="L250" s="19">
        <f t="shared" si="8"/>
        <v>1.097141656002121</v>
      </c>
      <c r="M250" s="18">
        <f>VLOOKUP(A250,[2]Export!$A:$G,7,0)</f>
        <v>0</v>
      </c>
      <c r="N250" s="19">
        <f t="shared" si="9"/>
        <v>0</v>
      </c>
      <c r="O250" s="17" t="s">
        <v>1025</v>
      </c>
      <c r="P250" s="17" t="s">
        <v>1026</v>
      </c>
      <c r="Q250" s="17" t="s">
        <v>1023</v>
      </c>
      <c r="R250" s="17" t="str">
        <f>VLOOKUP(A250,[1]Export!$A:$I,9,0)</f>
        <v>Não Comprou</v>
      </c>
      <c r="S250" s="17" t="s">
        <v>1023</v>
      </c>
      <c r="T250" s="20"/>
      <c r="U250" s="17"/>
      <c r="V250" s="17"/>
    </row>
    <row r="251" spans="1:22" x14ac:dyDescent="0.35">
      <c r="A251" s="5">
        <v>2923540000172</v>
      </c>
      <c r="B251" s="7"/>
      <c r="C251" s="4"/>
      <c r="D251" s="6" t="s">
        <v>350</v>
      </c>
      <c r="E251" s="6" t="s">
        <v>206</v>
      </c>
      <c r="F251" s="6" t="s">
        <v>48</v>
      </c>
      <c r="G251" s="11" t="s">
        <v>80</v>
      </c>
      <c r="H251" s="6" t="s">
        <v>17</v>
      </c>
      <c r="I251" s="21" t="s">
        <v>1073</v>
      </c>
      <c r="J251" s="18">
        <f>VLOOKUP(A251,[2]Export!$A:$B,2,0)</f>
        <v>3732.8556001813245</v>
      </c>
      <c r="K251" s="18">
        <f>VLOOKUP(A251,[2]Export!$A:$C,3,0)</f>
        <v>3426.5900000000011</v>
      </c>
      <c r="L251" s="19">
        <f t="shared" si="8"/>
        <v>0.917954072435471</v>
      </c>
      <c r="M251" s="18">
        <f>VLOOKUP(A251,[2]Export!$A:$G,7,0)</f>
        <v>1726.0799999999997</v>
      </c>
      <c r="N251" s="19">
        <f t="shared" si="9"/>
        <v>0.46240202806563291</v>
      </c>
      <c r="O251" s="17" t="s">
        <v>1027</v>
      </c>
      <c r="P251" s="17" t="s">
        <v>1028</v>
      </c>
      <c r="Q251" s="17" t="s">
        <v>1023</v>
      </c>
      <c r="R251" s="17" t="str">
        <f>VLOOKUP(A251,[1]Export!$A:$I,9,0)</f>
        <v>Comprou Marcas e SG</v>
      </c>
      <c r="S251" s="17" t="s">
        <v>1022</v>
      </c>
      <c r="T251" s="20"/>
      <c r="U251" s="17">
        <v>1</v>
      </c>
      <c r="V251" s="17">
        <v>4</v>
      </c>
    </row>
    <row r="252" spans="1:22" x14ac:dyDescent="0.35">
      <c r="A252" s="4">
        <v>3521179000110</v>
      </c>
      <c r="B252" s="7"/>
      <c r="C252" s="4">
        <v>14627</v>
      </c>
      <c r="D252" s="1" t="s">
        <v>351</v>
      </c>
      <c r="E252" s="1" t="s">
        <v>316</v>
      </c>
      <c r="F252" s="1" t="s">
        <v>48</v>
      </c>
      <c r="G252" s="10" t="s">
        <v>352</v>
      </c>
      <c r="H252" s="1" t="s">
        <v>17</v>
      </c>
      <c r="I252" s="21" t="s">
        <v>1071</v>
      </c>
      <c r="J252" s="18">
        <f>VLOOKUP(A252,[2]Export!$A:$B,2,0)</f>
        <v>4712.880684821841</v>
      </c>
      <c r="K252" s="18">
        <f>VLOOKUP(A252,[2]Export!$A:$C,3,0)</f>
        <v>2654.5600000000004</v>
      </c>
      <c r="L252" s="19">
        <f t="shared" si="8"/>
        <v>0.56325635583120004</v>
      </c>
      <c r="M252" s="18">
        <f>VLOOKUP(A252,[2]Export!$A:$G,7,0)</f>
        <v>1803.3600000000001</v>
      </c>
      <c r="N252" s="19">
        <f t="shared" si="9"/>
        <v>0.38264495127318754</v>
      </c>
      <c r="O252" s="17" t="s">
        <v>1025</v>
      </c>
      <c r="P252" s="17" t="s">
        <v>1026</v>
      </c>
      <c r="Q252" s="17" t="s">
        <v>1023</v>
      </c>
      <c r="R252" s="17" t="str">
        <f>VLOOKUP(A252,[1]Export!$A:$I,9,0)</f>
        <v>Comprou Marcas e SG</v>
      </c>
      <c r="S252" s="17" t="s">
        <v>1022</v>
      </c>
      <c r="T252" s="20"/>
      <c r="U252" s="17"/>
      <c r="V252" s="17"/>
    </row>
    <row r="253" spans="1:22" x14ac:dyDescent="0.35">
      <c r="A253" s="5">
        <v>4007182000183</v>
      </c>
      <c r="B253" s="7"/>
      <c r="C253" s="4"/>
      <c r="D253" s="6" t="s">
        <v>353</v>
      </c>
      <c r="E253" s="6" t="s">
        <v>354</v>
      </c>
      <c r="F253" s="6" t="s">
        <v>48</v>
      </c>
      <c r="G253" s="11" t="s">
        <v>80</v>
      </c>
      <c r="H253" s="6" t="s">
        <v>17</v>
      </c>
      <c r="I253" s="21" t="s">
        <v>1073</v>
      </c>
      <c r="J253" s="18">
        <f>VLOOKUP(A253,[2]Export!$A:$B,2,0)</f>
        <v>5770.9857733713307</v>
      </c>
      <c r="K253" s="18">
        <f>VLOOKUP(A253,[2]Export!$A:$C,3,0)</f>
        <v>1803.66</v>
      </c>
      <c r="L253" s="19">
        <f t="shared" si="8"/>
        <v>0.31253932531293116</v>
      </c>
      <c r="M253" s="18">
        <f>VLOOKUP(A253,[2]Export!$A:$G,7,0)</f>
        <v>0</v>
      </c>
      <c r="N253" s="19">
        <f t="shared" si="9"/>
        <v>0</v>
      </c>
      <c r="O253" s="17" t="s">
        <v>1025</v>
      </c>
      <c r="P253" s="17" t="s">
        <v>1026</v>
      </c>
      <c r="Q253" s="17" t="s">
        <v>1022</v>
      </c>
      <c r="R253" s="17" t="str">
        <f>VLOOKUP(A253,[1]Export!$A:$I,9,0)</f>
        <v>Não Comprou</v>
      </c>
      <c r="S253" s="17" t="s">
        <v>1022</v>
      </c>
      <c r="T253" s="20"/>
      <c r="U253" s="17"/>
      <c r="V253" s="17"/>
    </row>
    <row r="254" spans="1:22" x14ac:dyDescent="0.35">
      <c r="A254" s="5">
        <v>13507152000127</v>
      </c>
      <c r="B254" s="7"/>
      <c r="C254" s="4"/>
      <c r="D254" s="6" t="s">
        <v>37</v>
      </c>
      <c r="E254" s="6" t="s">
        <v>35</v>
      </c>
      <c r="F254" s="6" t="s">
        <v>8</v>
      </c>
      <c r="G254" s="11" t="s">
        <v>38</v>
      </c>
      <c r="H254" s="6" t="s">
        <v>17</v>
      </c>
      <c r="I254" s="21" t="s">
        <v>1070</v>
      </c>
      <c r="J254" s="18">
        <f>VLOOKUP(A254,[2]Export!$A:$B,2,0)</f>
        <v>2978.4592884895046</v>
      </c>
      <c r="K254" s="18">
        <f>VLOOKUP(A254,[2]Export!$A:$C,3,0)</f>
        <v>4643.5500000000011</v>
      </c>
      <c r="L254" s="19">
        <f t="shared" si="8"/>
        <v>1.5590443078894425</v>
      </c>
      <c r="M254" s="18">
        <f>VLOOKUP(A254,[2]Export!$A:$G,7,0)</f>
        <v>4436.3999999999996</v>
      </c>
      <c r="N254" s="19">
        <f t="shared" si="9"/>
        <v>1.4894949268384579</v>
      </c>
      <c r="O254" s="17" t="s">
        <v>1027</v>
      </c>
      <c r="P254" s="17" t="s">
        <v>1028</v>
      </c>
      <c r="Q254" s="17" t="s">
        <v>1022</v>
      </c>
      <c r="R254" s="17" t="str">
        <f>VLOOKUP(A254,[1]Export!$A:$I,9,0)</f>
        <v>Comprou Marcas</v>
      </c>
      <c r="S254" s="17" t="s">
        <v>1022</v>
      </c>
      <c r="T254" s="20"/>
      <c r="U254" s="17"/>
      <c r="V254" s="17">
        <v>2</v>
      </c>
    </row>
    <row r="255" spans="1:22" x14ac:dyDescent="0.35">
      <c r="A255" s="5">
        <v>3477379000113</v>
      </c>
      <c r="B255" s="7"/>
      <c r="C255" s="4"/>
      <c r="D255" s="6" t="s">
        <v>357</v>
      </c>
      <c r="E255" s="6" t="s">
        <v>358</v>
      </c>
      <c r="F255" s="6" t="s">
        <v>15</v>
      </c>
      <c r="G255" s="11" t="s">
        <v>20</v>
      </c>
      <c r="H255" s="6" t="s">
        <v>17</v>
      </c>
      <c r="I255" s="21" t="s">
        <v>1069</v>
      </c>
      <c r="J255" s="18">
        <f>VLOOKUP(A255,[2]Export!$A:$B,2,0)</f>
        <v>7145.7810969192305</v>
      </c>
      <c r="K255" s="18">
        <f>VLOOKUP(A255,[2]Export!$A:$C,3,0)</f>
        <v>3558.7900000000004</v>
      </c>
      <c r="L255" s="19">
        <f t="shared" si="8"/>
        <v>0.49802673098036909</v>
      </c>
      <c r="M255" s="18">
        <f>VLOOKUP(A255,[2]Export!$A:$G,7,0)</f>
        <v>1827.6100000000001</v>
      </c>
      <c r="N255" s="19">
        <f t="shared" si="9"/>
        <v>0.25576070344331425</v>
      </c>
      <c r="O255" s="17" t="s">
        <v>1025</v>
      </c>
      <c r="P255" s="17" t="s">
        <v>1026</v>
      </c>
      <c r="Q255" s="17" t="s">
        <v>1023</v>
      </c>
      <c r="R255" s="17" t="str">
        <f>VLOOKUP(A255,[1]Export!$A:$I,9,0)</f>
        <v>Comprou Marcas</v>
      </c>
      <c r="S255" s="17" t="s">
        <v>1022</v>
      </c>
      <c r="T255" s="20"/>
      <c r="U255" s="17"/>
      <c r="V255" s="17"/>
    </row>
    <row r="256" spans="1:22" x14ac:dyDescent="0.35">
      <c r="A256" s="4">
        <v>4213573000154</v>
      </c>
      <c r="B256" s="7"/>
      <c r="C256" s="4"/>
      <c r="D256" s="1" t="s">
        <v>359</v>
      </c>
      <c r="E256" s="1" t="s">
        <v>360</v>
      </c>
      <c r="F256" s="1" t="s">
        <v>48</v>
      </c>
      <c r="G256" s="10" t="s">
        <v>80</v>
      </c>
      <c r="H256" s="1" t="s">
        <v>17</v>
      </c>
      <c r="I256" s="21" t="s">
        <v>1073</v>
      </c>
      <c r="J256" s="18">
        <f>VLOOKUP(A256,[2]Export!$A:$B,2,0)</f>
        <v>23234.648147861211</v>
      </c>
      <c r="K256" s="18">
        <f>VLOOKUP(A256,[2]Export!$A:$C,3,0)</f>
        <v>9564.89</v>
      </c>
      <c r="L256" s="19">
        <f t="shared" si="8"/>
        <v>0.41166493846305408</v>
      </c>
      <c r="M256" s="18">
        <f>VLOOKUP(A256,[2]Export!$A:$G,7,0)</f>
        <v>4368.4599999999991</v>
      </c>
      <c r="N256" s="19">
        <f t="shared" si="9"/>
        <v>0.1880148979317392</v>
      </c>
      <c r="O256" s="17" t="s">
        <v>1025</v>
      </c>
      <c r="P256" s="17" t="s">
        <v>1026</v>
      </c>
      <c r="Q256" s="17" t="s">
        <v>1022</v>
      </c>
      <c r="R256" s="17" t="str">
        <f>VLOOKUP(A256,[1]Export!$A:$I,9,0)</f>
        <v>Comprou Marcas</v>
      </c>
      <c r="S256" s="17" t="s">
        <v>1022</v>
      </c>
      <c r="T256" s="20"/>
      <c r="U256" s="17">
        <v>3</v>
      </c>
      <c r="V256" s="17">
        <v>4</v>
      </c>
    </row>
    <row r="257" spans="1:22" x14ac:dyDescent="0.35">
      <c r="A257" s="5">
        <v>4834843001035</v>
      </c>
      <c r="B257" s="7" t="s">
        <v>994</v>
      </c>
      <c r="C257" s="4"/>
      <c r="D257" s="6" t="s">
        <v>91</v>
      </c>
      <c r="E257" s="6" t="s">
        <v>361</v>
      </c>
      <c r="F257" s="6" t="s">
        <v>48</v>
      </c>
      <c r="G257" s="11" t="s">
        <v>92</v>
      </c>
      <c r="H257" s="6" t="s">
        <v>17</v>
      </c>
      <c r="I257" s="21" t="s">
        <v>1071</v>
      </c>
      <c r="J257" s="18">
        <f>VLOOKUP(A257,[2]Export!$A:$B,2,0)</f>
        <v>17788.738593008398</v>
      </c>
      <c r="K257" s="18">
        <f>VLOOKUP(A257,[2]Export!$A:$C,3,0)</f>
        <v>10764.44</v>
      </c>
      <c r="L257" s="19">
        <f t="shared" si="8"/>
        <v>0.6051266616639589</v>
      </c>
      <c r="M257" s="18">
        <f>VLOOKUP(A257,[2]Export!$A:$G,7,0)</f>
        <v>8709.3700000000008</v>
      </c>
      <c r="N257" s="19">
        <f t="shared" si="9"/>
        <v>0.48960020152429978</v>
      </c>
      <c r="O257" s="17" t="s">
        <v>1027</v>
      </c>
      <c r="P257" s="17" t="s">
        <v>1028</v>
      </c>
      <c r="Q257" s="17" t="s">
        <v>1023</v>
      </c>
      <c r="R257" s="17" t="str">
        <f>VLOOKUP(A257,[1]Export!$A:$I,9,0)</f>
        <v>Comprou Marcas e SG</v>
      </c>
      <c r="S257" s="17" t="s">
        <v>1022</v>
      </c>
      <c r="T257" s="20">
        <v>4</v>
      </c>
      <c r="U257" s="17"/>
      <c r="V257" s="17">
        <v>1</v>
      </c>
    </row>
    <row r="258" spans="1:22" x14ac:dyDescent="0.35">
      <c r="A258" s="4">
        <v>5215960000192</v>
      </c>
      <c r="B258" s="7"/>
      <c r="C258" s="4"/>
      <c r="D258" s="1" t="s">
        <v>362</v>
      </c>
      <c r="E258" s="1" t="s">
        <v>100</v>
      </c>
      <c r="F258" s="1" t="s">
        <v>15</v>
      </c>
      <c r="G258" s="10" t="s">
        <v>16</v>
      </c>
      <c r="H258" s="1" t="s">
        <v>17</v>
      </c>
      <c r="I258" s="21" t="s">
        <v>1073</v>
      </c>
      <c r="J258" s="18">
        <f>VLOOKUP(A258,[2]Export!$A:$B,2,0)</f>
        <v>10582.039315843218</v>
      </c>
      <c r="K258" s="18">
        <f>VLOOKUP(A258,[2]Export!$A:$C,3,0)</f>
        <v>4107.55</v>
      </c>
      <c r="L258" s="19">
        <f t="shared" si="8"/>
        <v>0.38816242100426318</v>
      </c>
      <c r="M258" s="18">
        <f>VLOOKUP(A258,[2]Export!$A:$G,7,0)</f>
        <v>2698.37</v>
      </c>
      <c r="N258" s="19">
        <f t="shared" si="9"/>
        <v>0.2549952725993046</v>
      </c>
      <c r="O258" s="17" t="s">
        <v>1025</v>
      </c>
      <c r="P258" s="17" t="s">
        <v>1026</v>
      </c>
      <c r="Q258" s="17" t="s">
        <v>1023</v>
      </c>
      <c r="R258" s="17" t="str">
        <f>VLOOKUP(A258,[1]Export!$A:$I,9,0)</f>
        <v>Comprou Marcas</v>
      </c>
      <c r="S258" s="17" t="s">
        <v>1022</v>
      </c>
      <c r="T258" s="20"/>
      <c r="U258" s="17"/>
      <c r="V258" s="17"/>
    </row>
    <row r="259" spans="1:22" x14ac:dyDescent="0.35">
      <c r="A259" s="5">
        <v>8954076000400</v>
      </c>
      <c r="B259" s="7"/>
      <c r="C259" s="4"/>
      <c r="D259" s="6" t="s">
        <v>363</v>
      </c>
      <c r="E259" s="6" t="s">
        <v>127</v>
      </c>
      <c r="F259" s="6" t="s">
        <v>8</v>
      </c>
      <c r="G259" s="11" t="s">
        <v>64</v>
      </c>
      <c r="H259" s="6" t="s">
        <v>17</v>
      </c>
      <c r="I259" s="21" t="s">
        <v>1068</v>
      </c>
      <c r="J259" s="18">
        <f>VLOOKUP(A259,[2]Export!$A:$B,2,0)</f>
        <v>2321.2291816762686</v>
      </c>
      <c r="K259" s="18">
        <f>VLOOKUP(A259,[2]Export!$A:$C,3,0)</f>
        <v>1283.5300000000002</v>
      </c>
      <c r="L259" s="19">
        <f t="shared" si="8"/>
        <v>0.55295272441521814</v>
      </c>
      <c r="M259" s="18">
        <f>VLOOKUP(A259,[2]Export!$A:$G,7,0)</f>
        <v>0</v>
      </c>
      <c r="N259" s="19">
        <f t="shared" si="9"/>
        <v>0</v>
      </c>
      <c r="O259" s="17" t="s">
        <v>1025</v>
      </c>
      <c r="P259" s="17" t="s">
        <v>1026</v>
      </c>
      <c r="Q259" s="17" t="s">
        <v>1023</v>
      </c>
      <c r="R259" s="17" t="str">
        <f>VLOOKUP(A259,[1]Export!$A:$I,9,0)</f>
        <v>Não Comprou</v>
      </c>
      <c r="S259" s="17" t="s">
        <v>1022</v>
      </c>
      <c r="T259" s="20"/>
      <c r="U259" s="17"/>
      <c r="V259" s="17"/>
    </row>
    <row r="260" spans="1:22" x14ac:dyDescent="0.35">
      <c r="A260" s="5">
        <v>10341045000183</v>
      </c>
      <c r="B260" s="7" t="s">
        <v>995</v>
      </c>
      <c r="C260" s="4">
        <v>134711</v>
      </c>
      <c r="D260" s="6" t="s">
        <v>25</v>
      </c>
      <c r="E260" s="6" t="s">
        <v>115</v>
      </c>
      <c r="F260" s="6" t="s">
        <v>8</v>
      </c>
      <c r="G260" s="11" t="s">
        <v>9</v>
      </c>
      <c r="H260" s="6" t="s">
        <v>10</v>
      </c>
      <c r="I260" s="21" t="s">
        <v>1066</v>
      </c>
      <c r="J260" s="18">
        <f>VLOOKUP(A260,[2]Export!$A:$B,2,0)</f>
        <v>60669.360601323679</v>
      </c>
      <c r="K260" s="18">
        <f>VLOOKUP(A260,[2]Export!$A:$C,3,0)</f>
        <v>32773.449999999997</v>
      </c>
      <c r="L260" s="19">
        <f t="shared" si="8"/>
        <v>0.54019771553822749</v>
      </c>
      <c r="M260" s="18">
        <f>VLOOKUP(A260,[2]Export!$A:$G,7,0)</f>
        <v>19171.939999999999</v>
      </c>
      <c r="N260" s="19">
        <f t="shared" si="9"/>
        <v>0.31600695655892092</v>
      </c>
      <c r="O260" s="17" t="s">
        <v>1027</v>
      </c>
      <c r="P260" s="17" t="s">
        <v>1028</v>
      </c>
      <c r="Q260" s="17" t="s">
        <v>1023</v>
      </c>
      <c r="R260" s="17" t="str">
        <f>VLOOKUP(A260,[1]Export!$A:$I,9,0)</f>
        <v>Comprou Marcas e SG</v>
      </c>
      <c r="S260" s="17" t="s">
        <v>1022</v>
      </c>
      <c r="T260" s="20"/>
      <c r="U260" s="17">
        <v>3</v>
      </c>
      <c r="V260" s="17"/>
    </row>
    <row r="261" spans="1:22" x14ac:dyDescent="0.35">
      <c r="A261" s="5">
        <v>7217112000571</v>
      </c>
      <c r="B261" s="7" t="s">
        <v>1002</v>
      </c>
      <c r="C261" s="4"/>
      <c r="D261" s="6" t="s">
        <v>90</v>
      </c>
      <c r="E261" s="6" t="s">
        <v>364</v>
      </c>
      <c r="F261" s="6" t="s">
        <v>8</v>
      </c>
      <c r="G261" s="11" t="s">
        <v>64</v>
      </c>
      <c r="H261" s="6" t="s">
        <v>17</v>
      </c>
      <c r="I261" s="21" t="s">
        <v>1066</v>
      </c>
      <c r="J261" s="18">
        <f>VLOOKUP(A261,[2]Export!$A:$B,2,0)</f>
        <v>6583.001802347093</v>
      </c>
      <c r="K261" s="18">
        <f>VLOOKUP(A261,[2]Export!$A:$C,3,0)</f>
        <v>4662.41</v>
      </c>
      <c r="L261" s="19">
        <f t="shared" si="8"/>
        <v>0.70824984406622393</v>
      </c>
      <c r="M261" s="18">
        <f>VLOOKUP(A261,[2]Export!$A:$G,7,0)</f>
        <v>3523.1100000000006</v>
      </c>
      <c r="N261" s="19">
        <f t="shared" si="9"/>
        <v>0.53518290071618646</v>
      </c>
      <c r="O261" s="17" t="s">
        <v>1027</v>
      </c>
      <c r="P261" s="17" t="s">
        <v>1028</v>
      </c>
      <c r="Q261" s="17" t="s">
        <v>1023</v>
      </c>
      <c r="R261" s="17" t="str">
        <f>VLOOKUP(A261,[1]Export!$A:$I,9,0)</f>
        <v>Comprou Marcas</v>
      </c>
      <c r="S261" s="17" t="s">
        <v>1022</v>
      </c>
      <c r="T261" s="20"/>
      <c r="U261" s="17"/>
      <c r="V261" s="17"/>
    </row>
    <row r="262" spans="1:22" x14ac:dyDescent="0.35">
      <c r="A262" s="4">
        <v>9559619000105</v>
      </c>
      <c r="B262" s="7"/>
      <c r="C262" s="4"/>
      <c r="D262" s="1" t="s">
        <v>365</v>
      </c>
      <c r="E262" s="1" t="s">
        <v>152</v>
      </c>
      <c r="F262" s="1" t="s">
        <v>8</v>
      </c>
      <c r="G262" s="10" t="s">
        <v>36</v>
      </c>
      <c r="H262" s="1" t="s">
        <v>17</v>
      </c>
      <c r="I262" s="21" t="s">
        <v>1068</v>
      </c>
      <c r="J262" s="18">
        <f>VLOOKUP(A262,[2]Export!$A:$B,2,0)</f>
        <v>4804.8231582552598</v>
      </c>
      <c r="K262" s="18">
        <f>VLOOKUP(A262,[2]Export!$A:$C,3,0)</f>
        <v>1611.8200000000002</v>
      </c>
      <c r="L262" s="19">
        <f t="shared" si="8"/>
        <v>0.33545875611065956</v>
      </c>
      <c r="M262" s="18">
        <f>VLOOKUP(A262,[2]Export!$A:$G,7,0)</f>
        <v>0</v>
      </c>
      <c r="N262" s="19">
        <f t="shared" si="9"/>
        <v>0</v>
      </c>
      <c r="O262" s="17" t="s">
        <v>1025</v>
      </c>
      <c r="P262" s="17" t="s">
        <v>1026</v>
      </c>
      <c r="Q262" s="17" t="s">
        <v>1023</v>
      </c>
      <c r="R262" s="17" t="str">
        <f>VLOOKUP(A262,[1]Export!$A:$I,9,0)</f>
        <v>Não Comprou</v>
      </c>
      <c r="S262" s="17" t="s">
        <v>1022</v>
      </c>
      <c r="T262" s="20"/>
      <c r="U262" s="17"/>
      <c r="V262" s="17"/>
    </row>
    <row r="263" spans="1:22" x14ac:dyDescent="0.35">
      <c r="A263" s="4">
        <v>10341045002550</v>
      </c>
      <c r="B263" s="7" t="s">
        <v>995</v>
      </c>
      <c r="C263" s="4"/>
      <c r="D263" s="1" t="s">
        <v>366</v>
      </c>
      <c r="E263" s="1" t="s">
        <v>162</v>
      </c>
      <c r="F263" s="1" t="s">
        <v>8</v>
      </c>
      <c r="G263" s="10" t="s">
        <v>9</v>
      </c>
      <c r="H263" s="1" t="s">
        <v>10</v>
      </c>
      <c r="I263" s="21" t="s">
        <v>1072</v>
      </c>
      <c r="J263" s="18">
        <f>VLOOKUP(A263,[2]Export!$A:$B,2,0)</f>
        <v>26938.162310394811</v>
      </c>
      <c r="K263" s="18">
        <f>VLOOKUP(A263,[2]Export!$A:$C,3,0)</f>
        <v>17296.490000000002</v>
      </c>
      <c r="L263" s="19">
        <f t="shared" si="8"/>
        <v>0.64208128975916401</v>
      </c>
      <c r="M263" s="18">
        <f>VLOOKUP(A263,[2]Export!$A:$G,7,0)</f>
        <v>12455.489999999998</v>
      </c>
      <c r="N263" s="19">
        <f t="shared" si="9"/>
        <v>0.46237341124022086</v>
      </c>
      <c r="O263" s="17" t="s">
        <v>1027</v>
      </c>
      <c r="P263" s="17" t="s">
        <v>1028</v>
      </c>
      <c r="Q263" s="17" t="s">
        <v>1023</v>
      </c>
      <c r="R263" s="17" t="str">
        <f>VLOOKUP(A263,[1]Export!$A:$I,9,0)</f>
        <v>Comprou Marcas e SG</v>
      </c>
      <c r="S263" s="17" t="s">
        <v>1022</v>
      </c>
      <c r="T263" s="20">
        <v>1</v>
      </c>
      <c r="U263" s="17"/>
      <c r="V263" s="17"/>
    </row>
    <row r="264" spans="1:22" x14ac:dyDescent="0.35">
      <c r="A264" s="4">
        <v>10341045001821</v>
      </c>
      <c r="B264" s="7" t="s">
        <v>995</v>
      </c>
      <c r="C264" s="4"/>
      <c r="D264" s="1" t="s">
        <v>25</v>
      </c>
      <c r="E264" s="1" t="s">
        <v>40</v>
      </c>
      <c r="F264" s="1" t="s">
        <v>8</v>
      </c>
      <c r="G264" s="10" t="s">
        <v>9</v>
      </c>
      <c r="H264" s="1" t="s">
        <v>10</v>
      </c>
      <c r="I264" s="21" t="s">
        <v>1070</v>
      </c>
      <c r="J264" s="18">
        <f>VLOOKUP(A264,[2]Export!$A:$B,2,0)</f>
        <v>21364.517009646792</v>
      </c>
      <c r="K264" s="18">
        <f>VLOOKUP(A264,[2]Export!$A:$C,3,0)</f>
        <v>9850.5999999999967</v>
      </c>
      <c r="L264" s="19">
        <f t="shared" si="8"/>
        <v>0.46107290867151934</v>
      </c>
      <c r="M264" s="18">
        <f>VLOOKUP(A264,[2]Export!$A:$G,7,0)</f>
        <v>7462.4799999999977</v>
      </c>
      <c r="N264" s="19">
        <f t="shared" si="9"/>
        <v>0.34929317599974008</v>
      </c>
      <c r="O264" s="17" t="s">
        <v>1027</v>
      </c>
      <c r="P264" s="17" t="s">
        <v>1028</v>
      </c>
      <c r="Q264" s="17" t="s">
        <v>1023</v>
      </c>
      <c r="R264" s="17" t="str">
        <f>VLOOKUP(A264,[1]Export!$A:$I,9,0)</f>
        <v>Comprou Marcas e SG</v>
      </c>
      <c r="S264" s="17" t="s">
        <v>1022</v>
      </c>
      <c r="T264" s="20"/>
      <c r="U264" s="17"/>
      <c r="V264" s="17"/>
    </row>
    <row r="265" spans="1:22" x14ac:dyDescent="0.35">
      <c r="A265" s="5">
        <v>10737685000379</v>
      </c>
      <c r="B265" s="7" t="s">
        <v>999</v>
      </c>
      <c r="C265" s="4"/>
      <c r="D265" s="6" t="s">
        <v>90</v>
      </c>
      <c r="E265" s="6" t="s">
        <v>113</v>
      </c>
      <c r="F265" s="6" t="s">
        <v>8</v>
      </c>
      <c r="G265" s="11" t="s">
        <v>64</v>
      </c>
      <c r="H265" s="6" t="s">
        <v>17</v>
      </c>
      <c r="I265" s="21" t="s">
        <v>1072</v>
      </c>
      <c r="J265" s="18">
        <f>VLOOKUP(A265,[2]Export!$A:$B,2,0)</f>
        <v>27938.853784778628</v>
      </c>
      <c r="K265" s="18">
        <f>VLOOKUP(A265,[2]Export!$A:$C,3,0)</f>
        <v>14096.199999999997</v>
      </c>
      <c r="L265" s="19">
        <f t="shared" si="8"/>
        <v>0.50453751999231089</v>
      </c>
      <c r="M265" s="18">
        <f>VLOOKUP(A265,[2]Export!$A:$G,7,0)</f>
        <v>11907.4</v>
      </c>
      <c r="N265" s="19">
        <f t="shared" si="9"/>
        <v>0.42619500755923179</v>
      </c>
      <c r="O265" s="17"/>
      <c r="P265" s="17"/>
      <c r="Q265" s="17"/>
      <c r="R265" s="17" t="str">
        <f>VLOOKUP(A265,[1]Export!$A:$I,9,0)</f>
        <v>Comprou Marcas</v>
      </c>
      <c r="S265" s="17"/>
      <c r="T265" s="20"/>
      <c r="U265" s="17"/>
      <c r="V265" s="17"/>
    </row>
    <row r="266" spans="1:22" x14ac:dyDescent="0.35">
      <c r="A266" s="4">
        <v>23622022000199</v>
      </c>
      <c r="B266" s="7"/>
      <c r="C266" s="4"/>
      <c r="D266" s="1" t="s">
        <v>367</v>
      </c>
      <c r="E266" s="1" t="s">
        <v>14</v>
      </c>
      <c r="F266" s="1" t="s">
        <v>15</v>
      </c>
      <c r="G266" s="10" t="s">
        <v>36</v>
      </c>
      <c r="H266" s="1" t="s">
        <v>17</v>
      </c>
      <c r="I266" s="21" t="s">
        <v>1067</v>
      </c>
      <c r="J266" s="18">
        <f>VLOOKUP(A266,[2]Export!$A:$B,2,0)</f>
        <v>2626.5145244982809</v>
      </c>
      <c r="K266" s="18">
        <f>VLOOKUP(A266,[2]Export!$A:$C,3,0)</f>
        <v>1678.58</v>
      </c>
      <c r="L266" s="19">
        <f t="shared" si="8"/>
        <v>0.63909031697460106</v>
      </c>
      <c r="M266" s="18">
        <f>VLOOKUP(A266,[2]Export!$A:$G,7,0)</f>
        <v>763.36</v>
      </c>
      <c r="N266" s="19">
        <f t="shared" si="9"/>
        <v>0.29063612360788971</v>
      </c>
      <c r="O266" s="17" t="s">
        <v>1025</v>
      </c>
      <c r="P266" s="17" t="s">
        <v>1026</v>
      </c>
      <c r="Q266" s="17" t="s">
        <v>1022</v>
      </c>
      <c r="R266" s="17" t="str">
        <f>VLOOKUP(A266,[1]Export!$A:$I,9,0)</f>
        <v>Comprou Marcas</v>
      </c>
      <c r="S266" s="17" t="s">
        <v>1022</v>
      </c>
      <c r="T266" s="20"/>
      <c r="U266" s="17"/>
      <c r="V266" s="17"/>
    </row>
    <row r="267" spans="1:22" x14ac:dyDescent="0.35">
      <c r="A267" s="5">
        <v>30049938000167</v>
      </c>
      <c r="B267" s="7"/>
      <c r="C267" s="4"/>
      <c r="D267" s="6" t="s">
        <v>368</v>
      </c>
      <c r="E267" s="6" t="s">
        <v>182</v>
      </c>
      <c r="F267" s="6" t="s">
        <v>8</v>
      </c>
      <c r="G267" s="11" t="s">
        <v>36</v>
      </c>
      <c r="H267" s="6" t="s">
        <v>17</v>
      </c>
      <c r="I267" s="21" t="s">
        <v>1072</v>
      </c>
      <c r="J267" s="18">
        <f>VLOOKUP(A267,[2]Export!$A:$B,2,0)</f>
        <v>6385.4593918910532</v>
      </c>
      <c r="K267" s="18">
        <f>VLOOKUP(A267,[2]Export!$A:$C,3,0)</f>
        <v>1680.9</v>
      </c>
      <c r="L267" s="19">
        <f t="shared" si="8"/>
        <v>0.26323869542332201</v>
      </c>
      <c r="M267" s="18">
        <f>VLOOKUP(A267,[2]Export!$A:$G,7,0)</f>
        <v>0</v>
      </c>
      <c r="N267" s="19">
        <f t="shared" si="9"/>
        <v>0</v>
      </c>
      <c r="O267" s="17" t="s">
        <v>1025</v>
      </c>
      <c r="P267" s="17" t="s">
        <v>1026</v>
      </c>
      <c r="Q267" s="17" t="s">
        <v>1023</v>
      </c>
      <c r="R267" s="17" t="str">
        <f>VLOOKUP(A267,[1]Export!$A:$I,9,0)</f>
        <v>Não Comprou</v>
      </c>
      <c r="S267" s="17" t="s">
        <v>1023</v>
      </c>
      <c r="T267" s="20">
        <v>1</v>
      </c>
      <c r="U267" s="17"/>
      <c r="V267" s="17">
        <v>1</v>
      </c>
    </row>
    <row r="268" spans="1:22" x14ac:dyDescent="0.35">
      <c r="A268" s="4">
        <v>12050037000103</v>
      </c>
      <c r="B268" s="7"/>
      <c r="C268" s="4"/>
      <c r="D268" s="1" t="s">
        <v>220</v>
      </c>
      <c r="E268" s="1" t="s">
        <v>61</v>
      </c>
      <c r="F268" s="1" t="s">
        <v>8</v>
      </c>
      <c r="G268" s="10" t="s">
        <v>16</v>
      </c>
      <c r="H268" s="1" t="s">
        <v>17</v>
      </c>
      <c r="I268" s="21" t="s">
        <v>1066</v>
      </c>
      <c r="J268" s="18">
        <f>VLOOKUP(A268,[2]Export!$A:$B,2,0)</f>
        <v>2095.1614534055102</v>
      </c>
      <c r="K268" s="18">
        <f>VLOOKUP(A268,[2]Export!$A:$C,3,0)</f>
        <v>1369.2200000000003</v>
      </c>
      <c r="L268" s="19">
        <f t="shared" si="8"/>
        <v>0.65351526860827236</v>
      </c>
      <c r="M268" s="18">
        <f>VLOOKUP(A268,[2]Export!$A:$G,7,0)</f>
        <v>586.76</v>
      </c>
      <c r="N268" s="19">
        <f t="shared" si="9"/>
        <v>0.28005478959450619</v>
      </c>
      <c r="O268" s="17" t="s">
        <v>1029</v>
      </c>
      <c r="P268" s="17" t="s">
        <v>1026</v>
      </c>
      <c r="Q268" s="17" t="s">
        <v>1022</v>
      </c>
      <c r="R268" s="17" t="str">
        <f>VLOOKUP(A268,[1]Export!$A:$I,9,0)</f>
        <v>Comprou Marcas</v>
      </c>
      <c r="S268" s="17" t="s">
        <v>1023</v>
      </c>
      <c r="T268" s="20"/>
      <c r="U268" s="17"/>
      <c r="V268" s="17"/>
    </row>
    <row r="269" spans="1:22" x14ac:dyDescent="0.35">
      <c r="A269" s="5">
        <v>13874468000157</v>
      </c>
      <c r="B269" s="7"/>
      <c r="C269" s="4"/>
      <c r="D269" s="6" t="s">
        <v>278</v>
      </c>
      <c r="E269" s="6" t="s">
        <v>35</v>
      </c>
      <c r="F269" s="6" t="s">
        <v>8</v>
      </c>
      <c r="G269" s="11" t="s">
        <v>279</v>
      </c>
      <c r="H269" s="6" t="s">
        <v>17</v>
      </c>
      <c r="I269" s="21" t="s">
        <v>1070</v>
      </c>
      <c r="J269" s="18">
        <f>VLOOKUP(A269,[2]Export!$A:$B,2,0)</f>
        <v>9653.3507872678238</v>
      </c>
      <c r="K269" s="18">
        <f>VLOOKUP(A269,[2]Export!$A:$C,3,0)</f>
        <v>5353.7200000000012</v>
      </c>
      <c r="L269" s="19">
        <f t="shared" ref="L269:L332" si="10">K269/J269</f>
        <v>0.55459706354618632</v>
      </c>
      <c r="M269" s="18">
        <f>VLOOKUP(A269,[2]Export!$A:$G,7,0)</f>
        <v>3098.3399999999997</v>
      </c>
      <c r="N269" s="19">
        <f t="shared" ref="N269:N332" si="11">M269/J269</f>
        <v>0.32096005503980229</v>
      </c>
      <c r="O269" s="17" t="s">
        <v>1027</v>
      </c>
      <c r="P269" s="17" t="s">
        <v>1028</v>
      </c>
      <c r="Q269" s="17" t="s">
        <v>1023</v>
      </c>
      <c r="R269" s="17" t="str">
        <f>VLOOKUP(A269,[1]Export!$A:$I,9,0)</f>
        <v>Comprou Marcas</v>
      </c>
      <c r="S269" s="17" t="s">
        <v>1022</v>
      </c>
      <c r="T269" s="20"/>
      <c r="U269" s="17"/>
      <c r="V269" s="17"/>
    </row>
    <row r="270" spans="1:22" x14ac:dyDescent="0.35">
      <c r="A270" s="4">
        <v>14931934000151</v>
      </c>
      <c r="B270" s="7"/>
      <c r="C270" s="4"/>
      <c r="D270" s="1" t="s">
        <v>369</v>
      </c>
      <c r="E270" s="1" t="s">
        <v>370</v>
      </c>
      <c r="F270" s="1" t="s">
        <v>48</v>
      </c>
      <c r="G270" s="10" t="s">
        <v>80</v>
      </c>
      <c r="H270" s="1" t="s">
        <v>17</v>
      </c>
      <c r="I270" s="21" t="s">
        <v>1071</v>
      </c>
      <c r="J270" s="18">
        <f>VLOOKUP(A270,[2]Export!$A:$B,2,0)</f>
        <v>17272.60559215027</v>
      </c>
      <c r="K270" s="18">
        <f>VLOOKUP(A270,[2]Export!$A:$C,3,0)</f>
        <v>8573.8500000000022</v>
      </c>
      <c r="L270" s="19">
        <f t="shared" si="10"/>
        <v>0.49638428633468507</v>
      </c>
      <c r="M270" s="18">
        <f>VLOOKUP(A270,[2]Export!$A:$G,7,0)</f>
        <v>47.4</v>
      </c>
      <c r="N270" s="19">
        <f t="shared" si="11"/>
        <v>2.7442298584957826E-3</v>
      </c>
      <c r="O270" s="17" t="s">
        <v>1027</v>
      </c>
      <c r="P270" s="17" t="s">
        <v>1028</v>
      </c>
      <c r="Q270" s="17" t="s">
        <v>1023</v>
      </c>
      <c r="R270" s="17" t="str">
        <f>VLOOKUP(A270,[1]Export!$A:$I,9,0)</f>
        <v>Comprou SG</v>
      </c>
      <c r="S270" s="17" t="s">
        <v>1023</v>
      </c>
      <c r="T270" s="20"/>
      <c r="U270" s="17"/>
      <c r="V270" s="17"/>
    </row>
    <row r="271" spans="1:22" x14ac:dyDescent="0.35">
      <c r="A271" s="5">
        <v>15290994000103</v>
      </c>
      <c r="B271" s="7"/>
      <c r="C271" s="4"/>
      <c r="D271" s="6" t="s">
        <v>371</v>
      </c>
      <c r="E271" s="6" t="s">
        <v>196</v>
      </c>
      <c r="F271" s="6" t="s">
        <v>48</v>
      </c>
      <c r="G271" s="11" t="s">
        <v>80</v>
      </c>
      <c r="H271" s="6" t="s">
        <v>17</v>
      </c>
      <c r="I271" s="21" t="s">
        <v>1071</v>
      </c>
      <c r="J271" s="18">
        <f>VLOOKUP(A271,[2]Export!$A:$B,2,0)</f>
        <v>4927.3421179744837</v>
      </c>
      <c r="K271" s="18">
        <f>VLOOKUP(A271,[2]Export!$A:$C,3,0)</f>
        <v>2987.55</v>
      </c>
      <c r="L271" s="19">
        <f t="shared" si="10"/>
        <v>0.60632079698742591</v>
      </c>
      <c r="M271" s="18">
        <f>VLOOKUP(A271,[2]Export!$A:$G,7,0)</f>
        <v>0</v>
      </c>
      <c r="N271" s="19">
        <f t="shared" si="11"/>
        <v>0</v>
      </c>
      <c r="O271" s="17" t="s">
        <v>1030</v>
      </c>
      <c r="P271" s="17" t="s">
        <v>1026</v>
      </c>
      <c r="Q271" s="17" t="s">
        <v>1022</v>
      </c>
      <c r="R271" s="17" t="str">
        <f>VLOOKUP(A271,[1]Export!$A:$I,9,0)</f>
        <v>Não Comprou</v>
      </c>
      <c r="S271" s="17" t="s">
        <v>1023</v>
      </c>
      <c r="T271" s="20"/>
      <c r="U271" s="17"/>
      <c r="V271" s="17">
        <v>1</v>
      </c>
    </row>
    <row r="272" spans="1:22" x14ac:dyDescent="0.35">
      <c r="A272" s="4">
        <v>15433090000181</v>
      </c>
      <c r="B272" s="7"/>
      <c r="C272" s="4"/>
      <c r="D272" s="1" t="s">
        <v>372</v>
      </c>
      <c r="E272" s="1" t="s">
        <v>14</v>
      </c>
      <c r="F272" s="1" t="s">
        <v>15</v>
      </c>
      <c r="G272" s="10" t="s">
        <v>20</v>
      </c>
      <c r="H272" s="1" t="s">
        <v>17</v>
      </c>
      <c r="I272" s="21" t="s">
        <v>1067</v>
      </c>
      <c r="J272" s="18">
        <f>VLOOKUP(A272,[2]Export!$A:$B,2,0)</f>
        <v>967.85688234480256</v>
      </c>
      <c r="K272" s="18">
        <f>VLOOKUP(A272,[2]Export!$A:$C,3,0)</f>
        <v>95.47</v>
      </c>
      <c r="L272" s="19">
        <f t="shared" si="10"/>
        <v>9.8640616956411187E-2</v>
      </c>
      <c r="M272" s="18">
        <f>VLOOKUP(A272,[2]Export!$A:$G,7,0)</f>
        <v>0</v>
      </c>
      <c r="N272" s="19">
        <f t="shared" si="11"/>
        <v>0</v>
      </c>
      <c r="O272" s="17" t="s">
        <v>1025</v>
      </c>
      <c r="P272" s="17" t="s">
        <v>1026</v>
      </c>
      <c r="Q272" s="17" t="s">
        <v>1023</v>
      </c>
      <c r="R272" s="17" t="str">
        <f>VLOOKUP(A272,[1]Export!$A:$I,9,0)</f>
        <v>Não Comprou</v>
      </c>
      <c r="S272" s="17" t="s">
        <v>1023</v>
      </c>
      <c r="T272" s="20"/>
      <c r="U272" s="17"/>
      <c r="V272" s="17"/>
    </row>
    <row r="273" spans="1:22" x14ac:dyDescent="0.35">
      <c r="A273" s="5">
        <v>68204486000202</v>
      </c>
      <c r="B273" s="7"/>
      <c r="C273" s="4"/>
      <c r="D273" s="6" t="s">
        <v>373</v>
      </c>
      <c r="E273" s="6" t="s">
        <v>374</v>
      </c>
      <c r="F273" s="6" t="s">
        <v>48</v>
      </c>
      <c r="G273" s="11" t="s">
        <v>375</v>
      </c>
      <c r="H273" s="6" t="s">
        <v>17</v>
      </c>
      <c r="I273" s="21" t="s">
        <v>1071</v>
      </c>
      <c r="J273" s="18">
        <f>VLOOKUP(A273,[2]Export!$A:$B,2,0)</f>
        <v>9861.2796559612416</v>
      </c>
      <c r="K273" s="18">
        <f>VLOOKUP(A273,[2]Export!$A:$C,3,0)</f>
        <v>3108.35</v>
      </c>
      <c r="L273" s="19">
        <f t="shared" si="10"/>
        <v>0.31520757025899487</v>
      </c>
      <c r="M273" s="18">
        <f>VLOOKUP(A273,[2]Export!$A:$G,7,0)</f>
        <v>1702.8200000000002</v>
      </c>
      <c r="N273" s="19">
        <f t="shared" si="11"/>
        <v>0.17267738664835741</v>
      </c>
      <c r="O273" s="17" t="s">
        <v>1025</v>
      </c>
      <c r="P273" s="17" t="s">
        <v>1026</v>
      </c>
      <c r="Q273" s="17" t="s">
        <v>1023</v>
      </c>
      <c r="R273" s="17" t="str">
        <f>VLOOKUP(A273,[1]Export!$A:$I,9,0)</f>
        <v>Comprou Marcas</v>
      </c>
      <c r="S273" s="17" t="s">
        <v>1022</v>
      </c>
      <c r="T273" s="20"/>
      <c r="U273" s="17"/>
      <c r="V273" s="17"/>
    </row>
    <row r="274" spans="1:22" x14ac:dyDescent="0.35">
      <c r="A274" s="4">
        <v>59106417000186</v>
      </c>
      <c r="B274" s="7"/>
      <c r="C274" s="4"/>
      <c r="D274" s="1" t="s">
        <v>376</v>
      </c>
      <c r="E274" s="1" t="s">
        <v>14</v>
      </c>
      <c r="F274" s="1" t="s">
        <v>15</v>
      </c>
      <c r="G274" s="10" t="s">
        <v>36</v>
      </c>
      <c r="H274" s="1" t="s">
        <v>17</v>
      </c>
      <c r="I274" s="21" t="s">
        <v>1067</v>
      </c>
      <c r="J274" s="18">
        <f>VLOOKUP(A274,[2]Export!$A:$B,2,0)</f>
        <v>997.83757258175092</v>
      </c>
      <c r="K274" s="18">
        <f>VLOOKUP(A274,[2]Export!$A:$C,3,0)</f>
        <v>340.44</v>
      </c>
      <c r="L274" s="19">
        <f t="shared" si="10"/>
        <v>0.34117777216903544</v>
      </c>
      <c r="M274" s="18">
        <f>VLOOKUP(A274,[2]Export!$A:$G,7,0)</f>
        <v>196.87000000000003</v>
      </c>
      <c r="N274" s="19">
        <f t="shared" si="11"/>
        <v>0.19729663966313601</v>
      </c>
      <c r="O274" s="17" t="s">
        <v>1030</v>
      </c>
      <c r="P274" s="17" t="s">
        <v>1026</v>
      </c>
      <c r="Q274" s="17" t="s">
        <v>1022</v>
      </c>
      <c r="R274" s="17" t="str">
        <f>VLOOKUP(A274,[1]Export!$A:$I,9,0)</f>
        <v>Comprou Marcas</v>
      </c>
      <c r="S274" s="17" t="s">
        <v>1023</v>
      </c>
      <c r="T274" s="20"/>
      <c r="U274" s="17"/>
      <c r="V274" s="17"/>
    </row>
    <row r="275" spans="1:22" x14ac:dyDescent="0.35">
      <c r="A275" s="5">
        <v>59412809000173</v>
      </c>
      <c r="B275" s="7"/>
      <c r="C275" s="4"/>
      <c r="D275" s="6" t="s">
        <v>337</v>
      </c>
      <c r="E275" s="6" t="s">
        <v>377</v>
      </c>
      <c r="F275" s="6" t="s">
        <v>48</v>
      </c>
      <c r="G275" s="11" t="s">
        <v>20</v>
      </c>
      <c r="H275" s="6" t="s">
        <v>17</v>
      </c>
      <c r="I275" s="21" t="s">
        <v>1071</v>
      </c>
      <c r="J275" s="18">
        <f>VLOOKUP(A275,[2]Export!$A:$B,2,0)</f>
        <v>2465.1166670508483</v>
      </c>
      <c r="K275" s="18">
        <f>VLOOKUP(A275,[2]Export!$A:$C,3,0)</f>
        <v>1390.24</v>
      </c>
      <c r="L275" s="19">
        <f t="shared" si="10"/>
        <v>0.56396519425720282</v>
      </c>
      <c r="M275" s="18">
        <f>VLOOKUP(A275,[2]Export!$A:$G,7,0)</f>
        <v>0</v>
      </c>
      <c r="N275" s="19">
        <f t="shared" si="11"/>
        <v>0</v>
      </c>
      <c r="O275" s="17" t="s">
        <v>1025</v>
      </c>
      <c r="P275" s="17" t="s">
        <v>1026</v>
      </c>
      <c r="Q275" s="17" t="s">
        <v>1023</v>
      </c>
      <c r="R275" s="17" t="str">
        <f>VLOOKUP(A275,[1]Export!$A:$I,9,0)</f>
        <v>Não Comprou</v>
      </c>
      <c r="S275" s="17" t="s">
        <v>1023</v>
      </c>
      <c r="T275" s="20"/>
      <c r="U275" s="17"/>
      <c r="V275" s="17"/>
    </row>
    <row r="276" spans="1:22" x14ac:dyDescent="0.35">
      <c r="A276" s="4">
        <v>61416946000128</v>
      </c>
      <c r="B276" s="7" t="s">
        <v>1006</v>
      </c>
      <c r="C276" s="4"/>
      <c r="D276" s="1" t="s">
        <v>378</v>
      </c>
      <c r="E276" s="1" t="s">
        <v>379</v>
      </c>
      <c r="F276" s="1" t="s">
        <v>15</v>
      </c>
      <c r="G276" s="10" t="s">
        <v>36</v>
      </c>
      <c r="H276" s="1" t="s">
        <v>17</v>
      </c>
      <c r="I276" s="21" t="s">
        <v>1073</v>
      </c>
      <c r="J276" s="18">
        <f>VLOOKUP(A276,[2]Export!$A:$B,2,0)</f>
        <v>10485.399079011007</v>
      </c>
      <c r="K276" s="18">
        <f>VLOOKUP(A276,[2]Export!$A:$C,3,0)</f>
        <v>7449.4400000000005</v>
      </c>
      <c r="L276" s="19">
        <f t="shared" si="10"/>
        <v>0.71045841401609666</v>
      </c>
      <c r="M276" s="18">
        <f>VLOOKUP(A276,[2]Export!$A:$G,7,0)</f>
        <v>8082.15</v>
      </c>
      <c r="N276" s="19">
        <f t="shared" si="11"/>
        <v>0.77080041866773807</v>
      </c>
      <c r="O276" s="17" t="s">
        <v>1027</v>
      </c>
      <c r="P276" s="17" t="s">
        <v>1028</v>
      </c>
      <c r="Q276" s="17" t="s">
        <v>1023</v>
      </c>
      <c r="R276" s="17" t="str">
        <f>VLOOKUP(A276,[1]Export!$A:$I,9,0)</f>
        <v>Comprou Marcas e SG</v>
      </c>
      <c r="S276" s="17" t="s">
        <v>1022</v>
      </c>
      <c r="T276" s="20">
        <v>2</v>
      </c>
      <c r="U276" s="17"/>
      <c r="V276" s="17"/>
    </row>
    <row r="277" spans="1:22" x14ac:dyDescent="0.35">
      <c r="A277" s="5">
        <v>65675078000313</v>
      </c>
      <c r="B277" s="7"/>
      <c r="C277" s="4"/>
      <c r="D277" s="6" t="s">
        <v>380</v>
      </c>
      <c r="E277" s="6" t="s">
        <v>14</v>
      </c>
      <c r="F277" s="6" t="s">
        <v>15</v>
      </c>
      <c r="G277" s="11" t="s">
        <v>20</v>
      </c>
      <c r="H277" s="6" t="s">
        <v>17</v>
      </c>
      <c r="I277" s="21" t="s">
        <v>1067</v>
      </c>
      <c r="J277" s="18">
        <f>VLOOKUP(A277,[2]Export!$A:$B,2,0)</f>
        <v>516.46810507702764</v>
      </c>
      <c r="K277" s="18">
        <f>VLOOKUP(A277,[2]Export!$A:$C,3,0)</f>
        <v>1341.8999999999999</v>
      </c>
      <c r="L277" s="19">
        <f t="shared" si="10"/>
        <v>2.5982243372025167</v>
      </c>
      <c r="M277" s="18">
        <f>VLOOKUP(A277,[2]Export!$A:$G,7,0)</f>
        <v>1136.05</v>
      </c>
      <c r="N277" s="19">
        <f t="shared" si="11"/>
        <v>2.1996518058565608</v>
      </c>
      <c r="O277" s="17"/>
      <c r="P277" s="17"/>
      <c r="Q277" s="17"/>
      <c r="R277" s="17" t="str">
        <f>VLOOKUP(A277,[1]Export!$A:$I,9,0)</f>
        <v>Comprou Marcas</v>
      </c>
      <c r="S277" s="17"/>
      <c r="T277" s="20"/>
      <c r="U277" s="17"/>
      <c r="V277" s="17"/>
    </row>
    <row r="278" spans="1:22" x14ac:dyDescent="0.35">
      <c r="A278" s="4">
        <v>65937282000101</v>
      </c>
      <c r="B278" s="7"/>
      <c r="C278" s="4"/>
      <c r="D278" s="1" t="s">
        <v>381</v>
      </c>
      <c r="E278" s="1" t="s">
        <v>86</v>
      </c>
      <c r="F278" s="1" t="s">
        <v>48</v>
      </c>
      <c r="G278" s="10" t="s">
        <v>20</v>
      </c>
      <c r="H278" s="1" t="s">
        <v>17</v>
      </c>
      <c r="I278" s="21" t="s">
        <v>1073</v>
      </c>
      <c r="J278" s="18">
        <f>VLOOKUP(A278,[2]Export!$A:$B,2,0)</f>
        <v>483.41102469567358</v>
      </c>
      <c r="K278" s="18">
        <f>VLOOKUP(A278,[2]Export!$A:$C,3,0)</f>
        <v>491.94</v>
      </c>
      <c r="L278" s="19">
        <f t="shared" si="10"/>
        <v>1.0176433198016031</v>
      </c>
      <c r="M278" s="18">
        <f>VLOOKUP(A278,[2]Export!$A:$G,7,0)</f>
        <v>441.17</v>
      </c>
      <c r="N278" s="19">
        <f t="shared" si="11"/>
        <v>0.91261882220773516</v>
      </c>
      <c r="O278" s="17"/>
      <c r="P278" s="17"/>
      <c r="Q278" s="17"/>
      <c r="R278" s="17" t="str">
        <f>VLOOKUP(A278,[1]Export!$A:$I,9,0)</f>
        <v>Comprou Marcas</v>
      </c>
      <c r="S278" s="17"/>
      <c r="T278" s="20"/>
      <c r="U278" s="17"/>
      <c r="V278" s="17"/>
    </row>
    <row r="279" spans="1:22" x14ac:dyDescent="0.35">
      <c r="A279" s="5">
        <v>68389238000194</v>
      </c>
      <c r="B279" s="7"/>
      <c r="C279" s="4"/>
      <c r="D279" s="6" t="s">
        <v>382</v>
      </c>
      <c r="E279" s="6" t="s">
        <v>383</v>
      </c>
      <c r="F279" s="6" t="s">
        <v>48</v>
      </c>
      <c r="G279" s="11" t="s">
        <v>87</v>
      </c>
      <c r="H279" s="6" t="s">
        <v>17</v>
      </c>
      <c r="I279" s="21" t="s">
        <v>1071</v>
      </c>
      <c r="J279" s="18">
        <f>VLOOKUP(A279,[2]Export!$A:$B,2,0)</f>
        <v>5116.6267992599505</v>
      </c>
      <c r="K279" s="18">
        <f>VLOOKUP(A279,[2]Export!$A:$C,3,0)</f>
        <v>3234.4500000000003</v>
      </c>
      <c r="L279" s="19">
        <f t="shared" si="10"/>
        <v>0.63214499061526608</v>
      </c>
      <c r="M279" s="18">
        <f>VLOOKUP(A279,[2]Export!$A:$G,7,0)</f>
        <v>107.31</v>
      </c>
      <c r="N279" s="19">
        <f t="shared" si="11"/>
        <v>2.0972801849750096E-2</v>
      </c>
      <c r="O279" s="17" t="s">
        <v>1025</v>
      </c>
      <c r="P279" s="17" t="s">
        <v>1026</v>
      </c>
      <c r="Q279" s="17" t="s">
        <v>1023</v>
      </c>
      <c r="R279" s="17" t="str">
        <f>VLOOKUP(A279,[1]Export!$A:$I,9,0)</f>
        <v>Comprou Marcas e SG</v>
      </c>
      <c r="S279" s="17" t="s">
        <v>1022</v>
      </c>
      <c r="T279" s="20"/>
      <c r="U279" s="17"/>
      <c r="V279" s="17"/>
    </row>
    <row r="280" spans="1:22" x14ac:dyDescent="0.35">
      <c r="A280" s="4">
        <v>72855430000104</v>
      </c>
      <c r="B280" s="7"/>
      <c r="C280" s="4"/>
      <c r="D280" s="1" t="s">
        <v>103</v>
      </c>
      <c r="E280" s="1" t="s">
        <v>384</v>
      </c>
      <c r="F280" s="1" t="s">
        <v>48</v>
      </c>
      <c r="G280" s="10" t="s">
        <v>103</v>
      </c>
      <c r="H280" s="1" t="s">
        <v>17</v>
      </c>
      <c r="I280" s="21" t="s">
        <v>1071</v>
      </c>
      <c r="J280" s="18">
        <f>VLOOKUP(A280,[2]Export!$A:$B,2,0)</f>
        <v>7218.827481000505</v>
      </c>
      <c r="K280" s="18">
        <f>VLOOKUP(A280,[2]Export!$A:$C,3,0)</f>
        <v>3619.1899999999996</v>
      </c>
      <c r="L280" s="19">
        <f t="shared" si="10"/>
        <v>0.50135427249445674</v>
      </c>
      <c r="M280" s="18">
        <f>VLOOKUP(A280,[2]Export!$A:$G,7,0)</f>
        <v>1958.2000000000005</v>
      </c>
      <c r="N280" s="19">
        <f t="shared" si="11"/>
        <v>0.27126288932016429</v>
      </c>
      <c r="O280" s="17" t="s">
        <v>1025</v>
      </c>
      <c r="P280" s="17" t="s">
        <v>1026</v>
      </c>
      <c r="Q280" s="17" t="s">
        <v>1023</v>
      </c>
      <c r="R280" s="17" t="str">
        <f>VLOOKUP(A280,[1]Export!$A:$I,9,0)</f>
        <v>Comprou Marcas e SG</v>
      </c>
      <c r="S280" s="17" t="s">
        <v>1023</v>
      </c>
      <c r="T280" s="20"/>
      <c r="U280" s="17"/>
      <c r="V280" s="17"/>
    </row>
    <row r="281" spans="1:22" x14ac:dyDescent="0.35">
      <c r="A281" s="5">
        <v>388531000101</v>
      </c>
      <c r="B281" s="7"/>
      <c r="C281" s="4"/>
      <c r="D281" s="6" t="s">
        <v>385</v>
      </c>
      <c r="E281" s="6" t="s">
        <v>120</v>
      </c>
      <c r="F281" s="6" t="s">
        <v>15</v>
      </c>
      <c r="G281" s="11" t="s">
        <v>20</v>
      </c>
      <c r="H281" s="6" t="s">
        <v>17</v>
      </c>
      <c r="I281" s="21" t="s">
        <v>1069</v>
      </c>
      <c r="J281" s="18">
        <f>VLOOKUP(A281,[2]Export!$A:$B,2,0)</f>
        <v>3373.594799286484</v>
      </c>
      <c r="K281" s="18">
        <f>VLOOKUP(A281,[2]Export!$A:$C,3,0)</f>
        <v>2545.0500000000002</v>
      </c>
      <c r="L281" s="19">
        <f t="shared" si="10"/>
        <v>0.75440298892394508</v>
      </c>
      <c r="M281" s="18">
        <f>VLOOKUP(A281,[2]Export!$A:$G,7,0)</f>
        <v>0</v>
      </c>
      <c r="N281" s="19">
        <f t="shared" si="11"/>
        <v>0</v>
      </c>
      <c r="O281" s="17"/>
      <c r="P281" s="17"/>
      <c r="Q281" s="17"/>
      <c r="R281" s="17" t="str">
        <f>VLOOKUP(A281,[1]Export!$A:$I,9,0)</f>
        <v>Não Comprou</v>
      </c>
      <c r="S281" s="17"/>
      <c r="T281" s="20"/>
      <c r="U281" s="17"/>
      <c r="V281" s="17"/>
    </row>
    <row r="282" spans="1:22" x14ac:dyDescent="0.35">
      <c r="A282" s="5">
        <v>10341045002631</v>
      </c>
      <c r="B282" s="7" t="s">
        <v>995</v>
      </c>
      <c r="C282" s="4"/>
      <c r="D282" s="6" t="s">
        <v>366</v>
      </c>
      <c r="E282" s="6" t="s">
        <v>386</v>
      </c>
      <c r="F282" s="6" t="s">
        <v>8</v>
      </c>
      <c r="G282" s="11" t="s">
        <v>9</v>
      </c>
      <c r="H282" s="6" t="s">
        <v>10</v>
      </c>
      <c r="I282" s="21" t="s">
        <v>1072</v>
      </c>
      <c r="J282" s="18">
        <f>VLOOKUP(A282,[2]Export!$A:$B,2,0)</f>
        <v>16432.303520948666</v>
      </c>
      <c r="K282" s="18">
        <f>VLOOKUP(A282,[2]Export!$A:$C,3,0)</f>
        <v>11664.21</v>
      </c>
      <c r="L282" s="19">
        <f t="shared" si="10"/>
        <v>0.70983413768677783</v>
      </c>
      <c r="M282" s="18">
        <f>VLOOKUP(A282,[2]Export!$A:$G,7,0)</f>
        <v>8313.91</v>
      </c>
      <c r="N282" s="19">
        <f t="shared" si="11"/>
        <v>0.50594915006292573</v>
      </c>
      <c r="O282" s="17" t="s">
        <v>1027</v>
      </c>
      <c r="P282" s="17" t="s">
        <v>1028</v>
      </c>
      <c r="Q282" s="17" t="s">
        <v>1023</v>
      </c>
      <c r="R282" s="17" t="str">
        <f>VLOOKUP(A282,[1]Export!$A:$I,9,0)</f>
        <v>Comprou Marcas e SG</v>
      </c>
      <c r="S282" s="17" t="s">
        <v>1022</v>
      </c>
      <c r="T282" s="20"/>
      <c r="U282" s="17"/>
      <c r="V282" s="17"/>
    </row>
    <row r="283" spans="1:22" x14ac:dyDescent="0.35">
      <c r="A283" s="4">
        <v>10341045001660</v>
      </c>
      <c r="B283" s="7" t="s">
        <v>995</v>
      </c>
      <c r="C283" s="4"/>
      <c r="D283" s="1" t="s">
        <v>25</v>
      </c>
      <c r="E283" s="1" t="s">
        <v>40</v>
      </c>
      <c r="F283" s="1" t="s">
        <v>8</v>
      </c>
      <c r="G283" s="10" t="s">
        <v>9</v>
      </c>
      <c r="H283" s="1" t="s">
        <v>10</v>
      </c>
      <c r="I283" s="21" t="s">
        <v>1070</v>
      </c>
      <c r="J283" s="18">
        <f>VLOOKUP(A283,[2]Export!$A:$B,2,0)</f>
        <v>9939.4349731348448</v>
      </c>
      <c r="K283" s="18">
        <f>VLOOKUP(A283,[2]Export!$A:$C,3,0)</f>
        <v>5195.54</v>
      </c>
      <c r="L283" s="19">
        <f t="shared" si="10"/>
        <v>0.52271985420126499</v>
      </c>
      <c r="M283" s="18">
        <f>VLOOKUP(A283,[2]Export!$A:$G,7,0)</f>
        <v>3488.889999999999</v>
      </c>
      <c r="N283" s="19">
        <f t="shared" si="11"/>
        <v>0.35101492282308494</v>
      </c>
      <c r="O283" s="17" t="s">
        <v>1027</v>
      </c>
      <c r="P283" s="17" t="s">
        <v>1028</v>
      </c>
      <c r="Q283" s="17" t="s">
        <v>1023</v>
      </c>
      <c r="R283" s="17" t="str">
        <f>VLOOKUP(A283,[1]Export!$A:$I,9,0)</f>
        <v>Comprou Marcas e SG</v>
      </c>
      <c r="S283" s="17" t="s">
        <v>1022</v>
      </c>
      <c r="T283" s="20"/>
      <c r="U283" s="17"/>
      <c r="V283" s="17"/>
    </row>
    <row r="284" spans="1:22" x14ac:dyDescent="0.35">
      <c r="A284" s="4">
        <v>1894476000186</v>
      </c>
      <c r="B284" s="7"/>
      <c r="C284" s="4"/>
      <c r="D284" s="1" t="s">
        <v>387</v>
      </c>
      <c r="E284" s="1" t="s">
        <v>388</v>
      </c>
      <c r="F284" s="1" t="s">
        <v>8</v>
      </c>
      <c r="G284" s="10" t="s">
        <v>36</v>
      </c>
      <c r="H284" s="1" t="s">
        <v>17</v>
      </c>
      <c r="I284" s="21" t="s">
        <v>1070</v>
      </c>
      <c r="J284" s="18">
        <f>VLOOKUP(A284,[2]Export!$A:$B,2,0)</f>
        <v>8291.7393723795612</v>
      </c>
      <c r="K284" s="18">
        <f>VLOOKUP(A284,[2]Export!$A:$C,3,0)</f>
        <v>2556.4999999999995</v>
      </c>
      <c r="L284" s="19">
        <f t="shared" si="10"/>
        <v>0.30831890453719552</v>
      </c>
      <c r="M284" s="18">
        <f>VLOOKUP(A284,[2]Export!$A:$G,7,0)</f>
        <v>2625.7</v>
      </c>
      <c r="N284" s="19">
        <f t="shared" si="11"/>
        <v>0.31666456000129645</v>
      </c>
      <c r="O284" s="17" t="s">
        <v>1025</v>
      </c>
      <c r="P284" s="17" t="s">
        <v>1026</v>
      </c>
      <c r="Q284" s="17" t="s">
        <v>1023</v>
      </c>
      <c r="R284" s="17" t="str">
        <f>VLOOKUP(A284,[1]Export!$A:$I,9,0)</f>
        <v>Comprou Marcas</v>
      </c>
      <c r="S284" s="17" t="s">
        <v>1022</v>
      </c>
      <c r="T284" s="20">
        <v>1</v>
      </c>
      <c r="U284" s="17"/>
      <c r="V284" s="17"/>
    </row>
    <row r="285" spans="1:22" x14ac:dyDescent="0.35">
      <c r="A285" s="5">
        <v>4834843002279</v>
      </c>
      <c r="B285" s="7" t="s">
        <v>994</v>
      </c>
      <c r="C285" s="4"/>
      <c r="D285" s="6" t="s">
        <v>91</v>
      </c>
      <c r="E285" s="6" t="s">
        <v>50</v>
      </c>
      <c r="F285" s="6" t="s">
        <v>48</v>
      </c>
      <c r="G285" s="11" t="s">
        <v>92</v>
      </c>
      <c r="H285" s="6" t="s">
        <v>17</v>
      </c>
      <c r="I285" s="21" t="s">
        <v>1071</v>
      </c>
      <c r="J285" s="18">
        <f>VLOOKUP(A285,[2]Export!$A:$B,2,0)</f>
        <v>19825.793681531533</v>
      </c>
      <c r="K285" s="18">
        <f>VLOOKUP(A285,[2]Export!$A:$C,3,0)</f>
        <v>12385.249999999996</v>
      </c>
      <c r="L285" s="19">
        <f t="shared" si="10"/>
        <v>0.62470386804929368</v>
      </c>
      <c r="M285" s="18">
        <f>VLOOKUP(A285,[2]Export!$A:$G,7,0)</f>
        <v>10991.229999999998</v>
      </c>
      <c r="N285" s="19">
        <f t="shared" si="11"/>
        <v>0.55439041566536318</v>
      </c>
      <c r="O285" s="17" t="s">
        <v>1027</v>
      </c>
      <c r="P285" s="17" t="s">
        <v>1028</v>
      </c>
      <c r="Q285" s="17" t="s">
        <v>1023</v>
      </c>
      <c r="R285" s="17" t="str">
        <f>VLOOKUP(A285,[1]Export!$A:$I,9,0)</f>
        <v>Comprou Marcas</v>
      </c>
      <c r="S285" s="17" t="s">
        <v>1022</v>
      </c>
      <c r="T285" s="20">
        <v>4</v>
      </c>
      <c r="U285" s="17"/>
      <c r="V285" s="17"/>
    </row>
    <row r="286" spans="1:22" x14ac:dyDescent="0.35">
      <c r="A286" s="4">
        <v>4972853000570</v>
      </c>
      <c r="B286" s="7" t="s">
        <v>135</v>
      </c>
      <c r="C286" s="4"/>
      <c r="D286" s="1" t="s">
        <v>134</v>
      </c>
      <c r="E286" s="1" t="s">
        <v>40</v>
      </c>
      <c r="F286" s="1" t="s">
        <v>8</v>
      </c>
      <c r="G286" s="10" t="s">
        <v>135</v>
      </c>
      <c r="H286" s="1" t="s">
        <v>17</v>
      </c>
      <c r="I286" s="21" t="s">
        <v>1070</v>
      </c>
      <c r="J286" s="18">
        <f>VLOOKUP(A286,[2]Export!$A:$B,2,0)</f>
        <v>13423.754819641865</v>
      </c>
      <c r="K286" s="18">
        <f>VLOOKUP(A286,[2]Export!$A:$C,3,0)</f>
        <v>11403.629999999996</v>
      </c>
      <c r="L286" s="19">
        <f t="shared" si="10"/>
        <v>0.84951119513252815</v>
      </c>
      <c r="M286" s="18">
        <f>VLOOKUP(A286,[2]Export!$A:$G,7,0)</f>
        <v>9071.8600000000042</v>
      </c>
      <c r="N286" s="19">
        <f t="shared" si="11"/>
        <v>0.67580644327069395</v>
      </c>
      <c r="O286" s="17" t="s">
        <v>1025</v>
      </c>
      <c r="P286" s="17" t="s">
        <v>1026</v>
      </c>
      <c r="Q286" s="17" t="s">
        <v>1022</v>
      </c>
      <c r="R286" s="17" t="str">
        <f>VLOOKUP(A286,[1]Export!$A:$I,9,0)</f>
        <v>Comprou Marcas e SG</v>
      </c>
      <c r="S286" s="17" t="s">
        <v>1022</v>
      </c>
      <c r="T286" s="20">
        <v>4</v>
      </c>
      <c r="U286" s="17"/>
      <c r="V286" s="17">
        <v>3</v>
      </c>
    </row>
    <row r="287" spans="1:22" x14ac:dyDescent="0.35">
      <c r="A287" s="4">
        <v>33909525000101</v>
      </c>
      <c r="B287" s="7"/>
      <c r="C287" s="4"/>
      <c r="D287" s="1" t="s">
        <v>65</v>
      </c>
      <c r="E287" s="1" t="s">
        <v>35</v>
      </c>
      <c r="F287" s="1" t="s">
        <v>8</v>
      </c>
      <c r="G287" s="10" t="s">
        <v>38</v>
      </c>
      <c r="H287" s="1" t="s">
        <v>17</v>
      </c>
      <c r="I287" s="21" t="s">
        <v>1070</v>
      </c>
      <c r="J287" s="18">
        <f>VLOOKUP(A287,[2]Export!$A:$B,2,0)</f>
        <v>2018.2027044538809</v>
      </c>
      <c r="K287" s="18">
        <f>VLOOKUP(A287,[2]Export!$A:$C,3,0)</f>
        <v>644.72</v>
      </c>
      <c r="L287" s="19">
        <f t="shared" si="10"/>
        <v>0.31945254982425525</v>
      </c>
      <c r="M287" s="18">
        <f>VLOOKUP(A287,[2]Export!$A:$G,7,0)</f>
        <v>500.28</v>
      </c>
      <c r="N287" s="19">
        <f t="shared" si="11"/>
        <v>0.24788392112246926</v>
      </c>
      <c r="O287" s="17" t="s">
        <v>1027</v>
      </c>
      <c r="P287" s="17" t="s">
        <v>1028</v>
      </c>
      <c r="Q287" s="17" t="s">
        <v>1023</v>
      </c>
      <c r="R287" s="17" t="str">
        <f>VLOOKUP(A287,[1]Export!$A:$I,9,0)</f>
        <v>Comprou Marcas</v>
      </c>
      <c r="S287" s="17" t="s">
        <v>1023</v>
      </c>
      <c r="T287" s="20"/>
      <c r="U287" s="17"/>
      <c r="V287" s="17"/>
    </row>
    <row r="288" spans="1:22" x14ac:dyDescent="0.35">
      <c r="A288" s="4">
        <v>8252612000183</v>
      </c>
      <c r="B288" s="7"/>
      <c r="C288" s="4"/>
      <c r="D288" s="1" t="s">
        <v>90</v>
      </c>
      <c r="E288" s="1" t="s">
        <v>391</v>
      </c>
      <c r="F288" s="1" t="s">
        <v>8</v>
      </c>
      <c r="G288" s="10" t="s">
        <v>64</v>
      </c>
      <c r="H288" s="1" t="s">
        <v>17</v>
      </c>
      <c r="I288" s="21" t="s">
        <v>1072</v>
      </c>
      <c r="J288" s="18">
        <f>VLOOKUP(A288,[2]Export!$A:$B,2,0)</f>
        <v>9850.7159583565408</v>
      </c>
      <c r="K288" s="18">
        <f>VLOOKUP(A288,[2]Export!$A:$C,3,0)</f>
        <v>4346.6900000000005</v>
      </c>
      <c r="L288" s="19">
        <f t="shared" si="10"/>
        <v>0.44125625166489796</v>
      </c>
      <c r="M288" s="18">
        <f>VLOOKUP(A288,[2]Export!$A:$G,7,0)</f>
        <v>0</v>
      </c>
      <c r="N288" s="19">
        <f t="shared" si="11"/>
        <v>0</v>
      </c>
      <c r="O288" s="17" t="s">
        <v>1029</v>
      </c>
      <c r="P288" s="17" t="s">
        <v>1026</v>
      </c>
      <c r="Q288" s="17" t="s">
        <v>1022</v>
      </c>
      <c r="R288" s="17" t="str">
        <f>VLOOKUP(A288,[1]Export!$A:$I,9,0)</f>
        <v>Não Comprou</v>
      </c>
      <c r="S288" s="17" t="s">
        <v>1022</v>
      </c>
      <c r="T288" s="20"/>
      <c r="U288" s="17"/>
      <c r="V288" s="17"/>
    </row>
    <row r="289" spans="1:22" x14ac:dyDescent="0.35">
      <c r="A289" s="5">
        <v>23585337000103</v>
      </c>
      <c r="B289" s="7"/>
      <c r="C289" s="4"/>
      <c r="D289" s="6" t="s">
        <v>392</v>
      </c>
      <c r="E289" s="6" t="s">
        <v>52</v>
      </c>
      <c r="F289" s="6" t="s">
        <v>8</v>
      </c>
      <c r="G289" s="11" t="s">
        <v>36</v>
      </c>
      <c r="H289" s="6" t="s">
        <v>17</v>
      </c>
      <c r="I289" s="21" t="s">
        <v>1072</v>
      </c>
      <c r="J289" s="18">
        <f>VLOOKUP(A289,[2]Export!$A:$B,2,0)</f>
        <v>5280.8004955206334</v>
      </c>
      <c r="K289" s="18">
        <f>VLOOKUP(A289,[2]Export!$A:$C,3,0)</f>
        <v>7634.1900000000005</v>
      </c>
      <c r="L289" s="19">
        <f t="shared" si="10"/>
        <v>1.4456501446088708</v>
      </c>
      <c r="M289" s="18">
        <f>VLOOKUP(A289,[2]Export!$A:$G,7,0)</f>
        <v>6430.329999999999</v>
      </c>
      <c r="N289" s="19">
        <f t="shared" si="11"/>
        <v>1.2176809189164481</v>
      </c>
      <c r="O289" s="17" t="s">
        <v>1025</v>
      </c>
      <c r="P289" s="17" t="s">
        <v>1026</v>
      </c>
      <c r="Q289" s="17" t="s">
        <v>1022</v>
      </c>
      <c r="R289" s="17" t="str">
        <f>VLOOKUP(A289,[1]Export!$A:$I,9,0)</f>
        <v>Comprou Marcas</v>
      </c>
      <c r="S289" s="17" t="s">
        <v>1022</v>
      </c>
      <c r="T289" s="20">
        <v>2</v>
      </c>
      <c r="U289" s="17"/>
      <c r="V289" s="17"/>
    </row>
    <row r="290" spans="1:22" x14ac:dyDescent="0.35">
      <c r="A290" s="4">
        <v>7832402000100</v>
      </c>
      <c r="B290" s="7"/>
      <c r="C290" s="4"/>
      <c r="D290" s="1" t="s">
        <v>393</v>
      </c>
      <c r="E290" s="1" t="s">
        <v>157</v>
      </c>
      <c r="F290" s="1" t="s">
        <v>48</v>
      </c>
      <c r="G290" s="10" t="s">
        <v>276</v>
      </c>
      <c r="H290" s="1" t="s">
        <v>17</v>
      </c>
      <c r="I290" s="21" t="s">
        <v>1071</v>
      </c>
      <c r="J290" s="18">
        <f>VLOOKUP(A290,[2]Export!$A:$B,2,0)</f>
        <v>2680.8963606454436</v>
      </c>
      <c r="K290" s="18">
        <f>VLOOKUP(A290,[2]Export!$A:$C,3,0)</f>
        <v>2049.23</v>
      </c>
      <c r="L290" s="19">
        <f t="shared" si="10"/>
        <v>0.76438240212562125</v>
      </c>
      <c r="M290" s="18">
        <f>VLOOKUP(A290,[2]Export!$A:$G,7,0)</f>
        <v>2118.36</v>
      </c>
      <c r="N290" s="19">
        <f t="shared" si="11"/>
        <v>0.79016855373327111</v>
      </c>
      <c r="O290" s="17" t="s">
        <v>1025</v>
      </c>
      <c r="P290" s="17" t="s">
        <v>1026</v>
      </c>
      <c r="Q290" s="17" t="s">
        <v>1022</v>
      </c>
      <c r="R290" s="17" t="str">
        <f>VLOOKUP(A290,[1]Export!$A:$I,9,0)</f>
        <v>Comprou Marcas</v>
      </c>
      <c r="S290" s="17" t="s">
        <v>1022</v>
      </c>
      <c r="T290" s="20"/>
      <c r="U290" s="17"/>
      <c r="V290" s="17"/>
    </row>
    <row r="291" spans="1:22" x14ac:dyDescent="0.35">
      <c r="A291" s="5">
        <v>10341045000507</v>
      </c>
      <c r="B291" s="7" t="s">
        <v>995</v>
      </c>
      <c r="C291" s="4"/>
      <c r="D291" s="6" t="s">
        <v>25</v>
      </c>
      <c r="E291" s="6" t="s">
        <v>115</v>
      </c>
      <c r="F291" s="6" t="s">
        <v>8</v>
      </c>
      <c r="G291" s="11" t="s">
        <v>9</v>
      </c>
      <c r="H291" s="6" t="s">
        <v>10</v>
      </c>
      <c r="I291" s="21" t="s">
        <v>1066</v>
      </c>
      <c r="J291" s="18">
        <f>VLOOKUP(A291,[2]Export!$A:$B,2,0)</f>
        <v>14454.47574507448</v>
      </c>
      <c r="K291" s="18">
        <f>VLOOKUP(A291,[2]Export!$A:$C,3,0)</f>
        <v>7440.3299999999981</v>
      </c>
      <c r="L291" s="19">
        <f t="shared" si="10"/>
        <v>0.51474229375184166</v>
      </c>
      <c r="M291" s="18">
        <f>VLOOKUP(A291,[2]Export!$A:$G,7,0)</f>
        <v>5172.8999999999996</v>
      </c>
      <c r="N291" s="19">
        <f t="shared" si="11"/>
        <v>0.35787531081939944</v>
      </c>
      <c r="O291" s="17" t="s">
        <v>1027</v>
      </c>
      <c r="P291" s="17" t="s">
        <v>1028</v>
      </c>
      <c r="Q291" s="17" t="s">
        <v>1023</v>
      </c>
      <c r="R291" s="17" t="str">
        <f>VLOOKUP(A291,[1]Export!$A:$I,9,0)</f>
        <v>Comprou Marcas e SG</v>
      </c>
      <c r="S291" s="17"/>
      <c r="T291" s="20"/>
      <c r="U291" s="17"/>
      <c r="V291" s="17"/>
    </row>
    <row r="292" spans="1:22" x14ac:dyDescent="0.35">
      <c r="A292" s="4">
        <v>24724080000196</v>
      </c>
      <c r="B292" s="7"/>
      <c r="C292" s="4"/>
      <c r="D292" s="1" t="s">
        <v>395</v>
      </c>
      <c r="E292" s="1" t="s">
        <v>127</v>
      </c>
      <c r="F292" s="1" t="s">
        <v>8</v>
      </c>
      <c r="G292" s="10" t="s">
        <v>20</v>
      </c>
      <c r="H292" s="1" t="s">
        <v>17</v>
      </c>
      <c r="I292" s="21" t="s">
        <v>1068</v>
      </c>
      <c r="J292" s="18">
        <f>VLOOKUP(A292,[2]Export!$A:$B,2,0)</f>
        <v>1577.0543787302042</v>
      </c>
      <c r="K292" s="18">
        <f>VLOOKUP(A292,[2]Export!$A:$C,3,0)</f>
        <v>1238.7700000000002</v>
      </c>
      <c r="L292" s="19">
        <f t="shared" si="10"/>
        <v>0.78549605943037915</v>
      </c>
      <c r="M292" s="18">
        <f>VLOOKUP(A292,[2]Export!$A:$G,7,0)</f>
        <v>0</v>
      </c>
      <c r="N292" s="19">
        <f t="shared" si="11"/>
        <v>0</v>
      </c>
      <c r="O292" s="17" t="s">
        <v>1025</v>
      </c>
      <c r="P292" s="17" t="s">
        <v>1026</v>
      </c>
      <c r="Q292" s="17" t="s">
        <v>1023</v>
      </c>
      <c r="R292" s="17" t="str">
        <f>VLOOKUP(A292,[1]Export!$A:$I,9,0)</f>
        <v>Não Comprou</v>
      </c>
      <c r="S292" s="17" t="s">
        <v>1022</v>
      </c>
      <c r="T292" s="20"/>
      <c r="U292" s="17"/>
      <c r="V292" s="17"/>
    </row>
    <row r="293" spans="1:22" x14ac:dyDescent="0.35">
      <c r="A293" s="5">
        <v>26829291000119</v>
      </c>
      <c r="B293" s="7"/>
      <c r="C293" s="4"/>
      <c r="D293" s="6" t="s">
        <v>396</v>
      </c>
      <c r="E293" s="6" t="s">
        <v>305</v>
      </c>
      <c r="F293" s="6" t="s">
        <v>15</v>
      </c>
      <c r="G293" s="11" t="s">
        <v>36</v>
      </c>
      <c r="H293" s="6" t="s">
        <v>17</v>
      </c>
      <c r="I293" s="21" t="s">
        <v>1069</v>
      </c>
      <c r="J293" s="18">
        <f>VLOOKUP(A293,[2]Export!$A:$B,2,0)</f>
        <v>2915.9136037348076</v>
      </c>
      <c r="K293" s="18">
        <f>VLOOKUP(A293,[2]Export!$A:$C,3,0)</f>
        <v>2450.0100000000002</v>
      </c>
      <c r="L293" s="19">
        <f t="shared" si="10"/>
        <v>0.8402203675931752</v>
      </c>
      <c r="M293" s="18">
        <f>VLOOKUP(A293,[2]Export!$A:$G,7,0)</f>
        <v>1393.11</v>
      </c>
      <c r="N293" s="19">
        <f t="shared" si="11"/>
        <v>0.47776106885185288</v>
      </c>
      <c r="O293" s="17" t="s">
        <v>1025</v>
      </c>
      <c r="P293" s="17" t="s">
        <v>1026</v>
      </c>
      <c r="Q293" s="17" t="s">
        <v>1023</v>
      </c>
      <c r="R293" s="17" t="str">
        <f>VLOOKUP(A293,[1]Export!$A:$I,9,0)</f>
        <v>Comprou Marcas</v>
      </c>
      <c r="S293" s="17" t="s">
        <v>1023</v>
      </c>
      <c r="T293" s="20"/>
      <c r="U293" s="17"/>
      <c r="V293" s="17"/>
    </row>
    <row r="294" spans="1:22" x14ac:dyDescent="0.35">
      <c r="A294" s="4">
        <v>35652065000104</v>
      </c>
      <c r="B294" s="7"/>
      <c r="C294" s="4"/>
      <c r="D294" s="1" t="s">
        <v>397</v>
      </c>
      <c r="E294" s="1" t="s">
        <v>398</v>
      </c>
      <c r="F294" s="1" t="s">
        <v>8</v>
      </c>
      <c r="G294" s="10" t="s">
        <v>20</v>
      </c>
      <c r="H294" s="1" t="s">
        <v>17</v>
      </c>
      <c r="I294" s="21" t="s">
        <v>1068</v>
      </c>
      <c r="J294" s="18">
        <f>VLOOKUP(A294,[2]Export!$A:$B,2,0)</f>
        <v>294.21825439516203</v>
      </c>
      <c r="K294" s="18">
        <f>VLOOKUP(A294,[2]Export!$A:$C,3,0)</f>
        <v>0</v>
      </c>
      <c r="L294" s="19">
        <f t="shared" si="10"/>
        <v>0</v>
      </c>
      <c r="M294" s="18">
        <f>VLOOKUP(A294,[2]Export!$A:$G,7,0)</f>
        <v>0</v>
      </c>
      <c r="N294" s="19">
        <f t="shared" si="11"/>
        <v>0</v>
      </c>
      <c r="O294" s="17" t="s">
        <v>1025</v>
      </c>
      <c r="P294" s="17" t="s">
        <v>1026</v>
      </c>
      <c r="Q294" s="17" t="s">
        <v>1023</v>
      </c>
      <c r="R294" s="17" t="str">
        <f>VLOOKUP(A294,[1]Export!$A:$I,9,0)</f>
        <v>Não Comprou</v>
      </c>
      <c r="S294" s="17" t="s">
        <v>1023</v>
      </c>
      <c r="T294" s="20"/>
      <c r="U294" s="17"/>
      <c r="V294" s="17"/>
    </row>
    <row r="295" spans="1:22" x14ac:dyDescent="0.35">
      <c r="A295" s="5">
        <v>37515566000166</v>
      </c>
      <c r="B295" s="7"/>
      <c r="C295" s="4"/>
      <c r="D295" s="6" t="s">
        <v>399</v>
      </c>
      <c r="E295" s="6" t="s">
        <v>400</v>
      </c>
      <c r="F295" s="6" t="s">
        <v>8</v>
      </c>
      <c r="G295" s="11" t="s">
        <v>36</v>
      </c>
      <c r="H295" s="6" t="s">
        <v>17</v>
      </c>
      <c r="I295" s="21" t="s">
        <v>1072</v>
      </c>
      <c r="J295" s="18">
        <f>VLOOKUP(A295,[2]Export!$A:$B,2,0)</f>
        <v>3452.6163212742108</v>
      </c>
      <c r="K295" s="18">
        <f>VLOOKUP(A295,[2]Export!$A:$C,3,0)</f>
        <v>1424.3400000000001</v>
      </c>
      <c r="L295" s="19">
        <f t="shared" si="10"/>
        <v>0.41253932307031965</v>
      </c>
      <c r="M295" s="18">
        <f>VLOOKUP(A295,[2]Export!$A:$G,7,0)</f>
        <v>137.85</v>
      </c>
      <c r="N295" s="19">
        <f t="shared" si="11"/>
        <v>3.9926243512955865E-2</v>
      </c>
      <c r="O295" s="17" t="s">
        <v>1025</v>
      </c>
      <c r="P295" s="17" t="s">
        <v>1026</v>
      </c>
      <c r="Q295" s="17" t="s">
        <v>1023</v>
      </c>
      <c r="R295" s="17" t="str">
        <f>VLOOKUP(A295,[1]Export!$A:$I,9,0)</f>
        <v>Comprou Marcas</v>
      </c>
      <c r="S295" s="17" t="s">
        <v>1022</v>
      </c>
      <c r="T295" s="20"/>
      <c r="U295" s="17"/>
      <c r="V295" s="17"/>
    </row>
    <row r="296" spans="1:22" x14ac:dyDescent="0.35">
      <c r="A296" s="4">
        <v>67943415000170</v>
      </c>
      <c r="B296" s="7"/>
      <c r="C296" s="4"/>
      <c r="D296" s="1" t="s">
        <v>401</v>
      </c>
      <c r="E296" s="1" t="s">
        <v>50</v>
      </c>
      <c r="F296" s="1" t="s">
        <v>48</v>
      </c>
      <c r="G296" s="10" t="s">
        <v>20</v>
      </c>
      <c r="H296" s="1" t="s">
        <v>17</v>
      </c>
      <c r="I296" s="21" t="s">
        <v>1071</v>
      </c>
      <c r="J296" s="18">
        <f>VLOOKUP(A296,[2]Export!$A:$B,2,0)</f>
        <v>1821.0399323943204</v>
      </c>
      <c r="K296" s="18">
        <f>VLOOKUP(A296,[2]Export!$A:$C,3,0)</f>
        <v>717.8900000000001</v>
      </c>
      <c r="L296" s="19">
        <f t="shared" si="10"/>
        <v>0.39421980113094585</v>
      </c>
      <c r="M296" s="18">
        <f>VLOOKUP(A296,[2]Export!$A:$G,7,0)</f>
        <v>0</v>
      </c>
      <c r="N296" s="19">
        <f t="shared" si="11"/>
        <v>0</v>
      </c>
      <c r="O296" s="17"/>
      <c r="P296" s="17"/>
      <c r="Q296" s="17"/>
      <c r="R296" s="17" t="str">
        <f>VLOOKUP(A296,[1]Export!$A:$I,9,0)</f>
        <v>Não Comprou</v>
      </c>
      <c r="S296" s="17"/>
      <c r="T296" s="20"/>
      <c r="U296" s="17"/>
      <c r="V296" s="17"/>
    </row>
    <row r="297" spans="1:22" x14ac:dyDescent="0.35">
      <c r="A297" s="5">
        <v>57331628000197</v>
      </c>
      <c r="B297" s="7"/>
      <c r="C297" s="4"/>
      <c r="D297" s="6" t="s">
        <v>402</v>
      </c>
      <c r="E297" s="6" t="s">
        <v>182</v>
      </c>
      <c r="F297" s="6" t="s">
        <v>8</v>
      </c>
      <c r="G297" s="11" t="s">
        <v>36</v>
      </c>
      <c r="H297" s="6" t="s">
        <v>17</v>
      </c>
      <c r="I297" s="21" t="s">
        <v>1072</v>
      </c>
      <c r="J297" s="18">
        <f>VLOOKUP(A297,[2]Export!$A:$B,2,0)</f>
        <v>2042.0638189037395</v>
      </c>
      <c r="K297" s="18">
        <f>VLOOKUP(A297,[2]Export!$A:$C,3,0)</f>
        <v>1838.3400000000004</v>
      </c>
      <c r="L297" s="19">
        <f t="shared" si="10"/>
        <v>0.90023631141307514</v>
      </c>
      <c r="M297" s="18">
        <f>VLOOKUP(A297,[2]Export!$A:$G,7,0)</f>
        <v>1014.78</v>
      </c>
      <c r="N297" s="19">
        <f t="shared" si="11"/>
        <v>0.49693843581478953</v>
      </c>
      <c r="O297" s="17" t="s">
        <v>1025</v>
      </c>
      <c r="P297" s="17" t="s">
        <v>1026</v>
      </c>
      <c r="Q297" s="17" t="s">
        <v>1023</v>
      </c>
      <c r="R297" s="17" t="str">
        <f>VLOOKUP(A297,[1]Export!$A:$I,9,0)</f>
        <v>Comprou Marcas</v>
      </c>
      <c r="S297" s="17" t="s">
        <v>1023</v>
      </c>
      <c r="T297" s="20"/>
      <c r="U297" s="17"/>
      <c r="V297" s="17"/>
    </row>
    <row r="298" spans="1:22" x14ac:dyDescent="0.35">
      <c r="A298" s="4">
        <v>58219068000146</v>
      </c>
      <c r="B298" s="7"/>
      <c r="C298" s="4"/>
      <c r="D298" s="1" t="s">
        <v>403</v>
      </c>
      <c r="E298" s="1" t="s">
        <v>379</v>
      </c>
      <c r="F298" s="1" t="s">
        <v>15</v>
      </c>
      <c r="G298" s="10" t="s">
        <v>20</v>
      </c>
      <c r="H298" s="1" t="s">
        <v>17</v>
      </c>
      <c r="I298" s="21" t="s">
        <v>1073</v>
      </c>
      <c r="J298" s="18">
        <f>VLOOKUP(A298,[2]Export!$A:$B,2,0)</f>
        <v>2737.8356541816606</v>
      </c>
      <c r="K298" s="18">
        <f>VLOOKUP(A298,[2]Export!$A:$C,3,0)</f>
        <v>996.9899999999999</v>
      </c>
      <c r="L298" s="19">
        <f t="shared" si="10"/>
        <v>0.36415261028441837</v>
      </c>
      <c r="M298" s="18">
        <f>VLOOKUP(A298,[2]Export!$A:$G,7,0)</f>
        <v>383.86</v>
      </c>
      <c r="N298" s="19">
        <f t="shared" si="11"/>
        <v>0.14020563996005664</v>
      </c>
      <c r="O298" s="17" t="s">
        <v>1025</v>
      </c>
      <c r="P298" s="17" t="s">
        <v>1026</v>
      </c>
      <c r="Q298" s="17" t="s">
        <v>1023</v>
      </c>
      <c r="R298" s="17" t="str">
        <f>VLOOKUP(A298,[1]Export!$A:$I,9,0)</f>
        <v>Comprou Marcas</v>
      </c>
      <c r="S298" s="17" t="s">
        <v>1023</v>
      </c>
      <c r="T298" s="20"/>
      <c r="U298" s="17"/>
      <c r="V298" s="17"/>
    </row>
    <row r="299" spans="1:22" x14ac:dyDescent="0.35">
      <c r="A299" s="5">
        <v>4268705000145</v>
      </c>
      <c r="B299" s="7"/>
      <c r="C299" s="4"/>
      <c r="D299" s="6" t="s">
        <v>268</v>
      </c>
      <c r="E299" s="6" t="s">
        <v>24</v>
      </c>
      <c r="F299" s="6" t="s">
        <v>15</v>
      </c>
      <c r="G299" s="11" t="s">
        <v>36</v>
      </c>
      <c r="H299" s="6" t="s">
        <v>17</v>
      </c>
      <c r="I299" s="21" t="s">
        <v>1069</v>
      </c>
      <c r="J299" s="18">
        <f>VLOOKUP(A299,[2]Export!$A:$B,2,0)</f>
        <v>1862.461117057082</v>
      </c>
      <c r="K299" s="18">
        <f>VLOOKUP(A299,[2]Export!$A:$C,3,0)</f>
        <v>746.35</v>
      </c>
      <c r="L299" s="19">
        <f t="shared" si="10"/>
        <v>0.40073319822070969</v>
      </c>
      <c r="M299" s="18">
        <f>VLOOKUP(A299,[2]Export!$A:$G,7,0)</f>
        <v>195.37</v>
      </c>
      <c r="N299" s="19">
        <f t="shared" si="11"/>
        <v>0.10489883424181691</v>
      </c>
      <c r="O299" s="17" t="s">
        <v>1025</v>
      </c>
      <c r="P299" s="17" t="s">
        <v>1026</v>
      </c>
      <c r="Q299" s="17" t="s">
        <v>1023</v>
      </c>
      <c r="R299" s="17" t="str">
        <f>VLOOKUP(A299,[1]Export!$A:$I,9,0)</f>
        <v>Comprou Marcas</v>
      </c>
      <c r="S299" s="17" t="s">
        <v>1022</v>
      </c>
      <c r="T299" s="20"/>
      <c r="U299" s="17"/>
      <c r="V299" s="17"/>
    </row>
    <row r="300" spans="1:22" x14ac:dyDescent="0.35">
      <c r="A300" s="4">
        <v>40735109000191</v>
      </c>
      <c r="B300" s="7"/>
      <c r="C300" s="4"/>
      <c r="D300" s="1" t="s">
        <v>185</v>
      </c>
      <c r="E300" s="1" t="s">
        <v>35</v>
      </c>
      <c r="F300" s="1" t="s">
        <v>8</v>
      </c>
      <c r="G300" s="10" t="s">
        <v>38</v>
      </c>
      <c r="H300" s="1" t="s">
        <v>17</v>
      </c>
      <c r="I300" s="21" t="s">
        <v>1070</v>
      </c>
      <c r="J300" s="18">
        <f>VLOOKUP(A300,[2]Export!$A:$B,2,0)</f>
        <v>1139.9686563609407</v>
      </c>
      <c r="K300" s="18">
        <f>VLOOKUP(A300,[2]Export!$A:$C,3,0)</f>
        <v>75.400000000000006</v>
      </c>
      <c r="L300" s="19">
        <f t="shared" si="10"/>
        <v>6.6142169417793717E-2</v>
      </c>
      <c r="M300" s="18">
        <f>VLOOKUP(A300,[2]Export!$A:$G,7,0)</f>
        <v>0</v>
      </c>
      <c r="N300" s="19">
        <f t="shared" si="11"/>
        <v>0</v>
      </c>
      <c r="O300" s="17" t="s">
        <v>1027</v>
      </c>
      <c r="P300" s="17" t="s">
        <v>1028</v>
      </c>
      <c r="Q300" s="17" t="s">
        <v>1023</v>
      </c>
      <c r="R300" s="17" t="str">
        <f>VLOOKUP(A300,[1]Export!$A:$I,9,0)</f>
        <v>Não Comprou</v>
      </c>
      <c r="S300" s="17" t="s">
        <v>1023</v>
      </c>
      <c r="T300" s="20"/>
      <c r="U300" s="17"/>
      <c r="V300" s="17"/>
    </row>
    <row r="301" spans="1:22" x14ac:dyDescent="0.35">
      <c r="A301" s="5">
        <v>4834843001388</v>
      </c>
      <c r="B301" s="7" t="s">
        <v>994</v>
      </c>
      <c r="C301" s="4"/>
      <c r="D301" s="6" t="s">
        <v>91</v>
      </c>
      <c r="E301" s="6" t="s">
        <v>405</v>
      </c>
      <c r="F301" s="6" t="s">
        <v>48</v>
      </c>
      <c r="G301" s="11" t="s">
        <v>92</v>
      </c>
      <c r="H301" s="6" t="s">
        <v>17</v>
      </c>
      <c r="I301" s="21" t="s">
        <v>1071</v>
      </c>
      <c r="J301" s="18">
        <f>VLOOKUP(A301,[2]Export!$A:$B,2,0)</f>
        <v>5752.6982582331648</v>
      </c>
      <c r="K301" s="18">
        <f>VLOOKUP(A301,[2]Export!$A:$C,3,0)</f>
        <v>2824.34</v>
      </c>
      <c r="L301" s="19">
        <f t="shared" si="10"/>
        <v>0.49095917658428412</v>
      </c>
      <c r="M301" s="18">
        <f>VLOOKUP(A301,[2]Export!$A:$G,7,0)</f>
        <v>2055.9400000000005</v>
      </c>
      <c r="N301" s="19">
        <f t="shared" si="11"/>
        <v>0.35738707432769895</v>
      </c>
      <c r="O301" s="17" t="s">
        <v>1027</v>
      </c>
      <c r="P301" s="17" t="s">
        <v>1028</v>
      </c>
      <c r="Q301" s="17" t="s">
        <v>1023</v>
      </c>
      <c r="R301" s="17" t="str">
        <f>VLOOKUP(A301,[1]Export!$A:$I,9,0)</f>
        <v>Comprou Marcas</v>
      </c>
      <c r="S301" s="17" t="s">
        <v>1022</v>
      </c>
      <c r="T301" s="20"/>
      <c r="U301" s="17"/>
      <c r="V301" s="17"/>
    </row>
    <row r="302" spans="1:22" x14ac:dyDescent="0.35">
      <c r="A302" s="4">
        <v>4834843002945</v>
      </c>
      <c r="B302" s="7" t="s">
        <v>994</v>
      </c>
      <c r="C302" s="4"/>
      <c r="D302" s="1" t="s">
        <v>91</v>
      </c>
      <c r="E302" s="1" t="s">
        <v>406</v>
      </c>
      <c r="F302" s="1" t="s">
        <v>48</v>
      </c>
      <c r="G302" s="10" t="s">
        <v>92</v>
      </c>
      <c r="H302" s="1" t="s">
        <v>17</v>
      </c>
      <c r="I302" s="21" t="s">
        <v>1071</v>
      </c>
      <c r="J302" s="18">
        <f>VLOOKUP(A302,[2]Export!$A:$B,2,0)</f>
        <v>4551.4157960586217</v>
      </c>
      <c r="K302" s="18">
        <f>VLOOKUP(A302,[2]Export!$A:$C,3,0)</f>
        <v>4686.59</v>
      </c>
      <c r="L302" s="19">
        <f t="shared" si="10"/>
        <v>1.0296993748754915</v>
      </c>
      <c r="M302" s="18">
        <f>VLOOKUP(A302,[2]Export!$A:$G,7,0)</f>
        <v>2851.9999999999991</v>
      </c>
      <c r="N302" s="19">
        <f t="shared" si="11"/>
        <v>0.62661820580526584</v>
      </c>
      <c r="O302" s="17" t="s">
        <v>1027</v>
      </c>
      <c r="P302" s="17" t="s">
        <v>1028</v>
      </c>
      <c r="Q302" s="17" t="s">
        <v>1023</v>
      </c>
      <c r="R302" s="17" t="str">
        <f>VLOOKUP(A302,[1]Export!$A:$I,9,0)</f>
        <v>Comprou Marcas</v>
      </c>
      <c r="S302" s="17" t="s">
        <v>1022</v>
      </c>
      <c r="T302" s="20"/>
      <c r="U302" s="17"/>
      <c r="V302" s="17"/>
    </row>
    <row r="303" spans="1:22" x14ac:dyDescent="0.35">
      <c r="A303" s="5">
        <v>5088829000101</v>
      </c>
      <c r="B303" s="7"/>
      <c r="C303" s="4"/>
      <c r="D303" s="6" t="s">
        <v>407</v>
      </c>
      <c r="E303" s="6" t="s">
        <v>388</v>
      </c>
      <c r="F303" s="6" t="s">
        <v>8</v>
      </c>
      <c r="G303" s="11" t="s">
        <v>20</v>
      </c>
      <c r="H303" s="6" t="s">
        <v>17</v>
      </c>
      <c r="I303" s="21" t="s">
        <v>1070</v>
      </c>
      <c r="J303" s="18">
        <f>VLOOKUP(A303,[2]Export!$A:$B,2,0)</f>
        <v>12966.05016092217</v>
      </c>
      <c r="K303" s="18">
        <f>VLOOKUP(A303,[2]Export!$A:$C,3,0)</f>
        <v>4319.08</v>
      </c>
      <c r="L303" s="19">
        <f t="shared" si="10"/>
        <v>0.33310684027870663</v>
      </c>
      <c r="M303" s="18">
        <f>VLOOKUP(A303,[2]Export!$A:$G,7,0)</f>
        <v>2181.16</v>
      </c>
      <c r="N303" s="19">
        <f t="shared" si="11"/>
        <v>0.1682208516031895</v>
      </c>
      <c r="O303" s="17" t="s">
        <v>1027</v>
      </c>
      <c r="P303" s="17" t="s">
        <v>1028</v>
      </c>
      <c r="Q303" s="17" t="s">
        <v>1023</v>
      </c>
      <c r="R303" s="17" t="str">
        <f>VLOOKUP(A303,[1]Export!$A:$I,9,0)</f>
        <v>Comprou Marcas</v>
      </c>
      <c r="S303" s="17" t="s">
        <v>1022</v>
      </c>
      <c r="T303" s="20">
        <v>4</v>
      </c>
      <c r="U303" s="17"/>
      <c r="V303" s="17"/>
    </row>
    <row r="304" spans="1:22" x14ac:dyDescent="0.35">
      <c r="A304" s="4">
        <v>5235693000115</v>
      </c>
      <c r="B304" s="7"/>
      <c r="C304" s="4"/>
      <c r="D304" s="1" t="s">
        <v>408</v>
      </c>
      <c r="E304" s="1" t="s">
        <v>94</v>
      </c>
      <c r="F304" s="1" t="s">
        <v>15</v>
      </c>
      <c r="G304" s="10" t="s">
        <v>36</v>
      </c>
      <c r="H304" s="1" t="s">
        <v>17</v>
      </c>
      <c r="I304" s="21" t="s">
        <v>1069</v>
      </c>
      <c r="J304" s="18">
        <f>VLOOKUP(A304,[2]Export!$A:$B,2,0)</f>
        <v>6210.4684904646874</v>
      </c>
      <c r="K304" s="18">
        <f>VLOOKUP(A304,[2]Export!$A:$C,3,0)</f>
        <v>2894.630000000001</v>
      </c>
      <c r="L304" s="19">
        <f t="shared" si="10"/>
        <v>0.46608883121205813</v>
      </c>
      <c r="M304" s="18">
        <f>VLOOKUP(A304,[2]Export!$A:$G,7,0)</f>
        <v>2361.59</v>
      </c>
      <c r="N304" s="19">
        <f t="shared" si="11"/>
        <v>0.38025955749166007</v>
      </c>
      <c r="O304" s="17" t="s">
        <v>1025</v>
      </c>
      <c r="P304" s="17" t="s">
        <v>1026</v>
      </c>
      <c r="Q304" s="17" t="s">
        <v>1022</v>
      </c>
      <c r="R304" s="17" t="str">
        <f>VLOOKUP(A304,[1]Export!$A:$I,9,0)</f>
        <v>Comprou Marcas e SG</v>
      </c>
      <c r="S304" s="17" t="s">
        <v>1022</v>
      </c>
      <c r="T304" s="20"/>
      <c r="U304" s="17"/>
      <c r="V304" s="17"/>
    </row>
    <row r="305" spans="1:22" x14ac:dyDescent="0.35">
      <c r="A305" s="5">
        <v>1090014000106</v>
      </c>
      <c r="B305" s="7"/>
      <c r="C305" s="4"/>
      <c r="D305" s="6" t="s">
        <v>409</v>
      </c>
      <c r="E305" s="6" t="s">
        <v>94</v>
      </c>
      <c r="F305" s="6" t="s">
        <v>15</v>
      </c>
      <c r="G305" s="11" t="s">
        <v>36</v>
      </c>
      <c r="H305" s="6" t="s">
        <v>17</v>
      </c>
      <c r="I305" s="21" t="s">
        <v>1069</v>
      </c>
      <c r="J305" s="18">
        <f>VLOOKUP(A305,[2]Export!$A:$B,2,0)</f>
        <v>1005.0131079415311</v>
      </c>
      <c r="K305" s="18">
        <f>VLOOKUP(A305,[2]Export!$A:$C,3,0)</f>
        <v>408.51</v>
      </c>
      <c r="L305" s="19">
        <f t="shared" si="10"/>
        <v>0.40647231043255805</v>
      </c>
      <c r="M305" s="18">
        <f>VLOOKUP(A305,[2]Export!$A:$G,7,0)</f>
        <v>0</v>
      </c>
      <c r="N305" s="19">
        <f t="shared" si="11"/>
        <v>0</v>
      </c>
      <c r="O305" s="17" t="s">
        <v>1025</v>
      </c>
      <c r="P305" s="17" t="s">
        <v>1026</v>
      </c>
      <c r="Q305" s="17" t="s">
        <v>1022</v>
      </c>
      <c r="R305" s="17" t="str">
        <f>VLOOKUP(A305,[1]Export!$A:$I,9,0)</f>
        <v>Não Comprou</v>
      </c>
      <c r="S305" s="17" t="s">
        <v>1023</v>
      </c>
      <c r="T305" s="20"/>
      <c r="U305" s="17"/>
      <c r="V305" s="17"/>
    </row>
    <row r="306" spans="1:22" x14ac:dyDescent="0.35">
      <c r="A306" s="4">
        <v>2330544000147</v>
      </c>
      <c r="B306" s="7"/>
      <c r="C306" s="4"/>
      <c r="D306" s="1" t="s">
        <v>410</v>
      </c>
      <c r="E306" s="1" t="s">
        <v>7</v>
      </c>
      <c r="F306" s="1" t="s">
        <v>8</v>
      </c>
      <c r="G306" s="10" t="s">
        <v>16</v>
      </c>
      <c r="H306" s="1" t="s">
        <v>17</v>
      </c>
      <c r="I306" s="21" t="s">
        <v>1066</v>
      </c>
      <c r="J306" s="18">
        <f>VLOOKUP(A306,[2]Export!$A:$B,2,0)</f>
        <v>3629.4108994481644</v>
      </c>
      <c r="K306" s="18">
        <f>VLOOKUP(A306,[2]Export!$A:$C,3,0)</f>
        <v>2080.94</v>
      </c>
      <c r="L306" s="19">
        <f t="shared" si="10"/>
        <v>0.5733547558135117</v>
      </c>
      <c r="M306" s="18">
        <f>VLOOKUP(A306,[2]Export!$A:$G,7,0)</f>
        <v>1195.33</v>
      </c>
      <c r="N306" s="19">
        <f t="shared" si="11"/>
        <v>0.32934545939170029</v>
      </c>
      <c r="O306" s="17" t="s">
        <v>1027</v>
      </c>
      <c r="P306" s="17" t="s">
        <v>1028</v>
      </c>
      <c r="Q306" s="17" t="s">
        <v>1023</v>
      </c>
      <c r="R306" s="17" t="str">
        <f>VLOOKUP(A306,[1]Export!$A:$I,9,0)</f>
        <v>Comprou Marcas</v>
      </c>
      <c r="S306" s="17" t="s">
        <v>1023</v>
      </c>
      <c r="T306" s="20"/>
      <c r="U306" s="17"/>
      <c r="V306" s="17">
        <v>1</v>
      </c>
    </row>
    <row r="307" spans="1:22" x14ac:dyDescent="0.35">
      <c r="A307" s="5">
        <v>3300964000143</v>
      </c>
      <c r="B307" s="7"/>
      <c r="C307" s="4"/>
      <c r="D307" s="6" t="s">
        <v>411</v>
      </c>
      <c r="E307" s="6" t="s">
        <v>221</v>
      </c>
      <c r="F307" s="6" t="s">
        <v>15</v>
      </c>
      <c r="G307" s="11" t="s">
        <v>36</v>
      </c>
      <c r="H307" s="6" t="s">
        <v>17</v>
      </c>
      <c r="I307" s="21" t="s">
        <v>1073</v>
      </c>
      <c r="J307" s="18">
        <f>VLOOKUP(A307,[2]Export!$A:$B,2,0)</f>
        <v>3344.509621414365</v>
      </c>
      <c r="K307" s="18">
        <f>VLOOKUP(A307,[2]Export!$A:$C,3,0)</f>
        <v>364.99</v>
      </c>
      <c r="L307" s="19">
        <f t="shared" si="10"/>
        <v>0.1091310958303205</v>
      </c>
      <c r="M307" s="18">
        <f>VLOOKUP(A307,[2]Export!$A:$G,7,0)</f>
        <v>194.67000000000002</v>
      </c>
      <c r="N307" s="19">
        <f t="shared" si="11"/>
        <v>5.82058424211307E-2</v>
      </c>
      <c r="O307" s="17" t="s">
        <v>1025</v>
      </c>
      <c r="P307" s="17" t="s">
        <v>1026</v>
      </c>
      <c r="Q307" s="17" t="s">
        <v>1023</v>
      </c>
      <c r="R307" s="17" t="str">
        <f>VLOOKUP(A307,[1]Export!$A:$I,9,0)</f>
        <v>Comprou Marcas</v>
      </c>
      <c r="S307" s="17" t="s">
        <v>1023</v>
      </c>
      <c r="T307" s="20"/>
      <c r="U307" s="17"/>
      <c r="V307" s="17"/>
    </row>
    <row r="308" spans="1:22" x14ac:dyDescent="0.35">
      <c r="A308" s="4">
        <v>4252211000172</v>
      </c>
      <c r="B308" s="7"/>
      <c r="C308" s="4"/>
      <c r="D308" s="1" t="s">
        <v>412</v>
      </c>
      <c r="E308" s="1" t="s">
        <v>22</v>
      </c>
      <c r="F308" s="1" t="s">
        <v>8</v>
      </c>
      <c r="G308" s="10" t="s">
        <v>16</v>
      </c>
      <c r="H308" s="1" t="s">
        <v>17</v>
      </c>
      <c r="I308" s="21" t="s">
        <v>1068</v>
      </c>
      <c r="J308" s="18">
        <f>VLOOKUP(A308,[2]Export!$A:$B,2,0)</f>
        <v>10129.468617793846</v>
      </c>
      <c r="K308" s="18">
        <f>VLOOKUP(A308,[2]Export!$A:$C,3,0)</f>
        <v>3517.25</v>
      </c>
      <c r="L308" s="19">
        <f t="shared" si="10"/>
        <v>0.34722946807115357</v>
      </c>
      <c r="M308" s="18">
        <f>VLOOKUP(A308,[2]Export!$A:$G,7,0)</f>
        <v>2026.9299999999998</v>
      </c>
      <c r="N308" s="19">
        <f t="shared" si="11"/>
        <v>0.20010230313951616</v>
      </c>
      <c r="O308" s="17" t="s">
        <v>1029</v>
      </c>
      <c r="P308" s="17" t="s">
        <v>1026</v>
      </c>
      <c r="Q308" s="17" t="s">
        <v>1022</v>
      </c>
      <c r="R308" s="17" t="str">
        <f>VLOOKUP(A308,[1]Export!$A:$I,9,0)</f>
        <v>Comprou Marcas</v>
      </c>
      <c r="S308" s="17" t="s">
        <v>1022</v>
      </c>
      <c r="T308" s="20">
        <v>4</v>
      </c>
      <c r="U308" s="17"/>
      <c r="V308" s="17"/>
    </row>
    <row r="309" spans="1:22" x14ac:dyDescent="0.35">
      <c r="A309" s="5">
        <v>13874468000238</v>
      </c>
      <c r="B309" s="7"/>
      <c r="C309" s="4"/>
      <c r="D309" s="6" t="s">
        <v>413</v>
      </c>
      <c r="E309" s="6" t="s">
        <v>35</v>
      </c>
      <c r="F309" s="6" t="s">
        <v>8</v>
      </c>
      <c r="G309" s="11" t="s">
        <v>279</v>
      </c>
      <c r="H309" s="6" t="s">
        <v>17</v>
      </c>
      <c r="I309" s="21" t="s">
        <v>1070</v>
      </c>
      <c r="J309" s="18">
        <f>VLOOKUP(A309,[2]Export!$A:$B,2,0)</f>
        <v>6396.0297213456515</v>
      </c>
      <c r="K309" s="18">
        <f>VLOOKUP(A309,[2]Export!$A:$C,3,0)</f>
        <v>2412.4200000000005</v>
      </c>
      <c r="L309" s="19">
        <f t="shared" si="10"/>
        <v>0.37717460754582843</v>
      </c>
      <c r="M309" s="18">
        <f>VLOOKUP(A309,[2]Export!$A:$G,7,0)</f>
        <v>1064.8900000000001</v>
      </c>
      <c r="N309" s="19">
        <f t="shared" si="11"/>
        <v>0.1664923470330528</v>
      </c>
      <c r="O309" s="17" t="s">
        <v>1027</v>
      </c>
      <c r="P309" s="17" t="s">
        <v>1028</v>
      </c>
      <c r="Q309" s="17" t="s">
        <v>1023</v>
      </c>
      <c r="R309" s="17" t="str">
        <f>VLOOKUP(A309,[1]Export!$A:$I,9,0)</f>
        <v>Comprou Marcas</v>
      </c>
      <c r="S309" s="17" t="s">
        <v>1022</v>
      </c>
      <c r="T309" s="20"/>
      <c r="U309" s="17"/>
      <c r="V309" s="17"/>
    </row>
    <row r="310" spans="1:22" x14ac:dyDescent="0.35">
      <c r="A310" s="5">
        <v>7056130000195</v>
      </c>
      <c r="B310" s="7"/>
      <c r="C310" s="4"/>
      <c r="D310" s="6" t="s">
        <v>870</v>
      </c>
      <c r="E310" s="6" t="s">
        <v>35</v>
      </c>
      <c r="F310" s="6" t="s">
        <v>8</v>
      </c>
      <c r="G310" s="11" t="s">
        <v>38</v>
      </c>
      <c r="H310" s="6" t="s">
        <v>17</v>
      </c>
      <c r="I310" s="21" t="s">
        <v>1070</v>
      </c>
      <c r="J310" s="18">
        <f>VLOOKUP(A310,[2]Export!$A:$B,2,0)</f>
        <v>1329.3951391450589</v>
      </c>
      <c r="K310" s="18">
        <f>VLOOKUP(A310,[2]Export!$A:$C,3,0)</f>
        <v>1129.0400000000002</v>
      </c>
      <c r="L310" s="19">
        <f t="shared" si="10"/>
        <v>0.8492884972680822</v>
      </c>
      <c r="M310" s="18">
        <f>VLOOKUP(A310,[2]Export!$A:$G,7,0)</f>
        <v>0</v>
      </c>
      <c r="N310" s="19">
        <f t="shared" si="11"/>
        <v>0</v>
      </c>
      <c r="O310" s="17" t="s">
        <v>1027</v>
      </c>
      <c r="P310" s="17" t="s">
        <v>1028</v>
      </c>
      <c r="Q310" s="17" t="s">
        <v>1023</v>
      </c>
      <c r="R310" s="17" t="str">
        <f>VLOOKUP(A310,[1]Export!$A:$I,9,0)</f>
        <v>Não Comprou</v>
      </c>
      <c r="S310" s="17" t="s">
        <v>1022</v>
      </c>
      <c r="T310" s="20"/>
      <c r="U310" s="17"/>
      <c r="V310" s="17"/>
    </row>
    <row r="311" spans="1:22" x14ac:dyDescent="0.35">
      <c r="A311" s="5">
        <v>15558177000185</v>
      </c>
      <c r="B311" s="7"/>
      <c r="C311" s="4"/>
      <c r="D311" s="6" t="s">
        <v>415</v>
      </c>
      <c r="E311" s="6" t="s">
        <v>388</v>
      </c>
      <c r="F311" s="6" t="s">
        <v>8</v>
      </c>
      <c r="G311" s="11" t="s">
        <v>279</v>
      </c>
      <c r="H311" s="6" t="s">
        <v>17</v>
      </c>
      <c r="I311" s="21" t="s">
        <v>1070</v>
      </c>
      <c r="J311" s="18">
        <f>VLOOKUP(A311,[2]Export!$A:$B,2,0)</f>
        <v>3233.4815706667932</v>
      </c>
      <c r="K311" s="18">
        <f>VLOOKUP(A311,[2]Export!$A:$C,3,0)</f>
        <v>231.43</v>
      </c>
      <c r="L311" s="19">
        <f t="shared" si="10"/>
        <v>7.1573007280902989E-2</v>
      </c>
      <c r="M311" s="18">
        <f>VLOOKUP(A311,[2]Export!$A:$G,7,0)</f>
        <v>0</v>
      </c>
      <c r="N311" s="19">
        <f t="shared" si="11"/>
        <v>0</v>
      </c>
      <c r="O311" s="17" t="s">
        <v>1029</v>
      </c>
      <c r="P311" s="17" t="s">
        <v>1026</v>
      </c>
      <c r="Q311" s="17" t="s">
        <v>1023</v>
      </c>
      <c r="R311" s="17" t="str">
        <f>VLOOKUP(A311,[1]Export!$A:$I,9,0)</f>
        <v>Não Comprou</v>
      </c>
      <c r="S311" s="17" t="s">
        <v>1022</v>
      </c>
      <c r="T311" s="20">
        <v>2</v>
      </c>
      <c r="U311" s="17"/>
      <c r="V311" s="17"/>
    </row>
    <row r="312" spans="1:22" x14ac:dyDescent="0.35">
      <c r="A312" s="4">
        <v>15722053000193</v>
      </c>
      <c r="B312" s="7"/>
      <c r="C312" s="4"/>
      <c r="D312" s="1" t="s">
        <v>416</v>
      </c>
      <c r="E312" s="1" t="s">
        <v>94</v>
      </c>
      <c r="F312" s="1" t="s">
        <v>15</v>
      </c>
      <c r="G312" s="10" t="s">
        <v>36</v>
      </c>
      <c r="H312" s="1" t="s">
        <v>17</v>
      </c>
      <c r="I312" s="21" t="s">
        <v>1069</v>
      </c>
      <c r="J312" s="18">
        <f>VLOOKUP(A312,[2]Export!$A:$B,2,0)</f>
        <v>3547.6078415884867</v>
      </c>
      <c r="K312" s="18">
        <f>VLOOKUP(A312,[2]Export!$A:$C,3,0)</f>
        <v>2358.79</v>
      </c>
      <c r="L312" s="19">
        <f t="shared" si="10"/>
        <v>0.66489592574127965</v>
      </c>
      <c r="M312" s="18">
        <f>VLOOKUP(A312,[2]Export!$A:$G,7,0)</f>
        <v>1658.66</v>
      </c>
      <c r="N312" s="19">
        <f t="shared" si="11"/>
        <v>0.46754322181713126</v>
      </c>
      <c r="O312" s="17" t="s">
        <v>1025</v>
      </c>
      <c r="P312" s="17" t="s">
        <v>1026</v>
      </c>
      <c r="Q312" s="17" t="s">
        <v>1023</v>
      </c>
      <c r="R312" s="17" t="str">
        <f>VLOOKUP(A312,[1]Export!$A:$I,9,0)</f>
        <v>Comprou Marcas</v>
      </c>
      <c r="S312" s="17" t="s">
        <v>1023</v>
      </c>
      <c r="T312" s="20">
        <v>1</v>
      </c>
      <c r="U312" s="17"/>
      <c r="V312" s="17"/>
    </row>
    <row r="313" spans="1:22" x14ac:dyDescent="0.35">
      <c r="A313" s="4">
        <v>10341045000779</v>
      </c>
      <c r="B313" s="7" t="s">
        <v>995</v>
      </c>
      <c r="C313" s="4"/>
      <c r="D313" s="1" t="s">
        <v>25</v>
      </c>
      <c r="E313" s="1" t="s">
        <v>52</v>
      </c>
      <c r="F313" s="1" t="s">
        <v>8</v>
      </c>
      <c r="G313" s="10" t="s">
        <v>9</v>
      </c>
      <c r="H313" s="1" t="s">
        <v>10</v>
      </c>
      <c r="I313" s="21" t="s">
        <v>1072</v>
      </c>
      <c r="J313" s="18">
        <f>VLOOKUP(A313,[2]Export!$A:$B,2,0)</f>
        <v>54207.929590797306</v>
      </c>
      <c r="K313" s="18">
        <f>VLOOKUP(A313,[2]Export!$A:$C,3,0)</f>
        <v>38203.81</v>
      </c>
      <c r="L313" s="19">
        <f t="shared" si="10"/>
        <v>0.70476423446516812</v>
      </c>
      <c r="M313" s="18">
        <f>VLOOKUP(A313,[2]Export!$A:$G,7,0)</f>
        <v>27133.97</v>
      </c>
      <c r="N313" s="19">
        <f t="shared" si="11"/>
        <v>0.50055352057951397</v>
      </c>
      <c r="O313" s="17" t="s">
        <v>1027</v>
      </c>
      <c r="P313" s="17" t="s">
        <v>1028</v>
      </c>
      <c r="Q313" s="17" t="s">
        <v>1023</v>
      </c>
      <c r="R313" s="17" t="str">
        <f>VLOOKUP(A313,[1]Export!$A:$I,9,0)</f>
        <v>Comprou Marcas e SG</v>
      </c>
      <c r="S313" s="17" t="s">
        <v>1022</v>
      </c>
      <c r="T313" s="20">
        <v>1</v>
      </c>
      <c r="U313" s="17">
        <v>8</v>
      </c>
      <c r="V313" s="17">
        <v>8</v>
      </c>
    </row>
    <row r="314" spans="1:22" x14ac:dyDescent="0.35">
      <c r="A314" s="4">
        <v>18876606000231</v>
      </c>
      <c r="B314" s="7"/>
      <c r="C314" s="4"/>
      <c r="D314" s="1" t="s">
        <v>417</v>
      </c>
      <c r="E314" s="1" t="s">
        <v>52</v>
      </c>
      <c r="F314" s="1" t="s">
        <v>8</v>
      </c>
      <c r="G314" s="10" t="s">
        <v>20</v>
      </c>
      <c r="H314" s="1" t="s">
        <v>17</v>
      </c>
      <c r="I314" s="21" t="s">
        <v>1072</v>
      </c>
      <c r="J314" s="18">
        <f>VLOOKUP(A314,[2]Export!$A:$B,2,0)</f>
        <v>3183.4078122459123</v>
      </c>
      <c r="K314" s="18">
        <f>VLOOKUP(A314,[2]Export!$A:$C,3,0)</f>
        <v>0</v>
      </c>
      <c r="L314" s="19">
        <f t="shared" si="10"/>
        <v>0</v>
      </c>
      <c r="M314" s="18">
        <f>VLOOKUP(A314,[2]Export!$A:$G,7,0)</f>
        <v>0</v>
      </c>
      <c r="N314" s="19">
        <f t="shared" si="11"/>
        <v>0</v>
      </c>
      <c r="O314" s="17" t="s">
        <v>1025</v>
      </c>
      <c r="P314" s="17" t="s">
        <v>1026</v>
      </c>
      <c r="Q314" s="17" t="s">
        <v>1023</v>
      </c>
      <c r="R314" s="17" t="str">
        <f>VLOOKUP(A314,[1]Export!$A:$I,9,0)</f>
        <v>Não Comprou</v>
      </c>
      <c r="S314" s="17" t="s">
        <v>1023</v>
      </c>
      <c r="T314" s="20"/>
      <c r="U314" s="17"/>
      <c r="V314" s="17"/>
    </row>
    <row r="315" spans="1:22" x14ac:dyDescent="0.35">
      <c r="A315" s="5">
        <v>20759443000178</v>
      </c>
      <c r="B315" s="7"/>
      <c r="C315" s="4"/>
      <c r="D315" s="6" t="s">
        <v>418</v>
      </c>
      <c r="E315" s="6" t="s">
        <v>45</v>
      </c>
      <c r="F315" s="6" t="s">
        <v>8</v>
      </c>
      <c r="G315" s="11" t="s">
        <v>36</v>
      </c>
      <c r="H315" s="6" t="s">
        <v>17</v>
      </c>
      <c r="I315" s="21" t="s">
        <v>1068</v>
      </c>
      <c r="J315" s="18">
        <f>VLOOKUP(A315,[2]Export!$A:$B,2,0)</f>
        <v>431.3014902702335</v>
      </c>
      <c r="K315" s="18">
        <f>VLOOKUP(A315,[2]Export!$A:$C,3,0)</f>
        <v>974.98</v>
      </c>
      <c r="L315" s="19">
        <f t="shared" si="10"/>
        <v>2.2605532834795512</v>
      </c>
      <c r="M315" s="18">
        <f>VLOOKUP(A315,[2]Export!$A:$G,7,0)</f>
        <v>0</v>
      </c>
      <c r="N315" s="19">
        <f t="shared" si="11"/>
        <v>0</v>
      </c>
      <c r="O315" s="17" t="s">
        <v>1025</v>
      </c>
      <c r="P315" s="17" t="s">
        <v>1026</v>
      </c>
      <c r="Q315" s="17" t="s">
        <v>1023</v>
      </c>
      <c r="R315" s="17" t="str">
        <f>VLOOKUP(A315,[1]Export!$A:$I,9,0)</f>
        <v>Não Comprou</v>
      </c>
      <c r="S315" s="17" t="s">
        <v>1023</v>
      </c>
      <c r="T315" s="20"/>
      <c r="U315" s="17"/>
      <c r="V315" s="17"/>
    </row>
    <row r="316" spans="1:22" x14ac:dyDescent="0.35">
      <c r="A316" s="4">
        <v>21303831000102</v>
      </c>
      <c r="B316" s="7"/>
      <c r="C316" s="4"/>
      <c r="D316" s="1" t="s">
        <v>419</v>
      </c>
      <c r="E316" s="1" t="s">
        <v>52</v>
      </c>
      <c r="F316" s="1" t="s">
        <v>8</v>
      </c>
      <c r="G316" s="10" t="s">
        <v>33</v>
      </c>
      <c r="H316" s="1" t="s">
        <v>17</v>
      </c>
      <c r="I316" s="21" t="s">
        <v>1072</v>
      </c>
      <c r="J316" s="18">
        <f>VLOOKUP(A316,[2]Export!$A:$B,2,0)</f>
        <v>8916.3915277332671</v>
      </c>
      <c r="K316" s="18">
        <f>VLOOKUP(A316,[2]Export!$A:$C,3,0)</f>
        <v>3763.940000000001</v>
      </c>
      <c r="L316" s="19">
        <f t="shared" si="10"/>
        <v>0.42213713790974283</v>
      </c>
      <c r="M316" s="18">
        <f>VLOOKUP(A316,[2]Export!$A:$G,7,0)</f>
        <v>776.94</v>
      </c>
      <c r="N316" s="19">
        <f t="shared" si="11"/>
        <v>8.7136146678107401E-2</v>
      </c>
      <c r="O316" s="17" t="s">
        <v>1025</v>
      </c>
      <c r="P316" s="17" t="s">
        <v>1026</v>
      </c>
      <c r="Q316" s="17" t="s">
        <v>1023</v>
      </c>
      <c r="R316" s="17" t="str">
        <f>VLOOKUP(A316,[1]Export!$A:$I,9,0)</f>
        <v>Comprou Marcas</v>
      </c>
      <c r="S316" s="17" t="s">
        <v>1022</v>
      </c>
      <c r="T316" s="20"/>
      <c r="U316" s="17"/>
      <c r="V316" s="17"/>
    </row>
    <row r="317" spans="1:22" x14ac:dyDescent="0.35">
      <c r="A317" s="5">
        <v>7220741000127</v>
      </c>
      <c r="B317" s="7"/>
      <c r="C317" s="4"/>
      <c r="D317" s="6" t="s">
        <v>420</v>
      </c>
      <c r="E317" s="6" t="s">
        <v>193</v>
      </c>
      <c r="F317" s="6" t="s">
        <v>194</v>
      </c>
      <c r="G317" s="11" t="s">
        <v>36</v>
      </c>
      <c r="H317" s="6" t="s">
        <v>17</v>
      </c>
      <c r="I317" s="21" t="s">
        <v>1068</v>
      </c>
      <c r="J317" s="18">
        <f>VLOOKUP(A317,[2]Export!$A:$B,2,0)</f>
        <v>4983.329597756815</v>
      </c>
      <c r="K317" s="18">
        <f>VLOOKUP(A317,[2]Export!$A:$C,3,0)</f>
        <v>5948.5700000000006</v>
      </c>
      <c r="L317" s="19">
        <f t="shared" si="10"/>
        <v>1.193693871398287</v>
      </c>
      <c r="M317" s="18">
        <f>VLOOKUP(A317,[2]Export!$A:$G,7,0)</f>
        <v>726.04</v>
      </c>
      <c r="N317" s="19">
        <f t="shared" si="11"/>
        <v>0.14569375469903054</v>
      </c>
      <c r="O317" s="17" t="s">
        <v>1025</v>
      </c>
      <c r="P317" s="17" t="s">
        <v>1026</v>
      </c>
      <c r="Q317" s="17" t="s">
        <v>1023</v>
      </c>
      <c r="R317" s="17" t="str">
        <f>VLOOKUP(A317,[1]Export!$A:$I,9,0)</f>
        <v>Comprou Marcas</v>
      </c>
      <c r="S317" s="17" t="s">
        <v>1022</v>
      </c>
      <c r="T317" s="20">
        <v>5</v>
      </c>
      <c r="U317" s="17"/>
      <c r="V317" s="17"/>
    </row>
    <row r="318" spans="1:22" x14ac:dyDescent="0.35">
      <c r="A318" s="4">
        <v>8087667000851</v>
      </c>
      <c r="B318" s="7" t="s">
        <v>1001</v>
      </c>
      <c r="C318" s="4"/>
      <c r="D318" s="1" t="s">
        <v>218</v>
      </c>
      <c r="E318" s="1" t="s">
        <v>388</v>
      </c>
      <c r="F318" s="1" t="s">
        <v>8</v>
      </c>
      <c r="G318" s="10" t="s">
        <v>36</v>
      </c>
      <c r="H318" s="1" t="s">
        <v>17</v>
      </c>
      <c r="I318" s="21" t="s">
        <v>1070</v>
      </c>
      <c r="J318" s="18">
        <f>VLOOKUP(A318,[2]Export!$A:$B,2,0)</f>
        <v>7586.3901705853177</v>
      </c>
      <c r="K318" s="18">
        <f>VLOOKUP(A318,[2]Export!$A:$C,3,0)</f>
        <v>3361.7799999999997</v>
      </c>
      <c r="L318" s="19">
        <f t="shared" si="10"/>
        <v>0.44313302168857815</v>
      </c>
      <c r="M318" s="18">
        <f>VLOOKUP(A318,[2]Export!$A:$G,7,0)</f>
        <v>3583.9199999999996</v>
      </c>
      <c r="N318" s="19">
        <f t="shared" si="11"/>
        <v>0.47241440519312061</v>
      </c>
      <c r="O318" s="17" t="s">
        <v>1025</v>
      </c>
      <c r="P318" s="17" t="s">
        <v>1026</v>
      </c>
      <c r="Q318" s="17" t="s">
        <v>1023</v>
      </c>
      <c r="R318" s="17" t="str">
        <f>VLOOKUP(A318,[1]Export!$A:$I,9,0)</f>
        <v>Comprou Marcas</v>
      </c>
      <c r="S318" s="17" t="s">
        <v>1022</v>
      </c>
      <c r="T318" s="20">
        <v>4</v>
      </c>
      <c r="U318" s="17"/>
      <c r="V318" s="17"/>
    </row>
    <row r="319" spans="1:22" x14ac:dyDescent="0.35">
      <c r="A319" s="5">
        <v>8604819000170</v>
      </c>
      <c r="B319" s="7"/>
      <c r="C319" s="4"/>
      <c r="D319" s="6" t="s">
        <v>421</v>
      </c>
      <c r="E319" s="6" t="s">
        <v>178</v>
      </c>
      <c r="F319" s="6" t="s">
        <v>15</v>
      </c>
      <c r="G319" s="11" t="s">
        <v>16</v>
      </c>
      <c r="H319" s="6" t="s">
        <v>17</v>
      </c>
      <c r="I319" s="21" t="s">
        <v>1073</v>
      </c>
      <c r="J319" s="18">
        <f>VLOOKUP(A319,[2]Export!$A:$B,2,0)</f>
        <v>13724.584958360769</v>
      </c>
      <c r="K319" s="18">
        <f>VLOOKUP(A319,[2]Export!$A:$C,3,0)</f>
        <v>7965.96</v>
      </c>
      <c r="L319" s="19">
        <f t="shared" si="10"/>
        <v>0.58041536586847975</v>
      </c>
      <c r="M319" s="18">
        <f>VLOOKUP(A319,[2]Export!$A:$G,7,0)</f>
        <v>2840.9399999999991</v>
      </c>
      <c r="N319" s="19">
        <f t="shared" si="11"/>
        <v>0.20699642347066749</v>
      </c>
      <c r="O319" s="17" t="s">
        <v>1027</v>
      </c>
      <c r="P319" s="17" t="s">
        <v>1028</v>
      </c>
      <c r="Q319" s="17" t="s">
        <v>1023</v>
      </c>
      <c r="R319" s="17" t="str">
        <f>VLOOKUP(A319,[1]Export!$A:$I,9,0)</f>
        <v>Comprou Marcas</v>
      </c>
      <c r="S319" s="17" t="s">
        <v>1022</v>
      </c>
      <c r="T319" s="20">
        <v>1</v>
      </c>
      <c r="U319" s="17"/>
      <c r="V319" s="17"/>
    </row>
    <row r="320" spans="1:22" x14ac:dyDescent="0.35">
      <c r="A320" s="4">
        <v>8966998000195</v>
      </c>
      <c r="B320" s="7"/>
      <c r="C320" s="4"/>
      <c r="D320" s="1" t="s">
        <v>409</v>
      </c>
      <c r="E320" s="1" t="s">
        <v>422</v>
      </c>
      <c r="F320" s="1" t="s">
        <v>48</v>
      </c>
      <c r="G320" s="10" t="s">
        <v>20</v>
      </c>
      <c r="H320" s="1" t="s">
        <v>17</v>
      </c>
      <c r="I320" s="21" t="s">
        <v>1071</v>
      </c>
      <c r="J320" s="18">
        <f>VLOOKUP(A320,[2]Export!$A:$B,2,0)</f>
        <v>5783.2657441709798</v>
      </c>
      <c r="K320" s="18">
        <f>VLOOKUP(A320,[2]Export!$A:$C,3,0)</f>
        <v>5075.8200000000006</v>
      </c>
      <c r="L320" s="19">
        <f t="shared" si="10"/>
        <v>0.87767365784911022</v>
      </c>
      <c r="M320" s="18">
        <f>VLOOKUP(A320,[2]Export!$A:$G,7,0)</f>
        <v>3225.9600000000005</v>
      </c>
      <c r="N320" s="19">
        <f t="shared" si="11"/>
        <v>0.55780940089973952</v>
      </c>
      <c r="O320" s="17" t="s">
        <v>1025</v>
      </c>
      <c r="P320" s="17" t="s">
        <v>1026</v>
      </c>
      <c r="Q320" s="17" t="s">
        <v>1023</v>
      </c>
      <c r="R320" s="17" t="str">
        <f>VLOOKUP(A320,[1]Export!$A:$I,9,0)</f>
        <v>Comprou Marcas</v>
      </c>
      <c r="S320" s="17" t="s">
        <v>1022</v>
      </c>
      <c r="T320" s="20"/>
      <c r="U320" s="17"/>
      <c r="V320" s="17"/>
    </row>
    <row r="321" spans="1:22" x14ac:dyDescent="0.35">
      <c r="A321" s="5">
        <v>9465779000195</v>
      </c>
      <c r="B321" s="7"/>
      <c r="C321" s="4"/>
      <c r="D321" s="6" t="s">
        <v>423</v>
      </c>
      <c r="E321" s="6" t="s">
        <v>26</v>
      </c>
      <c r="F321" s="6" t="s">
        <v>8</v>
      </c>
      <c r="G321" s="11" t="s">
        <v>20</v>
      </c>
      <c r="H321" s="6" t="s">
        <v>17</v>
      </c>
      <c r="I321" s="21" t="s">
        <v>1066</v>
      </c>
      <c r="J321" s="18">
        <f>VLOOKUP(A321,[2]Export!$A:$B,2,0)</f>
        <v>3294.2681733390068</v>
      </c>
      <c r="K321" s="18">
        <f>VLOOKUP(A321,[2]Export!$A:$C,3,0)</f>
        <v>176.92000000000002</v>
      </c>
      <c r="L321" s="19">
        <f t="shared" si="10"/>
        <v>5.3705403048798332E-2</v>
      </c>
      <c r="M321" s="18">
        <f>VLOOKUP(A321,[2]Export!$A:$G,7,0)</f>
        <v>0</v>
      </c>
      <c r="N321" s="19">
        <f t="shared" si="11"/>
        <v>0</v>
      </c>
      <c r="O321" s="17" t="s">
        <v>1025</v>
      </c>
      <c r="P321" s="17" t="s">
        <v>1026</v>
      </c>
      <c r="Q321" s="17" t="s">
        <v>1023</v>
      </c>
      <c r="R321" s="17" t="str">
        <f>VLOOKUP(A321,[1]Export!$A:$I,9,0)</f>
        <v>Não Comprou</v>
      </c>
      <c r="S321" s="17" t="s">
        <v>1023</v>
      </c>
      <c r="T321" s="20"/>
      <c r="U321" s="17"/>
      <c r="V321" s="17"/>
    </row>
    <row r="322" spans="1:22" x14ac:dyDescent="0.35">
      <c r="A322" s="4">
        <v>61723222000127</v>
      </c>
      <c r="B322" s="7"/>
      <c r="C322" s="4"/>
      <c r="D322" s="1" t="s">
        <v>424</v>
      </c>
      <c r="E322" s="1" t="s">
        <v>182</v>
      </c>
      <c r="F322" s="1" t="s">
        <v>8</v>
      </c>
      <c r="G322" s="10" t="s">
        <v>20</v>
      </c>
      <c r="H322" s="1" t="s">
        <v>17</v>
      </c>
      <c r="I322" s="21" t="s">
        <v>1072</v>
      </c>
      <c r="J322" s="18">
        <f>VLOOKUP(A322,[2]Export!$A:$B,2,0)</f>
        <v>2764.2710194372507</v>
      </c>
      <c r="K322" s="18">
        <f>VLOOKUP(A322,[2]Export!$A:$C,3,0)</f>
        <v>7752.86</v>
      </c>
      <c r="L322" s="19">
        <f t="shared" si="10"/>
        <v>2.8046671058969914</v>
      </c>
      <c r="M322" s="18">
        <f>VLOOKUP(A322,[2]Export!$A:$G,7,0)</f>
        <v>6942.7299999999987</v>
      </c>
      <c r="N322" s="19">
        <f t="shared" si="11"/>
        <v>2.5115952636993595</v>
      </c>
      <c r="O322" s="17" t="s">
        <v>1025</v>
      </c>
      <c r="P322" s="17" t="s">
        <v>1026</v>
      </c>
      <c r="Q322" s="17" t="s">
        <v>1023</v>
      </c>
      <c r="R322" s="17" t="str">
        <f>VLOOKUP(A322,[1]Export!$A:$I,9,0)</f>
        <v>Comprou Marcas</v>
      </c>
      <c r="S322" s="17" t="s">
        <v>1023</v>
      </c>
      <c r="T322" s="20"/>
      <c r="U322" s="17">
        <v>1</v>
      </c>
      <c r="V322" s="17">
        <v>1</v>
      </c>
    </row>
    <row r="323" spans="1:22" x14ac:dyDescent="0.35">
      <c r="A323" s="5">
        <v>61723222000208</v>
      </c>
      <c r="B323" s="7"/>
      <c r="C323" s="4"/>
      <c r="D323" s="6" t="s">
        <v>425</v>
      </c>
      <c r="E323" s="6" t="s">
        <v>182</v>
      </c>
      <c r="F323" s="6" t="s">
        <v>8</v>
      </c>
      <c r="G323" s="11" t="s">
        <v>20</v>
      </c>
      <c r="H323" s="6" t="s">
        <v>17</v>
      </c>
      <c r="I323" s="21" t="s">
        <v>1072</v>
      </c>
      <c r="J323" s="18">
        <f>VLOOKUP(A323,[2]Export!$A:$B,2,0)</f>
        <v>5249.1754299870809</v>
      </c>
      <c r="K323" s="18">
        <f>VLOOKUP(A323,[2]Export!$A:$C,3,0)</f>
        <v>435.47999999999996</v>
      </c>
      <c r="L323" s="19">
        <f t="shared" si="10"/>
        <v>8.2961601456911449E-2</v>
      </c>
      <c r="M323" s="18">
        <f>VLOOKUP(A323,[2]Export!$A:$G,7,0)</f>
        <v>0</v>
      </c>
      <c r="N323" s="19">
        <f t="shared" si="11"/>
        <v>0</v>
      </c>
      <c r="O323" s="17" t="s">
        <v>1025</v>
      </c>
      <c r="P323" s="17" t="s">
        <v>1026</v>
      </c>
      <c r="Q323" s="17" t="s">
        <v>1023</v>
      </c>
      <c r="R323" s="17" t="str">
        <f>VLOOKUP(A323,[1]Export!$A:$I,9,0)</f>
        <v>Não Comprou</v>
      </c>
      <c r="S323" s="17" t="s">
        <v>1023</v>
      </c>
      <c r="T323" s="20"/>
      <c r="U323" s="17"/>
      <c r="V323" s="17"/>
    </row>
    <row r="324" spans="1:22" x14ac:dyDescent="0.35">
      <c r="A324" s="4">
        <v>67759241000190</v>
      </c>
      <c r="B324" s="7"/>
      <c r="C324" s="4"/>
      <c r="D324" s="1" t="s">
        <v>426</v>
      </c>
      <c r="E324" s="1" t="s">
        <v>427</v>
      </c>
      <c r="F324" s="1" t="s">
        <v>48</v>
      </c>
      <c r="G324" s="10" t="s">
        <v>103</v>
      </c>
      <c r="H324" s="1" t="s">
        <v>17</v>
      </c>
      <c r="I324" s="21" t="s">
        <v>1073</v>
      </c>
      <c r="J324" s="18">
        <f>VLOOKUP(A324,[2]Export!$A:$B,2,0)</f>
        <v>3022.4781270512467</v>
      </c>
      <c r="K324" s="18">
        <f>VLOOKUP(A324,[2]Export!$A:$C,3,0)</f>
        <v>526.48</v>
      </c>
      <c r="L324" s="19">
        <f t="shared" si="10"/>
        <v>0.17418819189723567</v>
      </c>
      <c r="M324" s="18">
        <f>VLOOKUP(A324,[2]Export!$A:$G,7,0)</f>
        <v>862.37</v>
      </c>
      <c r="N324" s="19">
        <f t="shared" si="11"/>
        <v>0.28531885550527869</v>
      </c>
      <c r="O324" s="17" t="s">
        <v>1027</v>
      </c>
      <c r="P324" s="17" t="s">
        <v>1026</v>
      </c>
      <c r="Q324" s="17" t="s">
        <v>1023</v>
      </c>
      <c r="R324" s="17" t="str">
        <f>VLOOKUP(A324,[1]Export!$A:$I,9,0)</f>
        <v>Comprou Marcas</v>
      </c>
      <c r="S324" s="17" t="s">
        <v>1023</v>
      </c>
      <c r="T324" s="20"/>
      <c r="U324" s="17"/>
      <c r="V324" s="17"/>
    </row>
    <row r="325" spans="1:22" x14ac:dyDescent="0.35">
      <c r="A325" s="5">
        <v>72834344000107</v>
      </c>
      <c r="B325" s="7"/>
      <c r="C325" s="4"/>
      <c r="D325" s="6" t="s">
        <v>428</v>
      </c>
      <c r="E325" s="6" t="s">
        <v>86</v>
      </c>
      <c r="F325" s="6" t="s">
        <v>48</v>
      </c>
      <c r="G325" s="11" t="s">
        <v>20</v>
      </c>
      <c r="H325" s="6" t="s">
        <v>17</v>
      </c>
      <c r="I325" s="21" t="s">
        <v>1073</v>
      </c>
      <c r="J325" s="18">
        <f>VLOOKUP(A325,[2]Export!$A:$B,2,0)</f>
        <v>3170.8069448376482</v>
      </c>
      <c r="K325" s="18">
        <f>VLOOKUP(A325,[2]Export!$A:$C,3,0)</f>
        <v>1127.54</v>
      </c>
      <c r="L325" s="19">
        <f t="shared" si="10"/>
        <v>0.35560033127710095</v>
      </c>
      <c r="M325" s="18">
        <f>VLOOKUP(A325,[2]Export!$A:$G,7,0)</f>
        <v>466.34</v>
      </c>
      <c r="N325" s="19">
        <f t="shared" si="11"/>
        <v>0.14707297167973044</v>
      </c>
      <c r="O325" s="17" t="s">
        <v>1025</v>
      </c>
      <c r="P325" s="17" t="s">
        <v>1026</v>
      </c>
      <c r="Q325" s="17" t="s">
        <v>1023</v>
      </c>
      <c r="R325" s="17" t="str">
        <f>VLOOKUP(A325,[1]Export!$A:$I,9,0)</f>
        <v>Comprou Marcas</v>
      </c>
      <c r="S325" s="17" t="s">
        <v>1023</v>
      </c>
      <c r="T325" s="20"/>
      <c r="U325" s="17"/>
      <c r="V325" s="17"/>
    </row>
    <row r="326" spans="1:22" x14ac:dyDescent="0.35">
      <c r="A326" s="4">
        <v>57862460000146</v>
      </c>
      <c r="B326" s="7"/>
      <c r="C326" s="4"/>
      <c r="D326" s="1" t="s">
        <v>150</v>
      </c>
      <c r="E326" s="1" t="s">
        <v>94</v>
      </c>
      <c r="F326" s="1" t="s">
        <v>15</v>
      </c>
      <c r="G326" s="10" t="s">
        <v>33</v>
      </c>
      <c r="H326" s="1" t="s">
        <v>17</v>
      </c>
      <c r="I326" s="21" t="s">
        <v>1069</v>
      </c>
      <c r="J326" s="18">
        <f>VLOOKUP(A326,[2]Export!$A:$B,2,0)</f>
        <v>6465.260433336648</v>
      </c>
      <c r="K326" s="18">
        <f>VLOOKUP(A326,[2]Export!$A:$C,3,0)</f>
        <v>2501.5500000000002</v>
      </c>
      <c r="L326" s="19">
        <f t="shared" si="10"/>
        <v>0.38692176839487014</v>
      </c>
      <c r="M326" s="18">
        <f>VLOOKUP(A326,[2]Export!$A:$G,7,0)</f>
        <v>0</v>
      </c>
      <c r="N326" s="19">
        <f t="shared" si="11"/>
        <v>0</v>
      </c>
      <c r="O326" s="17" t="s">
        <v>1025</v>
      </c>
      <c r="P326" s="17" t="s">
        <v>1026</v>
      </c>
      <c r="Q326" s="17" t="s">
        <v>1023</v>
      </c>
      <c r="R326" s="17" t="str">
        <f>VLOOKUP(A326,[1]Export!$A:$I,9,0)</f>
        <v>Não Comprou</v>
      </c>
      <c r="S326" s="17" t="s">
        <v>1022</v>
      </c>
      <c r="T326" s="20"/>
      <c r="U326" s="17"/>
      <c r="V326" s="17"/>
    </row>
    <row r="327" spans="1:22" x14ac:dyDescent="0.35">
      <c r="A327" s="5">
        <v>2369415000162</v>
      </c>
      <c r="B327" s="7"/>
      <c r="C327" s="4"/>
      <c r="D327" s="6" t="s">
        <v>69</v>
      </c>
      <c r="E327" s="6" t="s">
        <v>146</v>
      </c>
      <c r="F327" s="6" t="s">
        <v>8</v>
      </c>
      <c r="G327" s="11" t="s">
        <v>64</v>
      </c>
      <c r="H327" s="6" t="s">
        <v>17</v>
      </c>
      <c r="I327" s="21" t="s">
        <v>1072</v>
      </c>
      <c r="J327" s="18">
        <f>VLOOKUP(A327,[2]Export!$A:$B,2,0)</f>
        <v>5761.9640715957312</v>
      </c>
      <c r="K327" s="18">
        <f>VLOOKUP(A327,[2]Export!$A:$C,3,0)</f>
        <v>1552.8200000000002</v>
      </c>
      <c r="L327" s="19">
        <f t="shared" si="10"/>
        <v>0.2694949119267866</v>
      </c>
      <c r="M327" s="18">
        <f>VLOOKUP(A327,[2]Export!$A:$G,7,0)</f>
        <v>1078.27</v>
      </c>
      <c r="N327" s="19">
        <f t="shared" si="11"/>
        <v>0.18713584232769809</v>
      </c>
      <c r="O327" s="17" t="s">
        <v>1030</v>
      </c>
      <c r="P327" s="17" t="s">
        <v>1026</v>
      </c>
      <c r="Q327" s="17" t="s">
        <v>1022</v>
      </c>
      <c r="R327" s="17" t="str">
        <f>VLOOKUP(A327,[1]Export!$A:$I,9,0)</f>
        <v>Comprou Marcas</v>
      </c>
      <c r="S327" s="17" t="s">
        <v>1022</v>
      </c>
      <c r="T327" s="20">
        <v>4</v>
      </c>
      <c r="U327" s="17"/>
      <c r="V327" s="17"/>
    </row>
    <row r="328" spans="1:22" x14ac:dyDescent="0.35">
      <c r="A328" s="4">
        <v>2462665000142</v>
      </c>
      <c r="B328" s="7"/>
      <c r="C328" s="4"/>
      <c r="D328" s="1" t="s">
        <v>429</v>
      </c>
      <c r="E328" s="1" t="s">
        <v>19</v>
      </c>
      <c r="F328" s="1" t="s">
        <v>15</v>
      </c>
      <c r="G328" s="10" t="s">
        <v>20</v>
      </c>
      <c r="H328" s="1" t="s">
        <v>17</v>
      </c>
      <c r="I328" s="21" t="s">
        <v>1067</v>
      </c>
      <c r="J328" s="18">
        <f>VLOOKUP(A328,[2]Export!$A:$B,2,0)</f>
        <v>9490.1425523551898</v>
      </c>
      <c r="K328" s="18">
        <f>VLOOKUP(A328,[2]Export!$A:$C,3,0)</f>
        <v>3448.51</v>
      </c>
      <c r="L328" s="19">
        <f t="shared" si="10"/>
        <v>0.36337810322397907</v>
      </c>
      <c r="M328" s="18">
        <f>VLOOKUP(A328,[2]Export!$A:$G,7,0)</f>
        <v>1689.86</v>
      </c>
      <c r="N328" s="19">
        <f t="shared" si="11"/>
        <v>0.17806476464156207</v>
      </c>
      <c r="O328" s="17" t="s">
        <v>1025</v>
      </c>
      <c r="P328" s="17" t="s">
        <v>1026</v>
      </c>
      <c r="Q328" s="17" t="s">
        <v>1022</v>
      </c>
      <c r="R328" s="17" t="str">
        <f>VLOOKUP(A328,[1]Export!$A:$I,9,0)</f>
        <v>Comprou Marcas e SG</v>
      </c>
      <c r="S328" s="17" t="s">
        <v>1022</v>
      </c>
      <c r="T328" s="20"/>
      <c r="U328" s="17"/>
      <c r="V328" s="17"/>
    </row>
    <row r="329" spans="1:22" x14ac:dyDescent="0.35">
      <c r="A329" s="5">
        <v>2489904000158</v>
      </c>
      <c r="B329" s="7"/>
      <c r="C329" s="4"/>
      <c r="D329" s="6" t="s">
        <v>44</v>
      </c>
      <c r="E329" s="6" t="s">
        <v>430</v>
      </c>
      <c r="F329" s="6" t="s">
        <v>8</v>
      </c>
      <c r="G329" s="11" t="s">
        <v>16</v>
      </c>
      <c r="H329" s="6" t="s">
        <v>17</v>
      </c>
      <c r="I329" s="21" t="s">
        <v>1072</v>
      </c>
      <c r="J329" s="18">
        <f>VLOOKUP(A329,[2]Export!$A:$B,2,0)</f>
        <v>6644.7990658384697</v>
      </c>
      <c r="K329" s="18">
        <f>VLOOKUP(A329,[2]Export!$A:$C,3,0)</f>
        <v>5392.89</v>
      </c>
      <c r="L329" s="19">
        <f t="shared" si="10"/>
        <v>0.81159564744784374</v>
      </c>
      <c r="M329" s="18">
        <f>VLOOKUP(A329,[2]Export!$A:$G,7,0)</f>
        <v>778.7399999999999</v>
      </c>
      <c r="N329" s="19">
        <f t="shared" si="11"/>
        <v>0.1171954173909599</v>
      </c>
      <c r="O329" s="17" t="s">
        <v>1027</v>
      </c>
      <c r="P329" s="17" t="s">
        <v>1028</v>
      </c>
      <c r="Q329" s="17" t="s">
        <v>1023</v>
      </c>
      <c r="R329" s="17" t="str">
        <f>VLOOKUP(A329,[1]Export!$A:$I,9,0)</f>
        <v>Comprou Marcas</v>
      </c>
      <c r="S329" s="17" t="s">
        <v>1022</v>
      </c>
      <c r="T329" s="20"/>
      <c r="U329" s="17"/>
      <c r="V329" s="17"/>
    </row>
    <row r="330" spans="1:22" x14ac:dyDescent="0.35">
      <c r="A330" s="4">
        <v>3100938000171</v>
      </c>
      <c r="B330" s="7"/>
      <c r="C330" s="4"/>
      <c r="D330" s="1" t="s">
        <v>431</v>
      </c>
      <c r="E330" s="1" t="s">
        <v>71</v>
      </c>
      <c r="F330" s="1" t="s">
        <v>15</v>
      </c>
      <c r="G330" s="10" t="s">
        <v>20</v>
      </c>
      <c r="H330" s="1" t="s">
        <v>17</v>
      </c>
      <c r="I330" s="21" t="s">
        <v>1069</v>
      </c>
      <c r="J330" s="18">
        <f>VLOOKUP(A330,[2]Export!$A:$B,2,0)</f>
        <v>7143.179940383473</v>
      </c>
      <c r="K330" s="18">
        <f>VLOOKUP(A330,[2]Export!$A:$C,3,0)</f>
        <v>4739.6799999999994</v>
      </c>
      <c r="L330" s="19">
        <f t="shared" si="10"/>
        <v>0.66352521419830779</v>
      </c>
      <c r="M330" s="18">
        <f>VLOOKUP(A330,[2]Export!$A:$G,7,0)</f>
        <v>2428.3099999999995</v>
      </c>
      <c r="N330" s="19">
        <f t="shared" si="11"/>
        <v>0.33994803718603211</v>
      </c>
      <c r="O330" s="17" t="s">
        <v>1025</v>
      </c>
      <c r="P330" s="17" t="s">
        <v>1026</v>
      </c>
      <c r="Q330" s="17" t="s">
        <v>1023</v>
      </c>
      <c r="R330" s="17" t="str">
        <f>VLOOKUP(A330,[1]Export!$A:$I,9,0)</f>
        <v>Comprou Marcas</v>
      </c>
      <c r="S330" s="17" t="s">
        <v>1022</v>
      </c>
      <c r="T330" s="20"/>
      <c r="U330" s="17"/>
      <c r="V330" s="17"/>
    </row>
    <row r="331" spans="1:22" x14ac:dyDescent="0.35">
      <c r="A331" s="5">
        <v>3110652000177</v>
      </c>
      <c r="B331" s="7"/>
      <c r="C331" s="4"/>
      <c r="D331" s="6" t="s">
        <v>432</v>
      </c>
      <c r="E331" s="6" t="s">
        <v>22</v>
      </c>
      <c r="F331" s="6" t="s">
        <v>8</v>
      </c>
      <c r="G331" s="11" t="s">
        <v>33</v>
      </c>
      <c r="H331" s="6" t="s">
        <v>17</v>
      </c>
      <c r="I331" s="21" t="s">
        <v>1068</v>
      </c>
      <c r="J331" s="18">
        <f>VLOOKUP(A331,[2]Export!$A:$B,2,0)</f>
        <v>1995.572478084199</v>
      </c>
      <c r="K331" s="18">
        <f>VLOOKUP(A331,[2]Export!$A:$C,3,0)</f>
        <v>1590.9900000000002</v>
      </c>
      <c r="L331" s="19">
        <f t="shared" si="10"/>
        <v>0.79725994293496749</v>
      </c>
      <c r="M331" s="18">
        <f>VLOOKUP(A331,[2]Export!$A:$G,7,0)</f>
        <v>0</v>
      </c>
      <c r="N331" s="19">
        <f t="shared" si="11"/>
        <v>0</v>
      </c>
      <c r="O331" s="17" t="s">
        <v>1027</v>
      </c>
      <c r="P331" s="17" t="s">
        <v>1026</v>
      </c>
      <c r="Q331" s="17" t="s">
        <v>1023</v>
      </c>
      <c r="R331" s="17" t="str">
        <f>VLOOKUP(A331,[1]Export!$A:$I,9,0)</f>
        <v>Não Comprou</v>
      </c>
      <c r="S331" s="17" t="s">
        <v>1022</v>
      </c>
      <c r="T331" s="20"/>
      <c r="U331" s="17"/>
      <c r="V331" s="17"/>
    </row>
    <row r="332" spans="1:22" x14ac:dyDescent="0.35">
      <c r="A332" s="4">
        <v>3511815000123</v>
      </c>
      <c r="B332" s="7"/>
      <c r="C332" s="4"/>
      <c r="D332" s="1" t="s">
        <v>433</v>
      </c>
      <c r="E332" s="1" t="s">
        <v>14</v>
      </c>
      <c r="F332" s="1" t="s">
        <v>15</v>
      </c>
      <c r="G332" s="10" t="s">
        <v>20</v>
      </c>
      <c r="H332" s="1" t="s">
        <v>17</v>
      </c>
      <c r="I332" s="21" t="s">
        <v>1067</v>
      </c>
      <c r="J332" s="18">
        <f>VLOOKUP(A332,[2]Export!$A:$B,2,0)</f>
        <v>834.15678654637259</v>
      </c>
      <c r="K332" s="18">
        <f>VLOOKUP(A332,[2]Export!$A:$C,3,0)</f>
        <v>3086.33</v>
      </c>
      <c r="L332" s="19">
        <f t="shared" si="10"/>
        <v>3.6999399270947779</v>
      </c>
      <c r="M332" s="18">
        <f>VLOOKUP(A332,[2]Export!$A:$G,7,0)</f>
        <v>2900.1</v>
      </c>
      <c r="N332" s="19">
        <f t="shared" si="11"/>
        <v>3.4766845355381846</v>
      </c>
      <c r="O332" s="17" t="s">
        <v>1025</v>
      </c>
      <c r="P332" s="17" t="s">
        <v>1026</v>
      </c>
      <c r="Q332" s="17" t="s">
        <v>1023</v>
      </c>
      <c r="R332" s="17" t="str">
        <f>VLOOKUP(A332,[1]Export!$A:$I,9,0)</f>
        <v>Comprou Marcas</v>
      </c>
      <c r="S332" s="17" t="s">
        <v>1023</v>
      </c>
      <c r="T332" s="20"/>
      <c r="U332" s="17"/>
      <c r="V332" s="17"/>
    </row>
    <row r="333" spans="1:22" x14ac:dyDescent="0.35">
      <c r="A333" s="5">
        <v>3940865000126</v>
      </c>
      <c r="B333" s="7"/>
      <c r="C333" s="4"/>
      <c r="D333" s="6" t="s">
        <v>434</v>
      </c>
      <c r="E333" s="6" t="s">
        <v>155</v>
      </c>
      <c r="F333" s="6" t="s">
        <v>15</v>
      </c>
      <c r="G333" s="11" t="s">
        <v>74</v>
      </c>
      <c r="H333" s="6" t="s">
        <v>17</v>
      </c>
      <c r="I333" s="21" t="s">
        <v>1069</v>
      </c>
      <c r="J333" s="18">
        <f>VLOOKUP(A333,[2]Export!$A:$B,2,0)</f>
        <v>4670.9085428565049</v>
      </c>
      <c r="K333" s="18">
        <f>VLOOKUP(A333,[2]Export!$A:$C,3,0)</f>
        <v>2714.0200000000004</v>
      </c>
      <c r="L333" s="19">
        <f t="shared" ref="L333:L396" si="12">K333/J333</f>
        <v>0.58104755747159953</v>
      </c>
      <c r="M333" s="18">
        <f>VLOOKUP(A333,[2]Export!$A:$G,7,0)</f>
        <v>0</v>
      </c>
      <c r="N333" s="19">
        <f t="shared" ref="N333:N396" si="13">M333/J333</f>
        <v>0</v>
      </c>
      <c r="O333" s="17" t="s">
        <v>1029</v>
      </c>
      <c r="P333" s="17" t="s">
        <v>1026</v>
      </c>
      <c r="Q333" s="17" t="s">
        <v>1022</v>
      </c>
      <c r="R333" s="17" t="str">
        <f>VLOOKUP(A333,[1]Export!$A:$I,9,0)</f>
        <v>Não Comprou</v>
      </c>
      <c r="S333" s="17" t="s">
        <v>1023</v>
      </c>
      <c r="T333" s="20"/>
      <c r="U333" s="17"/>
      <c r="V333" s="17"/>
    </row>
    <row r="334" spans="1:22" x14ac:dyDescent="0.35">
      <c r="A334" s="4">
        <v>14876562000108</v>
      </c>
      <c r="B334" s="7"/>
      <c r="C334" s="4"/>
      <c r="D334" s="1" t="s">
        <v>435</v>
      </c>
      <c r="E334" s="1" t="s">
        <v>436</v>
      </c>
      <c r="F334" s="1" t="s">
        <v>8</v>
      </c>
      <c r="G334" s="10" t="s">
        <v>16</v>
      </c>
      <c r="H334" s="1" t="s">
        <v>17</v>
      </c>
      <c r="I334" s="21" t="s">
        <v>1070</v>
      </c>
      <c r="J334" s="18">
        <f>VLOOKUP(A334,[2]Export!$A:$B,2,0)</f>
        <v>10129.943229516388</v>
      </c>
      <c r="K334" s="18">
        <f>VLOOKUP(A334,[2]Export!$A:$C,3,0)</f>
        <v>6740.66</v>
      </c>
      <c r="L334" s="19">
        <f t="shared" si="12"/>
        <v>0.66541932637482359</v>
      </c>
      <c r="M334" s="18">
        <f>VLOOKUP(A334,[2]Export!$A:$G,7,0)</f>
        <v>3620.0699999999997</v>
      </c>
      <c r="N334" s="19">
        <f t="shared" si="13"/>
        <v>0.3573633057934546</v>
      </c>
      <c r="O334" s="17" t="s">
        <v>1027</v>
      </c>
      <c r="P334" s="17" t="s">
        <v>1028</v>
      </c>
      <c r="Q334" s="17" t="s">
        <v>1023</v>
      </c>
      <c r="R334" s="17" t="str">
        <f>VLOOKUP(A334,[1]Export!$A:$I,9,0)</f>
        <v>Comprou Marcas</v>
      </c>
      <c r="S334" s="17" t="s">
        <v>1023</v>
      </c>
      <c r="T334" s="20">
        <v>1</v>
      </c>
      <c r="U334" s="17"/>
      <c r="V334" s="17">
        <v>2</v>
      </c>
    </row>
    <row r="335" spans="1:22" x14ac:dyDescent="0.35">
      <c r="A335" s="5">
        <v>17967556000154</v>
      </c>
      <c r="B335" s="7"/>
      <c r="C335" s="4">
        <v>13687</v>
      </c>
      <c r="D335" s="6" t="s">
        <v>437</v>
      </c>
      <c r="E335" s="6" t="s">
        <v>32</v>
      </c>
      <c r="F335" s="6" t="s">
        <v>15</v>
      </c>
      <c r="G335" s="11" t="s">
        <v>36</v>
      </c>
      <c r="H335" s="6" t="s">
        <v>17</v>
      </c>
      <c r="I335" s="21" t="s">
        <v>1067</v>
      </c>
      <c r="J335" s="18">
        <f>VLOOKUP(A335,[2]Export!$A:$B,2,0)</f>
        <v>13916.267096017604</v>
      </c>
      <c r="K335" s="18">
        <f>VLOOKUP(A335,[2]Export!$A:$C,3,0)</f>
        <v>34469.62999999999</v>
      </c>
      <c r="L335" s="19">
        <f t="shared" si="12"/>
        <v>2.4769307575207513</v>
      </c>
      <c r="M335" s="18">
        <f>VLOOKUP(A335,[2]Export!$A:$G,7,0)</f>
        <v>33192.69</v>
      </c>
      <c r="N335" s="19">
        <f t="shared" si="13"/>
        <v>2.385171955308238</v>
      </c>
      <c r="O335" s="17" t="s">
        <v>1027</v>
      </c>
      <c r="P335" s="17" t="s">
        <v>1028</v>
      </c>
      <c r="Q335" s="17" t="s">
        <v>1023</v>
      </c>
      <c r="R335" s="17" t="str">
        <f>VLOOKUP(A335,[1]Export!$A:$I,9,0)</f>
        <v>Comprou Marcas</v>
      </c>
      <c r="S335" s="17" t="s">
        <v>1022</v>
      </c>
      <c r="T335" s="20">
        <v>1</v>
      </c>
      <c r="U335" s="17">
        <v>1</v>
      </c>
      <c r="V335" s="17">
        <v>1</v>
      </c>
    </row>
    <row r="336" spans="1:22" x14ac:dyDescent="0.35">
      <c r="A336" s="4">
        <v>17967556000235</v>
      </c>
      <c r="B336" s="7"/>
      <c r="C336" s="4"/>
      <c r="D336" s="1" t="s">
        <v>438</v>
      </c>
      <c r="E336" s="1" t="s">
        <v>324</v>
      </c>
      <c r="F336" s="1" t="s">
        <v>15</v>
      </c>
      <c r="G336" s="10" t="s">
        <v>36</v>
      </c>
      <c r="H336" s="1" t="s">
        <v>17</v>
      </c>
      <c r="I336" s="21" t="s">
        <v>1067</v>
      </c>
      <c r="J336" s="18">
        <f>VLOOKUP(A336,[2]Export!$A:$B,2,0)</f>
        <v>11463.870862312446</v>
      </c>
      <c r="K336" s="18">
        <f>VLOOKUP(A336,[2]Export!$A:$C,3,0)</f>
        <v>30325.439999999991</v>
      </c>
      <c r="L336" s="19">
        <f t="shared" si="12"/>
        <v>2.6453054438789154</v>
      </c>
      <c r="M336" s="18">
        <f>VLOOKUP(A336,[2]Export!$A:$G,7,0)</f>
        <v>29320.570000000014</v>
      </c>
      <c r="N336" s="19">
        <f t="shared" si="13"/>
        <v>2.5576500601024379</v>
      </c>
      <c r="O336" s="17" t="s">
        <v>1027</v>
      </c>
      <c r="P336" s="17" t="s">
        <v>1028</v>
      </c>
      <c r="Q336" s="17" t="s">
        <v>1023</v>
      </c>
      <c r="R336" s="17" t="str">
        <f>VLOOKUP(A336,[1]Export!$A:$I,9,0)</f>
        <v>Comprou Marcas</v>
      </c>
      <c r="S336" s="17" t="s">
        <v>1022</v>
      </c>
      <c r="T336" s="20">
        <v>1</v>
      </c>
      <c r="U336" s="17">
        <v>1</v>
      </c>
      <c r="V336" s="17">
        <v>1</v>
      </c>
    </row>
    <row r="337" spans="1:22" x14ac:dyDescent="0.35">
      <c r="A337" s="5">
        <v>20750641000170</v>
      </c>
      <c r="B337" s="7"/>
      <c r="C337" s="4"/>
      <c r="D337" s="6" t="s">
        <v>439</v>
      </c>
      <c r="E337" s="6" t="s">
        <v>24</v>
      </c>
      <c r="F337" s="6" t="s">
        <v>15</v>
      </c>
      <c r="G337" s="11" t="s">
        <v>20</v>
      </c>
      <c r="H337" s="6" t="s">
        <v>17</v>
      </c>
      <c r="I337" s="21" t="s">
        <v>1069</v>
      </c>
      <c r="J337" s="18">
        <f>VLOOKUP(A337,[2]Export!$A:$B,2,0)</f>
        <v>5003.0707053113047</v>
      </c>
      <c r="K337" s="18">
        <f>VLOOKUP(A337,[2]Export!$A:$C,3,0)</f>
        <v>1605.9800000000002</v>
      </c>
      <c r="L337" s="19">
        <f t="shared" si="12"/>
        <v>0.32099886141826406</v>
      </c>
      <c r="M337" s="18">
        <f>VLOOKUP(A337,[2]Export!$A:$G,7,0)</f>
        <v>0</v>
      </c>
      <c r="N337" s="19">
        <f t="shared" si="13"/>
        <v>0</v>
      </c>
      <c r="O337" s="17" t="s">
        <v>1025</v>
      </c>
      <c r="P337" s="17" t="s">
        <v>1026</v>
      </c>
      <c r="Q337" s="17" t="s">
        <v>1023</v>
      </c>
      <c r="R337" s="17" t="str">
        <f>VLOOKUP(A337,[1]Export!$A:$I,9,0)</f>
        <v>Não Comprou</v>
      </c>
      <c r="S337" s="17" t="s">
        <v>1023</v>
      </c>
      <c r="T337" s="20"/>
      <c r="U337" s="17"/>
      <c r="V337" s="17"/>
    </row>
    <row r="338" spans="1:22" x14ac:dyDescent="0.35">
      <c r="A338" s="4">
        <v>10341045001406</v>
      </c>
      <c r="B338" s="7" t="s">
        <v>995</v>
      </c>
      <c r="C338" s="4"/>
      <c r="D338" s="1" t="s">
        <v>25</v>
      </c>
      <c r="E338" s="1" t="s">
        <v>182</v>
      </c>
      <c r="F338" s="1" t="s">
        <v>8</v>
      </c>
      <c r="G338" s="10" t="s">
        <v>9</v>
      </c>
      <c r="H338" s="1" t="s">
        <v>10</v>
      </c>
      <c r="I338" s="21" t="s">
        <v>1072</v>
      </c>
      <c r="J338" s="18">
        <f>VLOOKUP(A338,[2]Export!$A:$B,2,0)</f>
        <v>26695.24895206343</v>
      </c>
      <c r="K338" s="18">
        <f>VLOOKUP(A338,[2]Export!$A:$C,3,0)</f>
        <v>17843.070000000003</v>
      </c>
      <c r="L338" s="19">
        <f t="shared" si="12"/>
        <v>0.66839871139770024</v>
      </c>
      <c r="M338" s="18">
        <f>VLOOKUP(A338,[2]Export!$A:$G,7,0)</f>
        <v>12559.399999999998</v>
      </c>
      <c r="N338" s="19">
        <f t="shared" si="13"/>
        <v>0.47047322999507779</v>
      </c>
      <c r="O338" s="17" t="s">
        <v>1027</v>
      </c>
      <c r="P338" s="17" t="s">
        <v>1028</v>
      </c>
      <c r="Q338" s="17" t="s">
        <v>1023</v>
      </c>
      <c r="R338" s="17" t="str">
        <f>VLOOKUP(A338,[1]Export!$A:$I,9,0)</f>
        <v>Comprou Marcas e SG</v>
      </c>
      <c r="S338" s="17" t="s">
        <v>1022</v>
      </c>
      <c r="T338" s="20"/>
      <c r="U338" s="17"/>
      <c r="V338" s="17">
        <v>3</v>
      </c>
    </row>
    <row r="339" spans="1:22" x14ac:dyDescent="0.35">
      <c r="A339" s="5">
        <v>23255059000126</v>
      </c>
      <c r="B339" s="7"/>
      <c r="C339" s="4"/>
      <c r="D339" s="6" t="s">
        <v>415</v>
      </c>
      <c r="E339" s="6" t="s">
        <v>240</v>
      </c>
      <c r="F339" s="6" t="s">
        <v>8</v>
      </c>
      <c r="G339" s="11" t="s">
        <v>64</v>
      </c>
      <c r="H339" s="6" t="s">
        <v>17</v>
      </c>
      <c r="I339" s="21" t="s">
        <v>1068</v>
      </c>
      <c r="J339" s="18">
        <f>VLOOKUP(A339,[2]Export!$A:$B,2,0)</f>
        <v>3197.1648324058092</v>
      </c>
      <c r="K339" s="18">
        <f>VLOOKUP(A339,[2]Export!$A:$C,3,0)</f>
        <v>1232.1600000000001</v>
      </c>
      <c r="L339" s="19">
        <f t="shared" si="12"/>
        <v>0.38539145292450305</v>
      </c>
      <c r="M339" s="18">
        <f>VLOOKUP(A339,[2]Export!$A:$G,7,0)</f>
        <v>0</v>
      </c>
      <c r="N339" s="19">
        <f t="shared" si="13"/>
        <v>0</v>
      </c>
      <c r="O339" s="17" t="s">
        <v>1029</v>
      </c>
      <c r="P339" s="17" t="s">
        <v>1026</v>
      </c>
      <c r="Q339" s="17" t="s">
        <v>1022</v>
      </c>
      <c r="R339" s="17" t="str">
        <f>VLOOKUP(A339,[1]Export!$A:$I,9,0)</f>
        <v>Não Comprou</v>
      </c>
      <c r="S339" s="17" t="s">
        <v>1022</v>
      </c>
      <c r="T339" s="20"/>
      <c r="U339" s="17"/>
      <c r="V339" s="17"/>
    </row>
    <row r="340" spans="1:22" x14ac:dyDescent="0.35">
      <c r="A340" s="4">
        <v>8087667001157</v>
      </c>
      <c r="B340" s="7" t="s">
        <v>1001</v>
      </c>
      <c r="C340" s="4"/>
      <c r="D340" s="1" t="s">
        <v>218</v>
      </c>
      <c r="E340" s="1" t="s">
        <v>440</v>
      </c>
      <c r="F340" s="1" t="s">
        <v>8</v>
      </c>
      <c r="G340" s="10" t="s">
        <v>20</v>
      </c>
      <c r="H340" s="1" t="s">
        <v>17</v>
      </c>
      <c r="I340" s="21" t="s">
        <v>1070</v>
      </c>
      <c r="J340" s="18">
        <f>VLOOKUP(A340,[2]Export!$A:$B,2,0)</f>
        <v>0</v>
      </c>
      <c r="K340" s="18">
        <f>VLOOKUP(A340,[2]Export!$A:$C,3,0)</f>
        <v>9582.1799999999985</v>
      </c>
      <c r="L340" s="19" t="e">
        <f t="shared" si="12"/>
        <v>#DIV/0!</v>
      </c>
      <c r="M340" s="18">
        <f>VLOOKUP(A340,[2]Export!$A:$G,7,0)</f>
        <v>5519.2400000000007</v>
      </c>
      <c r="N340" s="19" t="e">
        <f t="shared" si="13"/>
        <v>#DIV/0!</v>
      </c>
      <c r="O340" s="17"/>
      <c r="P340" s="17"/>
      <c r="Q340" s="17"/>
      <c r="R340" s="17" t="str">
        <f>VLOOKUP(A340,[1]Export!$A:$I,9,0)</f>
        <v>Comprou Marcas</v>
      </c>
      <c r="S340" s="17"/>
      <c r="T340" s="20"/>
      <c r="U340" s="17"/>
      <c r="V340" s="17"/>
    </row>
    <row r="341" spans="1:22" x14ac:dyDescent="0.35">
      <c r="A341" s="5">
        <v>8366044000141</v>
      </c>
      <c r="B341" s="7"/>
      <c r="C341" s="4"/>
      <c r="D341" s="6" t="s">
        <v>441</v>
      </c>
      <c r="E341" s="6" t="s">
        <v>14</v>
      </c>
      <c r="F341" s="6" t="s">
        <v>15</v>
      </c>
      <c r="G341" s="11" t="s">
        <v>36</v>
      </c>
      <c r="H341" s="6" t="s">
        <v>17</v>
      </c>
      <c r="I341" s="21" t="s">
        <v>1067</v>
      </c>
      <c r="J341" s="18">
        <f>VLOOKUP(A341,[2]Export!$A:$B,2,0)</f>
        <v>4800.7774457733076</v>
      </c>
      <c r="K341" s="18">
        <f>VLOOKUP(A341,[2]Export!$A:$C,3,0)</f>
        <v>2775.1599999999994</v>
      </c>
      <c r="L341" s="19">
        <f t="shared" si="12"/>
        <v>0.57806470542459765</v>
      </c>
      <c r="M341" s="18">
        <f>VLOOKUP(A341,[2]Export!$A:$G,7,0)</f>
        <v>1192.8499999999999</v>
      </c>
      <c r="N341" s="19">
        <f t="shared" si="13"/>
        <v>0.24847017248221054</v>
      </c>
      <c r="O341" s="17" t="s">
        <v>1029</v>
      </c>
      <c r="P341" s="17" t="s">
        <v>1026</v>
      </c>
      <c r="Q341" s="17" t="s">
        <v>1023</v>
      </c>
      <c r="R341" s="17" t="str">
        <f>VLOOKUP(A341,[1]Export!$A:$I,9,0)</f>
        <v>Comprou Marcas</v>
      </c>
      <c r="S341" s="17" t="s">
        <v>1023</v>
      </c>
      <c r="T341" s="20"/>
      <c r="U341" s="17"/>
      <c r="V341" s="17"/>
    </row>
    <row r="342" spans="1:22" x14ac:dyDescent="0.35">
      <c r="A342" s="4">
        <v>10341045001074</v>
      </c>
      <c r="B342" s="7" t="s">
        <v>995</v>
      </c>
      <c r="C342" s="4"/>
      <c r="D342" s="1" t="s">
        <v>25</v>
      </c>
      <c r="E342" s="1" t="s">
        <v>182</v>
      </c>
      <c r="F342" s="1" t="s">
        <v>8</v>
      </c>
      <c r="G342" s="10" t="s">
        <v>9</v>
      </c>
      <c r="H342" s="1" t="s">
        <v>10</v>
      </c>
      <c r="I342" s="21" t="s">
        <v>1072</v>
      </c>
      <c r="J342" s="18">
        <f>VLOOKUP(A342,[2]Export!$A:$B,2,0)</f>
        <v>16374.664267664062</v>
      </c>
      <c r="K342" s="18">
        <f>VLOOKUP(A342,[2]Export!$A:$C,3,0)</f>
        <v>10809.170000000004</v>
      </c>
      <c r="L342" s="19">
        <f t="shared" si="12"/>
        <v>0.66011551890840647</v>
      </c>
      <c r="M342" s="18">
        <f>VLOOKUP(A342,[2]Export!$A:$G,7,0)</f>
        <v>7666.7100000000009</v>
      </c>
      <c r="N342" s="19">
        <f t="shared" si="13"/>
        <v>0.46820563003174781</v>
      </c>
      <c r="O342" s="17" t="s">
        <v>1027</v>
      </c>
      <c r="P342" s="17" t="s">
        <v>1028</v>
      </c>
      <c r="Q342" s="17" t="s">
        <v>1023</v>
      </c>
      <c r="R342" s="17" t="str">
        <f>VLOOKUP(A342,[1]Export!$A:$I,9,0)</f>
        <v>Comprou Marcas e SG</v>
      </c>
      <c r="S342" s="17" t="s">
        <v>1022</v>
      </c>
      <c r="T342" s="20"/>
      <c r="U342" s="17"/>
      <c r="V342" s="17"/>
    </row>
    <row r="343" spans="1:22" x14ac:dyDescent="0.35">
      <c r="A343" s="5">
        <v>10488667000139</v>
      </c>
      <c r="B343" s="7"/>
      <c r="C343" s="4"/>
      <c r="D343" s="6" t="s">
        <v>442</v>
      </c>
      <c r="E343" s="6" t="s">
        <v>98</v>
      </c>
      <c r="F343" s="6" t="s">
        <v>15</v>
      </c>
      <c r="G343" s="11" t="s">
        <v>36</v>
      </c>
      <c r="H343" s="6" t="s">
        <v>17</v>
      </c>
      <c r="I343" s="21" t="s">
        <v>1073</v>
      </c>
      <c r="J343" s="18">
        <f>VLOOKUP(A343,[2]Export!$A:$B,2,0)</f>
        <v>3872.6576022265649</v>
      </c>
      <c r="K343" s="18">
        <f>VLOOKUP(A343,[2]Export!$A:$C,3,0)</f>
        <v>7930.3799999999992</v>
      </c>
      <c r="L343" s="19">
        <f t="shared" si="12"/>
        <v>2.047787543995748</v>
      </c>
      <c r="M343" s="18">
        <f>VLOOKUP(A343,[2]Export!$A:$G,7,0)</f>
        <v>5176.2900000000009</v>
      </c>
      <c r="N343" s="19">
        <f t="shared" si="13"/>
        <v>1.3366247501519162</v>
      </c>
      <c r="O343" s="17" t="s">
        <v>1025</v>
      </c>
      <c r="P343" s="17" t="s">
        <v>1026</v>
      </c>
      <c r="Q343" s="17" t="s">
        <v>1022</v>
      </c>
      <c r="R343" s="17" t="str">
        <f>VLOOKUP(A343,[1]Export!$A:$I,9,0)</f>
        <v>Comprou Marcas</v>
      </c>
      <c r="S343" s="17" t="s">
        <v>1022</v>
      </c>
      <c r="T343" s="20"/>
      <c r="U343" s="17"/>
      <c r="V343" s="17">
        <v>1</v>
      </c>
    </row>
    <row r="344" spans="1:22" x14ac:dyDescent="0.35">
      <c r="A344" s="4">
        <v>11288508000153</v>
      </c>
      <c r="B344" s="7"/>
      <c r="C344" s="4"/>
      <c r="D344" s="1" t="s">
        <v>365</v>
      </c>
      <c r="E344" s="1" t="s">
        <v>443</v>
      </c>
      <c r="F344" s="1" t="s">
        <v>15</v>
      </c>
      <c r="G344" s="10" t="s">
        <v>16</v>
      </c>
      <c r="H344" s="1" t="s">
        <v>17</v>
      </c>
      <c r="I344" s="21" t="s">
        <v>1069</v>
      </c>
      <c r="J344" s="18">
        <f>VLOOKUP(A344,[2]Export!$A:$B,2,0)</f>
        <v>8064.9442660038321</v>
      </c>
      <c r="K344" s="18">
        <f>VLOOKUP(A344,[2]Export!$A:$C,3,0)</f>
        <v>3654.1699999999996</v>
      </c>
      <c r="L344" s="19">
        <f t="shared" si="12"/>
        <v>0.45309302575139004</v>
      </c>
      <c r="M344" s="18">
        <f>VLOOKUP(A344,[2]Export!$A:$G,7,0)</f>
        <v>0</v>
      </c>
      <c r="N344" s="19">
        <f t="shared" si="13"/>
        <v>0</v>
      </c>
      <c r="O344" s="17" t="s">
        <v>1029</v>
      </c>
      <c r="P344" s="17" t="s">
        <v>1026</v>
      </c>
      <c r="Q344" s="17" t="s">
        <v>1022</v>
      </c>
      <c r="R344" s="17" t="str">
        <f>VLOOKUP(A344,[1]Export!$A:$I,9,0)</f>
        <v>Não Comprou</v>
      </c>
      <c r="S344" s="17" t="s">
        <v>1022</v>
      </c>
      <c r="T344" s="20"/>
      <c r="U344" s="17"/>
      <c r="V344" s="17"/>
    </row>
    <row r="345" spans="1:22" x14ac:dyDescent="0.35">
      <c r="A345" s="5">
        <v>12390379000172</v>
      </c>
      <c r="B345" s="7"/>
      <c r="C345" s="4"/>
      <c r="D345" s="6" t="s">
        <v>399</v>
      </c>
      <c r="E345" s="6" t="s">
        <v>24</v>
      </c>
      <c r="F345" s="6" t="s">
        <v>15</v>
      </c>
      <c r="G345" s="11" t="s">
        <v>33</v>
      </c>
      <c r="H345" s="6" t="s">
        <v>17</v>
      </c>
      <c r="I345" s="21" t="s">
        <v>1069</v>
      </c>
      <c r="J345" s="18">
        <f>VLOOKUP(A345,[2]Export!$A:$B,2,0)</f>
        <v>2238.8653523032026</v>
      </c>
      <c r="K345" s="18">
        <f>VLOOKUP(A345,[2]Export!$A:$C,3,0)</f>
        <v>922.43999999999994</v>
      </c>
      <c r="L345" s="19">
        <f t="shared" si="12"/>
        <v>0.41201227177465238</v>
      </c>
      <c r="M345" s="18">
        <f>VLOOKUP(A345,[2]Export!$A:$G,7,0)</f>
        <v>0</v>
      </c>
      <c r="N345" s="19">
        <f t="shared" si="13"/>
        <v>0</v>
      </c>
      <c r="O345" s="17" t="s">
        <v>1027</v>
      </c>
      <c r="P345" s="17" t="s">
        <v>1026</v>
      </c>
      <c r="Q345" s="17" t="s">
        <v>1023</v>
      </c>
      <c r="R345" s="17" t="str">
        <f>VLOOKUP(A345,[1]Export!$A:$I,9,0)</f>
        <v>Não Comprou</v>
      </c>
      <c r="S345" s="17" t="s">
        <v>1022</v>
      </c>
      <c r="T345" s="20"/>
      <c r="U345" s="17"/>
      <c r="V345" s="17"/>
    </row>
    <row r="346" spans="1:22" x14ac:dyDescent="0.35">
      <c r="A346" s="4">
        <v>13304645000160</v>
      </c>
      <c r="B346" s="7"/>
      <c r="C346" s="4"/>
      <c r="D346" s="1" t="s">
        <v>333</v>
      </c>
      <c r="E346" s="1" t="s">
        <v>89</v>
      </c>
      <c r="F346" s="1" t="s">
        <v>15</v>
      </c>
      <c r="G346" s="10" t="s">
        <v>20</v>
      </c>
      <c r="H346" s="1" t="s">
        <v>17</v>
      </c>
      <c r="I346" s="21" t="s">
        <v>1067</v>
      </c>
      <c r="J346" s="18">
        <f>VLOOKUP(A346,[2]Export!$A:$B,2,0)</f>
        <v>729.94388309502722</v>
      </c>
      <c r="K346" s="18">
        <f>VLOOKUP(A346,[2]Export!$A:$C,3,0)</f>
        <v>757.57000000000016</v>
      </c>
      <c r="L346" s="19">
        <f t="shared" si="12"/>
        <v>1.0378469051454144</v>
      </c>
      <c r="M346" s="18">
        <f>VLOOKUP(A346,[2]Export!$A:$G,7,0)</f>
        <v>391.96000000000004</v>
      </c>
      <c r="N346" s="19">
        <f t="shared" si="13"/>
        <v>0.53697278527501957</v>
      </c>
      <c r="O346" s="17" t="s">
        <v>1025</v>
      </c>
      <c r="P346" s="17" t="s">
        <v>1026</v>
      </c>
      <c r="Q346" s="17" t="s">
        <v>1023</v>
      </c>
      <c r="R346" s="17" t="str">
        <f>VLOOKUP(A346,[1]Export!$A:$I,9,0)</f>
        <v>Comprou Marcas</v>
      </c>
      <c r="S346" s="17" t="s">
        <v>1023</v>
      </c>
      <c r="T346" s="20"/>
      <c r="U346" s="17"/>
      <c r="V346" s="17"/>
    </row>
    <row r="347" spans="1:22" x14ac:dyDescent="0.35">
      <c r="A347" s="5">
        <v>13367286000190</v>
      </c>
      <c r="B347" s="7"/>
      <c r="C347" s="4"/>
      <c r="D347" s="6" t="s">
        <v>444</v>
      </c>
      <c r="E347" s="6" t="s">
        <v>232</v>
      </c>
      <c r="F347" s="6" t="s">
        <v>8</v>
      </c>
      <c r="G347" s="11" t="s">
        <v>33</v>
      </c>
      <c r="H347" s="6" t="s">
        <v>17</v>
      </c>
      <c r="I347" s="21" t="s">
        <v>1068</v>
      </c>
      <c r="J347" s="18">
        <f>VLOOKUP(A347,[2]Export!$A:$B,2,0)</f>
        <v>1092.6690567190531</v>
      </c>
      <c r="K347" s="18">
        <f>VLOOKUP(A347,[2]Export!$A:$C,3,0)</f>
        <v>99.179999999999993</v>
      </c>
      <c r="L347" s="19">
        <f t="shared" si="12"/>
        <v>9.076856289662566E-2</v>
      </c>
      <c r="M347" s="18">
        <f>VLOOKUP(A347,[2]Export!$A:$G,7,0)</f>
        <v>0</v>
      </c>
      <c r="N347" s="19">
        <f t="shared" si="13"/>
        <v>0</v>
      </c>
      <c r="O347" s="17" t="s">
        <v>1027</v>
      </c>
      <c r="P347" s="17" t="s">
        <v>1026</v>
      </c>
      <c r="Q347" s="17" t="s">
        <v>1023</v>
      </c>
      <c r="R347" s="17" t="str">
        <f>VLOOKUP(A347,[1]Export!$A:$I,9,0)</f>
        <v>Não Comprou</v>
      </c>
      <c r="S347" s="17" t="s">
        <v>1022</v>
      </c>
      <c r="T347" s="20"/>
      <c r="U347" s="17"/>
      <c r="V347" s="17"/>
    </row>
    <row r="348" spans="1:22" x14ac:dyDescent="0.35">
      <c r="A348" s="4">
        <v>13445025000140</v>
      </c>
      <c r="B348" s="7"/>
      <c r="C348" s="4"/>
      <c r="D348" s="1" t="s">
        <v>445</v>
      </c>
      <c r="E348" s="1" t="s">
        <v>446</v>
      </c>
      <c r="F348" s="1" t="s">
        <v>15</v>
      </c>
      <c r="G348" s="10" t="s">
        <v>190</v>
      </c>
      <c r="H348" s="1" t="s">
        <v>17</v>
      </c>
      <c r="I348" s="21" t="s">
        <v>1067</v>
      </c>
      <c r="J348" s="18">
        <f>VLOOKUP(A348,[2]Export!$A:$B,2,0)</f>
        <v>10442.752231427368</v>
      </c>
      <c r="K348" s="18">
        <f>VLOOKUP(A348,[2]Export!$A:$C,3,0)</f>
        <v>2637.0200000000009</v>
      </c>
      <c r="L348" s="19">
        <f t="shared" si="12"/>
        <v>0.2525215519395273</v>
      </c>
      <c r="M348" s="18">
        <f>VLOOKUP(A348,[2]Export!$A:$G,7,0)</f>
        <v>0</v>
      </c>
      <c r="N348" s="19">
        <f t="shared" si="13"/>
        <v>0</v>
      </c>
      <c r="O348" s="17" t="s">
        <v>1027</v>
      </c>
      <c r="P348" s="17" t="s">
        <v>1028</v>
      </c>
      <c r="Q348" s="17" t="s">
        <v>1023</v>
      </c>
      <c r="R348" s="17" t="str">
        <f>VLOOKUP(A348,[1]Export!$A:$I,9,0)</f>
        <v>Não Comprou</v>
      </c>
      <c r="S348" s="17" t="s">
        <v>1022</v>
      </c>
      <c r="T348" s="20"/>
      <c r="U348" s="17"/>
      <c r="V348" s="17"/>
    </row>
    <row r="349" spans="1:22" x14ac:dyDescent="0.35">
      <c r="A349" s="5">
        <v>29301968000130</v>
      </c>
      <c r="B349" s="7"/>
      <c r="C349" s="4"/>
      <c r="D349" s="6" t="s">
        <v>447</v>
      </c>
      <c r="E349" s="6" t="s">
        <v>52</v>
      </c>
      <c r="F349" s="6" t="s">
        <v>8</v>
      </c>
      <c r="G349" s="11" t="s">
        <v>20</v>
      </c>
      <c r="H349" s="6" t="s">
        <v>17</v>
      </c>
      <c r="I349" s="21" t="s">
        <v>1072</v>
      </c>
      <c r="J349" s="18">
        <f>VLOOKUP(A349,[2]Export!$A:$B,2,0)</f>
        <v>16740.418674275486</v>
      </c>
      <c r="K349" s="18">
        <f>VLOOKUP(A349,[2]Export!$A:$C,3,0)</f>
        <v>7454.2399999999989</v>
      </c>
      <c r="L349" s="19">
        <f t="shared" si="12"/>
        <v>0.44528396481831795</v>
      </c>
      <c r="M349" s="18">
        <f>VLOOKUP(A349,[2]Export!$A:$G,7,0)</f>
        <v>2940.67</v>
      </c>
      <c r="N349" s="19">
        <f t="shared" si="13"/>
        <v>0.17566287063768854</v>
      </c>
      <c r="O349" s="17" t="s">
        <v>1025</v>
      </c>
      <c r="P349" s="17" t="s">
        <v>1026</v>
      </c>
      <c r="Q349" s="17" t="s">
        <v>1023</v>
      </c>
      <c r="R349" s="17" t="str">
        <f>VLOOKUP(A349,[1]Export!$A:$I,9,0)</f>
        <v>Comprou Marcas</v>
      </c>
      <c r="S349" s="17" t="s">
        <v>1022</v>
      </c>
      <c r="T349" s="20"/>
      <c r="U349" s="17"/>
      <c r="V349" s="17">
        <v>1</v>
      </c>
    </row>
    <row r="350" spans="1:22" x14ac:dyDescent="0.35">
      <c r="A350" s="4">
        <v>31525761000190</v>
      </c>
      <c r="B350" s="7"/>
      <c r="C350" s="4"/>
      <c r="D350" s="1" t="s">
        <v>445</v>
      </c>
      <c r="E350" s="1" t="s">
        <v>260</v>
      </c>
      <c r="F350" s="1" t="s">
        <v>8</v>
      </c>
      <c r="G350" s="10" t="s">
        <v>20</v>
      </c>
      <c r="H350" s="1" t="s">
        <v>17</v>
      </c>
      <c r="I350" s="21" t="s">
        <v>1066</v>
      </c>
      <c r="J350" s="18">
        <f>VLOOKUP(A350,[2]Export!$A:$B,2,0)</f>
        <v>8814.1302693135731</v>
      </c>
      <c r="K350" s="18">
        <f>VLOOKUP(A350,[2]Export!$A:$C,3,0)</f>
        <v>9043.8399999999983</v>
      </c>
      <c r="L350" s="19">
        <f t="shared" si="12"/>
        <v>1.0260615311627694</v>
      </c>
      <c r="M350" s="18">
        <f>VLOOKUP(A350,[2]Export!$A:$G,7,0)</f>
        <v>3626.7200000000003</v>
      </c>
      <c r="N350" s="19">
        <f t="shared" si="13"/>
        <v>0.41146657573537793</v>
      </c>
      <c r="O350" s="17" t="s">
        <v>1025</v>
      </c>
      <c r="P350" s="17" t="s">
        <v>1026</v>
      </c>
      <c r="Q350" s="17" t="s">
        <v>1023</v>
      </c>
      <c r="R350" s="17" t="str">
        <f>VLOOKUP(A350,[1]Export!$A:$I,9,0)</f>
        <v>Comprou Marcas</v>
      </c>
      <c r="S350" s="17" t="s">
        <v>1022</v>
      </c>
      <c r="T350" s="20"/>
      <c r="U350" s="17">
        <v>8</v>
      </c>
      <c r="V350" s="17">
        <v>8</v>
      </c>
    </row>
    <row r="351" spans="1:22" x14ac:dyDescent="0.35">
      <c r="A351" s="5">
        <v>16735647000100</v>
      </c>
      <c r="B351" s="7"/>
      <c r="C351" s="4"/>
      <c r="D351" s="6" t="s">
        <v>72</v>
      </c>
      <c r="E351" s="6" t="s">
        <v>61</v>
      </c>
      <c r="F351" s="6" t="s">
        <v>8</v>
      </c>
      <c r="G351" s="11" t="s">
        <v>20</v>
      </c>
      <c r="H351" s="6" t="s">
        <v>17</v>
      </c>
      <c r="I351" s="21" t="s">
        <v>1066</v>
      </c>
      <c r="J351" s="18">
        <f>VLOOKUP(A351,[2]Export!$A:$B,2,0)</f>
        <v>1223.8693784934212</v>
      </c>
      <c r="K351" s="18">
        <f>VLOOKUP(A351,[2]Export!$A:$C,3,0)</f>
        <v>306.88</v>
      </c>
      <c r="L351" s="19">
        <f t="shared" si="12"/>
        <v>0.25074571305784948</v>
      </c>
      <c r="M351" s="18">
        <f>VLOOKUP(A351,[2]Export!$A:$G,7,0)</f>
        <v>0</v>
      </c>
      <c r="N351" s="19">
        <f t="shared" si="13"/>
        <v>0</v>
      </c>
      <c r="O351" s="17" t="s">
        <v>1027</v>
      </c>
      <c r="P351" s="17" t="s">
        <v>1026</v>
      </c>
      <c r="Q351" s="17" t="s">
        <v>1023</v>
      </c>
      <c r="R351" s="17" t="str">
        <f>VLOOKUP(A351,[1]Export!$A:$I,9,0)</f>
        <v>Não Comprou</v>
      </c>
      <c r="S351" s="17" t="s">
        <v>1023</v>
      </c>
      <c r="T351" s="20"/>
      <c r="U351" s="17"/>
      <c r="V351" s="17"/>
    </row>
    <row r="352" spans="1:22" x14ac:dyDescent="0.35">
      <c r="A352" s="4">
        <v>8476603000176</v>
      </c>
      <c r="B352" s="7"/>
      <c r="C352" s="4"/>
      <c r="D352" s="1" t="s">
        <v>154</v>
      </c>
      <c r="E352" s="1" t="s">
        <v>379</v>
      </c>
      <c r="F352" s="1" t="s">
        <v>15</v>
      </c>
      <c r="G352" s="10" t="s">
        <v>20</v>
      </c>
      <c r="H352" s="1" t="s">
        <v>17</v>
      </c>
      <c r="I352" s="21" t="s">
        <v>1073</v>
      </c>
      <c r="J352" s="18">
        <f>VLOOKUP(A352,[2]Export!$A:$B,2,0)</f>
        <v>11272.422595241453</v>
      </c>
      <c r="K352" s="18">
        <f>VLOOKUP(A352,[2]Export!$A:$C,3,0)</f>
        <v>6781.1900000000005</v>
      </c>
      <c r="L352" s="19">
        <f t="shared" si="12"/>
        <v>0.60157343665084173</v>
      </c>
      <c r="M352" s="18">
        <f>VLOOKUP(A352,[2]Export!$A:$G,7,0)</f>
        <v>4089.5099999999984</v>
      </c>
      <c r="N352" s="19">
        <f t="shared" si="13"/>
        <v>0.36278891830460175</v>
      </c>
      <c r="O352" s="17" t="s">
        <v>1027</v>
      </c>
      <c r="P352" s="17" t="s">
        <v>1028</v>
      </c>
      <c r="Q352" s="17" t="s">
        <v>1023</v>
      </c>
      <c r="R352" s="17" t="str">
        <f>VLOOKUP(A352,[1]Export!$A:$I,9,0)</f>
        <v>Comprou Marcas</v>
      </c>
      <c r="S352" s="17" t="s">
        <v>1023</v>
      </c>
      <c r="T352" s="20">
        <v>6</v>
      </c>
      <c r="U352" s="17"/>
      <c r="V352" s="17"/>
    </row>
    <row r="353" spans="1:22" x14ac:dyDescent="0.35">
      <c r="A353" s="5">
        <v>8986750000196</v>
      </c>
      <c r="B353" s="7"/>
      <c r="C353" s="4"/>
      <c r="D353" s="6" t="s">
        <v>289</v>
      </c>
      <c r="E353" s="6" t="s">
        <v>14</v>
      </c>
      <c r="F353" s="6" t="s">
        <v>15</v>
      </c>
      <c r="G353" s="11" t="s">
        <v>36</v>
      </c>
      <c r="H353" s="6" t="s">
        <v>17</v>
      </c>
      <c r="I353" s="21" t="s">
        <v>1067</v>
      </c>
      <c r="J353" s="18">
        <f>VLOOKUP(A353,[2]Export!$A:$B,2,0)</f>
        <v>1807.2592429206625</v>
      </c>
      <c r="K353" s="18">
        <f>VLOOKUP(A353,[2]Export!$A:$C,3,0)</f>
        <v>214.73000000000002</v>
      </c>
      <c r="L353" s="19">
        <f t="shared" si="12"/>
        <v>0.11881527281773958</v>
      </c>
      <c r="M353" s="18">
        <f>VLOOKUP(A353,[2]Export!$A:$G,7,0)</f>
        <v>0</v>
      </c>
      <c r="N353" s="19">
        <f t="shared" si="13"/>
        <v>0</v>
      </c>
      <c r="O353" s="17" t="s">
        <v>1025</v>
      </c>
      <c r="P353" s="17" t="s">
        <v>1026</v>
      </c>
      <c r="Q353" s="17" t="s">
        <v>1022</v>
      </c>
      <c r="R353" s="17" t="str">
        <f>VLOOKUP(A353,[1]Export!$A:$I,9,0)</f>
        <v>Não Comprou</v>
      </c>
      <c r="S353" s="17" t="s">
        <v>1023</v>
      </c>
      <c r="T353" s="20"/>
      <c r="U353" s="17"/>
      <c r="V353" s="17"/>
    </row>
    <row r="354" spans="1:22" x14ac:dyDescent="0.35">
      <c r="A354" s="4">
        <v>9146590000130</v>
      </c>
      <c r="B354" s="7"/>
      <c r="C354" s="4"/>
      <c r="D354" s="1" t="s">
        <v>448</v>
      </c>
      <c r="E354" s="1" t="s">
        <v>52</v>
      </c>
      <c r="F354" s="1" t="s">
        <v>8</v>
      </c>
      <c r="G354" s="10" t="s">
        <v>64</v>
      </c>
      <c r="H354" s="1" t="s">
        <v>17</v>
      </c>
      <c r="I354" s="21" t="s">
        <v>1072</v>
      </c>
      <c r="J354" s="18">
        <f>VLOOKUP(A354,[2]Export!$A:$B,2,0)</f>
        <v>4506.1936338502919</v>
      </c>
      <c r="K354" s="18">
        <f>VLOOKUP(A354,[2]Export!$A:$C,3,0)</f>
        <v>2048.5</v>
      </c>
      <c r="L354" s="19">
        <f t="shared" si="12"/>
        <v>0.45459653233979441</v>
      </c>
      <c r="M354" s="18">
        <f>VLOOKUP(A354,[2]Export!$A:$G,7,0)</f>
        <v>137.85</v>
      </c>
      <c r="N354" s="19">
        <f t="shared" si="13"/>
        <v>3.0591228695650799E-2</v>
      </c>
      <c r="O354" s="17" t="s">
        <v>1029</v>
      </c>
      <c r="P354" s="17" t="s">
        <v>1026</v>
      </c>
      <c r="Q354" s="17" t="s">
        <v>1022</v>
      </c>
      <c r="R354" s="17" t="str">
        <f>VLOOKUP(A354,[1]Export!$A:$I,9,0)</f>
        <v>Comprou Marcas</v>
      </c>
      <c r="S354" s="17" t="s">
        <v>1023</v>
      </c>
      <c r="T354" s="20"/>
      <c r="U354" s="17"/>
      <c r="V354" s="17"/>
    </row>
    <row r="355" spans="1:22" x14ac:dyDescent="0.35">
      <c r="A355" s="5">
        <v>10341045001155</v>
      </c>
      <c r="B355" s="7" t="s">
        <v>995</v>
      </c>
      <c r="C355" s="4"/>
      <c r="D355" s="6" t="s">
        <v>25</v>
      </c>
      <c r="E355" s="6" t="s">
        <v>52</v>
      </c>
      <c r="F355" s="6" t="s">
        <v>8</v>
      </c>
      <c r="G355" s="11" t="s">
        <v>9</v>
      </c>
      <c r="H355" s="6" t="s">
        <v>10</v>
      </c>
      <c r="I355" s="21" t="s">
        <v>1072</v>
      </c>
      <c r="J355" s="18">
        <f>VLOOKUP(A355,[2]Export!$A:$B,2,0)</f>
        <v>38445.230886293866</v>
      </c>
      <c r="K355" s="18">
        <f>VLOOKUP(A355,[2]Export!$A:$C,3,0)</f>
        <v>23259.020000000004</v>
      </c>
      <c r="L355" s="19">
        <f t="shared" si="12"/>
        <v>0.60499103435719237</v>
      </c>
      <c r="M355" s="18">
        <f>VLOOKUP(A355,[2]Export!$A:$G,7,0)</f>
        <v>17623.71000000001</v>
      </c>
      <c r="N355" s="19">
        <f t="shared" si="13"/>
        <v>0.45841082479447537</v>
      </c>
      <c r="O355" s="17" t="s">
        <v>1027</v>
      </c>
      <c r="P355" s="17" t="s">
        <v>1028</v>
      </c>
      <c r="Q355" s="17" t="s">
        <v>1023</v>
      </c>
      <c r="R355" s="17" t="str">
        <f>VLOOKUP(A355,[1]Export!$A:$I,9,0)</f>
        <v>Comprou Marcas e SG</v>
      </c>
      <c r="S355" s="17" t="s">
        <v>1022</v>
      </c>
      <c r="T355" s="20">
        <v>1</v>
      </c>
      <c r="U355" s="17">
        <v>2</v>
      </c>
      <c r="V355" s="17"/>
    </row>
    <row r="356" spans="1:22" x14ac:dyDescent="0.35">
      <c r="A356" s="4">
        <v>10341045000264</v>
      </c>
      <c r="B356" s="7" t="s">
        <v>995</v>
      </c>
      <c r="C356" s="4"/>
      <c r="D356" s="1" t="s">
        <v>25</v>
      </c>
      <c r="E356" s="1" t="s">
        <v>122</v>
      </c>
      <c r="F356" s="1" t="s">
        <v>8</v>
      </c>
      <c r="G356" s="10" t="s">
        <v>9</v>
      </c>
      <c r="H356" s="1" t="s">
        <v>10</v>
      </c>
      <c r="I356" s="21" t="s">
        <v>1066</v>
      </c>
      <c r="J356" s="18">
        <f>VLOOKUP(A356,[2]Export!$A:$B,2,0)</f>
        <v>8215.0849210865708</v>
      </c>
      <c r="K356" s="18">
        <f>VLOOKUP(A356,[2]Export!$A:$C,3,0)</f>
        <v>4145.2999999999993</v>
      </c>
      <c r="L356" s="19">
        <f t="shared" si="12"/>
        <v>0.50459612284223587</v>
      </c>
      <c r="M356" s="18">
        <f>VLOOKUP(A356,[2]Export!$A:$G,7,0)</f>
        <v>1800.2700000000002</v>
      </c>
      <c r="N356" s="19">
        <f t="shared" si="13"/>
        <v>0.21914198298535506</v>
      </c>
      <c r="O356" s="17" t="s">
        <v>1027</v>
      </c>
      <c r="P356" s="17" t="s">
        <v>1028</v>
      </c>
      <c r="Q356" s="17" t="s">
        <v>1023</v>
      </c>
      <c r="R356" s="17" t="str">
        <f>VLOOKUP(A356,[1]Export!$A:$I,9,0)</f>
        <v>Comprou Marcas e SG</v>
      </c>
      <c r="S356" s="17" t="s">
        <v>1022</v>
      </c>
      <c r="T356" s="20"/>
      <c r="U356" s="17"/>
      <c r="V356" s="17"/>
    </row>
    <row r="357" spans="1:22" x14ac:dyDescent="0.35">
      <c r="A357" s="5">
        <v>10588126000182</v>
      </c>
      <c r="B357" s="7"/>
      <c r="C357" s="4"/>
      <c r="D357" s="6" t="s">
        <v>449</v>
      </c>
      <c r="E357" s="6" t="s">
        <v>232</v>
      </c>
      <c r="F357" s="6" t="s">
        <v>8</v>
      </c>
      <c r="G357" s="11" t="s">
        <v>20</v>
      </c>
      <c r="H357" s="6" t="s">
        <v>17</v>
      </c>
      <c r="I357" s="21" t="s">
        <v>1068</v>
      </c>
      <c r="J357" s="18">
        <f>VLOOKUP(A357,[2]Export!$A:$B,2,0)</f>
        <v>23026.989228323757</v>
      </c>
      <c r="K357" s="18">
        <f>VLOOKUP(A357,[2]Export!$A:$C,3,0)</f>
        <v>10725.470000000003</v>
      </c>
      <c r="L357" s="19">
        <f t="shared" si="12"/>
        <v>0.46577821762331889</v>
      </c>
      <c r="M357" s="18">
        <f>VLOOKUP(A357,[2]Export!$A:$G,7,0)</f>
        <v>10836.049999999997</v>
      </c>
      <c r="N357" s="19">
        <f t="shared" si="13"/>
        <v>0.47058040860467298</v>
      </c>
      <c r="O357" s="17" t="s">
        <v>1029</v>
      </c>
      <c r="P357" s="17" t="s">
        <v>1026</v>
      </c>
      <c r="Q357" s="17" t="s">
        <v>1022</v>
      </c>
      <c r="R357" s="17" t="str">
        <f>VLOOKUP(A357,[1]Export!$A:$I,9,0)</f>
        <v>Comprou Marcas</v>
      </c>
      <c r="S357" s="17" t="s">
        <v>1022</v>
      </c>
      <c r="T357" s="20"/>
      <c r="U357" s="17"/>
      <c r="V357" s="17"/>
    </row>
    <row r="358" spans="1:22" x14ac:dyDescent="0.35">
      <c r="A358" s="4">
        <v>11453021000189</v>
      </c>
      <c r="B358" s="7"/>
      <c r="C358" s="4"/>
      <c r="D358" s="1" t="s">
        <v>450</v>
      </c>
      <c r="E358" s="1" t="s">
        <v>43</v>
      </c>
      <c r="F358" s="1" t="s">
        <v>8</v>
      </c>
      <c r="G358" s="10" t="s">
        <v>20</v>
      </c>
      <c r="H358" s="1" t="s">
        <v>17</v>
      </c>
      <c r="I358" s="21" t="s">
        <v>1068</v>
      </c>
      <c r="J358" s="18">
        <f>VLOOKUP(A358,[2]Export!$A:$B,2,0)</f>
        <v>1911.6050004139458</v>
      </c>
      <c r="K358" s="18">
        <f>VLOOKUP(A358,[2]Export!$A:$C,3,0)</f>
        <v>1342.77</v>
      </c>
      <c r="L358" s="19">
        <f t="shared" si="12"/>
        <v>0.70243067982623597</v>
      </c>
      <c r="M358" s="18">
        <f>VLOOKUP(A358,[2]Export!$A:$G,7,0)</f>
        <v>0</v>
      </c>
      <c r="N358" s="19">
        <f t="shared" si="13"/>
        <v>0</v>
      </c>
      <c r="O358" s="17" t="s">
        <v>1031</v>
      </c>
      <c r="P358" s="17" t="s">
        <v>1026</v>
      </c>
      <c r="Q358" s="17" t="s">
        <v>1023</v>
      </c>
      <c r="R358" s="17" t="str">
        <f>VLOOKUP(A358,[1]Export!$A:$I,9,0)</f>
        <v>Não Comprou</v>
      </c>
      <c r="S358" s="17" t="s">
        <v>1022</v>
      </c>
      <c r="T358" s="20"/>
      <c r="U358" s="17"/>
      <c r="V358" s="17">
        <v>1</v>
      </c>
    </row>
    <row r="359" spans="1:22" x14ac:dyDescent="0.35">
      <c r="A359" s="5">
        <v>12090789000106</v>
      </c>
      <c r="B359" s="7"/>
      <c r="C359" s="4"/>
      <c r="D359" s="6" t="s">
        <v>451</v>
      </c>
      <c r="E359" s="6" t="s">
        <v>452</v>
      </c>
      <c r="F359" s="6" t="s">
        <v>15</v>
      </c>
      <c r="G359" s="11" t="s">
        <v>20</v>
      </c>
      <c r="H359" s="6" t="s">
        <v>17</v>
      </c>
      <c r="I359" s="21" t="s">
        <v>1069</v>
      </c>
      <c r="J359" s="18">
        <f>VLOOKUP(A359,[2]Export!$A:$B,2,0)</f>
        <v>1161.5071475045229</v>
      </c>
      <c r="K359" s="18">
        <f>VLOOKUP(A359,[2]Export!$A:$C,3,0)</f>
        <v>364.16</v>
      </c>
      <c r="L359" s="19">
        <f t="shared" si="12"/>
        <v>0.31352368410507953</v>
      </c>
      <c r="M359" s="18">
        <f>VLOOKUP(A359,[2]Export!$A:$G,7,0)</f>
        <v>0</v>
      </c>
      <c r="N359" s="19">
        <f t="shared" si="13"/>
        <v>0</v>
      </c>
      <c r="O359" s="17" t="s">
        <v>1025</v>
      </c>
      <c r="P359" s="17" t="s">
        <v>1026</v>
      </c>
      <c r="Q359" s="17" t="s">
        <v>1023</v>
      </c>
      <c r="R359" s="17" t="str">
        <f>VLOOKUP(A359,[1]Export!$A:$I,9,0)</f>
        <v>Não Comprou</v>
      </c>
      <c r="S359" s="17" t="s">
        <v>1023</v>
      </c>
      <c r="T359" s="20"/>
      <c r="U359" s="17"/>
      <c r="V359" s="17"/>
    </row>
    <row r="360" spans="1:22" x14ac:dyDescent="0.35">
      <c r="A360" s="4">
        <v>12625289000113</v>
      </c>
      <c r="B360" s="7"/>
      <c r="C360" s="4"/>
      <c r="D360" s="1" t="s">
        <v>453</v>
      </c>
      <c r="E360" s="1" t="s">
        <v>14</v>
      </c>
      <c r="F360" s="1" t="s">
        <v>15</v>
      </c>
      <c r="G360" s="10" t="s">
        <v>64</v>
      </c>
      <c r="H360" s="1" t="s">
        <v>17</v>
      </c>
      <c r="I360" s="21" t="s">
        <v>1067</v>
      </c>
      <c r="J360" s="18">
        <f>VLOOKUP(A360,[2]Export!$A:$B,2,0)</f>
        <v>3975.2923578916889</v>
      </c>
      <c r="K360" s="18">
        <f>VLOOKUP(A360,[2]Export!$A:$C,3,0)</f>
        <v>1557.5800000000002</v>
      </c>
      <c r="L360" s="19">
        <f t="shared" si="12"/>
        <v>0.39181520747975085</v>
      </c>
      <c r="M360" s="18">
        <f>VLOOKUP(A360,[2]Export!$A:$G,7,0)</f>
        <v>0</v>
      </c>
      <c r="N360" s="19">
        <f t="shared" si="13"/>
        <v>0</v>
      </c>
      <c r="O360" s="17" t="s">
        <v>1027</v>
      </c>
      <c r="P360" s="17" t="s">
        <v>1028</v>
      </c>
      <c r="Q360" s="17" t="s">
        <v>1023</v>
      </c>
      <c r="R360" s="17" t="str">
        <f>VLOOKUP(A360,[1]Export!$A:$I,9,0)</f>
        <v>Não Comprou</v>
      </c>
      <c r="S360" s="17" t="s">
        <v>1023</v>
      </c>
      <c r="T360" s="20"/>
      <c r="U360" s="17"/>
      <c r="V360" s="17">
        <v>1</v>
      </c>
    </row>
    <row r="361" spans="1:22" x14ac:dyDescent="0.35">
      <c r="A361" s="5">
        <v>27377243000442</v>
      </c>
      <c r="B361" s="7" t="s">
        <v>147</v>
      </c>
      <c r="C361" s="4"/>
      <c r="D361" s="6" t="s">
        <v>454</v>
      </c>
      <c r="E361" s="6" t="s">
        <v>113</v>
      </c>
      <c r="F361" s="6" t="s">
        <v>8</v>
      </c>
      <c r="G361" s="11" t="s">
        <v>20</v>
      </c>
      <c r="H361" s="6" t="s">
        <v>17</v>
      </c>
      <c r="I361" s="21" t="s">
        <v>1072</v>
      </c>
      <c r="J361" s="18">
        <f>VLOOKUP(A361,[2]Export!$A:$B,2,0)</f>
        <v>544.15783682372</v>
      </c>
      <c r="K361" s="18">
        <f>VLOOKUP(A361,[2]Export!$A:$C,3,0)</f>
        <v>173.53</v>
      </c>
      <c r="L361" s="19">
        <f t="shared" si="12"/>
        <v>0.31889644558443631</v>
      </c>
      <c r="M361" s="18">
        <f>VLOOKUP(A361,[2]Export!$A:$G,7,0)</f>
        <v>0</v>
      </c>
      <c r="N361" s="19">
        <f t="shared" si="13"/>
        <v>0</v>
      </c>
      <c r="O361" s="17" t="s">
        <v>1025</v>
      </c>
      <c r="P361" s="17" t="s">
        <v>1026</v>
      </c>
      <c r="Q361" s="17" t="s">
        <v>1023</v>
      </c>
      <c r="R361" s="17" t="str">
        <f>VLOOKUP(A361,[1]Export!$A:$I,9,0)</f>
        <v>Não Comprou</v>
      </c>
      <c r="S361" s="17" t="s">
        <v>1023</v>
      </c>
      <c r="T361" s="20"/>
      <c r="U361" s="17"/>
      <c r="V361" s="17"/>
    </row>
    <row r="362" spans="1:22" x14ac:dyDescent="0.35">
      <c r="A362" s="4">
        <v>28800059000183</v>
      </c>
      <c r="B362" s="7" t="s">
        <v>950</v>
      </c>
      <c r="C362" s="4">
        <v>155483</v>
      </c>
      <c r="D362" s="1" t="s">
        <v>455</v>
      </c>
      <c r="E362" s="1" t="s">
        <v>125</v>
      </c>
      <c r="F362" s="1" t="s">
        <v>15</v>
      </c>
      <c r="G362" s="10" t="s">
        <v>20</v>
      </c>
      <c r="H362" s="1" t="s">
        <v>17</v>
      </c>
      <c r="I362" s="21" t="s">
        <v>1067</v>
      </c>
      <c r="J362" s="18">
        <f>VLOOKUP(A362,[2]Export!$A:$B,2,0)</f>
        <v>6244.6449098466119</v>
      </c>
      <c r="K362" s="18">
        <f>VLOOKUP(A362,[2]Export!$A:$C,3,0)</f>
        <v>1800.6599999999999</v>
      </c>
      <c r="L362" s="19">
        <f t="shared" si="12"/>
        <v>0.28835266472248938</v>
      </c>
      <c r="M362" s="18">
        <f>VLOOKUP(A362,[2]Export!$A:$G,7,0)</f>
        <v>1494.46</v>
      </c>
      <c r="N362" s="19">
        <f t="shared" si="13"/>
        <v>0.23931865167281524</v>
      </c>
      <c r="O362" s="17" t="s">
        <v>1027</v>
      </c>
      <c r="P362" s="17" t="s">
        <v>1028</v>
      </c>
      <c r="Q362" s="17" t="s">
        <v>1023</v>
      </c>
      <c r="R362" s="17" t="str">
        <f>VLOOKUP(A362,[1]Export!$A:$I,9,0)</f>
        <v>Comprou Marcas e SG</v>
      </c>
      <c r="S362" s="17" t="s">
        <v>1022</v>
      </c>
      <c r="T362" s="20"/>
      <c r="U362" s="17"/>
      <c r="V362" s="17"/>
    </row>
    <row r="363" spans="1:22" x14ac:dyDescent="0.35">
      <c r="A363" s="5">
        <v>29809750000190</v>
      </c>
      <c r="B363" s="7"/>
      <c r="C363" s="4"/>
      <c r="D363" s="6" t="s">
        <v>456</v>
      </c>
      <c r="E363" s="6" t="s">
        <v>152</v>
      </c>
      <c r="F363" s="6" t="s">
        <v>8</v>
      </c>
      <c r="G363" s="11" t="s">
        <v>20</v>
      </c>
      <c r="H363" s="6" t="s">
        <v>17</v>
      </c>
      <c r="I363" s="21" t="s">
        <v>1068</v>
      </c>
      <c r="J363" s="18">
        <f>VLOOKUP(A363,[2]Export!$A:$B,2,0)</f>
        <v>626.37354799574632</v>
      </c>
      <c r="K363" s="18">
        <f>VLOOKUP(A363,[2]Export!$A:$C,3,0)</f>
        <v>279.51</v>
      </c>
      <c r="L363" s="19">
        <f t="shared" si="12"/>
        <v>0.4462353189951408</v>
      </c>
      <c r="M363" s="18">
        <f>VLOOKUP(A363,[2]Export!$A:$G,7,0)</f>
        <v>0</v>
      </c>
      <c r="N363" s="19">
        <f t="shared" si="13"/>
        <v>0</v>
      </c>
      <c r="O363" s="17" t="s">
        <v>1025</v>
      </c>
      <c r="P363" s="17" t="s">
        <v>1026</v>
      </c>
      <c r="Q363" s="17" t="s">
        <v>1023</v>
      </c>
      <c r="R363" s="17" t="str">
        <f>VLOOKUP(A363,[1]Export!$A:$I,9,0)</f>
        <v>Não Comprou</v>
      </c>
      <c r="S363" s="17" t="s">
        <v>1023</v>
      </c>
      <c r="T363" s="20"/>
      <c r="U363" s="17"/>
      <c r="V363" s="17"/>
    </row>
    <row r="364" spans="1:22" x14ac:dyDescent="0.35">
      <c r="A364" s="5">
        <v>7211143000191</v>
      </c>
      <c r="B364" s="7"/>
      <c r="C364" s="4"/>
      <c r="D364" s="6" t="s">
        <v>340</v>
      </c>
      <c r="E364" s="6" t="s">
        <v>152</v>
      </c>
      <c r="F364" s="6" t="s">
        <v>8</v>
      </c>
      <c r="G364" s="11" t="s">
        <v>38</v>
      </c>
      <c r="H364" s="6" t="s">
        <v>17</v>
      </c>
      <c r="I364" s="21" t="s">
        <v>1068</v>
      </c>
      <c r="J364" s="18">
        <f>VLOOKUP(A364,[2]Export!$A:$B,2,0)</f>
        <v>716.15628979180769</v>
      </c>
      <c r="K364" s="18">
        <f>VLOOKUP(A364,[2]Export!$A:$C,3,0)</f>
        <v>546.48000000000013</v>
      </c>
      <c r="L364" s="19">
        <f t="shared" si="12"/>
        <v>0.7630736583474903</v>
      </c>
      <c r="M364" s="18">
        <f>VLOOKUP(A364,[2]Export!$A:$G,7,0)</f>
        <v>789.78</v>
      </c>
      <c r="N364" s="19">
        <f t="shared" si="13"/>
        <v>1.1028039706662289</v>
      </c>
      <c r="O364" s="17" t="s">
        <v>1031</v>
      </c>
      <c r="P364" s="17" t="s">
        <v>1026</v>
      </c>
      <c r="Q364" s="17" t="s">
        <v>1023</v>
      </c>
      <c r="R364" s="17" t="str">
        <f>VLOOKUP(A364,[1]Export!$A:$I,9,0)</f>
        <v>Comprou Marcas</v>
      </c>
      <c r="S364" s="17" t="s">
        <v>1023</v>
      </c>
      <c r="T364" s="20"/>
      <c r="U364" s="17"/>
      <c r="V364" s="17"/>
    </row>
    <row r="365" spans="1:22" x14ac:dyDescent="0.35">
      <c r="A365" s="5">
        <v>55292481000148</v>
      </c>
      <c r="B365" s="7"/>
      <c r="C365" s="4"/>
      <c r="D365" s="6" t="s">
        <v>459</v>
      </c>
      <c r="E365" s="6" t="s">
        <v>257</v>
      </c>
      <c r="F365" s="6" t="s">
        <v>8</v>
      </c>
      <c r="G365" s="11" t="s">
        <v>20</v>
      </c>
      <c r="H365" s="6" t="s">
        <v>17</v>
      </c>
      <c r="I365" s="21" t="s">
        <v>1072</v>
      </c>
      <c r="J365" s="18">
        <f>VLOOKUP(A365,[2]Export!$A:$B,2,0)</f>
        <v>3856.8761169064405</v>
      </c>
      <c r="K365" s="18">
        <f>VLOOKUP(A365,[2]Export!$A:$C,3,0)</f>
        <v>1949.3600000000004</v>
      </c>
      <c r="L365" s="19">
        <f t="shared" si="12"/>
        <v>0.505424582203994</v>
      </c>
      <c r="M365" s="18">
        <f>VLOOKUP(A365,[2]Export!$A:$G,7,0)</f>
        <v>903</v>
      </c>
      <c r="N365" s="19">
        <f t="shared" si="13"/>
        <v>0.2341273021556852</v>
      </c>
      <c r="O365" s="17"/>
      <c r="P365" s="17"/>
      <c r="Q365" s="17"/>
      <c r="R365" s="17" t="str">
        <f>VLOOKUP(A365,[1]Export!$A:$I,9,0)</f>
        <v>Comprou Marcas</v>
      </c>
      <c r="S365" s="17"/>
      <c r="T365" s="20"/>
      <c r="U365" s="17"/>
      <c r="V365" s="17"/>
    </row>
    <row r="366" spans="1:22" x14ac:dyDescent="0.35">
      <c r="A366" s="5">
        <v>7243216000127</v>
      </c>
      <c r="B366" s="7"/>
      <c r="C366" s="4"/>
      <c r="D366" s="6" t="s">
        <v>389</v>
      </c>
      <c r="E366" s="6" t="s">
        <v>390</v>
      </c>
      <c r="F366" s="6" t="s">
        <v>8</v>
      </c>
      <c r="G366" s="11" t="s">
        <v>38</v>
      </c>
      <c r="H366" s="6" t="s">
        <v>17</v>
      </c>
      <c r="I366" s="21" t="s">
        <v>1068</v>
      </c>
      <c r="J366" s="18">
        <f>VLOOKUP(A366,[2]Export!$A:$B,2,0)</f>
        <v>4057.9332747512713</v>
      </c>
      <c r="K366" s="18">
        <f>VLOOKUP(A366,[2]Export!$A:$C,3,0)</f>
        <v>1632.8900000000003</v>
      </c>
      <c r="L366" s="19">
        <f t="shared" si="12"/>
        <v>0.40239449232937113</v>
      </c>
      <c r="M366" s="18">
        <f>VLOOKUP(A366,[2]Export!$A:$G,7,0)</f>
        <v>1593.5600000000004</v>
      </c>
      <c r="N366" s="19">
        <f t="shared" si="13"/>
        <v>0.39270236647685558</v>
      </c>
      <c r="O366" s="17"/>
      <c r="P366" s="17"/>
      <c r="Q366" s="17"/>
      <c r="R366" s="17" t="str">
        <f>VLOOKUP(A366,[1]Export!$A:$I,9,0)</f>
        <v>Comprou Marcas</v>
      </c>
      <c r="S366" s="17"/>
      <c r="T366" s="20"/>
      <c r="U366" s="17"/>
      <c r="V366" s="17"/>
    </row>
    <row r="367" spans="1:22" x14ac:dyDescent="0.35">
      <c r="A367" s="5">
        <v>53772681000172</v>
      </c>
      <c r="B367" s="7"/>
      <c r="C367" s="4"/>
      <c r="D367" s="6" t="s">
        <v>461</v>
      </c>
      <c r="E367" s="6" t="s">
        <v>52</v>
      </c>
      <c r="F367" s="6" t="s">
        <v>8</v>
      </c>
      <c r="G367" s="11" t="s">
        <v>36</v>
      </c>
      <c r="H367" s="6" t="s">
        <v>17</v>
      </c>
      <c r="I367" s="21" t="s">
        <v>1072</v>
      </c>
      <c r="J367" s="18">
        <f>VLOOKUP(A367,[2]Export!$A:$B,2,0)</f>
        <v>3050.0502534067919</v>
      </c>
      <c r="K367" s="18">
        <f>VLOOKUP(A367,[2]Export!$A:$C,3,0)</f>
        <v>0</v>
      </c>
      <c r="L367" s="19">
        <f t="shared" si="12"/>
        <v>0</v>
      </c>
      <c r="M367" s="18">
        <f>VLOOKUP(A367,[2]Export!$A:$G,7,0)</f>
        <v>0</v>
      </c>
      <c r="N367" s="19">
        <f t="shared" si="13"/>
        <v>0</v>
      </c>
      <c r="O367" s="17" t="s">
        <v>1027</v>
      </c>
      <c r="P367" s="17" t="s">
        <v>1028</v>
      </c>
      <c r="Q367" s="17" t="s">
        <v>1023</v>
      </c>
      <c r="R367" s="17" t="str">
        <f>VLOOKUP(A367,[1]Export!$A:$I,9,0)</f>
        <v>Não Comprou</v>
      </c>
      <c r="S367" s="17" t="s">
        <v>1022</v>
      </c>
      <c r="T367" s="20"/>
      <c r="U367" s="17"/>
      <c r="V367" s="17"/>
    </row>
    <row r="368" spans="1:22" x14ac:dyDescent="0.35">
      <c r="A368" s="4">
        <v>4077499000196</v>
      </c>
      <c r="B368" s="7"/>
      <c r="C368" s="4"/>
      <c r="D368" s="1" t="s">
        <v>462</v>
      </c>
      <c r="E368" s="1" t="s">
        <v>58</v>
      </c>
      <c r="F368" s="1" t="s">
        <v>8</v>
      </c>
      <c r="G368" s="10" t="s">
        <v>20</v>
      </c>
      <c r="H368" s="1" t="s">
        <v>17</v>
      </c>
      <c r="I368" s="21" t="s">
        <v>1066</v>
      </c>
      <c r="J368" s="18">
        <f>VLOOKUP(A368,[2]Export!$A:$B,2,0)</f>
        <v>3720.5273147585904</v>
      </c>
      <c r="K368" s="18">
        <f>VLOOKUP(A368,[2]Export!$A:$C,3,0)</f>
        <v>125.2</v>
      </c>
      <c r="L368" s="19">
        <f t="shared" si="12"/>
        <v>3.3651143885802572E-2</v>
      </c>
      <c r="M368" s="18">
        <f>VLOOKUP(A368,[2]Export!$A:$G,7,0)</f>
        <v>0</v>
      </c>
      <c r="N368" s="19">
        <f t="shared" si="13"/>
        <v>0</v>
      </c>
      <c r="O368" s="17" t="s">
        <v>1025</v>
      </c>
      <c r="P368" s="17" t="s">
        <v>1026</v>
      </c>
      <c r="Q368" s="17" t="s">
        <v>1023</v>
      </c>
      <c r="R368" s="17" t="str">
        <f>VLOOKUP(A368,[1]Export!$A:$I,9,0)</f>
        <v>Não Comprou</v>
      </c>
      <c r="S368" s="17" t="s">
        <v>1023</v>
      </c>
      <c r="T368" s="20"/>
      <c r="U368" s="17"/>
      <c r="V368" s="17"/>
    </row>
    <row r="369" spans="1:22" x14ac:dyDescent="0.35">
      <c r="A369" s="5">
        <v>4834843002350</v>
      </c>
      <c r="B369" s="7" t="s">
        <v>994</v>
      </c>
      <c r="C369" s="4"/>
      <c r="D369" s="6" t="s">
        <v>91</v>
      </c>
      <c r="E369" s="6" t="s">
        <v>50</v>
      </c>
      <c r="F369" s="6" t="s">
        <v>48</v>
      </c>
      <c r="G369" s="11" t="s">
        <v>92</v>
      </c>
      <c r="H369" s="6" t="s">
        <v>17</v>
      </c>
      <c r="I369" s="21" t="s">
        <v>1071</v>
      </c>
      <c r="J369" s="18">
        <f>VLOOKUP(A369,[2]Export!$A:$B,2,0)</f>
        <v>11143.578068045184</v>
      </c>
      <c r="K369" s="18">
        <f>VLOOKUP(A369,[2]Export!$A:$C,3,0)</f>
        <v>9248.89</v>
      </c>
      <c r="L369" s="19">
        <f t="shared" si="12"/>
        <v>0.82997489168417948</v>
      </c>
      <c r="M369" s="18">
        <f>VLOOKUP(A369,[2]Export!$A:$G,7,0)</f>
        <v>7671.2599999999984</v>
      </c>
      <c r="N369" s="19">
        <f t="shared" si="13"/>
        <v>0.68840187174689904</v>
      </c>
      <c r="O369" s="17" t="s">
        <v>1027</v>
      </c>
      <c r="P369" s="17" t="s">
        <v>1028</v>
      </c>
      <c r="Q369" s="17" t="s">
        <v>1023</v>
      </c>
      <c r="R369" s="17" t="str">
        <f>VLOOKUP(A369,[1]Export!$A:$I,9,0)</f>
        <v>Comprou Marcas</v>
      </c>
      <c r="S369" s="17" t="s">
        <v>1022</v>
      </c>
      <c r="T369" s="20">
        <v>3</v>
      </c>
      <c r="U369" s="17"/>
      <c r="V369" s="17">
        <v>1</v>
      </c>
    </row>
    <row r="370" spans="1:22" x14ac:dyDescent="0.35">
      <c r="A370" s="4">
        <v>4834843003321</v>
      </c>
      <c r="B370" s="7" t="s">
        <v>994</v>
      </c>
      <c r="C370" s="4"/>
      <c r="D370" s="1" t="s">
        <v>463</v>
      </c>
      <c r="E370" s="1" t="s">
        <v>464</v>
      </c>
      <c r="F370" s="1" t="s">
        <v>48</v>
      </c>
      <c r="G370" s="10" t="s">
        <v>92</v>
      </c>
      <c r="H370" s="1" t="s">
        <v>17</v>
      </c>
      <c r="I370" s="21" t="s">
        <v>1071</v>
      </c>
      <c r="J370" s="18">
        <f>VLOOKUP(A370,[2]Export!$A:$B,2,0)</f>
        <v>1226.2779095757796</v>
      </c>
      <c r="K370" s="18">
        <f>VLOOKUP(A370,[2]Export!$A:$C,3,0)</f>
        <v>3294.7499999999995</v>
      </c>
      <c r="L370" s="19">
        <f t="shared" si="12"/>
        <v>2.6867890013119378</v>
      </c>
      <c r="M370" s="18">
        <f>VLOOKUP(A370,[2]Export!$A:$G,7,0)</f>
        <v>1977.3400000000001</v>
      </c>
      <c r="N370" s="19">
        <f t="shared" si="13"/>
        <v>1.6124729839454126</v>
      </c>
      <c r="O370" s="17"/>
      <c r="P370" s="17"/>
      <c r="Q370" s="17"/>
      <c r="R370" s="17" t="str">
        <f>VLOOKUP(A370,[1]Export!$A:$I,9,0)</f>
        <v>Comprou Marcas</v>
      </c>
      <c r="S370" s="17"/>
      <c r="T370" s="20"/>
      <c r="U370" s="17"/>
      <c r="V370" s="17"/>
    </row>
    <row r="371" spans="1:22" x14ac:dyDescent="0.35">
      <c r="A371" s="5">
        <v>5112326000396</v>
      </c>
      <c r="B371" s="7" t="s">
        <v>319</v>
      </c>
      <c r="C371" s="4"/>
      <c r="D371" s="6" t="s">
        <v>319</v>
      </c>
      <c r="E371" s="6" t="s">
        <v>54</v>
      </c>
      <c r="F371" s="6" t="s">
        <v>15</v>
      </c>
      <c r="G371" s="11" t="s">
        <v>36</v>
      </c>
      <c r="H371" s="6" t="s">
        <v>17</v>
      </c>
      <c r="I371" s="21" t="s">
        <v>1069</v>
      </c>
      <c r="J371" s="18">
        <f>VLOOKUP(A371,[2]Export!$A:$B,2,0)</f>
        <v>3063.3113318577653</v>
      </c>
      <c r="K371" s="18">
        <f>VLOOKUP(A371,[2]Export!$A:$C,3,0)</f>
        <v>1746.3600000000001</v>
      </c>
      <c r="L371" s="19">
        <f t="shared" si="12"/>
        <v>0.57008896935751829</v>
      </c>
      <c r="M371" s="18">
        <f>VLOOKUP(A371,[2]Export!$A:$G,7,0)</f>
        <v>0</v>
      </c>
      <c r="N371" s="19">
        <f t="shared" si="13"/>
        <v>0</v>
      </c>
      <c r="O371" s="17" t="s">
        <v>1029</v>
      </c>
      <c r="P371" s="17" t="s">
        <v>1026</v>
      </c>
      <c r="Q371" s="17" t="s">
        <v>1022</v>
      </c>
      <c r="R371" s="17" t="str">
        <f>VLOOKUP(A371,[1]Export!$A:$I,9,0)</f>
        <v>Não Comprou</v>
      </c>
      <c r="S371" s="17" t="s">
        <v>1023</v>
      </c>
      <c r="T371" s="20"/>
      <c r="U371" s="17"/>
      <c r="V371" s="17"/>
    </row>
    <row r="372" spans="1:22" x14ac:dyDescent="0.35">
      <c r="A372" s="4">
        <v>5528457000197</v>
      </c>
      <c r="B372" s="7"/>
      <c r="C372" s="4"/>
      <c r="D372" s="1" t="s">
        <v>465</v>
      </c>
      <c r="E372" s="1" t="s">
        <v>160</v>
      </c>
      <c r="F372" s="1" t="s">
        <v>8</v>
      </c>
      <c r="G372" s="10" t="s">
        <v>20</v>
      </c>
      <c r="H372" s="1" t="s">
        <v>17</v>
      </c>
      <c r="I372" s="21" t="s">
        <v>1068</v>
      </c>
      <c r="J372" s="18">
        <f>VLOOKUP(A372,[2]Export!$A:$B,2,0)</f>
        <v>1675.0776460600928</v>
      </c>
      <c r="K372" s="18">
        <f>VLOOKUP(A372,[2]Export!$A:$C,3,0)</f>
        <v>1165.1500000000001</v>
      </c>
      <c r="L372" s="19">
        <f t="shared" si="12"/>
        <v>0.69557969610574144</v>
      </c>
      <c r="M372" s="18">
        <f>VLOOKUP(A372,[2]Export!$A:$G,7,0)</f>
        <v>0</v>
      </c>
      <c r="N372" s="19">
        <f t="shared" si="13"/>
        <v>0</v>
      </c>
      <c r="O372" s="17" t="s">
        <v>1025</v>
      </c>
      <c r="P372" s="17" t="s">
        <v>1026</v>
      </c>
      <c r="Q372" s="17" t="s">
        <v>1023</v>
      </c>
      <c r="R372" s="17" t="str">
        <f>VLOOKUP(A372,[1]Export!$A:$I,9,0)</f>
        <v>Não Comprou</v>
      </c>
      <c r="S372" s="17" t="s">
        <v>1022</v>
      </c>
      <c r="T372" s="20"/>
      <c r="U372" s="17"/>
      <c r="V372" s="17"/>
    </row>
    <row r="373" spans="1:22" x14ac:dyDescent="0.35">
      <c r="A373" s="5">
        <v>597452000100</v>
      </c>
      <c r="B373" s="7"/>
      <c r="C373" s="4"/>
      <c r="D373" s="6" t="s">
        <v>466</v>
      </c>
      <c r="E373" s="6" t="s">
        <v>52</v>
      </c>
      <c r="F373" s="6" t="s">
        <v>8</v>
      </c>
      <c r="G373" s="11" t="s">
        <v>33</v>
      </c>
      <c r="H373" s="6" t="s">
        <v>17</v>
      </c>
      <c r="I373" s="21" t="s">
        <v>1072</v>
      </c>
      <c r="J373" s="18">
        <f>VLOOKUP(A373,[2]Export!$A:$B,2,0)</f>
        <v>4861.2450704404919</v>
      </c>
      <c r="K373" s="18">
        <f>VLOOKUP(A373,[2]Export!$A:$C,3,0)</f>
        <v>1726.93</v>
      </c>
      <c r="L373" s="19">
        <f t="shared" si="12"/>
        <v>0.35524438183560203</v>
      </c>
      <c r="M373" s="18">
        <f>VLOOKUP(A373,[2]Export!$A:$G,7,0)</f>
        <v>0</v>
      </c>
      <c r="N373" s="19">
        <f t="shared" si="13"/>
        <v>0</v>
      </c>
      <c r="O373" s="17" t="s">
        <v>1025</v>
      </c>
      <c r="P373" s="17" t="s">
        <v>1026</v>
      </c>
      <c r="Q373" s="17" t="s">
        <v>1023</v>
      </c>
      <c r="R373" s="17" t="str">
        <f>VLOOKUP(A373,[1]Export!$A:$I,9,0)</f>
        <v>Não Comprou</v>
      </c>
      <c r="S373" s="17" t="s">
        <v>1022</v>
      </c>
      <c r="T373" s="20"/>
      <c r="U373" s="17"/>
      <c r="V373" s="17"/>
    </row>
    <row r="374" spans="1:22" x14ac:dyDescent="0.35">
      <c r="A374" s="4">
        <v>1017753000172</v>
      </c>
      <c r="B374" s="7"/>
      <c r="C374" s="4"/>
      <c r="D374" s="1" t="s">
        <v>371</v>
      </c>
      <c r="E374" s="1" t="s">
        <v>467</v>
      </c>
      <c r="F374" s="1" t="s">
        <v>48</v>
      </c>
      <c r="G374" s="10" t="s">
        <v>87</v>
      </c>
      <c r="H374" s="1" t="s">
        <v>17</v>
      </c>
      <c r="I374" s="21" t="s">
        <v>1073</v>
      </c>
      <c r="J374" s="18">
        <f>VLOOKUP(A374,[2]Export!$A:$B,2,0)</f>
        <v>2801.5612462288127</v>
      </c>
      <c r="K374" s="18">
        <f>VLOOKUP(A374,[2]Export!$A:$C,3,0)</f>
        <v>1391.3999999999999</v>
      </c>
      <c r="L374" s="19">
        <f t="shared" si="12"/>
        <v>0.49665164446180365</v>
      </c>
      <c r="M374" s="18">
        <f>VLOOKUP(A374,[2]Export!$A:$G,7,0)</f>
        <v>773.13000000000011</v>
      </c>
      <c r="N374" s="19">
        <f t="shared" si="13"/>
        <v>0.27596398295440155</v>
      </c>
      <c r="O374" s="17" t="s">
        <v>1029</v>
      </c>
      <c r="P374" s="17" t="s">
        <v>1026</v>
      </c>
      <c r="Q374" s="17" t="s">
        <v>1023</v>
      </c>
      <c r="R374" s="17" t="str">
        <f>VLOOKUP(A374,[1]Export!$A:$I,9,0)</f>
        <v>Comprou Marcas</v>
      </c>
      <c r="S374" s="17" t="s">
        <v>1022</v>
      </c>
      <c r="T374" s="20"/>
      <c r="U374" s="17"/>
      <c r="V374" s="17"/>
    </row>
    <row r="375" spans="1:22" x14ac:dyDescent="0.35">
      <c r="A375" s="5">
        <v>1053206000142</v>
      </c>
      <c r="B375" s="7"/>
      <c r="C375" s="4"/>
      <c r="D375" s="6" t="s">
        <v>468</v>
      </c>
      <c r="E375" s="6" t="s">
        <v>7</v>
      </c>
      <c r="F375" s="6" t="s">
        <v>8</v>
      </c>
      <c r="G375" s="11" t="s">
        <v>20</v>
      </c>
      <c r="H375" s="6" t="s">
        <v>17</v>
      </c>
      <c r="I375" s="21" t="s">
        <v>1066</v>
      </c>
      <c r="J375" s="18">
        <f>VLOOKUP(A375,[2]Export!$A:$B,2,0)</f>
        <v>7103.971283841046</v>
      </c>
      <c r="K375" s="18">
        <f>VLOOKUP(A375,[2]Export!$A:$C,3,0)</f>
        <v>1916.8400000000001</v>
      </c>
      <c r="L375" s="19">
        <f t="shared" si="12"/>
        <v>0.26982654115735444</v>
      </c>
      <c r="M375" s="18">
        <f>VLOOKUP(A375,[2]Export!$A:$G,7,0)</f>
        <v>1286.3899999999999</v>
      </c>
      <c r="N375" s="19">
        <f t="shared" si="13"/>
        <v>0.18108040539607329</v>
      </c>
      <c r="O375" s="17" t="s">
        <v>1025</v>
      </c>
      <c r="P375" s="17" t="s">
        <v>1026</v>
      </c>
      <c r="Q375" s="17" t="s">
        <v>1023</v>
      </c>
      <c r="R375" s="17" t="str">
        <f>VLOOKUP(A375,[1]Export!$A:$I,9,0)</f>
        <v>Comprou Marcas</v>
      </c>
      <c r="S375" s="17" t="s">
        <v>1023</v>
      </c>
      <c r="T375" s="20"/>
      <c r="U375" s="17"/>
      <c r="V375" s="17"/>
    </row>
    <row r="376" spans="1:22" x14ac:dyDescent="0.35">
      <c r="A376" s="4">
        <v>1357742000131</v>
      </c>
      <c r="B376" s="7" t="s">
        <v>135</v>
      </c>
      <c r="C376" s="4"/>
      <c r="D376" s="1" t="s">
        <v>469</v>
      </c>
      <c r="E376" s="1" t="s">
        <v>35</v>
      </c>
      <c r="F376" s="1" t="s">
        <v>8</v>
      </c>
      <c r="G376" s="10" t="s">
        <v>135</v>
      </c>
      <c r="H376" s="1" t="s">
        <v>17</v>
      </c>
      <c r="I376" s="21" t="s">
        <v>1070</v>
      </c>
      <c r="J376" s="18">
        <f>VLOOKUP(A376,[2]Export!$A:$B,2,0)</f>
        <v>43476.116456058342</v>
      </c>
      <c r="K376" s="18">
        <f>VLOOKUP(A376,[2]Export!$A:$C,3,0)</f>
        <v>36217.429999999986</v>
      </c>
      <c r="L376" s="19">
        <f t="shared" si="12"/>
        <v>0.83304197688874149</v>
      </c>
      <c r="M376" s="18">
        <f>VLOOKUP(A376,[2]Export!$A:$G,7,0)</f>
        <v>18981.23</v>
      </c>
      <c r="N376" s="19">
        <f t="shared" si="13"/>
        <v>0.43658982326962159</v>
      </c>
      <c r="O376" s="17" t="s">
        <v>1025</v>
      </c>
      <c r="P376" s="17" t="s">
        <v>1026</v>
      </c>
      <c r="Q376" s="17" t="s">
        <v>1022</v>
      </c>
      <c r="R376" s="17" t="str">
        <f>VLOOKUP(A376,[1]Export!$A:$I,9,0)</f>
        <v>Comprou Marcas e SG</v>
      </c>
      <c r="S376" s="17" t="s">
        <v>1022</v>
      </c>
      <c r="T376" s="20">
        <v>6</v>
      </c>
      <c r="U376" s="17">
        <v>3</v>
      </c>
      <c r="V376" s="17">
        <v>11</v>
      </c>
    </row>
    <row r="377" spans="1:22" x14ac:dyDescent="0.35">
      <c r="A377" s="4">
        <v>10341045002046</v>
      </c>
      <c r="B377" s="7" t="s">
        <v>995</v>
      </c>
      <c r="C377" s="4"/>
      <c r="D377" s="1" t="s">
        <v>25</v>
      </c>
      <c r="E377" s="1" t="s">
        <v>260</v>
      </c>
      <c r="F377" s="1" t="s">
        <v>8</v>
      </c>
      <c r="G377" s="10" t="s">
        <v>9</v>
      </c>
      <c r="H377" s="1" t="s">
        <v>10</v>
      </c>
      <c r="I377" s="21" t="s">
        <v>1066</v>
      </c>
      <c r="J377" s="18">
        <f>VLOOKUP(A377,[2]Export!$A:$B,2,0)</f>
        <v>19217.693121101485</v>
      </c>
      <c r="K377" s="18">
        <f>VLOOKUP(A377,[2]Export!$A:$C,3,0)</f>
        <v>11981.67</v>
      </c>
      <c r="L377" s="19">
        <f t="shared" si="12"/>
        <v>0.62347077375503723</v>
      </c>
      <c r="M377" s="18">
        <f>VLOOKUP(A377,[2]Export!$A:$G,7,0)</f>
        <v>10032.280000000002</v>
      </c>
      <c r="N377" s="19">
        <f t="shared" si="13"/>
        <v>0.52203352071348874</v>
      </c>
      <c r="O377" s="17" t="s">
        <v>1027</v>
      </c>
      <c r="P377" s="17" t="s">
        <v>1028</v>
      </c>
      <c r="Q377" s="17" t="s">
        <v>1023</v>
      </c>
      <c r="R377" s="17" t="str">
        <f>VLOOKUP(A377,[1]Export!$A:$I,9,0)</f>
        <v>Comprou Marcas e SG</v>
      </c>
      <c r="S377" s="17" t="s">
        <v>1022</v>
      </c>
      <c r="T377" s="20"/>
      <c r="U377" s="17">
        <v>3</v>
      </c>
      <c r="V377" s="17"/>
    </row>
    <row r="378" spans="1:22" x14ac:dyDescent="0.35">
      <c r="A378" s="4">
        <v>21082444000193</v>
      </c>
      <c r="B378" s="7"/>
      <c r="C378" s="4">
        <v>153615</v>
      </c>
      <c r="D378" s="1" t="s">
        <v>471</v>
      </c>
      <c r="E378" s="1" t="s">
        <v>32</v>
      </c>
      <c r="F378" s="1" t="s">
        <v>15</v>
      </c>
      <c r="G378" s="10" t="s">
        <v>36</v>
      </c>
      <c r="H378" s="1" t="s">
        <v>17</v>
      </c>
      <c r="I378" s="21" t="s">
        <v>1067</v>
      </c>
      <c r="J378" s="18">
        <f>VLOOKUP(A378,[2]Export!$A:$B,2,0)</f>
        <v>4477.8773215552028</v>
      </c>
      <c r="K378" s="18">
        <f>VLOOKUP(A378,[2]Export!$A:$C,3,0)</f>
        <v>10643.360000000002</v>
      </c>
      <c r="L378" s="19">
        <f t="shared" si="12"/>
        <v>2.3768761928259967</v>
      </c>
      <c r="M378" s="18">
        <f>VLOOKUP(A378,[2]Export!$A:$G,7,0)</f>
        <v>10315.460000000001</v>
      </c>
      <c r="N378" s="19">
        <f t="shared" si="13"/>
        <v>2.3036495328588766</v>
      </c>
      <c r="O378" s="17" t="s">
        <v>1027</v>
      </c>
      <c r="P378" s="17" t="s">
        <v>1028</v>
      </c>
      <c r="Q378" s="17" t="s">
        <v>1023</v>
      </c>
      <c r="R378" s="17" t="str">
        <f>VLOOKUP(A378,[1]Export!$A:$I,9,0)</f>
        <v>Comprou Marcas</v>
      </c>
      <c r="S378" s="17" t="s">
        <v>1022</v>
      </c>
      <c r="T378" s="20"/>
      <c r="U378" s="17"/>
      <c r="V378" s="17"/>
    </row>
    <row r="379" spans="1:22" x14ac:dyDescent="0.35">
      <c r="A379" s="5">
        <v>199752000395</v>
      </c>
      <c r="B379" s="7" t="s">
        <v>1006</v>
      </c>
      <c r="C379" s="4">
        <v>134672</v>
      </c>
      <c r="D379" s="6" t="s">
        <v>378</v>
      </c>
      <c r="E379" s="6" t="s">
        <v>379</v>
      </c>
      <c r="F379" s="6" t="s">
        <v>15</v>
      </c>
      <c r="G379" s="11" t="s">
        <v>472</v>
      </c>
      <c r="H379" s="6" t="s">
        <v>17</v>
      </c>
      <c r="I379" s="21" t="s">
        <v>1073</v>
      </c>
      <c r="J379" s="18">
        <f>VLOOKUP(A379,[2]Export!$A:$B,2,0)</f>
        <v>96288.274983816489</v>
      </c>
      <c r="K379" s="18">
        <f>VLOOKUP(A379,[2]Export!$A:$C,3,0)</f>
        <v>70866.190000000017</v>
      </c>
      <c r="L379" s="19">
        <f t="shared" si="12"/>
        <v>0.73597943271816579</v>
      </c>
      <c r="M379" s="18">
        <f>VLOOKUP(A379,[2]Export!$A:$G,7,0)</f>
        <v>42224.919999999984</v>
      </c>
      <c r="N379" s="19">
        <f t="shared" si="13"/>
        <v>0.43852608229918832</v>
      </c>
      <c r="O379" s="17" t="s">
        <v>1027</v>
      </c>
      <c r="P379" s="17" t="s">
        <v>1028</v>
      </c>
      <c r="Q379" s="17" t="s">
        <v>1023</v>
      </c>
      <c r="R379" s="17" t="str">
        <f>VLOOKUP(A379,[1]Export!$A:$I,9,0)</f>
        <v>Comprou Marcas e SG</v>
      </c>
      <c r="S379" s="17" t="s">
        <v>1022</v>
      </c>
      <c r="T379" s="20">
        <v>12</v>
      </c>
      <c r="U379" s="17"/>
      <c r="V379" s="17">
        <v>2</v>
      </c>
    </row>
    <row r="380" spans="1:22" x14ac:dyDescent="0.35">
      <c r="A380" s="4">
        <v>938969000108</v>
      </c>
      <c r="B380" s="7"/>
      <c r="C380" s="4"/>
      <c r="D380" s="1" t="s">
        <v>473</v>
      </c>
      <c r="E380" s="1" t="s">
        <v>474</v>
      </c>
      <c r="F380" s="1" t="s">
        <v>8</v>
      </c>
      <c r="G380" s="10" t="s">
        <v>20</v>
      </c>
      <c r="H380" s="1" t="s">
        <v>17</v>
      </c>
      <c r="I380" s="21" t="s">
        <v>1066</v>
      </c>
      <c r="J380" s="18">
        <f>VLOOKUP(A380,[2]Export!$A:$B,2,0)</f>
        <v>6160.3352540828964</v>
      </c>
      <c r="K380" s="18">
        <f>VLOOKUP(A380,[2]Export!$A:$C,3,0)</f>
        <v>3729.8899999999994</v>
      </c>
      <c r="L380" s="19">
        <f t="shared" si="12"/>
        <v>0.60546867112921066</v>
      </c>
      <c r="M380" s="18">
        <f>VLOOKUP(A380,[2]Export!$A:$G,7,0)</f>
        <v>1898.7699999999998</v>
      </c>
      <c r="N380" s="19">
        <f t="shared" si="13"/>
        <v>0.30822510816136972</v>
      </c>
      <c r="O380" s="17" t="s">
        <v>1025</v>
      </c>
      <c r="P380" s="17" t="s">
        <v>1026</v>
      </c>
      <c r="Q380" s="17" t="s">
        <v>1022</v>
      </c>
      <c r="R380" s="17" t="str">
        <f>VLOOKUP(A380,[1]Export!$A:$I,9,0)</f>
        <v>Comprou Marcas</v>
      </c>
      <c r="S380" s="17" t="s">
        <v>1023</v>
      </c>
      <c r="T380" s="20"/>
      <c r="U380" s="17"/>
      <c r="V380" s="17"/>
    </row>
    <row r="381" spans="1:22" x14ac:dyDescent="0.35">
      <c r="A381" s="5">
        <v>2330943000108</v>
      </c>
      <c r="B381" s="7"/>
      <c r="C381" s="4"/>
      <c r="D381" s="6" t="s">
        <v>475</v>
      </c>
      <c r="E381" s="6" t="s">
        <v>71</v>
      </c>
      <c r="F381" s="6" t="s">
        <v>15</v>
      </c>
      <c r="G381" s="11" t="s">
        <v>36</v>
      </c>
      <c r="H381" s="6" t="s">
        <v>17</v>
      </c>
      <c r="I381" s="21" t="s">
        <v>1069</v>
      </c>
      <c r="J381" s="18">
        <f>VLOOKUP(A381,[2]Export!$A:$B,2,0)</f>
        <v>5957.7762043805924</v>
      </c>
      <c r="K381" s="18">
        <f>VLOOKUP(A381,[2]Export!$A:$C,3,0)</f>
        <v>3759.85</v>
      </c>
      <c r="L381" s="19">
        <f t="shared" si="12"/>
        <v>0.63108278508942373</v>
      </c>
      <c r="M381" s="18">
        <f>VLOOKUP(A381,[2]Export!$A:$G,7,0)</f>
        <v>2009.4199999999998</v>
      </c>
      <c r="N381" s="19">
        <f t="shared" si="13"/>
        <v>0.33727685147396563</v>
      </c>
      <c r="O381" s="17" t="s">
        <v>1025</v>
      </c>
      <c r="P381" s="17" t="s">
        <v>1026</v>
      </c>
      <c r="Q381" s="17" t="s">
        <v>1022</v>
      </c>
      <c r="R381" s="17" t="str">
        <f>VLOOKUP(A381,[1]Export!$A:$I,9,0)</f>
        <v>Comprou Marcas</v>
      </c>
      <c r="S381" s="17" t="s">
        <v>1022</v>
      </c>
      <c r="T381" s="20"/>
      <c r="U381" s="17"/>
      <c r="V381" s="17"/>
    </row>
    <row r="382" spans="1:22" x14ac:dyDescent="0.35">
      <c r="A382" s="4">
        <v>2486244000151</v>
      </c>
      <c r="B382" s="7"/>
      <c r="C382" s="4"/>
      <c r="D382" s="1" t="s">
        <v>476</v>
      </c>
      <c r="E382" s="1" t="s">
        <v>35</v>
      </c>
      <c r="F382" s="1" t="s">
        <v>8</v>
      </c>
      <c r="G382" s="10" t="s">
        <v>20</v>
      </c>
      <c r="H382" s="1" t="s">
        <v>17</v>
      </c>
      <c r="I382" s="21" t="s">
        <v>1070</v>
      </c>
      <c r="J382" s="18">
        <f>VLOOKUP(A382,[2]Export!$A:$B,2,0)</f>
        <v>1264.3495935857127</v>
      </c>
      <c r="K382" s="18">
        <f>VLOOKUP(A382,[2]Export!$A:$C,3,0)</f>
        <v>1070</v>
      </c>
      <c r="L382" s="19">
        <f t="shared" si="12"/>
        <v>0.84628492422373891</v>
      </c>
      <c r="M382" s="18">
        <f>VLOOKUP(A382,[2]Export!$A:$G,7,0)</f>
        <v>0</v>
      </c>
      <c r="N382" s="19">
        <f t="shared" si="13"/>
        <v>0</v>
      </c>
      <c r="O382" s="17" t="s">
        <v>1025</v>
      </c>
      <c r="P382" s="17" t="s">
        <v>1026</v>
      </c>
      <c r="Q382" s="17" t="s">
        <v>1022</v>
      </c>
      <c r="R382" s="17" t="str">
        <f>VLOOKUP(A382,[1]Export!$A:$I,9,0)</f>
        <v>Não Comprou</v>
      </c>
      <c r="S382" s="17" t="s">
        <v>1023</v>
      </c>
      <c r="T382" s="20"/>
      <c r="U382" s="17"/>
      <c r="V382" s="17"/>
    </row>
    <row r="383" spans="1:22" x14ac:dyDescent="0.35">
      <c r="A383" s="5">
        <v>9583797000171</v>
      </c>
      <c r="B383" s="7"/>
      <c r="C383" s="4"/>
      <c r="D383" s="6" t="s">
        <v>477</v>
      </c>
      <c r="E383" s="6" t="s">
        <v>398</v>
      </c>
      <c r="F383" s="6" t="s">
        <v>8</v>
      </c>
      <c r="G383" s="11" t="s">
        <v>20</v>
      </c>
      <c r="H383" s="6" t="s">
        <v>17</v>
      </c>
      <c r="I383" s="21" t="s">
        <v>1068</v>
      </c>
      <c r="J383" s="18">
        <f>VLOOKUP(A383,[2]Export!$A:$B,2,0)</f>
        <v>1812.9252878222344</v>
      </c>
      <c r="K383" s="18">
        <f>VLOOKUP(A383,[2]Export!$A:$C,3,0)</f>
        <v>678.68999999999994</v>
      </c>
      <c r="L383" s="19">
        <f t="shared" si="12"/>
        <v>0.37436181433338173</v>
      </c>
      <c r="M383" s="18">
        <f>VLOOKUP(A383,[2]Export!$A:$G,7,0)</f>
        <v>0</v>
      </c>
      <c r="N383" s="19">
        <f t="shared" si="13"/>
        <v>0</v>
      </c>
      <c r="O383" s="17" t="s">
        <v>1025</v>
      </c>
      <c r="P383" s="17" t="s">
        <v>1026</v>
      </c>
      <c r="Q383" s="17" t="s">
        <v>1023</v>
      </c>
      <c r="R383" s="17" t="str">
        <f>VLOOKUP(A383,[1]Export!$A:$I,9,0)</f>
        <v>Não Comprou</v>
      </c>
      <c r="S383" s="17" t="s">
        <v>1023</v>
      </c>
      <c r="T383" s="20"/>
      <c r="U383" s="17"/>
      <c r="V383" s="17"/>
    </row>
    <row r="384" spans="1:22" x14ac:dyDescent="0.35">
      <c r="A384" s="4">
        <v>10601751000117</v>
      </c>
      <c r="B384" s="7"/>
      <c r="C384" s="4"/>
      <c r="D384" s="1" t="s">
        <v>478</v>
      </c>
      <c r="E384" s="1" t="s">
        <v>43</v>
      </c>
      <c r="F384" s="1" t="s">
        <v>8</v>
      </c>
      <c r="G384" s="10" t="s">
        <v>16</v>
      </c>
      <c r="H384" s="1" t="s">
        <v>17</v>
      </c>
      <c r="I384" s="21" t="s">
        <v>1068</v>
      </c>
      <c r="J384" s="18">
        <f>VLOOKUP(A384,[2]Export!$A:$B,2,0)</f>
        <v>1128.9536104933238</v>
      </c>
      <c r="K384" s="18">
        <f>VLOOKUP(A384,[2]Export!$A:$C,3,0)</f>
        <v>780.78</v>
      </c>
      <c r="L384" s="19">
        <f t="shared" si="12"/>
        <v>0.6915961760898387</v>
      </c>
      <c r="M384" s="18">
        <f>VLOOKUP(A384,[2]Export!$A:$G,7,0)</f>
        <v>415.42</v>
      </c>
      <c r="N384" s="19">
        <f t="shared" si="13"/>
        <v>0.36796906103030408</v>
      </c>
      <c r="O384" s="17" t="s">
        <v>1027</v>
      </c>
      <c r="P384" s="17" t="s">
        <v>1028</v>
      </c>
      <c r="Q384" s="17" t="s">
        <v>1023</v>
      </c>
      <c r="R384" s="17" t="str">
        <f>VLOOKUP(A384,[1]Export!$A:$I,9,0)</f>
        <v>Comprou Marcas</v>
      </c>
      <c r="S384" s="17" t="s">
        <v>1023</v>
      </c>
      <c r="T384" s="20"/>
      <c r="U384" s="17"/>
      <c r="V384" s="17"/>
    </row>
    <row r="385" spans="1:22" x14ac:dyDescent="0.35">
      <c r="A385" s="5">
        <v>7629833000165</v>
      </c>
      <c r="B385" s="7"/>
      <c r="C385" s="4">
        <v>1187</v>
      </c>
      <c r="D385" s="6" t="s">
        <v>479</v>
      </c>
      <c r="E385" s="6" t="s">
        <v>82</v>
      </c>
      <c r="F385" s="6" t="s">
        <v>8</v>
      </c>
      <c r="G385" s="11" t="s">
        <v>33</v>
      </c>
      <c r="H385" s="6" t="s">
        <v>17</v>
      </c>
      <c r="I385" s="21" t="s">
        <v>1070</v>
      </c>
      <c r="J385" s="18">
        <f>VLOOKUP(A385,[2]Export!$A:$B,2,0)</f>
        <v>19851.46687880898</v>
      </c>
      <c r="K385" s="18">
        <f>VLOOKUP(A385,[2]Export!$A:$C,3,0)</f>
        <v>13927.799999999997</v>
      </c>
      <c r="L385" s="19">
        <f t="shared" si="12"/>
        <v>0.70160054594593357</v>
      </c>
      <c r="M385" s="18">
        <f>VLOOKUP(A385,[2]Export!$A:$G,7,0)</f>
        <v>9905.9399999999969</v>
      </c>
      <c r="N385" s="19">
        <f t="shared" si="13"/>
        <v>0.49900292308244371</v>
      </c>
      <c r="O385" s="17" t="s">
        <v>1027</v>
      </c>
      <c r="P385" s="17" t="s">
        <v>1026</v>
      </c>
      <c r="Q385" s="17" t="s">
        <v>1023</v>
      </c>
      <c r="R385" s="17" t="str">
        <f>VLOOKUP(A385,[1]Export!$A:$I,9,0)</f>
        <v>Comprou Marcas</v>
      </c>
      <c r="S385" s="17" t="s">
        <v>1022</v>
      </c>
      <c r="T385" s="20">
        <v>7</v>
      </c>
      <c r="U385" s="17"/>
      <c r="V385" s="17">
        <v>3</v>
      </c>
    </row>
    <row r="386" spans="1:22" x14ac:dyDescent="0.35">
      <c r="A386" s="4">
        <v>8856967000262</v>
      </c>
      <c r="B386" s="7"/>
      <c r="C386" s="4"/>
      <c r="D386" s="1" t="s">
        <v>480</v>
      </c>
      <c r="E386" s="1" t="s">
        <v>35</v>
      </c>
      <c r="F386" s="1" t="s">
        <v>8</v>
      </c>
      <c r="G386" s="10" t="s">
        <v>64</v>
      </c>
      <c r="H386" s="1" t="s">
        <v>17</v>
      </c>
      <c r="I386" s="21" t="s">
        <v>1070</v>
      </c>
      <c r="J386" s="18">
        <f>VLOOKUP(A386,[2]Export!$A:$B,2,0)</f>
        <v>12190.035751001749</v>
      </c>
      <c r="K386" s="18">
        <f>VLOOKUP(A386,[2]Export!$A:$C,3,0)</f>
        <v>5291.68</v>
      </c>
      <c r="L386" s="19">
        <f t="shared" si="12"/>
        <v>0.43409880890342278</v>
      </c>
      <c r="M386" s="18">
        <f>VLOOKUP(A386,[2]Export!$A:$G,7,0)</f>
        <v>0</v>
      </c>
      <c r="N386" s="19">
        <f t="shared" si="13"/>
        <v>0</v>
      </c>
      <c r="O386" s="17" t="s">
        <v>1025</v>
      </c>
      <c r="P386" s="17" t="s">
        <v>1026</v>
      </c>
      <c r="Q386" s="17" t="s">
        <v>1022</v>
      </c>
      <c r="R386" s="17" t="str">
        <f>VLOOKUP(A386,[1]Export!$A:$I,9,0)</f>
        <v>Não Comprou</v>
      </c>
      <c r="S386" s="17" t="s">
        <v>1022</v>
      </c>
      <c r="T386" s="20"/>
      <c r="U386" s="17"/>
      <c r="V386" s="17"/>
    </row>
    <row r="387" spans="1:22" x14ac:dyDescent="0.35">
      <c r="A387" s="4">
        <v>10341045000850</v>
      </c>
      <c r="B387" s="7" t="s">
        <v>995</v>
      </c>
      <c r="C387" s="4"/>
      <c r="D387" s="1" t="s">
        <v>25</v>
      </c>
      <c r="E387" s="1" t="s">
        <v>52</v>
      </c>
      <c r="F387" s="1" t="s">
        <v>8</v>
      </c>
      <c r="G387" s="10" t="s">
        <v>9</v>
      </c>
      <c r="H387" s="1" t="s">
        <v>10</v>
      </c>
      <c r="I387" s="21" t="s">
        <v>1072</v>
      </c>
      <c r="J387" s="18">
        <f>VLOOKUP(A387,[2]Export!$A:$B,2,0)</f>
        <v>29258.711510638375</v>
      </c>
      <c r="K387" s="18">
        <f>VLOOKUP(A387,[2]Export!$A:$C,3,0)</f>
        <v>19494.889999999996</v>
      </c>
      <c r="L387" s="19">
        <f t="shared" si="12"/>
        <v>0.66629352399580943</v>
      </c>
      <c r="M387" s="18">
        <f>VLOOKUP(A387,[2]Export!$A:$G,7,0)</f>
        <v>14582.940000000002</v>
      </c>
      <c r="N387" s="19">
        <f t="shared" si="13"/>
        <v>0.49841360904418813</v>
      </c>
      <c r="O387" s="17" t="s">
        <v>1027</v>
      </c>
      <c r="P387" s="17" t="s">
        <v>1028</v>
      </c>
      <c r="Q387" s="17" t="s">
        <v>1023</v>
      </c>
      <c r="R387" s="17" t="str">
        <f>VLOOKUP(A387,[1]Export!$A:$I,9,0)</f>
        <v>Comprou Marcas e SG</v>
      </c>
      <c r="S387" s="17" t="s">
        <v>1022</v>
      </c>
      <c r="T387" s="20"/>
      <c r="U387" s="17"/>
      <c r="V387" s="17"/>
    </row>
    <row r="388" spans="1:22" x14ac:dyDescent="0.35">
      <c r="A388" s="4">
        <v>9516908000127</v>
      </c>
      <c r="B388" s="7"/>
      <c r="C388" s="4"/>
      <c r="D388" s="1" t="s">
        <v>482</v>
      </c>
      <c r="E388" s="1" t="s">
        <v>68</v>
      </c>
      <c r="F388" s="1" t="s">
        <v>15</v>
      </c>
      <c r="G388" s="10" t="s">
        <v>16</v>
      </c>
      <c r="H388" s="1" t="s">
        <v>17</v>
      </c>
      <c r="I388" s="21" t="s">
        <v>1069</v>
      </c>
      <c r="J388" s="18">
        <f>VLOOKUP(A388,[2]Export!$A:$B,2,0)</f>
        <v>7418.8857044239403</v>
      </c>
      <c r="K388" s="18">
        <f>VLOOKUP(A388,[2]Export!$A:$C,3,0)</f>
        <v>4588.32</v>
      </c>
      <c r="L388" s="19">
        <f t="shared" si="12"/>
        <v>0.61846484536942636</v>
      </c>
      <c r="M388" s="18">
        <f>VLOOKUP(A388,[2]Export!$A:$G,7,0)</f>
        <v>394.44</v>
      </c>
      <c r="N388" s="19">
        <f t="shared" si="13"/>
        <v>5.3167013984969778E-2</v>
      </c>
      <c r="O388" s="17" t="s">
        <v>1029</v>
      </c>
      <c r="P388" s="17" t="s">
        <v>1026</v>
      </c>
      <c r="Q388" s="17" t="s">
        <v>1022</v>
      </c>
      <c r="R388" s="17" t="str">
        <f>VLOOKUP(A388,[1]Export!$A:$I,9,0)</f>
        <v>Comprou Marcas</v>
      </c>
      <c r="S388" s="17" t="s">
        <v>1022</v>
      </c>
      <c r="T388" s="20"/>
      <c r="U388" s="17"/>
      <c r="V388" s="17"/>
    </row>
    <row r="389" spans="1:22" x14ac:dyDescent="0.35">
      <c r="A389" s="5">
        <v>9642282000103</v>
      </c>
      <c r="B389" s="7"/>
      <c r="C389" s="4"/>
      <c r="D389" s="6" t="s">
        <v>483</v>
      </c>
      <c r="E389" s="6" t="s">
        <v>182</v>
      </c>
      <c r="F389" s="6" t="s">
        <v>8</v>
      </c>
      <c r="G389" s="11" t="s">
        <v>20</v>
      </c>
      <c r="H389" s="6" t="s">
        <v>17</v>
      </c>
      <c r="I389" s="21" t="s">
        <v>1072</v>
      </c>
      <c r="J389" s="18">
        <f>VLOOKUP(A389,[2]Export!$A:$B,2,0)</f>
        <v>2142.6724237211588</v>
      </c>
      <c r="K389" s="18">
        <f>VLOOKUP(A389,[2]Export!$A:$C,3,0)</f>
        <v>1300</v>
      </c>
      <c r="L389" s="19">
        <f t="shared" si="12"/>
        <v>0.60671896721492424</v>
      </c>
      <c r="M389" s="18">
        <f>VLOOKUP(A389,[2]Export!$A:$G,7,0)</f>
        <v>715.55</v>
      </c>
      <c r="N389" s="19">
        <f t="shared" si="13"/>
        <v>0.33395212076203001</v>
      </c>
      <c r="O389" s="17" t="s">
        <v>1025</v>
      </c>
      <c r="P389" s="17" t="s">
        <v>1026</v>
      </c>
      <c r="Q389" s="17" t="s">
        <v>1023</v>
      </c>
      <c r="R389" s="17" t="str">
        <f>VLOOKUP(A389,[1]Export!$A:$I,9,0)</f>
        <v>Comprou Marcas</v>
      </c>
      <c r="S389" s="17" t="s">
        <v>1023</v>
      </c>
      <c r="T389" s="20"/>
      <c r="U389" s="17"/>
      <c r="V389" s="17"/>
    </row>
    <row r="390" spans="1:22" x14ac:dyDescent="0.35">
      <c r="A390" s="4">
        <v>28800059000426</v>
      </c>
      <c r="B390" s="7" t="s">
        <v>950</v>
      </c>
      <c r="C390" s="4"/>
      <c r="D390" s="1" t="s">
        <v>484</v>
      </c>
      <c r="E390" s="1" t="s">
        <v>14</v>
      </c>
      <c r="F390" s="1" t="s">
        <v>15</v>
      </c>
      <c r="G390" s="10" t="s">
        <v>20</v>
      </c>
      <c r="H390" s="1" t="s">
        <v>17</v>
      </c>
      <c r="I390" s="21" t="s">
        <v>1067</v>
      </c>
      <c r="J390" s="18">
        <f>VLOOKUP(A390,[2]Export!$A:$B,2,0)</f>
        <v>6149.503866121624</v>
      </c>
      <c r="K390" s="18">
        <f>VLOOKUP(A390,[2]Export!$A:$C,3,0)</f>
        <v>1978.8600000000006</v>
      </c>
      <c r="L390" s="19">
        <f t="shared" si="12"/>
        <v>0.32179181330412437</v>
      </c>
      <c r="M390" s="18">
        <f>VLOOKUP(A390,[2]Export!$A:$G,7,0)</f>
        <v>1518.3500000000004</v>
      </c>
      <c r="N390" s="19">
        <f t="shared" si="13"/>
        <v>0.24690609731376509</v>
      </c>
      <c r="O390" s="17" t="s">
        <v>1027</v>
      </c>
      <c r="P390" s="17" t="s">
        <v>1028</v>
      </c>
      <c r="Q390" s="17" t="s">
        <v>1023</v>
      </c>
      <c r="R390" s="17" t="str">
        <f>VLOOKUP(A390,[1]Export!$A:$I,9,0)</f>
        <v>Comprou Marcas e SG</v>
      </c>
      <c r="S390" s="17" t="s">
        <v>1022</v>
      </c>
      <c r="T390" s="20">
        <v>1</v>
      </c>
      <c r="U390" s="17"/>
      <c r="V390" s="17">
        <v>1</v>
      </c>
    </row>
    <row r="391" spans="1:22" x14ac:dyDescent="0.35">
      <c r="A391" s="5">
        <v>30539610000129</v>
      </c>
      <c r="B391" s="7"/>
      <c r="C391" s="4"/>
      <c r="D391" s="6" t="s">
        <v>485</v>
      </c>
      <c r="E391" s="6" t="s">
        <v>272</v>
      </c>
      <c r="F391" s="6" t="s">
        <v>48</v>
      </c>
      <c r="G391" s="11" t="s">
        <v>486</v>
      </c>
      <c r="H391" s="6" t="s">
        <v>17</v>
      </c>
      <c r="I391" s="21" t="s">
        <v>1071</v>
      </c>
      <c r="J391" s="18">
        <f>VLOOKUP(A391,[2]Export!$A:$B,2,0)</f>
        <v>1994.5967163091721</v>
      </c>
      <c r="K391" s="18">
        <f>VLOOKUP(A391,[2]Export!$A:$C,3,0)</f>
        <v>1054.49</v>
      </c>
      <c r="L391" s="19">
        <f t="shared" si="12"/>
        <v>0.5286732858716634</v>
      </c>
      <c r="M391" s="18">
        <f>VLOOKUP(A391,[2]Export!$A:$G,7,0)</f>
        <v>0</v>
      </c>
      <c r="N391" s="19">
        <f t="shared" si="13"/>
        <v>0</v>
      </c>
      <c r="O391" s="17"/>
      <c r="P391" s="17"/>
      <c r="Q391" s="17"/>
      <c r="R391" s="17" t="str">
        <f>VLOOKUP(A391,[1]Export!$A:$I,9,0)</f>
        <v>Comprou SG</v>
      </c>
      <c r="S391" s="17"/>
      <c r="T391" s="20"/>
      <c r="U391" s="17"/>
      <c r="V391" s="17"/>
    </row>
    <row r="392" spans="1:22" x14ac:dyDescent="0.35">
      <c r="A392" s="4">
        <v>50372246000162</v>
      </c>
      <c r="B392" s="7"/>
      <c r="C392" s="4"/>
      <c r="D392" s="1" t="s">
        <v>487</v>
      </c>
      <c r="E392" s="1" t="s">
        <v>379</v>
      </c>
      <c r="F392" s="1" t="s">
        <v>15</v>
      </c>
      <c r="G392" s="10" t="s">
        <v>20</v>
      </c>
      <c r="H392" s="1" t="s">
        <v>17</v>
      </c>
      <c r="I392" s="21" t="s">
        <v>1073</v>
      </c>
      <c r="J392" s="18">
        <f>VLOOKUP(A392,[2]Export!$A:$B,2,0)</f>
        <v>9645.7729785457304</v>
      </c>
      <c r="K392" s="18">
        <f>VLOOKUP(A392,[2]Export!$A:$C,3,0)</f>
        <v>4772.1099999999997</v>
      </c>
      <c r="L392" s="19">
        <f t="shared" si="12"/>
        <v>0.49473588178098288</v>
      </c>
      <c r="M392" s="18">
        <f>VLOOKUP(A392,[2]Export!$A:$G,7,0)</f>
        <v>0</v>
      </c>
      <c r="N392" s="19">
        <f t="shared" si="13"/>
        <v>0</v>
      </c>
      <c r="O392" s="17" t="s">
        <v>1025</v>
      </c>
      <c r="P392" s="17" t="s">
        <v>1026</v>
      </c>
      <c r="Q392" s="17" t="s">
        <v>1023</v>
      </c>
      <c r="R392" s="17" t="str">
        <f>VLOOKUP(A392,[1]Export!$A:$I,9,0)</f>
        <v>Não Comprou</v>
      </c>
      <c r="S392" s="17" t="s">
        <v>1023</v>
      </c>
      <c r="T392" s="20"/>
      <c r="U392" s="17"/>
      <c r="V392" s="17"/>
    </row>
    <row r="393" spans="1:22" x14ac:dyDescent="0.35">
      <c r="A393" s="5">
        <v>52390785000150</v>
      </c>
      <c r="B393" s="7"/>
      <c r="C393" s="4"/>
      <c r="D393" s="6" t="s">
        <v>488</v>
      </c>
      <c r="E393" s="6" t="s">
        <v>14</v>
      </c>
      <c r="F393" s="6" t="s">
        <v>15</v>
      </c>
      <c r="G393" s="11" t="s">
        <v>36</v>
      </c>
      <c r="H393" s="6" t="s">
        <v>17</v>
      </c>
      <c r="I393" s="21" t="s">
        <v>1067</v>
      </c>
      <c r="J393" s="18">
        <f>VLOOKUP(A393,[2]Export!$A:$B,2,0)</f>
        <v>2727.78428409252</v>
      </c>
      <c r="K393" s="18">
        <f>VLOOKUP(A393,[2]Export!$A:$C,3,0)</f>
        <v>464.29999999999995</v>
      </c>
      <c r="L393" s="19">
        <f t="shared" si="12"/>
        <v>0.17021140663784687</v>
      </c>
      <c r="M393" s="18">
        <f>VLOOKUP(A393,[2]Export!$A:$G,7,0)</f>
        <v>0</v>
      </c>
      <c r="N393" s="19">
        <f t="shared" si="13"/>
        <v>0</v>
      </c>
      <c r="O393" s="17" t="s">
        <v>1029</v>
      </c>
      <c r="P393" s="17" t="s">
        <v>1026</v>
      </c>
      <c r="Q393" s="17" t="s">
        <v>1022</v>
      </c>
      <c r="R393" s="17" t="str">
        <f>VLOOKUP(A393,[1]Export!$A:$I,9,0)</f>
        <v>Não Comprou</v>
      </c>
      <c r="S393" s="17" t="s">
        <v>1023</v>
      </c>
      <c r="T393" s="20"/>
      <c r="U393" s="17"/>
      <c r="V393" s="17"/>
    </row>
    <row r="394" spans="1:22" x14ac:dyDescent="0.35">
      <c r="A394" s="4">
        <v>7504369000180</v>
      </c>
      <c r="B394" s="7"/>
      <c r="C394" s="4"/>
      <c r="D394" s="1" t="s">
        <v>489</v>
      </c>
      <c r="E394" s="1" t="s">
        <v>61</v>
      </c>
      <c r="F394" s="1" t="s">
        <v>8</v>
      </c>
      <c r="G394" s="10" t="s">
        <v>16</v>
      </c>
      <c r="H394" s="1" t="s">
        <v>17</v>
      </c>
      <c r="I394" s="21" t="s">
        <v>1066</v>
      </c>
      <c r="J394" s="18">
        <f>VLOOKUP(A394,[2]Export!$A:$B,2,0)</f>
        <v>1466.3422098845192</v>
      </c>
      <c r="K394" s="18">
        <f>VLOOKUP(A394,[2]Export!$A:$C,3,0)</f>
        <v>819.47999999999979</v>
      </c>
      <c r="L394" s="19">
        <f t="shared" si="12"/>
        <v>0.55885999494247485</v>
      </c>
      <c r="M394" s="18">
        <f>VLOOKUP(A394,[2]Export!$A:$G,7,0)</f>
        <v>685.03000000000009</v>
      </c>
      <c r="N394" s="19">
        <f t="shared" si="13"/>
        <v>0.46716925652297031</v>
      </c>
      <c r="O394" s="17" t="s">
        <v>1029</v>
      </c>
      <c r="P394" s="17" t="s">
        <v>1026</v>
      </c>
      <c r="Q394" s="17" t="s">
        <v>1022</v>
      </c>
      <c r="R394" s="17" t="str">
        <f>VLOOKUP(A394,[1]Export!$A:$I,9,0)</f>
        <v>Comprou Marcas</v>
      </c>
      <c r="S394" s="17" t="s">
        <v>1023</v>
      </c>
      <c r="T394" s="20"/>
      <c r="U394" s="17"/>
      <c r="V394" s="17"/>
    </row>
    <row r="395" spans="1:22" x14ac:dyDescent="0.35">
      <c r="A395" s="5">
        <v>42390075000176</v>
      </c>
      <c r="B395" s="7"/>
      <c r="C395" s="4"/>
      <c r="D395" s="6" t="s">
        <v>77</v>
      </c>
      <c r="E395" s="6" t="s">
        <v>35</v>
      </c>
      <c r="F395" s="6" t="s">
        <v>8</v>
      </c>
      <c r="G395" s="11" t="s">
        <v>20</v>
      </c>
      <c r="H395" s="6" t="s">
        <v>17</v>
      </c>
      <c r="I395" s="21" t="s">
        <v>1070</v>
      </c>
      <c r="J395" s="18">
        <f>VLOOKUP(A395,[2]Export!$A:$B,2,0)</f>
        <v>4245.0260144285321</v>
      </c>
      <c r="K395" s="18">
        <f>VLOOKUP(A395,[2]Export!$A:$C,3,0)</f>
        <v>2494.56</v>
      </c>
      <c r="L395" s="19">
        <f t="shared" si="12"/>
        <v>0.58764304188506111</v>
      </c>
      <c r="M395" s="18">
        <f>VLOOKUP(A395,[2]Export!$A:$G,7,0)</f>
        <v>3609.13</v>
      </c>
      <c r="N395" s="19">
        <f t="shared" si="13"/>
        <v>0.85020209245663791</v>
      </c>
      <c r="O395" s="17" t="s">
        <v>1029</v>
      </c>
      <c r="P395" s="17" t="s">
        <v>1026</v>
      </c>
      <c r="Q395" s="17" t="s">
        <v>1022</v>
      </c>
      <c r="R395" s="17" t="str">
        <f>VLOOKUP(A395,[1]Export!$A:$I,9,0)</f>
        <v>Comprou Marcas e SG</v>
      </c>
      <c r="S395" s="17" t="s">
        <v>1023</v>
      </c>
      <c r="T395" s="20"/>
      <c r="U395" s="17"/>
      <c r="V395" s="17"/>
    </row>
    <row r="396" spans="1:22" x14ac:dyDescent="0.35">
      <c r="A396" s="4">
        <v>23350836000111</v>
      </c>
      <c r="B396" s="7"/>
      <c r="C396" s="4"/>
      <c r="D396" s="1" t="s">
        <v>490</v>
      </c>
      <c r="E396" s="1" t="s">
        <v>14</v>
      </c>
      <c r="F396" s="1" t="s">
        <v>15</v>
      </c>
      <c r="G396" s="10" t="s">
        <v>16</v>
      </c>
      <c r="H396" s="1" t="s">
        <v>17</v>
      </c>
      <c r="I396" s="21" t="s">
        <v>1067</v>
      </c>
      <c r="J396" s="18">
        <f>VLOOKUP(A396,[2]Export!$A:$B,2,0)</f>
        <v>2441.9757522904483</v>
      </c>
      <c r="K396" s="18">
        <f>VLOOKUP(A396,[2]Export!$A:$C,3,0)</f>
        <v>2631.2799999999993</v>
      </c>
      <c r="L396" s="19">
        <f t="shared" si="12"/>
        <v>1.0775209366972598</v>
      </c>
      <c r="M396" s="18">
        <f>VLOOKUP(A396,[2]Export!$A:$G,7,0)</f>
        <v>2035.4299999999998</v>
      </c>
      <c r="N396" s="19">
        <f t="shared" si="13"/>
        <v>0.8335176948791857</v>
      </c>
      <c r="O396" s="17" t="s">
        <v>1027</v>
      </c>
      <c r="P396" s="17" t="s">
        <v>1028</v>
      </c>
      <c r="Q396" s="17" t="s">
        <v>1023</v>
      </c>
      <c r="R396" s="17" t="str">
        <f>VLOOKUP(A396,[1]Export!$A:$I,9,0)</f>
        <v>Comprou Marcas</v>
      </c>
      <c r="S396" s="17" t="s">
        <v>1022</v>
      </c>
      <c r="T396" s="20"/>
      <c r="U396" s="17"/>
      <c r="V396" s="17"/>
    </row>
    <row r="397" spans="1:22" x14ac:dyDescent="0.35">
      <c r="A397" s="5">
        <v>25204663000159</v>
      </c>
      <c r="B397" s="7"/>
      <c r="C397" s="4"/>
      <c r="D397" s="6" t="s">
        <v>491</v>
      </c>
      <c r="E397" s="6" t="s">
        <v>307</v>
      </c>
      <c r="F397" s="6" t="s">
        <v>8</v>
      </c>
      <c r="G397" s="11" t="s">
        <v>20</v>
      </c>
      <c r="H397" s="6" t="s">
        <v>17</v>
      </c>
      <c r="I397" s="21" t="s">
        <v>1068</v>
      </c>
      <c r="J397" s="18">
        <f>VLOOKUP(A397,[2]Export!$A:$B,2,0)</f>
        <v>673.67842391553756</v>
      </c>
      <c r="K397" s="18">
        <f>VLOOKUP(A397,[2]Export!$A:$C,3,0)</f>
        <v>38.32</v>
      </c>
      <c r="L397" s="19">
        <f t="shared" ref="L397:L460" si="14">K397/J397</f>
        <v>5.6881738585714853E-2</v>
      </c>
      <c r="M397" s="18">
        <f>VLOOKUP(A397,[2]Export!$A:$G,7,0)</f>
        <v>0</v>
      </c>
      <c r="N397" s="19">
        <f t="shared" ref="N397:N460" si="15">M397/J397</f>
        <v>0</v>
      </c>
      <c r="O397" s="17" t="s">
        <v>1025</v>
      </c>
      <c r="P397" s="17" t="s">
        <v>1026</v>
      </c>
      <c r="Q397" s="17" t="s">
        <v>1023</v>
      </c>
      <c r="R397" s="17" t="str">
        <f>VLOOKUP(A397,[1]Export!$A:$I,9,0)</f>
        <v>Não Comprou</v>
      </c>
      <c r="S397" s="17" t="s">
        <v>1023</v>
      </c>
      <c r="T397" s="20"/>
      <c r="U397" s="17"/>
      <c r="V397" s="17"/>
    </row>
    <row r="398" spans="1:22" x14ac:dyDescent="0.35">
      <c r="A398" s="4">
        <v>64822703000188</v>
      </c>
      <c r="B398" s="7"/>
      <c r="C398" s="4"/>
      <c r="D398" s="1" t="s">
        <v>492</v>
      </c>
      <c r="E398" s="1" t="s">
        <v>374</v>
      </c>
      <c r="F398" s="1" t="s">
        <v>48</v>
      </c>
      <c r="G398" s="10" t="s">
        <v>33</v>
      </c>
      <c r="H398" s="1" t="s">
        <v>17</v>
      </c>
      <c r="I398" s="21" t="s">
        <v>1071</v>
      </c>
      <c r="J398" s="18">
        <f>VLOOKUP(A398,[2]Export!$A:$B,2,0)</f>
        <v>5136.9330161802745</v>
      </c>
      <c r="K398" s="18">
        <f>VLOOKUP(A398,[2]Export!$A:$C,3,0)</f>
        <v>2146.4599999999996</v>
      </c>
      <c r="L398" s="19">
        <f t="shared" si="14"/>
        <v>0.41784854761374063</v>
      </c>
      <c r="M398" s="18">
        <f>VLOOKUP(A398,[2]Export!$A:$G,7,0)</f>
        <v>829.99999999999989</v>
      </c>
      <c r="N398" s="19">
        <f t="shared" si="15"/>
        <v>0.16157500932670757</v>
      </c>
      <c r="O398" s="17" t="s">
        <v>1025</v>
      </c>
      <c r="P398" s="17" t="s">
        <v>1026</v>
      </c>
      <c r="Q398" s="17" t="s">
        <v>1022</v>
      </c>
      <c r="R398" s="17" t="str">
        <f>VLOOKUP(A398,[1]Export!$A:$I,9,0)</f>
        <v>Comprou Marcas</v>
      </c>
      <c r="S398" s="17" t="s">
        <v>1022</v>
      </c>
      <c r="T398" s="20"/>
      <c r="U398" s="17"/>
      <c r="V398" s="17"/>
    </row>
    <row r="399" spans="1:22" x14ac:dyDescent="0.35">
      <c r="A399" s="5">
        <v>65892972000183</v>
      </c>
      <c r="B399" s="7"/>
      <c r="C399" s="4"/>
      <c r="D399" s="6" t="s">
        <v>493</v>
      </c>
      <c r="E399" s="6" t="s">
        <v>494</v>
      </c>
      <c r="F399" s="6" t="s">
        <v>8</v>
      </c>
      <c r="G399" s="11" t="s">
        <v>20</v>
      </c>
      <c r="H399" s="6" t="s">
        <v>17</v>
      </c>
      <c r="I399" s="21" t="s">
        <v>1066</v>
      </c>
      <c r="J399" s="18">
        <f>VLOOKUP(A399,[2]Export!$A:$B,2,0)</f>
        <v>0</v>
      </c>
      <c r="K399" s="18">
        <f>VLOOKUP(A399,[2]Export!$A:$C,3,0)</f>
        <v>1887.3600000000001</v>
      </c>
      <c r="L399" s="19" t="e">
        <f t="shared" si="14"/>
        <v>#DIV/0!</v>
      </c>
      <c r="M399" s="18">
        <f>VLOOKUP(A399,[2]Export!$A:$G,7,0)</f>
        <v>1724.0500000000002</v>
      </c>
      <c r="N399" s="19" t="e">
        <f t="shared" si="15"/>
        <v>#DIV/0!</v>
      </c>
      <c r="O399" s="17"/>
      <c r="P399" s="17"/>
      <c r="Q399" s="17"/>
      <c r="R399" s="17" t="str">
        <f>VLOOKUP(A399,[1]Export!$A:$I,9,0)</f>
        <v>Comprou Marcas</v>
      </c>
      <c r="S399" s="17"/>
      <c r="T399" s="20"/>
      <c r="U399" s="17"/>
      <c r="V399" s="17"/>
    </row>
    <row r="400" spans="1:22" x14ac:dyDescent="0.35">
      <c r="A400" s="4">
        <v>4834843000497</v>
      </c>
      <c r="B400" s="7" t="s">
        <v>994</v>
      </c>
      <c r="C400" s="4"/>
      <c r="D400" s="1" t="s">
        <v>91</v>
      </c>
      <c r="E400" s="1" t="s">
        <v>295</v>
      </c>
      <c r="F400" s="1" t="s">
        <v>48</v>
      </c>
      <c r="G400" s="10" t="s">
        <v>92</v>
      </c>
      <c r="H400" s="1" t="s">
        <v>17</v>
      </c>
      <c r="I400" s="21" t="s">
        <v>1071</v>
      </c>
      <c r="J400" s="18">
        <f>VLOOKUP(A400,[2]Export!$A:$B,2,0)</f>
        <v>22395.194126538547</v>
      </c>
      <c r="K400" s="18">
        <f>VLOOKUP(A400,[2]Export!$A:$C,3,0)</f>
        <v>8422.39</v>
      </c>
      <c r="L400" s="19">
        <f t="shared" si="14"/>
        <v>0.37608024080574398</v>
      </c>
      <c r="M400" s="18">
        <f>VLOOKUP(A400,[2]Export!$A:$G,7,0)</f>
        <v>7984.1200000000008</v>
      </c>
      <c r="N400" s="19">
        <f t="shared" si="15"/>
        <v>0.35651041714073523</v>
      </c>
      <c r="O400" s="17" t="s">
        <v>1027</v>
      </c>
      <c r="P400" s="17" t="s">
        <v>1028</v>
      </c>
      <c r="Q400" s="17" t="s">
        <v>1023</v>
      </c>
      <c r="R400" s="17" t="str">
        <f>VLOOKUP(A400,[1]Export!$A:$I,9,0)</f>
        <v>Comprou Marcas e SG</v>
      </c>
      <c r="S400" s="17" t="s">
        <v>1022</v>
      </c>
      <c r="T400" s="20">
        <v>4</v>
      </c>
      <c r="U400" s="17"/>
      <c r="V400" s="17"/>
    </row>
    <row r="401" spans="1:22" x14ac:dyDescent="0.35">
      <c r="A401" s="5">
        <v>1335144000161</v>
      </c>
      <c r="B401" s="7"/>
      <c r="C401" s="4"/>
      <c r="D401" s="6" t="s">
        <v>495</v>
      </c>
      <c r="E401" s="6" t="s">
        <v>26</v>
      </c>
      <c r="F401" s="6" t="s">
        <v>8</v>
      </c>
      <c r="G401" s="11" t="s">
        <v>20</v>
      </c>
      <c r="H401" s="6" t="s">
        <v>17</v>
      </c>
      <c r="I401" s="21" t="s">
        <v>1066</v>
      </c>
      <c r="J401" s="18">
        <f>VLOOKUP(A401,[2]Export!$A:$B,2,0)</f>
        <v>1091.6200079728317</v>
      </c>
      <c r="K401" s="18">
        <f>VLOOKUP(A401,[2]Export!$A:$C,3,0)</f>
        <v>1106.99</v>
      </c>
      <c r="L401" s="19">
        <f t="shared" si="14"/>
        <v>1.0140799837992258</v>
      </c>
      <c r="M401" s="18">
        <f>VLOOKUP(A401,[2]Export!$A:$G,7,0)</f>
        <v>0</v>
      </c>
      <c r="N401" s="19">
        <f t="shared" si="15"/>
        <v>0</v>
      </c>
      <c r="O401" s="17" t="s">
        <v>1025</v>
      </c>
      <c r="P401" s="17" t="s">
        <v>1026</v>
      </c>
      <c r="Q401" s="17" t="s">
        <v>1023</v>
      </c>
      <c r="R401" s="17" t="str">
        <f>VLOOKUP(A401,[1]Export!$A:$I,9,0)</f>
        <v>Não Comprou</v>
      </c>
      <c r="S401" s="17" t="s">
        <v>1023</v>
      </c>
      <c r="T401" s="20"/>
      <c r="U401" s="17"/>
      <c r="V401" s="17"/>
    </row>
    <row r="402" spans="1:22" x14ac:dyDescent="0.35">
      <c r="A402" s="4">
        <v>1617468000192</v>
      </c>
      <c r="B402" s="7"/>
      <c r="C402" s="4"/>
      <c r="D402" s="1" t="s">
        <v>496</v>
      </c>
      <c r="E402" s="1" t="s">
        <v>146</v>
      </c>
      <c r="F402" s="1" t="s">
        <v>8</v>
      </c>
      <c r="G402" s="10" t="s">
        <v>36</v>
      </c>
      <c r="H402" s="1" t="s">
        <v>17</v>
      </c>
      <c r="I402" s="21" t="s">
        <v>1072</v>
      </c>
      <c r="J402" s="18">
        <f>VLOOKUP(A402,[2]Export!$A:$B,2,0)</f>
        <v>2918.8877112051346</v>
      </c>
      <c r="K402" s="18">
        <f>VLOOKUP(A402,[2]Export!$A:$C,3,0)</f>
        <v>749.62999999999988</v>
      </c>
      <c r="L402" s="19">
        <f t="shared" si="14"/>
        <v>0.25682043098893198</v>
      </c>
      <c r="M402" s="18">
        <f>VLOOKUP(A402,[2]Export!$A:$G,7,0)</f>
        <v>137.85</v>
      </c>
      <c r="N402" s="19">
        <f t="shared" si="15"/>
        <v>4.7226893816715285E-2</v>
      </c>
      <c r="O402" s="17" t="s">
        <v>1025</v>
      </c>
      <c r="P402" s="17" t="s">
        <v>1026</v>
      </c>
      <c r="Q402" s="17" t="s">
        <v>1022</v>
      </c>
      <c r="R402" s="17" t="str">
        <f>VLOOKUP(A402,[1]Export!$A:$I,9,0)</f>
        <v>Comprou Marcas</v>
      </c>
      <c r="S402" s="17" t="s">
        <v>1023</v>
      </c>
      <c r="T402" s="20"/>
      <c r="U402" s="17"/>
      <c r="V402" s="17"/>
    </row>
    <row r="403" spans="1:22" x14ac:dyDescent="0.35">
      <c r="A403" s="5">
        <v>1897271000154</v>
      </c>
      <c r="B403" s="7"/>
      <c r="C403" s="4"/>
      <c r="D403" s="6" t="s">
        <v>497</v>
      </c>
      <c r="E403" s="6" t="s">
        <v>160</v>
      </c>
      <c r="F403" s="6" t="s">
        <v>8</v>
      </c>
      <c r="G403" s="11" t="s">
        <v>20</v>
      </c>
      <c r="H403" s="6" t="s">
        <v>17</v>
      </c>
      <c r="I403" s="21" t="s">
        <v>1068</v>
      </c>
      <c r="J403" s="18">
        <f>VLOOKUP(A403,[2]Export!$A:$B,2,0)</f>
        <v>3915.5795682360081</v>
      </c>
      <c r="K403" s="18">
        <f>VLOOKUP(A403,[2]Export!$A:$C,3,0)</f>
        <v>1258.5700000000002</v>
      </c>
      <c r="L403" s="19">
        <f t="shared" si="14"/>
        <v>0.32142623539303877</v>
      </c>
      <c r="M403" s="18">
        <f>VLOOKUP(A403,[2]Export!$A:$G,7,0)</f>
        <v>0</v>
      </c>
      <c r="N403" s="19">
        <f t="shared" si="15"/>
        <v>0</v>
      </c>
      <c r="O403" s="17" t="s">
        <v>1025</v>
      </c>
      <c r="P403" s="17" t="s">
        <v>1026</v>
      </c>
      <c r="Q403" s="17" t="s">
        <v>1022</v>
      </c>
      <c r="R403" s="17" t="str">
        <f>VLOOKUP(A403,[1]Export!$A:$I,9,0)</f>
        <v>Não Comprou</v>
      </c>
      <c r="S403" s="17" t="s">
        <v>1023</v>
      </c>
      <c r="T403" s="20"/>
      <c r="U403" s="17"/>
      <c r="V403" s="17"/>
    </row>
    <row r="404" spans="1:22" x14ac:dyDescent="0.35">
      <c r="A404" s="4">
        <v>3381216000132</v>
      </c>
      <c r="B404" s="7"/>
      <c r="C404" s="4"/>
      <c r="D404" s="1" t="s">
        <v>498</v>
      </c>
      <c r="E404" s="1" t="s">
        <v>377</v>
      </c>
      <c r="F404" s="1" t="s">
        <v>48</v>
      </c>
      <c r="G404" s="10" t="s">
        <v>20</v>
      </c>
      <c r="H404" s="1" t="s">
        <v>17</v>
      </c>
      <c r="I404" s="21" t="s">
        <v>1071</v>
      </c>
      <c r="J404" s="18">
        <f>VLOOKUP(A404,[2]Export!$A:$B,2,0)</f>
        <v>22238.169681854495</v>
      </c>
      <c r="K404" s="18">
        <f>VLOOKUP(A404,[2]Export!$A:$C,3,0)</f>
        <v>7658.2699999999995</v>
      </c>
      <c r="L404" s="19">
        <f t="shared" si="14"/>
        <v>0.34437501420131972</v>
      </c>
      <c r="M404" s="18">
        <f>VLOOKUP(A404,[2]Export!$A:$G,7,0)</f>
        <v>955.43</v>
      </c>
      <c r="N404" s="19">
        <f t="shared" si="15"/>
        <v>4.2963517846506705E-2</v>
      </c>
      <c r="O404" s="17" t="s">
        <v>1025</v>
      </c>
      <c r="P404" s="17" t="s">
        <v>1026</v>
      </c>
      <c r="Q404" s="17" t="s">
        <v>1023</v>
      </c>
      <c r="R404" s="17" t="str">
        <f>VLOOKUP(A404,[1]Export!$A:$I,9,0)</f>
        <v>Comprou Marcas</v>
      </c>
      <c r="S404" s="17" t="s">
        <v>1022</v>
      </c>
      <c r="T404" s="20"/>
      <c r="U404" s="17"/>
      <c r="V404" s="17">
        <v>1</v>
      </c>
    </row>
    <row r="405" spans="1:22" x14ac:dyDescent="0.35">
      <c r="A405" s="5">
        <v>13701031000111</v>
      </c>
      <c r="B405" s="7"/>
      <c r="C405" s="4"/>
      <c r="D405" s="6" t="s">
        <v>499</v>
      </c>
      <c r="E405" s="6" t="s">
        <v>500</v>
      </c>
      <c r="F405" s="6" t="s">
        <v>48</v>
      </c>
      <c r="G405" s="11" t="s">
        <v>87</v>
      </c>
      <c r="H405" s="6" t="s">
        <v>17</v>
      </c>
      <c r="I405" s="21" t="s">
        <v>1071</v>
      </c>
      <c r="J405" s="18">
        <f>VLOOKUP(A405,[2]Export!$A:$B,2,0)</f>
        <v>5286.2245388239335</v>
      </c>
      <c r="K405" s="18">
        <f>VLOOKUP(A405,[2]Export!$A:$C,3,0)</f>
        <v>2151.2799999999997</v>
      </c>
      <c r="L405" s="19">
        <f t="shared" si="14"/>
        <v>0.40695963332624752</v>
      </c>
      <c r="M405" s="18">
        <f>VLOOKUP(A405,[2]Export!$A:$G,7,0)</f>
        <v>1977.07</v>
      </c>
      <c r="N405" s="19">
        <f t="shared" si="15"/>
        <v>0.37400416601294306</v>
      </c>
      <c r="O405" s="17" t="s">
        <v>1029</v>
      </c>
      <c r="P405" s="17" t="s">
        <v>1026</v>
      </c>
      <c r="Q405" s="17" t="s">
        <v>1023</v>
      </c>
      <c r="R405" s="17" t="str">
        <f>VLOOKUP(A405,[1]Export!$A:$I,9,0)</f>
        <v>Comprou Marcas</v>
      </c>
      <c r="S405" s="17" t="s">
        <v>1023</v>
      </c>
      <c r="T405" s="20"/>
      <c r="U405" s="17"/>
      <c r="V405" s="17"/>
    </row>
    <row r="406" spans="1:22" x14ac:dyDescent="0.35">
      <c r="A406" s="4">
        <v>15487866000146</v>
      </c>
      <c r="B406" s="7"/>
      <c r="C406" s="4"/>
      <c r="D406" s="1" t="s">
        <v>77</v>
      </c>
      <c r="E406" s="1" t="s">
        <v>24</v>
      </c>
      <c r="F406" s="1" t="s">
        <v>15</v>
      </c>
      <c r="G406" s="10" t="s">
        <v>74</v>
      </c>
      <c r="H406" s="1" t="s">
        <v>17</v>
      </c>
      <c r="I406" s="21" t="s">
        <v>1069</v>
      </c>
      <c r="J406" s="18">
        <f>VLOOKUP(A406,[2]Export!$A:$B,2,0)</f>
        <v>1097.1536036417885</v>
      </c>
      <c r="K406" s="18">
        <f>VLOOKUP(A406,[2]Export!$A:$C,3,0)</f>
        <v>0</v>
      </c>
      <c r="L406" s="19">
        <f t="shared" si="14"/>
        <v>0</v>
      </c>
      <c r="M406" s="18">
        <f>VLOOKUP(A406,[2]Export!$A:$G,7,0)</f>
        <v>0</v>
      </c>
      <c r="N406" s="19">
        <f t="shared" si="15"/>
        <v>0</v>
      </c>
      <c r="O406" s="17" t="s">
        <v>1030</v>
      </c>
      <c r="P406" s="17" t="s">
        <v>1026</v>
      </c>
      <c r="Q406" s="17" t="s">
        <v>1023</v>
      </c>
      <c r="R406" s="17" t="str">
        <f>VLOOKUP(A406,[1]Export!$A:$I,9,0)</f>
        <v>Não Comprou</v>
      </c>
      <c r="S406" s="17" t="s">
        <v>1022</v>
      </c>
      <c r="T406" s="20"/>
      <c r="U406" s="17"/>
      <c r="V406" s="17"/>
    </row>
    <row r="407" spans="1:22" x14ac:dyDescent="0.35">
      <c r="A407" s="5">
        <v>17334086000191</v>
      </c>
      <c r="B407" s="7"/>
      <c r="C407" s="4"/>
      <c r="D407" s="6" t="s">
        <v>256</v>
      </c>
      <c r="E407" s="6" t="s">
        <v>291</v>
      </c>
      <c r="F407" s="6" t="s">
        <v>8</v>
      </c>
      <c r="G407" s="11" t="s">
        <v>20</v>
      </c>
      <c r="H407" s="6" t="s">
        <v>17</v>
      </c>
      <c r="I407" s="21" t="s">
        <v>1066</v>
      </c>
      <c r="J407" s="18">
        <f>VLOOKUP(A407,[2]Export!$A:$B,2,0)</f>
        <v>2783.0571639598447</v>
      </c>
      <c r="K407" s="18">
        <f>VLOOKUP(A407,[2]Export!$A:$C,3,0)</f>
        <v>585.99</v>
      </c>
      <c r="L407" s="19">
        <f t="shared" si="14"/>
        <v>0.2105562212621713</v>
      </c>
      <c r="M407" s="18">
        <f>VLOOKUP(A407,[2]Export!$A:$G,7,0)</f>
        <v>312.08</v>
      </c>
      <c r="N407" s="19">
        <f t="shared" si="15"/>
        <v>0.11213567728373934</v>
      </c>
      <c r="O407" s="17" t="s">
        <v>1025</v>
      </c>
      <c r="P407" s="17" t="s">
        <v>1026</v>
      </c>
      <c r="Q407" s="17" t="s">
        <v>1023</v>
      </c>
      <c r="R407" s="17" t="str">
        <f>VLOOKUP(A407,[1]Export!$A:$I,9,0)</f>
        <v>Comprou Marcas</v>
      </c>
      <c r="S407" s="17" t="s">
        <v>1023</v>
      </c>
      <c r="T407" s="20"/>
      <c r="U407" s="17"/>
      <c r="V407" s="17"/>
    </row>
    <row r="408" spans="1:22" x14ac:dyDescent="0.35">
      <c r="A408" s="4">
        <v>9039622000106</v>
      </c>
      <c r="B408" s="7" t="s">
        <v>1004</v>
      </c>
      <c r="C408" s="4">
        <v>1167</v>
      </c>
      <c r="D408" s="1" t="s">
        <v>501</v>
      </c>
      <c r="E408" s="1" t="s">
        <v>40</v>
      </c>
      <c r="F408" s="1" t="s">
        <v>8</v>
      </c>
      <c r="G408" s="10" t="s">
        <v>33</v>
      </c>
      <c r="H408" s="1" t="s">
        <v>17</v>
      </c>
      <c r="I408" s="21" t="s">
        <v>1070</v>
      </c>
      <c r="J408" s="18">
        <f>VLOOKUP(A408,[2]Export!$A:$B,2,0)</f>
        <v>25029.998455836201</v>
      </c>
      <c r="K408" s="18">
        <f>VLOOKUP(A408,[2]Export!$A:$C,3,0)</f>
        <v>8103.6799999999976</v>
      </c>
      <c r="L408" s="19">
        <f t="shared" si="14"/>
        <v>0.32375870954600383</v>
      </c>
      <c r="M408" s="18">
        <f>VLOOKUP(A408,[2]Export!$A:$G,7,0)</f>
        <v>14929.930000000004</v>
      </c>
      <c r="N408" s="19">
        <f t="shared" si="15"/>
        <v>0.59648145909169314</v>
      </c>
      <c r="O408" s="17" t="s">
        <v>1027</v>
      </c>
      <c r="P408" s="17" t="s">
        <v>1026</v>
      </c>
      <c r="Q408" s="17" t="s">
        <v>1023</v>
      </c>
      <c r="R408" s="17" t="str">
        <f>VLOOKUP(A408,[1]Export!$A:$I,9,0)</f>
        <v>Comprou Marcas e SG</v>
      </c>
      <c r="S408" s="17" t="s">
        <v>1022</v>
      </c>
      <c r="T408" s="20">
        <v>4</v>
      </c>
      <c r="U408" s="17"/>
      <c r="V408" s="17"/>
    </row>
    <row r="409" spans="1:22" x14ac:dyDescent="0.35">
      <c r="A409" s="5">
        <v>10341045001740</v>
      </c>
      <c r="B409" s="7" t="s">
        <v>995</v>
      </c>
      <c r="C409" s="4"/>
      <c r="D409" s="6" t="s">
        <v>25</v>
      </c>
      <c r="E409" s="6" t="s">
        <v>40</v>
      </c>
      <c r="F409" s="6" t="s">
        <v>8</v>
      </c>
      <c r="G409" s="11" t="s">
        <v>9</v>
      </c>
      <c r="H409" s="6" t="s">
        <v>10</v>
      </c>
      <c r="I409" s="21" t="s">
        <v>1070</v>
      </c>
      <c r="J409" s="18">
        <f>VLOOKUP(A409,[2]Export!$A:$B,2,0)</f>
        <v>6053.7827090981837</v>
      </c>
      <c r="K409" s="18">
        <f>VLOOKUP(A409,[2]Export!$A:$C,3,0)</f>
        <v>2496.46</v>
      </c>
      <c r="L409" s="19">
        <f t="shared" si="14"/>
        <v>0.41238017946169253</v>
      </c>
      <c r="M409" s="18">
        <f>VLOOKUP(A409,[2]Export!$A:$G,7,0)</f>
        <v>1915.5700000000002</v>
      </c>
      <c r="N409" s="19">
        <f t="shared" si="15"/>
        <v>0.3164252983710672</v>
      </c>
      <c r="O409" s="17" t="s">
        <v>1027</v>
      </c>
      <c r="P409" s="17" t="s">
        <v>1028</v>
      </c>
      <c r="Q409" s="17" t="s">
        <v>1023</v>
      </c>
      <c r="R409" s="17" t="str">
        <f>VLOOKUP(A409,[1]Export!$A:$I,9,0)</f>
        <v>Comprou Marcas e SG</v>
      </c>
      <c r="S409" s="17" t="s">
        <v>1022</v>
      </c>
      <c r="T409" s="20"/>
      <c r="U409" s="17"/>
      <c r="V409" s="17"/>
    </row>
    <row r="410" spans="1:22" x14ac:dyDescent="0.35">
      <c r="A410" s="4">
        <v>14913432000106</v>
      </c>
      <c r="B410" s="7"/>
      <c r="C410" s="4"/>
      <c r="D410" s="1" t="s">
        <v>502</v>
      </c>
      <c r="E410" s="1" t="s">
        <v>115</v>
      </c>
      <c r="F410" s="1" t="s">
        <v>8</v>
      </c>
      <c r="G410" s="10" t="s">
        <v>16</v>
      </c>
      <c r="H410" s="1" t="s">
        <v>17</v>
      </c>
      <c r="I410" s="21" t="s">
        <v>1066</v>
      </c>
      <c r="J410" s="18">
        <f>VLOOKUP(A410,[2]Export!$A:$B,2,0)</f>
        <v>5000.8761288276373</v>
      </c>
      <c r="K410" s="18">
        <f>VLOOKUP(A410,[2]Export!$A:$C,3,0)</f>
        <v>2031.9799999999996</v>
      </c>
      <c r="L410" s="19">
        <f t="shared" si="14"/>
        <v>0.40632480142561733</v>
      </c>
      <c r="M410" s="18">
        <f>VLOOKUP(A410,[2]Export!$A:$G,7,0)</f>
        <v>1055.32</v>
      </c>
      <c r="N410" s="19">
        <f t="shared" si="15"/>
        <v>0.21102702262841294</v>
      </c>
      <c r="O410" s="17" t="s">
        <v>1031</v>
      </c>
      <c r="P410" s="17" t="s">
        <v>1026</v>
      </c>
      <c r="Q410" s="17" t="s">
        <v>1023</v>
      </c>
      <c r="R410" s="17" t="str">
        <f>VLOOKUP(A410,[1]Export!$A:$I,9,0)</f>
        <v>Comprou Marcas</v>
      </c>
      <c r="S410" s="17" t="s">
        <v>1023</v>
      </c>
      <c r="T410" s="20"/>
      <c r="U410" s="17"/>
      <c r="V410" s="17"/>
    </row>
    <row r="411" spans="1:22" x14ac:dyDescent="0.35">
      <c r="A411" s="5">
        <v>15247037000196</v>
      </c>
      <c r="B411" s="7"/>
      <c r="C411" s="4"/>
      <c r="D411" s="6" t="s">
        <v>503</v>
      </c>
      <c r="E411" s="6" t="s">
        <v>379</v>
      </c>
      <c r="F411" s="6" t="s">
        <v>15</v>
      </c>
      <c r="G411" s="11" t="s">
        <v>20</v>
      </c>
      <c r="H411" s="6" t="s">
        <v>17</v>
      </c>
      <c r="I411" s="21" t="s">
        <v>1073</v>
      </c>
      <c r="J411" s="18">
        <f>VLOOKUP(A411,[2]Export!$A:$B,2,0)</f>
        <v>4346.4745345577521</v>
      </c>
      <c r="K411" s="18">
        <f>VLOOKUP(A411,[2]Export!$A:$C,3,0)</f>
        <v>2478.0099999999998</v>
      </c>
      <c r="L411" s="19">
        <f t="shared" si="14"/>
        <v>0.57011952567487756</v>
      </c>
      <c r="M411" s="18">
        <f>VLOOKUP(A411,[2]Export!$A:$G,7,0)</f>
        <v>1009.88</v>
      </c>
      <c r="N411" s="19">
        <f t="shared" si="15"/>
        <v>0.23234462596540989</v>
      </c>
      <c r="O411" s="17" t="s">
        <v>1025</v>
      </c>
      <c r="P411" s="17" t="s">
        <v>1026</v>
      </c>
      <c r="Q411" s="17" t="s">
        <v>1023</v>
      </c>
      <c r="R411" s="17" t="str">
        <f>VLOOKUP(A411,[1]Export!$A:$I,9,0)</f>
        <v>Comprou Marcas</v>
      </c>
      <c r="S411" s="17" t="s">
        <v>1023</v>
      </c>
      <c r="T411" s="20"/>
      <c r="U411" s="17"/>
      <c r="V411" s="17"/>
    </row>
    <row r="412" spans="1:22" x14ac:dyDescent="0.35">
      <c r="A412" s="4">
        <v>15558177000347</v>
      </c>
      <c r="B412" s="7"/>
      <c r="C412" s="4"/>
      <c r="D412" s="1" t="s">
        <v>504</v>
      </c>
      <c r="E412" s="1" t="s">
        <v>388</v>
      </c>
      <c r="F412" s="1" t="s">
        <v>8</v>
      </c>
      <c r="G412" s="10" t="s">
        <v>20</v>
      </c>
      <c r="H412" s="1" t="s">
        <v>17</v>
      </c>
      <c r="I412" s="21" t="s">
        <v>1070</v>
      </c>
      <c r="J412" s="18">
        <f>VLOOKUP(A412,[2]Export!$A:$B,2,0)</f>
        <v>3416.2383220327847</v>
      </c>
      <c r="K412" s="18">
        <f>VLOOKUP(A412,[2]Export!$A:$C,3,0)</f>
        <v>1402.65</v>
      </c>
      <c r="L412" s="19">
        <f t="shared" si="14"/>
        <v>0.41058318178615033</v>
      </c>
      <c r="M412" s="18">
        <f>VLOOKUP(A412,[2]Export!$A:$G,7,0)</f>
        <v>2037.4900000000002</v>
      </c>
      <c r="N412" s="19">
        <f t="shared" si="15"/>
        <v>0.59641330842153317</v>
      </c>
      <c r="O412" s="17" t="s">
        <v>1025</v>
      </c>
      <c r="P412" s="17" t="s">
        <v>1026</v>
      </c>
      <c r="Q412" s="17" t="s">
        <v>1023</v>
      </c>
      <c r="R412" s="17" t="str">
        <f>VLOOKUP(A412,[1]Export!$A:$I,9,0)</f>
        <v>Comprou Marcas</v>
      </c>
      <c r="S412" s="17" t="s">
        <v>1022</v>
      </c>
      <c r="T412" s="20">
        <v>2</v>
      </c>
      <c r="U412" s="17"/>
      <c r="V412" s="17"/>
    </row>
    <row r="413" spans="1:22" x14ac:dyDescent="0.35">
      <c r="A413" s="5">
        <v>17684597000214</v>
      </c>
      <c r="B413" s="7"/>
      <c r="C413" s="4"/>
      <c r="D413" s="6" t="s">
        <v>505</v>
      </c>
      <c r="E413" s="6" t="s">
        <v>52</v>
      </c>
      <c r="F413" s="6" t="s">
        <v>8</v>
      </c>
      <c r="G413" s="11" t="s">
        <v>36</v>
      </c>
      <c r="H413" s="6" t="s">
        <v>17</v>
      </c>
      <c r="I413" s="21" t="s">
        <v>1072</v>
      </c>
      <c r="J413" s="18">
        <f>VLOOKUP(A413,[2]Export!$A:$B,2,0)</f>
        <v>2129.2709976619831</v>
      </c>
      <c r="K413" s="18">
        <f>VLOOKUP(A413,[2]Export!$A:$C,3,0)</f>
        <v>1878.63</v>
      </c>
      <c r="L413" s="19">
        <f t="shared" si="14"/>
        <v>0.88228788259587632</v>
      </c>
      <c r="M413" s="18">
        <f>VLOOKUP(A413,[2]Export!$A:$G,7,0)</f>
        <v>1584.66</v>
      </c>
      <c r="N413" s="19">
        <f t="shared" si="15"/>
        <v>0.74422654595869397</v>
      </c>
      <c r="O413" s="17" t="s">
        <v>1027</v>
      </c>
      <c r="P413" s="17" t="s">
        <v>1026</v>
      </c>
      <c r="Q413" s="17" t="s">
        <v>1023</v>
      </c>
      <c r="R413" s="17" t="str">
        <f>VLOOKUP(A413,[1]Export!$A:$I,9,0)</f>
        <v>Comprou Marcas</v>
      </c>
      <c r="S413" s="17" t="s">
        <v>1023</v>
      </c>
      <c r="T413" s="20"/>
      <c r="U413" s="17"/>
      <c r="V413" s="17"/>
    </row>
    <row r="414" spans="1:22" x14ac:dyDescent="0.35">
      <c r="A414" s="4">
        <v>17858710000150</v>
      </c>
      <c r="B414" s="7"/>
      <c r="C414" s="4"/>
      <c r="D414" s="1" t="s">
        <v>506</v>
      </c>
      <c r="E414" s="1" t="s">
        <v>52</v>
      </c>
      <c r="F414" s="1" t="s">
        <v>8</v>
      </c>
      <c r="G414" s="10" t="s">
        <v>16</v>
      </c>
      <c r="H414" s="1" t="s">
        <v>17</v>
      </c>
      <c r="I414" s="21" t="s">
        <v>1072</v>
      </c>
      <c r="J414" s="18">
        <f>VLOOKUP(A414,[2]Export!$A:$B,2,0)</f>
        <v>6937.1967415605977</v>
      </c>
      <c r="K414" s="18">
        <f>VLOOKUP(A414,[2]Export!$A:$C,3,0)</f>
        <v>75.180000000000007</v>
      </c>
      <c r="L414" s="19">
        <f t="shared" si="14"/>
        <v>1.0837230483834807E-2</v>
      </c>
      <c r="M414" s="18">
        <f>VLOOKUP(A414,[2]Export!$A:$G,7,0)</f>
        <v>0</v>
      </c>
      <c r="N414" s="19">
        <f t="shared" si="15"/>
        <v>0</v>
      </c>
      <c r="O414" s="17"/>
      <c r="P414" s="17"/>
      <c r="Q414" s="17"/>
      <c r="R414" s="17" t="str">
        <f>VLOOKUP(A414,[1]Export!$A:$I,9,0)</f>
        <v>Não Comprou</v>
      </c>
      <c r="S414" s="17"/>
      <c r="T414" s="20"/>
      <c r="U414" s="17"/>
      <c r="V414" s="17"/>
    </row>
    <row r="415" spans="1:22" x14ac:dyDescent="0.35">
      <c r="A415" s="5">
        <v>18346337000110</v>
      </c>
      <c r="B415" s="7"/>
      <c r="C415" s="4"/>
      <c r="D415" s="6" t="s">
        <v>507</v>
      </c>
      <c r="E415" s="6" t="s">
        <v>115</v>
      </c>
      <c r="F415" s="6" t="s">
        <v>8</v>
      </c>
      <c r="G415" s="11" t="s">
        <v>64</v>
      </c>
      <c r="H415" s="6" t="s">
        <v>17</v>
      </c>
      <c r="I415" s="21" t="s">
        <v>1066</v>
      </c>
      <c r="J415" s="18">
        <f>VLOOKUP(A415,[2]Export!$A:$B,2,0)</f>
        <v>2198.2507449607606</v>
      </c>
      <c r="K415" s="18">
        <f>VLOOKUP(A415,[2]Export!$A:$C,3,0)</f>
        <v>1168.47</v>
      </c>
      <c r="L415" s="19">
        <f t="shared" si="14"/>
        <v>0.53154536746027925</v>
      </c>
      <c r="M415" s="18">
        <f>VLOOKUP(A415,[2]Export!$A:$G,7,0)</f>
        <v>936.12999999999988</v>
      </c>
      <c r="N415" s="19">
        <f t="shared" si="15"/>
        <v>0.42585223826079499</v>
      </c>
      <c r="O415" s="17" t="s">
        <v>1025</v>
      </c>
      <c r="P415" s="17" t="s">
        <v>1026</v>
      </c>
      <c r="Q415" s="17" t="s">
        <v>1022</v>
      </c>
      <c r="R415" s="17" t="str">
        <f>VLOOKUP(A415,[1]Export!$A:$I,9,0)</f>
        <v>Comprou Marcas</v>
      </c>
      <c r="S415" s="17" t="s">
        <v>1022</v>
      </c>
      <c r="T415" s="20">
        <v>1</v>
      </c>
      <c r="U415" s="17"/>
      <c r="V415" s="17"/>
    </row>
    <row r="416" spans="1:22" x14ac:dyDescent="0.35">
      <c r="A416" s="4">
        <v>10341045002470</v>
      </c>
      <c r="B416" s="7" t="s">
        <v>995</v>
      </c>
      <c r="C416" s="4"/>
      <c r="D416" s="1" t="s">
        <v>366</v>
      </c>
      <c r="E416" s="1" t="s">
        <v>52</v>
      </c>
      <c r="F416" s="1" t="s">
        <v>8</v>
      </c>
      <c r="G416" s="10" t="s">
        <v>9</v>
      </c>
      <c r="H416" s="1" t="s">
        <v>10</v>
      </c>
      <c r="I416" s="21" t="s">
        <v>1072</v>
      </c>
      <c r="J416" s="18">
        <f>VLOOKUP(A416,[2]Export!$A:$B,2,0)</f>
        <v>18736.063477131851</v>
      </c>
      <c r="K416" s="18">
        <f>VLOOKUP(A416,[2]Export!$A:$C,3,0)</f>
        <v>12918.280000000008</v>
      </c>
      <c r="L416" s="19">
        <f t="shared" si="14"/>
        <v>0.68948741638110422</v>
      </c>
      <c r="M416" s="18">
        <f>VLOOKUP(A416,[2]Export!$A:$G,7,0)</f>
        <v>7078.25</v>
      </c>
      <c r="N416" s="19">
        <f t="shared" si="15"/>
        <v>0.37778746899738574</v>
      </c>
      <c r="O416" s="17" t="s">
        <v>1027</v>
      </c>
      <c r="P416" s="17" t="s">
        <v>1028</v>
      </c>
      <c r="Q416" s="17" t="s">
        <v>1023</v>
      </c>
      <c r="R416" s="17" t="str">
        <f>VLOOKUP(A416,[1]Export!$A:$I,9,0)</f>
        <v>Comprou Marcas e SG</v>
      </c>
      <c r="S416" s="17" t="s">
        <v>1022</v>
      </c>
      <c r="T416" s="20"/>
      <c r="U416" s="17"/>
      <c r="V416" s="17"/>
    </row>
    <row r="417" spans="1:22" x14ac:dyDescent="0.35">
      <c r="A417" s="5">
        <v>20947414000130</v>
      </c>
      <c r="B417" s="7"/>
      <c r="C417" s="4">
        <v>148175</v>
      </c>
      <c r="D417" s="6" t="s">
        <v>508</v>
      </c>
      <c r="E417" s="6" t="s">
        <v>94</v>
      </c>
      <c r="F417" s="6" t="s">
        <v>15</v>
      </c>
      <c r="G417" s="11" t="s">
        <v>190</v>
      </c>
      <c r="H417" s="6" t="s">
        <v>17</v>
      </c>
      <c r="I417" s="21" t="s">
        <v>1069</v>
      </c>
      <c r="J417" s="18">
        <f>VLOOKUP(A417,[2]Export!$A:$B,2,0)</f>
        <v>8351.0089165443624</v>
      </c>
      <c r="K417" s="18">
        <f>VLOOKUP(A417,[2]Export!$A:$C,3,0)</f>
        <v>2196.0700000000006</v>
      </c>
      <c r="L417" s="19">
        <f t="shared" si="14"/>
        <v>0.26297062090896817</v>
      </c>
      <c r="M417" s="18">
        <f>VLOOKUP(A417,[2]Export!$A:$G,7,0)</f>
        <v>1489.8</v>
      </c>
      <c r="N417" s="19">
        <f t="shared" si="15"/>
        <v>0.17839760619205247</v>
      </c>
      <c r="O417" s="17" t="s">
        <v>1027</v>
      </c>
      <c r="P417" s="17" t="s">
        <v>1028</v>
      </c>
      <c r="Q417" s="17" t="s">
        <v>1023</v>
      </c>
      <c r="R417" s="17" t="str">
        <f>VLOOKUP(A417,[1]Export!$A:$I,9,0)</f>
        <v>Comprou Marcas</v>
      </c>
      <c r="S417" s="17" t="s">
        <v>1022</v>
      </c>
      <c r="T417" s="20">
        <v>4</v>
      </c>
      <c r="U417" s="17"/>
      <c r="V417" s="17"/>
    </row>
    <row r="418" spans="1:22" x14ac:dyDescent="0.35">
      <c r="A418" s="4">
        <v>44692168001403</v>
      </c>
      <c r="B418" s="7" t="s">
        <v>509</v>
      </c>
      <c r="C418" s="4"/>
      <c r="D418" s="1" t="s">
        <v>509</v>
      </c>
      <c r="E418" s="1" t="s">
        <v>50</v>
      </c>
      <c r="F418" s="1" t="s">
        <v>48</v>
      </c>
      <c r="G418" s="10" t="s">
        <v>509</v>
      </c>
      <c r="H418" s="1" t="s">
        <v>17</v>
      </c>
      <c r="I418" s="21" t="s">
        <v>1071</v>
      </c>
      <c r="J418" s="18">
        <f>VLOOKUP(A418,[2]Export!$A:$B,2,0)</f>
        <v>17515.255346633861</v>
      </c>
      <c r="K418" s="18">
        <f>VLOOKUP(A418,[2]Export!$A:$C,3,0)</f>
        <v>6531.97</v>
      </c>
      <c r="L418" s="19">
        <f t="shared" si="14"/>
        <v>0.37293033248615104</v>
      </c>
      <c r="M418" s="18">
        <f>VLOOKUP(A418,[2]Export!$A:$G,7,0)</f>
        <v>2962.66</v>
      </c>
      <c r="N418" s="19">
        <f t="shared" si="15"/>
        <v>0.1691474055826068</v>
      </c>
      <c r="O418" s="17" t="s">
        <v>1025</v>
      </c>
      <c r="P418" s="17" t="s">
        <v>1026</v>
      </c>
      <c r="Q418" s="17" t="s">
        <v>1023</v>
      </c>
      <c r="R418" s="17" t="str">
        <f>VLOOKUP(A418,[1]Export!$A:$I,9,0)</f>
        <v>Comprou Marcas</v>
      </c>
      <c r="S418" s="17" t="s">
        <v>1022</v>
      </c>
      <c r="T418" s="20"/>
      <c r="U418" s="17"/>
      <c r="V418" s="17"/>
    </row>
    <row r="419" spans="1:22" x14ac:dyDescent="0.35">
      <c r="A419" s="5">
        <v>46197707000130</v>
      </c>
      <c r="B419" s="7"/>
      <c r="C419" s="4"/>
      <c r="D419" s="6" t="s">
        <v>510</v>
      </c>
      <c r="E419" s="6" t="s">
        <v>182</v>
      </c>
      <c r="F419" s="6" t="s">
        <v>8</v>
      </c>
      <c r="G419" s="11" t="s">
        <v>33</v>
      </c>
      <c r="H419" s="6" t="s">
        <v>17</v>
      </c>
      <c r="I419" s="21" t="s">
        <v>1072</v>
      </c>
      <c r="J419" s="18">
        <f>VLOOKUP(A419,[2]Export!$A:$B,2,0)</f>
        <v>5683.4407202683742</v>
      </c>
      <c r="K419" s="18">
        <f>VLOOKUP(A419,[2]Export!$A:$C,3,0)</f>
        <v>1749.15</v>
      </c>
      <c r="L419" s="19">
        <f t="shared" si="14"/>
        <v>0.30776251325401432</v>
      </c>
      <c r="M419" s="18">
        <f>VLOOKUP(A419,[2]Export!$A:$G,7,0)</f>
        <v>137.85</v>
      </c>
      <c r="N419" s="19">
        <f t="shared" si="15"/>
        <v>2.4254673671249387E-2</v>
      </c>
      <c r="O419" s="17" t="s">
        <v>1025</v>
      </c>
      <c r="P419" s="17" t="s">
        <v>1026</v>
      </c>
      <c r="Q419" s="17" t="s">
        <v>1023</v>
      </c>
      <c r="R419" s="17" t="str">
        <f>VLOOKUP(A419,[1]Export!$A:$I,9,0)</f>
        <v>Comprou Marcas</v>
      </c>
      <c r="S419" s="17" t="s">
        <v>1023</v>
      </c>
      <c r="T419" s="20"/>
      <c r="U419" s="17"/>
      <c r="V419" s="17"/>
    </row>
    <row r="420" spans="1:22" x14ac:dyDescent="0.35">
      <c r="A420" s="4">
        <v>49133299000141</v>
      </c>
      <c r="B420" s="7"/>
      <c r="C420" s="4"/>
      <c r="D420" s="1" t="s">
        <v>77</v>
      </c>
      <c r="E420" s="1" t="s">
        <v>160</v>
      </c>
      <c r="F420" s="1" t="s">
        <v>8</v>
      </c>
      <c r="G420" s="10" t="s">
        <v>74</v>
      </c>
      <c r="H420" s="1" t="s">
        <v>17</v>
      </c>
      <c r="I420" s="21" t="s">
        <v>1068</v>
      </c>
      <c r="J420" s="18">
        <f>VLOOKUP(A420,[2]Export!$A:$B,2,0)</f>
        <v>2682.9687791279889</v>
      </c>
      <c r="K420" s="18">
        <f>VLOOKUP(A420,[2]Export!$A:$C,3,0)</f>
        <v>1271.8900000000001</v>
      </c>
      <c r="L420" s="19">
        <f t="shared" si="14"/>
        <v>0.47406067856420836</v>
      </c>
      <c r="M420" s="18">
        <f>VLOOKUP(A420,[2]Export!$A:$G,7,0)</f>
        <v>0</v>
      </c>
      <c r="N420" s="19">
        <f t="shared" si="15"/>
        <v>0</v>
      </c>
      <c r="O420" s="17" t="s">
        <v>1029</v>
      </c>
      <c r="P420" s="17" t="s">
        <v>1026</v>
      </c>
      <c r="Q420" s="17" t="s">
        <v>1023</v>
      </c>
      <c r="R420" s="17" t="str">
        <f>VLOOKUP(A420,[1]Export!$A:$I,9,0)</f>
        <v>Não Comprou</v>
      </c>
      <c r="S420" s="17" t="s">
        <v>1022</v>
      </c>
      <c r="T420" s="20"/>
      <c r="U420" s="17"/>
      <c r="V420" s="17"/>
    </row>
    <row r="421" spans="1:22" x14ac:dyDescent="0.35">
      <c r="A421" s="5">
        <v>49685257000113</v>
      </c>
      <c r="B421" s="7"/>
      <c r="C421" s="4"/>
      <c r="D421" s="6" t="s">
        <v>511</v>
      </c>
      <c r="E421" s="6" t="s">
        <v>22</v>
      </c>
      <c r="F421" s="6" t="s">
        <v>8</v>
      </c>
      <c r="G421" s="11" t="s">
        <v>20</v>
      </c>
      <c r="H421" s="6" t="s">
        <v>17</v>
      </c>
      <c r="I421" s="21" t="s">
        <v>1068</v>
      </c>
      <c r="J421" s="18">
        <f>VLOOKUP(A421,[2]Export!$A:$B,2,0)</f>
        <v>309.03346224229517</v>
      </c>
      <c r="K421" s="18">
        <f>VLOOKUP(A421,[2]Export!$A:$C,3,0)</f>
        <v>198.17000000000002</v>
      </c>
      <c r="L421" s="19">
        <f t="shared" si="14"/>
        <v>0.64125741776347323</v>
      </c>
      <c r="M421" s="18">
        <f>VLOOKUP(A421,[2]Export!$A:$G,7,0)</f>
        <v>0</v>
      </c>
      <c r="N421" s="19">
        <f t="shared" si="15"/>
        <v>0</v>
      </c>
      <c r="O421" s="17" t="s">
        <v>1025</v>
      </c>
      <c r="P421" s="17" t="s">
        <v>1026</v>
      </c>
      <c r="Q421" s="17" t="s">
        <v>1022</v>
      </c>
      <c r="R421" s="17" t="str">
        <f>VLOOKUP(A421,[1]Export!$A:$I,9,0)</f>
        <v>Não Comprou</v>
      </c>
      <c r="S421" s="17" t="s">
        <v>1023</v>
      </c>
      <c r="T421" s="20"/>
      <c r="U421" s="17"/>
      <c r="V421" s="17"/>
    </row>
    <row r="422" spans="1:22" x14ac:dyDescent="0.35">
      <c r="A422" s="4">
        <v>35447691000150</v>
      </c>
      <c r="B422" s="7"/>
      <c r="C422" s="4"/>
      <c r="D422" s="1" t="s">
        <v>512</v>
      </c>
      <c r="E422" s="1" t="s">
        <v>61</v>
      </c>
      <c r="F422" s="1" t="s">
        <v>8</v>
      </c>
      <c r="G422" s="10" t="s">
        <v>20</v>
      </c>
      <c r="H422" s="1" t="s">
        <v>17</v>
      </c>
      <c r="I422" s="21" t="s">
        <v>1066</v>
      </c>
      <c r="J422" s="18">
        <f>VLOOKUP(A422,[2]Export!$A:$B,2,0)</f>
        <v>1134.8618099263647</v>
      </c>
      <c r="K422" s="18">
        <f>VLOOKUP(A422,[2]Export!$A:$C,3,0)</f>
        <v>1216.3900000000003</v>
      </c>
      <c r="L422" s="19">
        <f t="shared" si="14"/>
        <v>1.0718397512018891</v>
      </c>
      <c r="M422" s="18">
        <f>VLOOKUP(A422,[2]Export!$A:$G,7,0)</f>
        <v>883.64999999999975</v>
      </c>
      <c r="N422" s="19">
        <f t="shared" si="15"/>
        <v>0.77864105767849856</v>
      </c>
      <c r="O422" s="17" t="s">
        <v>1025</v>
      </c>
      <c r="P422" s="17" t="s">
        <v>1026</v>
      </c>
      <c r="Q422" s="17" t="s">
        <v>1023</v>
      </c>
      <c r="R422" s="17" t="str">
        <f>VLOOKUP(A422,[1]Export!$A:$I,9,0)</f>
        <v>Comprou Marcas</v>
      </c>
      <c r="S422" s="17" t="s">
        <v>1023</v>
      </c>
      <c r="T422" s="20"/>
      <c r="U422" s="17"/>
      <c r="V422" s="17"/>
    </row>
    <row r="423" spans="1:22" x14ac:dyDescent="0.35">
      <c r="A423" s="5">
        <v>37629799000190</v>
      </c>
      <c r="B423" s="7"/>
      <c r="C423" s="4"/>
      <c r="D423" s="6" t="s">
        <v>513</v>
      </c>
      <c r="E423" s="6" t="s">
        <v>329</v>
      </c>
      <c r="F423" s="6" t="s">
        <v>8</v>
      </c>
      <c r="G423" s="11" t="s">
        <v>20</v>
      </c>
      <c r="H423" s="6" t="s">
        <v>17</v>
      </c>
      <c r="I423" s="21" t="s">
        <v>1070</v>
      </c>
      <c r="J423" s="18">
        <f>VLOOKUP(A423,[2]Export!$A:$B,2,0)</f>
        <v>7123.2360387340677</v>
      </c>
      <c r="K423" s="18">
        <f>VLOOKUP(A423,[2]Export!$A:$C,3,0)</f>
        <v>2894.2700000000004</v>
      </c>
      <c r="L423" s="19">
        <f t="shared" si="14"/>
        <v>0.40631392589853954</v>
      </c>
      <c r="M423" s="18">
        <f>VLOOKUP(A423,[2]Export!$A:$G,7,0)</f>
        <v>1267.42</v>
      </c>
      <c r="N423" s="19">
        <f t="shared" si="15"/>
        <v>0.17792755892239734</v>
      </c>
      <c r="O423" s="17" t="s">
        <v>1025</v>
      </c>
      <c r="P423" s="17" t="s">
        <v>1026</v>
      </c>
      <c r="Q423" s="17" t="s">
        <v>1023</v>
      </c>
      <c r="R423" s="17" t="str">
        <f>VLOOKUP(A423,[1]Export!$A:$I,9,0)</f>
        <v>Comprou Marcas</v>
      </c>
      <c r="S423" s="17" t="s">
        <v>1022</v>
      </c>
      <c r="T423" s="20"/>
      <c r="U423" s="17"/>
      <c r="V423" s="17"/>
    </row>
    <row r="424" spans="1:22" x14ac:dyDescent="0.35">
      <c r="A424" s="4">
        <v>40214024000168</v>
      </c>
      <c r="B424" s="7"/>
      <c r="C424" s="4"/>
      <c r="D424" s="1" t="s">
        <v>514</v>
      </c>
      <c r="E424" s="1" t="s">
        <v>446</v>
      </c>
      <c r="F424" s="1" t="s">
        <v>15</v>
      </c>
      <c r="G424" s="10" t="s">
        <v>16</v>
      </c>
      <c r="H424" s="1" t="s">
        <v>17</v>
      </c>
      <c r="I424" s="21" t="s">
        <v>1067</v>
      </c>
      <c r="J424" s="18">
        <f>VLOOKUP(A424,[2]Export!$A:$B,2,0)</f>
        <v>3692.2095670054127</v>
      </c>
      <c r="K424" s="18">
        <f>VLOOKUP(A424,[2]Export!$A:$C,3,0)</f>
        <v>1410.27</v>
      </c>
      <c r="L424" s="19">
        <f t="shared" si="14"/>
        <v>0.38195827577138514</v>
      </c>
      <c r="M424" s="18">
        <f>VLOOKUP(A424,[2]Export!$A:$G,7,0)</f>
        <v>0</v>
      </c>
      <c r="N424" s="19">
        <f t="shared" si="15"/>
        <v>0</v>
      </c>
      <c r="O424" s="17" t="s">
        <v>1029</v>
      </c>
      <c r="P424" s="17" t="s">
        <v>1026</v>
      </c>
      <c r="Q424" s="17" t="s">
        <v>1022</v>
      </c>
      <c r="R424" s="17" t="str">
        <f>VLOOKUP(A424,[1]Export!$A:$I,9,0)</f>
        <v>Não Comprou</v>
      </c>
      <c r="S424" s="17" t="s">
        <v>1023</v>
      </c>
      <c r="T424" s="20"/>
      <c r="U424" s="17"/>
      <c r="V424" s="17"/>
    </row>
    <row r="425" spans="1:22" x14ac:dyDescent="0.35">
      <c r="A425" s="5">
        <v>41677342000128</v>
      </c>
      <c r="B425" s="7"/>
      <c r="C425" s="4"/>
      <c r="D425" s="6" t="s">
        <v>515</v>
      </c>
      <c r="E425" s="6" t="s">
        <v>182</v>
      </c>
      <c r="F425" s="6" t="s">
        <v>8</v>
      </c>
      <c r="G425" s="11" t="s">
        <v>20</v>
      </c>
      <c r="H425" s="6" t="s">
        <v>17</v>
      </c>
      <c r="I425" s="21" t="s">
        <v>1072</v>
      </c>
      <c r="J425" s="18">
        <f>VLOOKUP(A425,[2]Export!$A:$B,2,0)</f>
        <v>2990.1799347728629</v>
      </c>
      <c r="K425" s="18">
        <f>VLOOKUP(A425,[2]Export!$A:$C,3,0)</f>
        <v>759.51999999999987</v>
      </c>
      <c r="L425" s="19">
        <f t="shared" si="14"/>
        <v>0.25400478117304126</v>
      </c>
      <c r="M425" s="18">
        <f>VLOOKUP(A425,[2]Export!$A:$G,7,0)</f>
        <v>137.85</v>
      </c>
      <c r="N425" s="19">
        <f t="shared" si="15"/>
        <v>4.6100904630166084E-2</v>
      </c>
      <c r="O425" s="17" t="s">
        <v>1025</v>
      </c>
      <c r="P425" s="17" t="s">
        <v>1026</v>
      </c>
      <c r="Q425" s="17" t="s">
        <v>1023</v>
      </c>
      <c r="R425" s="17" t="str">
        <f>VLOOKUP(A425,[1]Export!$A:$I,9,0)</f>
        <v>Comprou Marcas</v>
      </c>
      <c r="S425" s="17" t="s">
        <v>1023</v>
      </c>
      <c r="T425" s="20"/>
      <c r="U425" s="17"/>
      <c r="V425" s="17"/>
    </row>
    <row r="426" spans="1:22" x14ac:dyDescent="0.35">
      <c r="A426" s="4">
        <v>17373000175</v>
      </c>
      <c r="B426" s="7"/>
      <c r="C426" s="4">
        <v>11472</v>
      </c>
      <c r="D426" s="1" t="s">
        <v>516</v>
      </c>
      <c r="E426" s="1" t="s">
        <v>374</v>
      </c>
      <c r="F426" s="1" t="s">
        <v>48</v>
      </c>
      <c r="G426" s="10" t="s">
        <v>20</v>
      </c>
      <c r="H426" s="1" t="s">
        <v>17</v>
      </c>
      <c r="I426" s="21" t="s">
        <v>1071</v>
      </c>
      <c r="J426" s="18">
        <f>VLOOKUP(A426,[2]Export!$A:$B,2,0)</f>
        <v>30464.387678318995</v>
      </c>
      <c r="K426" s="18">
        <f>VLOOKUP(A426,[2]Export!$A:$C,3,0)</f>
        <v>15598.259999999998</v>
      </c>
      <c r="L426" s="19">
        <f t="shared" si="14"/>
        <v>0.51201619952798272</v>
      </c>
      <c r="M426" s="18">
        <f>VLOOKUP(A426,[2]Export!$A:$G,7,0)</f>
        <v>13120.169999999993</v>
      </c>
      <c r="N426" s="19">
        <f t="shared" si="15"/>
        <v>0.43067236862066993</v>
      </c>
      <c r="O426" s="17" t="s">
        <v>1025</v>
      </c>
      <c r="P426" s="17" t="s">
        <v>1026</v>
      </c>
      <c r="Q426" s="17" t="s">
        <v>1023</v>
      </c>
      <c r="R426" s="17" t="str">
        <f>VLOOKUP(A426,[1]Export!$A:$I,9,0)</f>
        <v>Comprou Marcas</v>
      </c>
      <c r="S426" s="17" t="s">
        <v>1022</v>
      </c>
      <c r="T426" s="20">
        <v>4</v>
      </c>
      <c r="U426" s="17">
        <v>3</v>
      </c>
      <c r="V426" s="17">
        <v>4</v>
      </c>
    </row>
    <row r="427" spans="1:22" x14ac:dyDescent="0.35">
      <c r="A427" s="5">
        <v>199752000638</v>
      </c>
      <c r="B427" s="7" t="s">
        <v>1006</v>
      </c>
      <c r="C427" s="4"/>
      <c r="D427" s="6" t="s">
        <v>378</v>
      </c>
      <c r="E427" s="6" t="s">
        <v>379</v>
      </c>
      <c r="F427" s="6" t="s">
        <v>15</v>
      </c>
      <c r="G427" s="11" t="s">
        <v>472</v>
      </c>
      <c r="H427" s="6" t="s">
        <v>17</v>
      </c>
      <c r="I427" s="21" t="s">
        <v>1073</v>
      </c>
      <c r="J427" s="18">
        <f>VLOOKUP(A427,[2]Export!$A:$B,2,0)</f>
        <v>47675.809770392734</v>
      </c>
      <c r="K427" s="18">
        <f>VLOOKUP(A427,[2]Export!$A:$C,3,0)</f>
        <v>26935.769999999997</v>
      </c>
      <c r="L427" s="19">
        <f t="shared" si="14"/>
        <v>0.56497771363974691</v>
      </c>
      <c r="M427" s="18">
        <f>VLOOKUP(A427,[2]Export!$A:$G,7,0)</f>
        <v>17408.429999999997</v>
      </c>
      <c r="N427" s="19">
        <f t="shared" si="15"/>
        <v>0.36514177910850809</v>
      </c>
      <c r="O427" s="17" t="s">
        <v>1027</v>
      </c>
      <c r="P427" s="17" t="s">
        <v>1028</v>
      </c>
      <c r="Q427" s="17" t="s">
        <v>1023</v>
      </c>
      <c r="R427" s="17" t="str">
        <f>VLOOKUP(A427,[1]Export!$A:$I,9,0)</f>
        <v>Comprou Marcas</v>
      </c>
      <c r="S427" s="17" t="s">
        <v>1022</v>
      </c>
      <c r="T427" s="20">
        <v>7</v>
      </c>
      <c r="U427" s="17"/>
      <c r="V427" s="17"/>
    </row>
    <row r="428" spans="1:22" x14ac:dyDescent="0.35">
      <c r="A428" s="4">
        <v>2560437000105</v>
      </c>
      <c r="B428" s="7"/>
      <c r="C428" s="4"/>
      <c r="D428" s="1" t="s">
        <v>517</v>
      </c>
      <c r="E428" s="1" t="s">
        <v>316</v>
      </c>
      <c r="F428" s="1" t="s">
        <v>48</v>
      </c>
      <c r="G428" s="10" t="s">
        <v>518</v>
      </c>
      <c r="H428" s="1" t="s">
        <v>17</v>
      </c>
      <c r="I428" s="21" t="s">
        <v>1071</v>
      </c>
      <c r="J428" s="18">
        <f>VLOOKUP(A428,[2]Export!$A:$B,2,0)</f>
        <v>7212.0801502890054</v>
      </c>
      <c r="K428" s="18">
        <f>VLOOKUP(A428,[2]Export!$A:$C,3,0)</f>
        <v>1947.9100000000003</v>
      </c>
      <c r="L428" s="19">
        <f t="shared" si="14"/>
        <v>0.27008989908715075</v>
      </c>
      <c r="M428" s="18">
        <f>VLOOKUP(A428,[2]Export!$A:$G,7,0)</f>
        <v>922.76</v>
      </c>
      <c r="N428" s="19">
        <f t="shared" si="15"/>
        <v>0.12794644274204617</v>
      </c>
      <c r="O428" s="17" t="s">
        <v>1025</v>
      </c>
      <c r="P428" s="17" t="s">
        <v>1026</v>
      </c>
      <c r="Q428" s="17" t="s">
        <v>1022</v>
      </c>
      <c r="R428" s="17" t="str">
        <f>VLOOKUP(A428,[1]Export!$A:$I,9,0)</f>
        <v>Comprou Marcas</v>
      </c>
      <c r="S428" s="17" t="s">
        <v>1022</v>
      </c>
      <c r="T428" s="20"/>
      <c r="U428" s="17"/>
      <c r="V428" s="17"/>
    </row>
    <row r="429" spans="1:22" x14ac:dyDescent="0.35">
      <c r="A429" s="5">
        <v>4201690000106</v>
      </c>
      <c r="B429" s="7"/>
      <c r="C429" s="4"/>
      <c r="D429" s="6" t="s">
        <v>519</v>
      </c>
      <c r="E429" s="6" t="s">
        <v>35</v>
      </c>
      <c r="F429" s="6" t="s">
        <v>8</v>
      </c>
      <c r="G429" s="11" t="s">
        <v>20</v>
      </c>
      <c r="H429" s="6" t="s">
        <v>17</v>
      </c>
      <c r="I429" s="21" t="s">
        <v>1070</v>
      </c>
      <c r="J429" s="18">
        <f>VLOOKUP(A429,[2]Export!$A:$B,2,0)</f>
        <v>6320.8106042976315</v>
      </c>
      <c r="K429" s="18">
        <f>VLOOKUP(A429,[2]Export!$A:$C,3,0)</f>
        <v>2703.6199999999994</v>
      </c>
      <c r="L429" s="19">
        <f t="shared" si="14"/>
        <v>0.42773311356011207</v>
      </c>
      <c r="M429" s="18">
        <f>VLOOKUP(A429,[2]Export!$A:$G,7,0)</f>
        <v>0</v>
      </c>
      <c r="N429" s="19">
        <f t="shared" si="15"/>
        <v>0</v>
      </c>
      <c r="O429" s="17" t="s">
        <v>1025</v>
      </c>
      <c r="P429" s="17" t="s">
        <v>1026</v>
      </c>
      <c r="Q429" s="17" t="s">
        <v>1023</v>
      </c>
      <c r="R429" s="17" t="str">
        <f>VLOOKUP(A429,[1]Export!$A:$I,9,0)</f>
        <v>Não Comprou</v>
      </c>
      <c r="S429" s="17" t="s">
        <v>1022</v>
      </c>
      <c r="T429" s="20">
        <v>4</v>
      </c>
      <c r="U429" s="17"/>
      <c r="V429" s="17"/>
    </row>
    <row r="430" spans="1:22" x14ac:dyDescent="0.35">
      <c r="A430" s="4">
        <v>1856884000143</v>
      </c>
      <c r="B430" s="7"/>
      <c r="C430" s="4"/>
      <c r="D430" s="1" t="s">
        <v>44</v>
      </c>
      <c r="E430" s="1" t="s">
        <v>520</v>
      </c>
      <c r="F430" s="1" t="s">
        <v>48</v>
      </c>
      <c r="G430" s="10" t="s">
        <v>20</v>
      </c>
      <c r="H430" s="1" t="s">
        <v>17</v>
      </c>
      <c r="I430" s="21" t="s">
        <v>1071</v>
      </c>
      <c r="J430" s="18">
        <f>VLOOKUP(A430,[2]Export!$A:$B,2,0)</f>
        <v>3960.629903817819</v>
      </c>
      <c r="K430" s="18">
        <f>VLOOKUP(A430,[2]Export!$A:$C,3,0)</f>
        <v>2416.6799999999998</v>
      </c>
      <c r="L430" s="19">
        <f t="shared" si="14"/>
        <v>0.61017566869109874</v>
      </c>
      <c r="M430" s="18">
        <f>VLOOKUP(A430,[2]Export!$A:$G,7,0)</f>
        <v>920.79000000000008</v>
      </c>
      <c r="N430" s="19">
        <f t="shared" si="15"/>
        <v>0.23248574655067153</v>
      </c>
      <c r="O430" s="17" t="s">
        <v>1029</v>
      </c>
      <c r="P430" s="17" t="s">
        <v>1026</v>
      </c>
      <c r="Q430" s="17" t="s">
        <v>1022</v>
      </c>
      <c r="R430" s="17" t="str">
        <f>VLOOKUP(A430,[1]Export!$A:$I,9,0)</f>
        <v>Não Comprou</v>
      </c>
      <c r="S430" s="17" t="s">
        <v>1022</v>
      </c>
      <c r="T430" s="20"/>
      <c r="U430" s="17"/>
      <c r="V430" s="17"/>
    </row>
    <row r="431" spans="1:22" x14ac:dyDescent="0.35">
      <c r="A431" s="5">
        <v>2100833000230</v>
      </c>
      <c r="B431" s="7"/>
      <c r="C431" s="4"/>
      <c r="D431" s="6" t="s">
        <v>246</v>
      </c>
      <c r="E431" s="6" t="s">
        <v>125</v>
      </c>
      <c r="F431" s="6" t="s">
        <v>15</v>
      </c>
      <c r="G431" s="11" t="s">
        <v>9</v>
      </c>
      <c r="H431" s="6" t="s">
        <v>10</v>
      </c>
      <c r="I431" s="21" t="s">
        <v>1067</v>
      </c>
      <c r="J431" s="18">
        <f>VLOOKUP(A431,[2]Export!$A:$B,2,0)</f>
        <v>46280.055044974317</v>
      </c>
      <c r="K431" s="18">
        <f>VLOOKUP(A431,[2]Export!$A:$C,3,0)</f>
        <v>34979.749999999985</v>
      </c>
      <c r="L431" s="19">
        <f t="shared" si="14"/>
        <v>0.75582775271133862</v>
      </c>
      <c r="M431" s="18">
        <f>VLOOKUP(A431,[2]Export!$A:$G,7,0)</f>
        <v>12738.140000000005</v>
      </c>
      <c r="N431" s="19">
        <f t="shared" si="15"/>
        <v>0.27524038136128526</v>
      </c>
      <c r="O431" s="17" t="s">
        <v>1027</v>
      </c>
      <c r="P431" s="17" t="s">
        <v>1028</v>
      </c>
      <c r="Q431" s="17" t="s">
        <v>1023</v>
      </c>
      <c r="R431" s="17" t="str">
        <f>VLOOKUP(A431,[1]Export!$A:$I,9,0)</f>
        <v>Comprou Marcas e SG</v>
      </c>
      <c r="S431" s="17" t="s">
        <v>1022</v>
      </c>
      <c r="T431" s="20"/>
      <c r="U431" s="17"/>
      <c r="V431" s="17"/>
    </row>
    <row r="432" spans="1:22" x14ac:dyDescent="0.35">
      <c r="A432" s="4">
        <v>10341045002399</v>
      </c>
      <c r="B432" s="7" t="s">
        <v>995</v>
      </c>
      <c r="C432" s="4"/>
      <c r="D432" s="1" t="s">
        <v>25</v>
      </c>
      <c r="E432" s="1" t="s">
        <v>260</v>
      </c>
      <c r="F432" s="1" t="s">
        <v>8</v>
      </c>
      <c r="G432" s="10" t="s">
        <v>9</v>
      </c>
      <c r="H432" s="1" t="s">
        <v>10</v>
      </c>
      <c r="I432" s="21" t="s">
        <v>1066</v>
      </c>
      <c r="J432" s="18">
        <f>VLOOKUP(A432,[2]Export!$A:$B,2,0)</f>
        <v>25826.733267431606</v>
      </c>
      <c r="K432" s="18">
        <f>VLOOKUP(A432,[2]Export!$A:$C,3,0)</f>
        <v>16119.629999999996</v>
      </c>
      <c r="L432" s="19">
        <f t="shared" si="14"/>
        <v>0.62414513802747951</v>
      </c>
      <c r="M432" s="18">
        <f>VLOOKUP(A432,[2]Export!$A:$G,7,0)</f>
        <v>11295.97</v>
      </c>
      <c r="N432" s="19">
        <f t="shared" si="15"/>
        <v>0.43737509823763132</v>
      </c>
      <c r="O432" s="17" t="s">
        <v>1027</v>
      </c>
      <c r="P432" s="17" t="s">
        <v>1028</v>
      </c>
      <c r="Q432" s="17" t="s">
        <v>1023</v>
      </c>
      <c r="R432" s="17" t="str">
        <f>VLOOKUP(A432,[1]Export!$A:$I,9,0)</f>
        <v>Comprou Marcas e SG</v>
      </c>
      <c r="S432" s="17" t="s">
        <v>1022</v>
      </c>
      <c r="T432" s="20"/>
      <c r="U432" s="17">
        <v>4</v>
      </c>
      <c r="V432" s="17">
        <v>4</v>
      </c>
    </row>
    <row r="433" spans="1:22" x14ac:dyDescent="0.35">
      <c r="A433" s="5">
        <v>4834843002783</v>
      </c>
      <c r="B433" s="7" t="s">
        <v>994</v>
      </c>
      <c r="C433" s="4"/>
      <c r="D433" s="6" t="s">
        <v>91</v>
      </c>
      <c r="E433" s="6" t="s">
        <v>50</v>
      </c>
      <c r="F433" s="6" t="s">
        <v>48</v>
      </c>
      <c r="G433" s="11" t="s">
        <v>92</v>
      </c>
      <c r="H433" s="6" t="s">
        <v>17</v>
      </c>
      <c r="I433" s="21" t="s">
        <v>1071</v>
      </c>
      <c r="J433" s="18">
        <f>VLOOKUP(A433,[2]Export!$A:$B,2,0)</f>
        <v>3511.8275288576097</v>
      </c>
      <c r="K433" s="18">
        <f>VLOOKUP(A433,[2]Export!$A:$C,3,0)</f>
        <v>2218.89</v>
      </c>
      <c r="L433" s="19">
        <f t="shared" si="14"/>
        <v>0.63183342056715419</v>
      </c>
      <c r="M433" s="18">
        <f>VLOOKUP(A433,[2]Export!$A:$G,7,0)</f>
        <v>2665.04</v>
      </c>
      <c r="N433" s="19">
        <f t="shared" si="15"/>
        <v>0.75887553648368722</v>
      </c>
      <c r="O433" s="17" t="s">
        <v>1027</v>
      </c>
      <c r="P433" s="17" t="s">
        <v>1028</v>
      </c>
      <c r="Q433" s="17" t="s">
        <v>1023</v>
      </c>
      <c r="R433" s="17" t="str">
        <f>VLOOKUP(A433,[1]Export!$A:$I,9,0)</f>
        <v>Comprou Marcas</v>
      </c>
      <c r="S433" s="17" t="s">
        <v>1022</v>
      </c>
      <c r="T433" s="20"/>
      <c r="U433" s="17"/>
      <c r="V433" s="17"/>
    </row>
    <row r="434" spans="1:22" x14ac:dyDescent="0.35">
      <c r="A434" s="4">
        <v>4834843003240</v>
      </c>
      <c r="B434" s="7" t="s">
        <v>994</v>
      </c>
      <c r="C434" s="4"/>
      <c r="D434" s="1" t="s">
        <v>91</v>
      </c>
      <c r="E434" s="1" t="s">
        <v>521</v>
      </c>
      <c r="F434" s="1" t="s">
        <v>48</v>
      </c>
      <c r="G434" s="10" t="s">
        <v>92</v>
      </c>
      <c r="H434" s="1" t="s">
        <v>17</v>
      </c>
      <c r="I434" s="21" t="s">
        <v>1071</v>
      </c>
      <c r="J434" s="18">
        <f>VLOOKUP(A434,[2]Export!$A:$B,2,0)</f>
        <v>3079.9245745104172</v>
      </c>
      <c r="K434" s="18">
        <f>VLOOKUP(A434,[2]Export!$A:$C,3,0)</f>
        <v>3698.2500000000009</v>
      </c>
      <c r="L434" s="19">
        <f t="shared" si="14"/>
        <v>1.2007599246445417</v>
      </c>
      <c r="M434" s="18">
        <f>VLOOKUP(A434,[2]Export!$A:$G,7,0)</f>
        <v>2320.84</v>
      </c>
      <c r="N434" s="19">
        <f t="shared" si="15"/>
        <v>0.75353793375570544</v>
      </c>
      <c r="O434" s="17" t="s">
        <v>1027</v>
      </c>
      <c r="P434" s="17" t="s">
        <v>1028</v>
      </c>
      <c r="Q434" s="17" t="s">
        <v>1023</v>
      </c>
      <c r="R434" s="17" t="str">
        <f>VLOOKUP(A434,[1]Export!$A:$I,9,0)</f>
        <v>Comprou Marcas</v>
      </c>
      <c r="S434" s="17" t="s">
        <v>1022</v>
      </c>
      <c r="T434" s="20"/>
      <c r="U434" s="17"/>
      <c r="V434" s="17"/>
    </row>
    <row r="435" spans="1:22" x14ac:dyDescent="0.35">
      <c r="A435" s="5">
        <v>4972853000227</v>
      </c>
      <c r="B435" s="7" t="s">
        <v>135</v>
      </c>
      <c r="C435" s="4"/>
      <c r="D435" s="6" t="s">
        <v>134</v>
      </c>
      <c r="E435" s="6" t="s">
        <v>35</v>
      </c>
      <c r="F435" s="6" t="s">
        <v>8</v>
      </c>
      <c r="G435" s="11" t="s">
        <v>135</v>
      </c>
      <c r="H435" s="6" t="s">
        <v>17</v>
      </c>
      <c r="I435" s="21" t="s">
        <v>1070</v>
      </c>
      <c r="J435" s="18">
        <f>VLOOKUP(A435,[2]Export!$A:$B,2,0)</f>
        <v>16505.7836943976</v>
      </c>
      <c r="K435" s="18">
        <f>VLOOKUP(A435,[2]Export!$A:$C,3,0)</f>
        <v>15563.989999999998</v>
      </c>
      <c r="L435" s="19">
        <f t="shared" si="14"/>
        <v>0.94294159478672523</v>
      </c>
      <c r="M435" s="18">
        <f>VLOOKUP(A435,[2]Export!$A:$G,7,0)</f>
        <v>13984.070000000003</v>
      </c>
      <c r="N435" s="19">
        <f t="shared" si="15"/>
        <v>0.84722241966290168</v>
      </c>
      <c r="O435" s="17" t="s">
        <v>1025</v>
      </c>
      <c r="P435" s="17" t="s">
        <v>1026</v>
      </c>
      <c r="Q435" s="17" t="s">
        <v>1022</v>
      </c>
      <c r="R435" s="17" t="str">
        <f>VLOOKUP(A435,[1]Export!$A:$I,9,0)</f>
        <v>Comprou Marcas e SG</v>
      </c>
      <c r="S435" s="17" t="s">
        <v>1022</v>
      </c>
      <c r="T435" s="20">
        <v>4</v>
      </c>
      <c r="U435" s="17"/>
      <c r="V435" s="17"/>
    </row>
    <row r="436" spans="1:22" x14ac:dyDescent="0.35">
      <c r="A436" s="4">
        <v>5112326000205</v>
      </c>
      <c r="B436" s="7" t="s">
        <v>319</v>
      </c>
      <c r="C436" s="4"/>
      <c r="D436" s="1" t="s">
        <v>319</v>
      </c>
      <c r="E436" s="1" t="s">
        <v>155</v>
      </c>
      <c r="F436" s="1" t="s">
        <v>15</v>
      </c>
      <c r="G436" s="10" t="s">
        <v>36</v>
      </c>
      <c r="H436" s="1" t="s">
        <v>17</v>
      </c>
      <c r="I436" s="21" t="s">
        <v>1069</v>
      </c>
      <c r="J436" s="18">
        <f>VLOOKUP(A436,[2]Export!$A:$B,2,0)</f>
        <v>1270.6820360678298</v>
      </c>
      <c r="K436" s="18">
        <f>VLOOKUP(A436,[2]Export!$A:$C,3,0)</f>
        <v>464.84000000000003</v>
      </c>
      <c r="L436" s="19">
        <f t="shared" si="14"/>
        <v>0.36581928980318612</v>
      </c>
      <c r="M436" s="18">
        <f>VLOOKUP(A436,[2]Export!$A:$G,7,0)</f>
        <v>0</v>
      </c>
      <c r="N436" s="19">
        <f t="shared" si="15"/>
        <v>0</v>
      </c>
      <c r="O436" s="17" t="s">
        <v>1025</v>
      </c>
      <c r="P436" s="17" t="s">
        <v>1026</v>
      </c>
      <c r="Q436" s="17" t="s">
        <v>1022</v>
      </c>
      <c r="R436" s="17" t="str">
        <f>VLOOKUP(A436,[1]Export!$A:$I,9,0)</f>
        <v>Não Comprou</v>
      </c>
      <c r="S436" s="17" t="s">
        <v>1022</v>
      </c>
      <c r="T436" s="20"/>
      <c r="U436" s="17"/>
      <c r="V436" s="17"/>
    </row>
    <row r="437" spans="1:22" x14ac:dyDescent="0.35">
      <c r="A437" s="5">
        <v>8087667000428</v>
      </c>
      <c r="B437" s="7" t="s">
        <v>1001</v>
      </c>
      <c r="C437" s="4"/>
      <c r="D437" s="6" t="s">
        <v>218</v>
      </c>
      <c r="E437" s="6" t="s">
        <v>329</v>
      </c>
      <c r="F437" s="6" t="s">
        <v>8</v>
      </c>
      <c r="G437" s="11" t="s">
        <v>36</v>
      </c>
      <c r="H437" s="6" t="s">
        <v>17</v>
      </c>
      <c r="I437" s="21" t="s">
        <v>1070</v>
      </c>
      <c r="J437" s="18">
        <f>VLOOKUP(A437,[2]Export!$A:$B,2,0)</f>
        <v>7820.412843129624</v>
      </c>
      <c r="K437" s="18">
        <f>VLOOKUP(A437,[2]Export!$A:$C,3,0)</f>
        <v>2716.0999999999995</v>
      </c>
      <c r="L437" s="19">
        <f t="shared" si="14"/>
        <v>0.34730903016023545</v>
      </c>
      <c r="M437" s="18">
        <f>VLOOKUP(A437,[2]Export!$A:$G,7,0)</f>
        <v>2917.78</v>
      </c>
      <c r="N437" s="19">
        <f t="shared" si="15"/>
        <v>0.37309795000954754</v>
      </c>
      <c r="O437" s="17" t="s">
        <v>1025</v>
      </c>
      <c r="P437" s="17" t="s">
        <v>1026</v>
      </c>
      <c r="Q437" s="17" t="s">
        <v>1023</v>
      </c>
      <c r="R437" s="17" t="str">
        <f>VLOOKUP(A437,[1]Export!$A:$I,9,0)</f>
        <v>Comprou Marcas</v>
      </c>
      <c r="S437" s="17" t="s">
        <v>1022</v>
      </c>
      <c r="T437" s="20">
        <v>4</v>
      </c>
      <c r="U437" s="17"/>
      <c r="V437" s="17"/>
    </row>
    <row r="438" spans="1:22" x14ac:dyDescent="0.35">
      <c r="A438" s="4">
        <v>8087667000690</v>
      </c>
      <c r="B438" s="7" t="s">
        <v>1001</v>
      </c>
      <c r="C438" s="4"/>
      <c r="D438" s="1" t="s">
        <v>218</v>
      </c>
      <c r="E438" s="1" t="s">
        <v>35</v>
      </c>
      <c r="F438" s="1" t="s">
        <v>8</v>
      </c>
      <c r="G438" s="10" t="s">
        <v>36</v>
      </c>
      <c r="H438" s="1" t="s">
        <v>17</v>
      </c>
      <c r="I438" s="21" t="s">
        <v>1070</v>
      </c>
      <c r="J438" s="18">
        <f>VLOOKUP(A438,[2]Export!$A:$B,2,0)</f>
        <v>10213.031860593921</v>
      </c>
      <c r="K438" s="18">
        <f>VLOOKUP(A438,[2]Export!$A:$C,3,0)</f>
        <v>9201.24</v>
      </c>
      <c r="L438" s="19">
        <f t="shared" si="14"/>
        <v>0.90093129303768937</v>
      </c>
      <c r="M438" s="18">
        <f>VLOOKUP(A438,[2]Export!$A:$G,7,0)</f>
        <v>8386.0600000000031</v>
      </c>
      <c r="N438" s="19">
        <f t="shared" si="15"/>
        <v>0.82111366286409748</v>
      </c>
      <c r="O438" s="17" t="s">
        <v>1025</v>
      </c>
      <c r="P438" s="17" t="s">
        <v>1026</v>
      </c>
      <c r="Q438" s="17" t="s">
        <v>1023</v>
      </c>
      <c r="R438" s="17" t="str">
        <f>VLOOKUP(A438,[1]Export!$A:$I,9,0)</f>
        <v>Comprou Marcas</v>
      </c>
      <c r="S438" s="17" t="s">
        <v>1022</v>
      </c>
      <c r="T438" s="20">
        <v>4</v>
      </c>
      <c r="U438" s="17"/>
      <c r="V438" s="17"/>
    </row>
    <row r="439" spans="1:22" x14ac:dyDescent="0.35">
      <c r="A439" s="5">
        <v>8793169000158</v>
      </c>
      <c r="B439" s="7"/>
      <c r="C439" s="4"/>
      <c r="D439" s="6" t="s">
        <v>522</v>
      </c>
      <c r="E439" s="6" t="s">
        <v>35</v>
      </c>
      <c r="F439" s="6" t="s">
        <v>8</v>
      </c>
      <c r="G439" s="11" t="s">
        <v>16</v>
      </c>
      <c r="H439" s="6" t="s">
        <v>17</v>
      </c>
      <c r="I439" s="21" t="s">
        <v>1070</v>
      </c>
      <c r="J439" s="18">
        <f>VLOOKUP(A439,[2]Export!$A:$B,2,0)</f>
        <v>1088.5340733600146</v>
      </c>
      <c r="K439" s="18">
        <f>VLOOKUP(A439,[2]Export!$A:$C,3,0)</f>
        <v>299</v>
      </c>
      <c r="L439" s="19">
        <f t="shared" si="14"/>
        <v>0.27468134192351618</v>
      </c>
      <c r="M439" s="18">
        <f>VLOOKUP(A439,[2]Export!$A:$G,7,0)</f>
        <v>0</v>
      </c>
      <c r="N439" s="19">
        <f t="shared" si="15"/>
        <v>0</v>
      </c>
      <c r="O439" s="17" t="s">
        <v>1027</v>
      </c>
      <c r="P439" s="17" t="s">
        <v>1028</v>
      </c>
      <c r="Q439" s="17" t="s">
        <v>1023</v>
      </c>
      <c r="R439" s="17" t="str">
        <f>VLOOKUP(A439,[1]Export!$A:$I,9,0)</f>
        <v>Não Comprou</v>
      </c>
      <c r="S439" s="17" t="s">
        <v>1022</v>
      </c>
      <c r="T439" s="20"/>
      <c r="U439" s="17"/>
      <c r="V439" s="17"/>
    </row>
    <row r="440" spans="1:22" x14ac:dyDescent="0.35">
      <c r="A440" s="4">
        <v>8984188000161</v>
      </c>
      <c r="B440" s="7"/>
      <c r="C440" s="4"/>
      <c r="D440" s="1" t="s">
        <v>523</v>
      </c>
      <c r="E440" s="1" t="s">
        <v>524</v>
      </c>
      <c r="F440" s="1" t="s">
        <v>15</v>
      </c>
      <c r="G440" s="10" t="s">
        <v>33</v>
      </c>
      <c r="H440" s="1" t="s">
        <v>17</v>
      </c>
      <c r="I440" s="21" t="s">
        <v>1069</v>
      </c>
      <c r="J440" s="18">
        <f>VLOOKUP(A440,[2]Export!$A:$B,2,0)</f>
        <v>7095.2950331920083</v>
      </c>
      <c r="K440" s="18">
        <f>VLOOKUP(A440,[2]Export!$A:$C,3,0)</f>
        <v>4369.1599999999989</v>
      </c>
      <c r="L440" s="19">
        <f t="shared" si="14"/>
        <v>0.6157827094660524</v>
      </c>
      <c r="M440" s="18">
        <f>VLOOKUP(A440,[2]Export!$A:$G,7,0)</f>
        <v>1118.1199999999999</v>
      </c>
      <c r="N440" s="19">
        <f t="shared" si="15"/>
        <v>0.15758611795131847</v>
      </c>
      <c r="O440" s="17" t="s">
        <v>1027</v>
      </c>
      <c r="P440" s="17" t="s">
        <v>1026</v>
      </c>
      <c r="Q440" s="17" t="s">
        <v>1023</v>
      </c>
      <c r="R440" s="17" t="str">
        <f>VLOOKUP(A440,[1]Export!$A:$I,9,0)</f>
        <v>Comprou Marcas e SG</v>
      </c>
      <c r="S440" s="17" t="s">
        <v>1022</v>
      </c>
      <c r="T440" s="20"/>
      <c r="U440" s="17"/>
      <c r="V440" s="17"/>
    </row>
    <row r="441" spans="1:22" x14ac:dyDescent="0.35">
      <c r="A441" s="4">
        <v>10341045001236</v>
      </c>
      <c r="B441" s="7" t="s">
        <v>995</v>
      </c>
      <c r="C441" s="4"/>
      <c r="D441" s="1" t="s">
        <v>25</v>
      </c>
      <c r="E441" s="1" t="s">
        <v>122</v>
      </c>
      <c r="F441" s="1" t="s">
        <v>8</v>
      </c>
      <c r="G441" s="10" t="s">
        <v>9</v>
      </c>
      <c r="H441" s="1" t="s">
        <v>10</v>
      </c>
      <c r="I441" s="21" t="s">
        <v>1066</v>
      </c>
      <c r="J441" s="18">
        <f>VLOOKUP(A441,[2]Export!$A:$B,2,0)</f>
        <v>11715.237979006672</v>
      </c>
      <c r="K441" s="18">
        <f>VLOOKUP(A441,[2]Export!$A:$C,3,0)</f>
        <v>7442.050000000002</v>
      </c>
      <c r="L441" s="19">
        <f t="shared" si="14"/>
        <v>0.63524531156225039</v>
      </c>
      <c r="M441" s="18">
        <f>VLOOKUP(A441,[2]Export!$A:$G,7,0)</f>
        <v>5848.4400000000005</v>
      </c>
      <c r="N441" s="19">
        <f t="shared" si="15"/>
        <v>0.49921649141743568</v>
      </c>
      <c r="O441" s="17" t="s">
        <v>1027</v>
      </c>
      <c r="P441" s="17" t="s">
        <v>1028</v>
      </c>
      <c r="Q441" s="17" t="s">
        <v>1023</v>
      </c>
      <c r="R441" s="17" t="str">
        <f>VLOOKUP(A441,[1]Export!$A:$I,9,0)</f>
        <v>Comprou Marcas e SG</v>
      </c>
      <c r="S441" s="17" t="s">
        <v>1022</v>
      </c>
      <c r="T441" s="20">
        <v>3</v>
      </c>
      <c r="U441" s="17">
        <v>1</v>
      </c>
      <c r="V441" s="17"/>
    </row>
    <row r="442" spans="1:22" x14ac:dyDescent="0.35">
      <c r="A442" s="4">
        <v>9539583000106</v>
      </c>
      <c r="B442" s="7"/>
      <c r="C442" s="4">
        <v>148178</v>
      </c>
      <c r="D442" s="1" t="s">
        <v>66</v>
      </c>
      <c r="E442" s="1" t="s">
        <v>35</v>
      </c>
      <c r="F442" s="1" t="s">
        <v>8</v>
      </c>
      <c r="G442" s="10" t="s">
        <v>20</v>
      </c>
      <c r="H442" s="1" t="s">
        <v>17</v>
      </c>
      <c r="I442" s="21" t="s">
        <v>1070</v>
      </c>
      <c r="J442" s="18">
        <f>VLOOKUP(A442,[2]Export!$A:$B,2,0)</f>
        <v>10190.486830563277</v>
      </c>
      <c r="K442" s="18">
        <f>VLOOKUP(A442,[2]Export!$A:$C,3,0)</f>
        <v>760.54</v>
      </c>
      <c r="L442" s="19">
        <f t="shared" si="14"/>
        <v>7.4632351981358799E-2</v>
      </c>
      <c r="M442" s="18">
        <f>VLOOKUP(A442,[2]Export!$A:$G,7,0)</f>
        <v>0</v>
      </c>
      <c r="N442" s="19">
        <f t="shared" si="15"/>
        <v>0</v>
      </c>
      <c r="O442" s="17" t="s">
        <v>1027</v>
      </c>
      <c r="P442" s="17" t="s">
        <v>1028</v>
      </c>
      <c r="Q442" s="17" t="s">
        <v>1023</v>
      </c>
      <c r="R442" s="17" t="str">
        <f>VLOOKUP(A442,[1]Export!$A:$I,9,0)</f>
        <v>Não Comprou</v>
      </c>
      <c r="S442" s="17" t="s">
        <v>1022</v>
      </c>
      <c r="T442" s="20"/>
      <c r="U442" s="17"/>
      <c r="V442" s="17"/>
    </row>
    <row r="443" spans="1:22" x14ac:dyDescent="0.35">
      <c r="A443" s="5">
        <v>9652569000106</v>
      </c>
      <c r="B443" s="7"/>
      <c r="C443" s="4"/>
      <c r="D443" s="6" t="s">
        <v>525</v>
      </c>
      <c r="E443" s="6" t="s">
        <v>30</v>
      </c>
      <c r="F443" s="6" t="s">
        <v>15</v>
      </c>
      <c r="G443" s="11" t="s">
        <v>33</v>
      </c>
      <c r="H443" s="6" t="s">
        <v>17</v>
      </c>
      <c r="I443" s="21" t="s">
        <v>1069</v>
      </c>
      <c r="J443" s="18">
        <f>VLOOKUP(A443,[2]Export!$A:$B,2,0)</f>
        <v>3203.6849446255328</v>
      </c>
      <c r="K443" s="18">
        <f>VLOOKUP(A443,[2]Export!$A:$C,3,0)</f>
        <v>4934.6899999999996</v>
      </c>
      <c r="L443" s="19">
        <f t="shared" si="14"/>
        <v>1.5403168804967486</v>
      </c>
      <c r="M443" s="18">
        <f>VLOOKUP(A443,[2]Export!$A:$G,7,0)</f>
        <v>2893.6899999999996</v>
      </c>
      <c r="N443" s="19">
        <f t="shared" si="15"/>
        <v>0.90323800561426071</v>
      </c>
      <c r="O443" s="17" t="s">
        <v>1027</v>
      </c>
      <c r="P443" s="17" t="s">
        <v>1026</v>
      </c>
      <c r="Q443" s="17" t="s">
        <v>1023</v>
      </c>
      <c r="R443" s="17" t="str">
        <f>VLOOKUP(A443,[1]Export!$A:$I,9,0)</f>
        <v>Comprou Marcas</v>
      </c>
      <c r="S443" s="17" t="s">
        <v>1022</v>
      </c>
      <c r="T443" s="20"/>
      <c r="U443" s="17"/>
      <c r="V443" s="17"/>
    </row>
    <row r="444" spans="1:22" x14ac:dyDescent="0.35">
      <c r="A444" s="4">
        <v>10299122000184</v>
      </c>
      <c r="B444" s="7"/>
      <c r="C444" s="4"/>
      <c r="D444" s="1" t="s">
        <v>526</v>
      </c>
      <c r="E444" s="1" t="s">
        <v>19</v>
      </c>
      <c r="F444" s="1" t="s">
        <v>15</v>
      </c>
      <c r="G444" s="10" t="s">
        <v>20</v>
      </c>
      <c r="H444" s="1" t="s">
        <v>17</v>
      </c>
      <c r="I444" s="21" t="s">
        <v>1067</v>
      </c>
      <c r="J444" s="18">
        <f>VLOOKUP(A444,[2]Export!$A:$B,2,0)</f>
        <v>8040.6225288025962</v>
      </c>
      <c r="K444" s="18">
        <f>VLOOKUP(A444,[2]Export!$A:$C,3,0)</f>
        <v>4965.68</v>
      </c>
      <c r="L444" s="19">
        <f t="shared" si="14"/>
        <v>0.61757407243186258</v>
      </c>
      <c r="M444" s="18">
        <f>VLOOKUP(A444,[2]Export!$A:$G,7,0)</f>
        <v>548.76</v>
      </c>
      <c r="N444" s="19">
        <f t="shared" si="15"/>
        <v>6.8248446937319532E-2</v>
      </c>
      <c r="O444" s="17" t="s">
        <v>1025</v>
      </c>
      <c r="P444" s="17" t="s">
        <v>1026</v>
      </c>
      <c r="Q444" s="17" t="s">
        <v>1023</v>
      </c>
      <c r="R444" s="17" t="str">
        <f>VLOOKUP(A444,[1]Export!$A:$I,9,0)</f>
        <v>Comprou Marcas</v>
      </c>
      <c r="S444" s="17" t="s">
        <v>1022</v>
      </c>
      <c r="T444" s="20">
        <v>4</v>
      </c>
      <c r="U444" s="17"/>
      <c r="V444" s="17">
        <v>2</v>
      </c>
    </row>
    <row r="445" spans="1:22" x14ac:dyDescent="0.35">
      <c r="A445" s="5">
        <v>10322682000102</v>
      </c>
      <c r="B445" s="7"/>
      <c r="C445" s="4"/>
      <c r="D445" s="6" t="s">
        <v>527</v>
      </c>
      <c r="E445" s="6" t="s">
        <v>94</v>
      </c>
      <c r="F445" s="6" t="s">
        <v>15</v>
      </c>
      <c r="G445" s="11" t="s">
        <v>36</v>
      </c>
      <c r="H445" s="6" t="s">
        <v>17</v>
      </c>
      <c r="I445" s="21" t="s">
        <v>1069</v>
      </c>
      <c r="J445" s="18">
        <f>VLOOKUP(A445,[2]Export!$A:$B,2,0)</f>
        <v>2180.574859813878</v>
      </c>
      <c r="K445" s="18">
        <f>VLOOKUP(A445,[2]Export!$A:$C,3,0)</f>
        <v>1531.2600000000002</v>
      </c>
      <c r="L445" s="19">
        <f t="shared" si="14"/>
        <v>0.7022276685931802</v>
      </c>
      <c r="M445" s="18">
        <f>VLOOKUP(A445,[2]Export!$A:$G,7,0)</f>
        <v>819.7700000000001</v>
      </c>
      <c r="N445" s="19">
        <f t="shared" si="15"/>
        <v>0.37594214952563987</v>
      </c>
      <c r="O445" s="17" t="s">
        <v>1025</v>
      </c>
      <c r="P445" s="17" t="s">
        <v>1026</v>
      </c>
      <c r="Q445" s="17" t="s">
        <v>1023</v>
      </c>
      <c r="R445" s="17" t="str">
        <f>VLOOKUP(A445,[1]Export!$A:$I,9,0)</f>
        <v>Comprou Marcas</v>
      </c>
      <c r="S445" s="17" t="s">
        <v>1023</v>
      </c>
      <c r="T445" s="20"/>
      <c r="U445" s="17"/>
      <c r="V445" s="17"/>
    </row>
    <row r="446" spans="1:22" x14ac:dyDescent="0.35">
      <c r="A446" s="5">
        <v>10341045001589</v>
      </c>
      <c r="B446" s="7" t="s">
        <v>995</v>
      </c>
      <c r="C446" s="4"/>
      <c r="D446" s="6" t="s">
        <v>25</v>
      </c>
      <c r="E446" s="6" t="s">
        <v>115</v>
      </c>
      <c r="F446" s="6" t="s">
        <v>8</v>
      </c>
      <c r="G446" s="11" t="s">
        <v>9</v>
      </c>
      <c r="H446" s="6" t="s">
        <v>10</v>
      </c>
      <c r="I446" s="21" t="s">
        <v>1066</v>
      </c>
      <c r="J446" s="18">
        <f>VLOOKUP(A446,[2]Export!$A:$B,2,0)</f>
        <v>2960.1982748918272</v>
      </c>
      <c r="K446" s="18">
        <f>VLOOKUP(A446,[2]Export!$A:$C,3,0)</f>
        <v>1680.3700000000003</v>
      </c>
      <c r="L446" s="19">
        <f t="shared" si="14"/>
        <v>0.5676545433637904</v>
      </c>
      <c r="M446" s="18">
        <f>VLOOKUP(A446,[2]Export!$A:$G,7,0)</f>
        <v>1996.3400000000001</v>
      </c>
      <c r="N446" s="19">
        <f t="shared" si="15"/>
        <v>0.67439401506743712</v>
      </c>
      <c r="O446" s="17" t="s">
        <v>1027</v>
      </c>
      <c r="P446" s="17" t="s">
        <v>1028</v>
      </c>
      <c r="Q446" s="17" t="s">
        <v>1023</v>
      </c>
      <c r="R446" s="17" t="str">
        <f>VLOOKUP(A446,[1]Export!$A:$I,9,0)</f>
        <v>Comprou Marcas e SG</v>
      </c>
      <c r="S446" s="17" t="s">
        <v>1022</v>
      </c>
      <c r="T446" s="20"/>
      <c r="U446" s="17"/>
      <c r="V446" s="17"/>
    </row>
    <row r="447" spans="1:22" x14ac:dyDescent="0.35">
      <c r="A447" s="5">
        <v>11210256000140</v>
      </c>
      <c r="B447" s="7"/>
      <c r="C447" s="4"/>
      <c r="D447" s="6" t="s">
        <v>528</v>
      </c>
      <c r="E447" s="6" t="s">
        <v>291</v>
      </c>
      <c r="F447" s="6" t="s">
        <v>8</v>
      </c>
      <c r="G447" s="11" t="s">
        <v>33</v>
      </c>
      <c r="H447" s="6" t="s">
        <v>17</v>
      </c>
      <c r="I447" s="21" t="s">
        <v>1066</v>
      </c>
      <c r="J447" s="18">
        <f>VLOOKUP(A447,[2]Export!$A:$B,2,0)</f>
        <v>2766.1220977640387</v>
      </c>
      <c r="K447" s="18">
        <f>VLOOKUP(A447,[2]Export!$A:$C,3,0)</f>
        <v>2008.8900000000003</v>
      </c>
      <c r="L447" s="19">
        <f t="shared" si="14"/>
        <v>0.72624776817475345</v>
      </c>
      <c r="M447" s="18">
        <f>VLOOKUP(A447,[2]Export!$A:$G,7,0)</f>
        <v>1143.3500000000004</v>
      </c>
      <c r="N447" s="19">
        <f t="shared" si="15"/>
        <v>0.4133403948163436</v>
      </c>
      <c r="O447" s="17" t="s">
        <v>1027</v>
      </c>
      <c r="P447" s="17" t="s">
        <v>1026</v>
      </c>
      <c r="Q447" s="17" t="s">
        <v>1023</v>
      </c>
      <c r="R447" s="17" t="str">
        <f>VLOOKUP(A447,[1]Export!$A:$I,9,0)</f>
        <v>Comprou Marcas</v>
      </c>
      <c r="S447" s="17" t="s">
        <v>1022</v>
      </c>
      <c r="T447" s="20"/>
      <c r="U447" s="17"/>
      <c r="V447" s="17"/>
    </row>
    <row r="448" spans="1:22" x14ac:dyDescent="0.35">
      <c r="A448" s="4">
        <v>11740637000130</v>
      </c>
      <c r="B448" s="7"/>
      <c r="C448" s="4"/>
      <c r="D448" s="1" t="s">
        <v>529</v>
      </c>
      <c r="E448" s="1" t="s">
        <v>115</v>
      </c>
      <c r="F448" s="1" t="s">
        <v>8</v>
      </c>
      <c r="G448" s="10" t="s">
        <v>279</v>
      </c>
      <c r="H448" s="1" t="s">
        <v>17</v>
      </c>
      <c r="I448" s="21" t="s">
        <v>1066</v>
      </c>
      <c r="J448" s="18">
        <f>VLOOKUP(A448,[2]Export!$A:$B,2,0)</f>
        <v>5702.1742904174935</v>
      </c>
      <c r="K448" s="18">
        <f>VLOOKUP(A448,[2]Export!$A:$C,3,0)</f>
        <v>2925.4999999999995</v>
      </c>
      <c r="L448" s="19">
        <f t="shared" si="14"/>
        <v>0.51304990885955615</v>
      </c>
      <c r="M448" s="18">
        <f>VLOOKUP(A448,[2]Export!$A:$G,7,0)</f>
        <v>1637.7</v>
      </c>
      <c r="N448" s="19">
        <f t="shared" si="15"/>
        <v>0.28720623337525047</v>
      </c>
      <c r="O448" s="17" t="s">
        <v>1027</v>
      </c>
      <c r="P448" s="17" t="s">
        <v>1028</v>
      </c>
      <c r="Q448" s="17" t="s">
        <v>1023</v>
      </c>
      <c r="R448" s="17" t="str">
        <f>VLOOKUP(A448,[1]Export!$A:$I,9,0)</f>
        <v>Comprou Marcas</v>
      </c>
      <c r="S448" s="17" t="s">
        <v>1022</v>
      </c>
      <c r="T448" s="20"/>
      <c r="U448" s="17"/>
      <c r="V448" s="17"/>
    </row>
    <row r="449" spans="1:22" x14ac:dyDescent="0.35">
      <c r="A449" s="5">
        <v>11751725000138</v>
      </c>
      <c r="B449" s="7"/>
      <c r="C449" s="4"/>
      <c r="D449" s="6" t="s">
        <v>154</v>
      </c>
      <c r="E449" s="6" t="s">
        <v>530</v>
      </c>
      <c r="F449" s="6" t="s">
        <v>48</v>
      </c>
      <c r="G449" s="11" t="s">
        <v>352</v>
      </c>
      <c r="H449" s="6" t="s">
        <v>17</v>
      </c>
      <c r="I449" s="21" t="s">
        <v>1071</v>
      </c>
      <c r="J449" s="18">
        <f>VLOOKUP(A449,[2]Export!$A:$B,2,0)</f>
        <v>1548.3511081432562</v>
      </c>
      <c r="K449" s="18">
        <f>VLOOKUP(A449,[2]Export!$A:$C,3,0)</f>
        <v>940.03999999999985</v>
      </c>
      <c r="L449" s="19">
        <f t="shared" si="14"/>
        <v>0.60712327782506148</v>
      </c>
      <c r="M449" s="18">
        <f>VLOOKUP(A449,[2]Export!$A:$G,7,0)</f>
        <v>80.010000000000005</v>
      </c>
      <c r="N449" s="19">
        <f t="shared" si="15"/>
        <v>5.167432604866088E-2</v>
      </c>
      <c r="O449" s="17" t="s">
        <v>1025</v>
      </c>
      <c r="P449" s="17" t="s">
        <v>1026</v>
      </c>
      <c r="Q449" s="17" t="s">
        <v>1022</v>
      </c>
      <c r="R449" s="17" t="str">
        <f>VLOOKUP(A449,[1]Export!$A:$I,9,0)</f>
        <v>Comprou Marcas</v>
      </c>
      <c r="S449" s="17" t="s">
        <v>1022</v>
      </c>
      <c r="T449" s="20"/>
      <c r="U449" s="17"/>
      <c r="V449" s="17"/>
    </row>
    <row r="450" spans="1:22" x14ac:dyDescent="0.35">
      <c r="A450" s="4">
        <v>5778971000180</v>
      </c>
      <c r="B450" s="7"/>
      <c r="C450" s="4"/>
      <c r="D450" s="1" t="s">
        <v>531</v>
      </c>
      <c r="E450" s="1" t="s">
        <v>110</v>
      </c>
      <c r="F450" s="1" t="s">
        <v>15</v>
      </c>
      <c r="G450" s="10" t="s">
        <v>87</v>
      </c>
      <c r="H450" s="1" t="s">
        <v>17</v>
      </c>
      <c r="I450" s="21" t="s">
        <v>1069</v>
      </c>
      <c r="J450" s="18">
        <f>VLOOKUP(A450,[2]Export!$A:$B,2,0)</f>
        <v>5359.3023038463252</v>
      </c>
      <c r="K450" s="18">
        <f>VLOOKUP(A450,[2]Export!$A:$C,3,0)</f>
        <v>3602.64</v>
      </c>
      <c r="L450" s="19">
        <f t="shared" si="14"/>
        <v>0.6722218295867386</v>
      </c>
      <c r="M450" s="18">
        <f>VLOOKUP(A450,[2]Export!$A:$G,7,0)</f>
        <v>1530.0300000000002</v>
      </c>
      <c r="N450" s="19">
        <f t="shared" si="15"/>
        <v>0.28549051970849093</v>
      </c>
      <c r="O450" s="17"/>
      <c r="P450" s="17"/>
      <c r="Q450" s="17"/>
      <c r="R450" s="17" t="str">
        <f>VLOOKUP(A450,[1]Export!$A:$I,9,0)</f>
        <v>Comprou Marcas</v>
      </c>
      <c r="S450" s="17"/>
      <c r="T450" s="20"/>
      <c r="U450" s="17"/>
      <c r="V450" s="17"/>
    </row>
    <row r="451" spans="1:22" x14ac:dyDescent="0.35">
      <c r="A451" s="5">
        <v>24920461000221</v>
      </c>
      <c r="B451" s="7"/>
      <c r="C451" s="4"/>
      <c r="D451" s="6" t="s">
        <v>532</v>
      </c>
      <c r="E451" s="6" t="s">
        <v>260</v>
      </c>
      <c r="F451" s="6" t="s">
        <v>8</v>
      </c>
      <c r="G451" s="11" t="s">
        <v>64</v>
      </c>
      <c r="H451" s="6" t="s">
        <v>17</v>
      </c>
      <c r="I451" s="21" t="s">
        <v>1066</v>
      </c>
      <c r="J451" s="18">
        <f>VLOOKUP(A451,[2]Export!$A:$B,2,0)</f>
        <v>3494.1720957151979</v>
      </c>
      <c r="K451" s="18">
        <f>VLOOKUP(A451,[2]Export!$A:$C,3,0)</f>
        <v>3182.74</v>
      </c>
      <c r="L451" s="19">
        <f t="shared" si="14"/>
        <v>0.91087099112917236</v>
      </c>
      <c r="M451" s="18">
        <f>VLOOKUP(A451,[2]Export!$A:$G,7,0)</f>
        <v>3129.3400000000006</v>
      </c>
      <c r="N451" s="19">
        <f t="shared" si="15"/>
        <v>0.89558840099416392</v>
      </c>
      <c r="O451" s="17" t="s">
        <v>1029</v>
      </c>
      <c r="P451" s="17" t="s">
        <v>1026</v>
      </c>
      <c r="Q451" s="17" t="s">
        <v>1022</v>
      </c>
      <c r="R451" s="17" t="str">
        <f>VLOOKUP(A451,[1]Export!$A:$I,9,0)</f>
        <v>Comprou Marcas</v>
      </c>
      <c r="S451" s="17" t="s">
        <v>1022</v>
      </c>
      <c r="T451" s="20"/>
      <c r="U451" s="17"/>
      <c r="V451" s="17"/>
    </row>
    <row r="452" spans="1:22" x14ac:dyDescent="0.35">
      <c r="A452" s="4">
        <v>27127481000157</v>
      </c>
      <c r="B452" s="7"/>
      <c r="C452" s="4"/>
      <c r="D452" s="1" t="s">
        <v>533</v>
      </c>
      <c r="E452" s="1" t="s">
        <v>61</v>
      </c>
      <c r="F452" s="1" t="s">
        <v>8</v>
      </c>
      <c r="G452" s="10" t="s">
        <v>20</v>
      </c>
      <c r="H452" s="1" t="s">
        <v>17</v>
      </c>
      <c r="I452" s="21" t="s">
        <v>1066</v>
      </c>
      <c r="J452" s="18">
        <f>VLOOKUP(A452,[2]Export!$A:$B,2,0)</f>
        <v>1547.4911264007335</v>
      </c>
      <c r="K452" s="18">
        <f>VLOOKUP(A452,[2]Export!$A:$C,3,0)</f>
        <v>1131</v>
      </c>
      <c r="L452" s="19">
        <f t="shared" si="14"/>
        <v>0.73086041057344309</v>
      </c>
      <c r="M452" s="18">
        <f>VLOOKUP(A452,[2]Export!$A:$G,7,0)</f>
        <v>679.21</v>
      </c>
      <c r="N452" s="19">
        <f t="shared" si="15"/>
        <v>0.43891043277240344</v>
      </c>
      <c r="O452" s="17" t="s">
        <v>1027</v>
      </c>
      <c r="P452" s="17" t="s">
        <v>1028</v>
      </c>
      <c r="Q452" s="17" t="s">
        <v>1023</v>
      </c>
      <c r="R452" s="17" t="str">
        <f>VLOOKUP(A452,[1]Export!$A:$I,9,0)</f>
        <v>Comprou Marcas</v>
      </c>
      <c r="S452" s="17" t="s">
        <v>1022</v>
      </c>
      <c r="T452" s="20"/>
      <c r="U452" s="17"/>
      <c r="V452" s="17"/>
    </row>
    <row r="453" spans="1:22" x14ac:dyDescent="0.35">
      <c r="A453" s="5">
        <v>29303719000183</v>
      </c>
      <c r="B453" s="7"/>
      <c r="C453" s="4"/>
      <c r="D453" s="6" t="s">
        <v>534</v>
      </c>
      <c r="E453" s="6" t="s">
        <v>127</v>
      </c>
      <c r="F453" s="6" t="s">
        <v>8</v>
      </c>
      <c r="G453" s="11" t="s">
        <v>74</v>
      </c>
      <c r="H453" s="6" t="s">
        <v>17</v>
      </c>
      <c r="I453" s="21" t="s">
        <v>1068</v>
      </c>
      <c r="J453" s="18">
        <f>VLOOKUP(A453,[2]Export!$A:$B,2,0)</f>
        <v>11465.885875812684</v>
      </c>
      <c r="K453" s="18">
        <f>VLOOKUP(A453,[2]Export!$A:$C,3,0)</f>
        <v>5866.6599999999962</v>
      </c>
      <c r="L453" s="19">
        <f t="shared" si="14"/>
        <v>0.51166216579703894</v>
      </c>
      <c r="M453" s="18">
        <f>VLOOKUP(A453,[2]Export!$A:$G,7,0)</f>
        <v>0</v>
      </c>
      <c r="N453" s="19">
        <f t="shared" si="15"/>
        <v>0</v>
      </c>
      <c r="O453" s="17" t="s">
        <v>1027</v>
      </c>
      <c r="P453" s="17" t="s">
        <v>1026</v>
      </c>
      <c r="Q453" s="17" t="s">
        <v>1023</v>
      </c>
      <c r="R453" s="17" t="str">
        <f>VLOOKUP(A453,[1]Export!$A:$I,9,0)</f>
        <v>Não Comprou</v>
      </c>
      <c r="S453" s="17" t="s">
        <v>1022</v>
      </c>
      <c r="T453" s="20"/>
      <c r="U453" s="17"/>
      <c r="V453" s="17"/>
    </row>
    <row r="454" spans="1:22" x14ac:dyDescent="0.35">
      <c r="A454" s="4">
        <v>30425108000278</v>
      </c>
      <c r="B454" s="7"/>
      <c r="C454" s="4"/>
      <c r="D454" s="1" t="s">
        <v>237</v>
      </c>
      <c r="E454" s="1" t="s">
        <v>35</v>
      </c>
      <c r="F454" s="1" t="s">
        <v>8</v>
      </c>
      <c r="G454" s="10" t="s">
        <v>20</v>
      </c>
      <c r="H454" s="1" t="s">
        <v>17</v>
      </c>
      <c r="I454" s="21" t="s">
        <v>1070</v>
      </c>
      <c r="J454" s="18">
        <f>VLOOKUP(A454,[2]Export!$A:$B,2,0)</f>
        <v>1859.0493759993726</v>
      </c>
      <c r="K454" s="18">
        <f>VLOOKUP(A454,[2]Export!$A:$C,3,0)</f>
        <v>366.51</v>
      </c>
      <c r="L454" s="19">
        <f t="shared" si="14"/>
        <v>0.19714914769435563</v>
      </c>
      <c r="M454" s="18">
        <f>VLOOKUP(A454,[2]Export!$A:$G,7,0)</f>
        <v>0</v>
      </c>
      <c r="N454" s="19">
        <f t="shared" si="15"/>
        <v>0</v>
      </c>
      <c r="O454" s="17" t="s">
        <v>1025</v>
      </c>
      <c r="P454" s="17" t="s">
        <v>1026</v>
      </c>
      <c r="Q454" s="17" t="s">
        <v>1023</v>
      </c>
      <c r="R454" s="17" t="str">
        <f>VLOOKUP(A454,[1]Export!$A:$I,9,0)</f>
        <v>Não Comprou</v>
      </c>
      <c r="S454" s="17" t="s">
        <v>1023</v>
      </c>
      <c r="T454" s="20"/>
      <c r="U454" s="17"/>
      <c r="V454" s="17"/>
    </row>
    <row r="455" spans="1:22" x14ac:dyDescent="0.35">
      <c r="A455" s="5">
        <v>30879844000115</v>
      </c>
      <c r="B455" s="7"/>
      <c r="C455" s="4"/>
      <c r="D455" s="6" t="s">
        <v>535</v>
      </c>
      <c r="E455" s="6" t="s">
        <v>155</v>
      </c>
      <c r="F455" s="6" t="s">
        <v>15</v>
      </c>
      <c r="G455" s="11" t="s">
        <v>64</v>
      </c>
      <c r="H455" s="6" t="s">
        <v>17</v>
      </c>
      <c r="I455" s="21" t="s">
        <v>1069</v>
      </c>
      <c r="J455" s="18">
        <f>VLOOKUP(A455,[2]Export!$A:$B,2,0)</f>
        <v>6184.4495874559698</v>
      </c>
      <c r="K455" s="18">
        <f>VLOOKUP(A455,[2]Export!$A:$C,3,0)</f>
        <v>5912.5199999999995</v>
      </c>
      <c r="L455" s="19">
        <f t="shared" si="14"/>
        <v>0.9560301068655277</v>
      </c>
      <c r="M455" s="18">
        <f>VLOOKUP(A455,[2]Export!$A:$G,7,0)</f>
        <v>0</v>
      </c>
      <c r="N455" s="19">
        <f t="shared" si="15"/>
        <v>0</v>
      </c>
      <c r="O455" s="17" t="s">
        <v>1029</v>
      </c>
      <c r="P455" s="17" t="s">
        <v>1026</v>
      </c>
      <c r="Q455" s="17" t="s">
        <v>1022</v>
      </c>
      <c r="R455" s="17" t="str">
        <f>VLOOKUP(A455,[1]Export!$A:$I,9,0)</f>
        <v>Não Comprou</v>
      </c>
      <c r="S455" s="17" t="s">
        <v>1022</v>
      </c>
      <c r="T455" s="20"/>
      <c r="U455" s="17"/>
      <c r="V455" s="17"/>
    </row>
    <row r="456" spans="1:22" x14ac:dyDescent="0.35">
      <c r="A456" s="4">
        <v>18666741000171</v>
      </c>
      <c r="B456" s="7"/>
      <c r="C456" s="4"/>
      <c r="D456" s="1" t="s">
        <v>536</v>
      </c>
      <c r="E456" s="1" t="s">
        <v>270</v>
      </c>
      <c r="F456" s="1" t="s">
        <v>48</v>
      </c>
      <c r="G456" s="10" t="s">
        <v>9</v>
      </c>
      <c r="H456" s="1" t="s">
        <v>10</v>
      </c>
      <c r="I456" s="21" t="s">
        <v>1073</v>
      </c>
      <c r="J456" s="18">
        <f>VLOOKUP(A456,[2]Export!$A:$B,2,0)</f>
        <v>45417.124825951039</v>
      </c>
      <c r="K456" s="18">
        <f>VLOOKUP(A456,[2]Export!$A:$C,3,0)</f>
        <v>28272.699999999993</v>
      </c>
      <c r="L456" s="19">
        <f t="shared" si="14"/>
        <v>0.62251188529321355</v>
      </c>
      <c r="M456" s="18">
        <f>VLOOKUP(A456,[2]Export!$A:$G,7,0)</f>
        <v>4746.67</v>
      </c>
      <c r="N456" s="19">
        <f t="shared" si="15"/>
        <v>0.10451278054677263</v>
      </c>
      <c r="O456" s="17" t="s">
        <v>1027</v>
      </c>
      <c r="P456" s="17" t="s">
        <v>1028</v>
      </c>
      <c r="Q456" s="17" t="s">
        <v>1023</v>
      </c>
      <c r="R456" s="17" t="str">
        <f>VLOOKUP(A456,[1]Export!$A:$I,9,0)</f>
        <v>Comprou Marcas e SG</v>
      </c>
      <c r="S456" s="17" t="s">
        <v>1022</v>
      </c>
      <c r="T456" s="20"/>
      <c r="U456" s="17"/>
      <c r="V456" s="17">
        <v>4</v>
      </c>
    </row>
    <row r="457" spans="1:22" x14ac:dyDescent="0.35">
      <c r="A457" s="5">
        <v>20103913000140</v>
      </c>
      <c r="B457" s="7" t="s">
        <v>1007</v>
      </c>
      <c r="C457" s="4"/>
      <c r="D457" s="6" t="s">
        <v>537</v>
      </c>
      <c r="E457" s="6" t="s">
        <v>203</v>
      </c>
      <c r="F457" s="6" t="s">
        <v>8</v>
      </c>
      <c r="G457" s="11" t="s">
        <v>36</v>
      </c>
      <c r="H457" s="6" t="s">
        <v>17</v>
      </c>
      <c r="I457" s="21" t="s">
        <v>1072</v>
      </c>
      <c r="J457" s="18">
        <f>VLOOKUP(A457,[2]Export!$A:$B,2,0)</f>
        <v>14437.915320429169</v>
      </c>
      <c r="K457" s="18">
        <f>VLOOKUP(A457,[2]Export!$A:$C,3,0)</f>
        <v>8529.6499999999978</v>
      </c>
      <c r="L457" s="19">
        <f t="shared" si="14"/>
        <v>0.59078127352158849</v>
      </c>
      <c r="M457" s="18">
        <f>VLOOKUP(A457,[2]Export!$A:$G,7,0)</f>
        <v>8600.1500000000015</v>
      </c>
      <c r="N457" s="19">
        <f t="shared" si="15"/>
        <v>0.59566424993718281</v>
      </c>
      <c r="O457" s="17" t="s">
        <v>1029</v>
      </c>
      <c r="P457" s="17" t="s">
        <v>1026</v>
      </c>
      <c r="Q457" s="17" t="s">
        <v>1022</v>
      </c>
      <c r="R457" s="17" t="str">
        <f>VLOOKUP(A457,[1]Export!$A:$I,9,0)</f>
        <v>Comprou Marcas</v>
      </c>
      <c r="S457" s="17" t="s">
        <v>1022</v>
      </c>
      <c r="T457" s="20"/>
      <c r="U457" s="17"/>
      <c r="V457" s="17"/>
    </row>
    <row r="458" spans="1:22" x14ac:dyDescent="0.35">
      <c r="A458" s="4">
        <v>21996240000168</v>
      </c>
      <c r="B458" s="7"/>
      <c r="C458" s="4"/>
      <c r="D458" s="1" t="s">
        <v>538</v>
      </c>
      <c r="E458" s="1" t="s">
        <v>24</v>
      </c>
      <c r="F458" s="1" t="s">
        <v>15</v>
      </c>
      <c r="G458" s="10" t="s">
        <v>36</v>
      </c>
      <c r="H458" s="1" t="s">
        <v>17</v>
      </c>
      <c r="I458" s="21" t="s">
        <v>1069</v>
      </c>
      <c r="J458" s="18">
        <f>VLOOKUP(A458,[2]Export!$A:$B,2,0)</f>
        <v>3856.6040082856225</v>
      </c>
      <c r="K458" s="18">
        <f>VLOOKUP(A458,[2]Export!$A:$C,3,0)</f>
        <v>1954.5999999999997</v>
      </c>
      <c r="L458" s="19">
        <f t="shared" si="14"/>
        <v>0.50681895154407586</v>
      </c>
      <c r="M458" s="18">
        <f>VLOOKUP(A458,[2]Export!$A:$G,7,0)</f>
        <v>0</v>
      </c>
      <c r="N458" s="19">
        <f t="shared" si="15"/>
        <v>0</v>
      </c>
      <c r="O458" s="17" t="s">
        <v>1025</v>
      </c>
      <c r="P458" s="17" t="s">
        <v>1026</v>
      </c>
      <c r="Q458" s="17" t="s">
        <v>1023</v>
      </c>
      <c r="R458" s="17" t="str">
        <f>VLOOKUP(A458,[1]Export!$A:$I,9,0)</f>
        <v>Não Comprou</v>
      </c>
      <c r="S458" s="17" t="s">
        <v>1023</v>
      </c>
      <c r="T458" s="20"/>
      <c r="U458" s="17"/>
      <c r="V458" s="17"/>
    </row>
    <row r="459" spans="1:22" x14ac:dyDescent="0.35">
      <c r="A459" s="5">
        <v>23202523000116</v>
      </c>
      <c r="B459" s="7"/>
      <c r="C459" s="4"/>
      <c r="D459" s="6" t="s">
        <v>539</v>
      </c>
      <c r="E459" s="6" t="s">
        <v>540</v>
      </c>
      <c r="F459" s="6" t="s">
        <v>8</v>
      </c>
      <c r="G459" s="11" t="s">
        <v>36</v>
      </c>
      <c r="H459" s="6" t="s">
        <v>17</v>
      </c>
      <c r="I459" s="21" t="s">
        <v>1072</v>
      </c>
      <c r="J459" s="18">
        <f>VLOOKUP(A459,[2]Export!$A:$B,2,0)</f>
        <v>5262.1658100713994</v>
      </c>
      <c r="K459" s="18">
        <f>VLOOKUP(A459,[2]Export!$A:$C,3,0)</f>
        <v>8845.2700000000023</v>
      </c>
      <c r="L459" s="19">
        <f t="shared" si="14"/>
        <v>1.6809181464922303</v>
      </c>
      <c r="M459" s="18">
        <f>VLOOKUP(A459,[2]Export!$A:$G,7,0)</f>
        <v>397.6</v>
      </c>
      <c r="N459" s="19">
        <f t="shared" si="15"/>
        <v>7.555824243299647E-2</v>
      </c>
      <c r="O459" s="17" t="s">
        <v>1025</v>
      </c>
      <c r="P459" s="17" t="s">
        <v>1026</v>
      </c>
      <c r="Q459" s="17" t="s">
        <v>1022</v>
      </c>
      <c r="R459" s="17" t="str">
        <f>VLOOKUP(A459,[1]Export!$A:$I,9,0)</f>
        <v>Comprou Marcas</v>
      </c>
      <c r="S459" s="17" t="s">
        <v>1022</v>
      </c>
      <c r="T459" s="20"/>
      <c r="U459" s="17"/>
      <c r="V459" s="17"/>
    </row>
    <row r="460" spans="1:22" x14ac:dyDescent="0.35">
      <c r="A460" s="4">
        <v>6316789000170</v>
      </c>
      <c r="B460" s="7"/>
      <c r="C460" s="4">
        <v>144383</v>
      </c>
      <c r="D460" s="1" t="s">
        <v>541</v>
      </c>
      <c r="E460" s="1" t="s">
        <v>542</v>
      </c>
      <c r="F460" s="1" t="s">
        <v>15</v>
      </c>
      <c r="G460" s="10" t="s">
        <v>20</v>
      </c>
      <c r="H460" s="1" t="s">
        <v>17</v>
      </c>
      <c r="I460" s="21" t="s">
        <v>1073</v>
      </c>
      <c r="J460" s="18">
        <f>VLOOKUP(A460,[2]Export!$A:$B,2,0)</f>
        <v>8403.1212350498627</v>
      </c>
      <c r="K460" s="18">
        <f>VLOOKUP(A460,[2]Export!$A:$C,3,0)</f>
        <v>4716.6499999999996</v>
      </c>
      <c r="L460" s="19">
        <f t="shared" si="14"/>
        <v>0.56129738796658124</v>
      </c>
      <c r="M460" s="18">
        <f>VLOOKUP(A460,[2]Export!$A:$G,7,0)</f>
        <v>2586.3700000000003</v>
      </c>
      <c r="N460" s="19">
        <f t="shared" si="15"/>
        <v>0.30778682440187993</v>
      </c>
      <c r="O460" s="17" t="s">
        <v>1029</v>
      </c>
      <c r="P460" s="17" t="s">
        <v>1026</v>
      </c>
      <c r="Q460" s="17" t="s">
        <v>1023</v>
      </c>
      <c r="R460" s="17" t="str">
        <f>VLOOKUP(A460,[1]Export!$A:$I,9,0)</f>
        <v>Não Comprou</v>
      </c>
      <c r="S460" s="17" t="s">
        <v>1023</v>
      </c>
      <c r="T460" s="20">
        <v>1</v>
      </c>
      <c r="U460" s="17"/>
      <c r="V460" s="17"/>
    </row>
    <row r="461" spans="1:22" x14ac:dyDescent="0.35">
      <c r="A461" s="5">
        <v>18768425000100</v>
      </c>
      <c r="B461" s="7"/>
      <c r="C461" s="4"/>
      <c r="D461" s="6" t="s">
        <v>543</v>
      </c>
      <c r="E461" s="6" t="s">
        <v>544</v>
      </c>
      <c r="F461" s="6" t="s">
        <v>15</v>
      </c>
      <c r="G461" s="11" t="s">
        <v>36</v>
      </c>
      <c r="H461" s="6" t="s">
        <v>17</v>
      </c>
      <c r="I461" s="21" t="s">
        <v>1073</v>
      </c>
      <c r="J461" s="18">
        <f>VLOOKUP(A461,[2]Export!$A:$B,2,0)</f>
        <v>6342.2397267567158</v>
      </c>
      <c r="K461" s="18">
        <f>VLOOKUP(A461,[2]Export!$A:$C,3,0)</f>
        <v>3338.6499999999996</v>
      </c>
      <c r="L461" s="19">
        <f t="shared" ref="L461:L524" si="16">K461/J461</f>
        <v>0.52641498017094235</v>
      </c>
      <c r="M461" s="18">
        <f>VLOOKUP(A461,[2]Export!$A:$G,7,0)</f>
        <v>347.36</v>
      </c>
      <c r="N461" s="19">
        <f t="shared" ref="N461:N524" si="17">M461/J461</f>
        <v>5.4769295227765288E-2</v>
      </c>
      <c r="O461" s="17" t="s">
        <v>1025</v>
      </c>
      <c r="P461" s="17" t="s">
        <v>1026</v>
      </c>
      <c r="Q461" s="17" t="s">
        <v>1022</v>
      </c>
      <c r="R461" s="17" t="str">
        <f>VLOOKUP(A461,[1]Export!$A:$I,9,0)</f>
        <v>Comprou Marcas</v>
      </c>
      <c r="S461" s="17" t="s">
        <v>1023</v>
      </c>
      <c r="T461" s="20"/>
      <c r="U461" s="17"/>
      <c r="V461" s="17"/>
    </row>
    <row r="462" spans="1:22" x14ac:dyDescent="0.35">
      <c r="A462" s="5">
        <v>18806193000804</v>
      </c>
      <c r="B462" s="7" t="s">
        <v>992</v>
      </c>
      <c r="C462" s="4"/>
      <c r="D462" s="6" t="s">
        <v>57</v>
      </c>
      <c r="E462" s="6" t="s">
        <v>58</v>
      </c>
      <c r="F462" s="6" t="s">
        <v>8</v>
      </c>
      <c r="G462" s="11" t="s">
        <v>9</v>
      </c>
      <c r="H462" s="6" t="s">
        <v>10</v>
      </c>
      <c r="I462" s="21" t="s">
        <v>1066</v>
      </c>
      <c r="J462" s="18">
        <f>VLOOKUP(A462,[2]Export!$A:$B,2,0)</f>
        <v>3431.4690837549947</v>
      </c>
      <c r="K462" s="18">
        <f>VLOOKUP(A462,[2]Export!$A:$C,3,0)</f>
        <v>2299.3299999999995</v>
      </c>
      <c r="L462" s="19">
        <f t="shared" si="16"/>
        <v>0.67007160603174787</v>
      </c>
      <c r="M462" s="18">
        <f>VLOOKUP(A462,[2]Export!$A:$G,7,0)</f>
        <v>2604.7999999999993</v>
      </c>
      <c r="N462" s="19">
        <f t="shared" si="17"/>
        <v>0.75909178734305061</v>
      </c>
      <c r="O462" s="17" t="s">
        <v>1027</v>
      </c>
      <c r="P462" s="17" t="s">
        <v>1028</v>
      </c>
      <c r="Q462" s="17" t="s">
        <v>1022</v>
      </c>
      <c r="R462" s="17" t="str">
        <f>VLOOKUP(A462,[1]Export!$A:$I,9,0)</f>
        <v>Comprou Marcas</v>
      </c>
      <c r="S462" s="17" t="s">
        <v>1022</v>
      </c>
      <c r="T462" s="20"/>
      <c r="U462" s="17"/>
      <c r="V462" s="17"/>
    </row>
    <row r="463" spans="1:22" x14ac:dyDescent="0.35">
      <c r="A463" s="5">
        <v>72834815000187</v>
      </c>
      <c r="B463" s="7"/>
      <c r="C463" s="4"/>
      <c r="D463" s="6" t="s">
        <v>516</v>
      </c>
      <c r="E463" s="6" t="s">
        <v>86</v>
      </c>
      <c r="F463" s="6" t="s">
        <v>48</v>
      </c>
      <c r="G463" s="11" t="s">
        <v>80</v>
      </c>
      <c r="H463" s="6" t="s">
        <v>17</v>
      </c>
      <c r="I463" s="21" t="s">
        <v>1073</v>
      </c>
      <c r="J463" s="18">
        <f>VLOOKUP(A463,[2]Export!$A:$B,2,0)</f>
        <v>10827.032305813114</v>
      </c>
      <c r="K463" s="18">
        <f>VLOOKUP(A463,[2]Export!$A:$C,3,0)</f>
        <v>6229.87</v>
      </c>
      <c r="L463" s="19">
        <f t="shared" si="16"/>
        <v>0.57539959464747659</v>
      </c>
      <c r="M463" s="18">
        <f>VLOOKUP(A463,[2]Export!$A:$G,7,0)</f>
        <v>735.53</v>
      </c>
      <c r="N463" s="19">
        <f t="shared" si="17"/>
        <v>6.7934589943459245E-2</v>
      </c>
      <c r="O463" s="17" t="s">
        <v>1027</v>
      </c>
      <c r="P463" s="17" t="s">
        <v>1028</v>
      </c>
      <c r="Q463" s="17" t="s">
        <v>1023</v>
      </c>
      <c r="R463" s="17" t="str">
        <f>VLOOKUP(A463,[1]Export!$A:$I,9,0)</f>
        <v>Comprou Marcas</v>
      </c>
      <c r="S463" s="17" t="s">
        <v>1022</v>
      </c>
      <c r="T463" s="20"/>
      <c r="U463" s="17"/>
      <c r="V463" s="17"/>
    </row>
    <row r="464" spans="1:22" x14ac:dyDescent="0.35">
      <c r="A464" s="4">
        <v>24415425000120</v>
      </c>
      <c r="B464" s="7"/>
      <c r="C464" s="4"/>
      <c r="D464" s="1" t="s">
        <v>545</v>
      </c>
      <c r="E464" s="1" t="s">
        <v>94</v>
      </c>
      <c r="F464" s="1" t="s">
        <v>15</v>
      </c>
      <c r="G464" s="10" t="s">
        <v>16</v>
      </c>
      <c r="H464" s="1" t="s">
        <v>17</v>
      </c>
      <c r="I464" s="21" t="s">
        <v>1069</v>
      </c>
      <c r="J464" s="18">
        <f>VLOOKUP(A464,[2]Export!$A:$B,2,0)</f>
        <v>2887.6871051180997</v>
      </c>
      <c r="K464" s="18">
        <f>VLOOKUP(A464,[2]Export!$A:$C,3,0)</f>
        <v>1308.0899999999999</v>
      </c>
      <c r="L464" s="19">
        <f t="shared" si="16"/>
        <v>0.4529888289079374</v>
      </c>
      <c r="M464" s="18">
        <f>VLOOKUP(A464,[2]Export!$A:$G,7,0)</f>
        <v>206.86</v>
      </c>
      <c r="N464" s="19">
        <f t="shared" si="17"/>
        <v>7.1635185000952492E-2</v>
      </c>
      <c r="O464" s="17" t="s">
        <v>1029</v>
      </c>
      <c r="P464" s="17" t="s">
        <v>1026</v>
      </c>
      <c r="Q464" s="17" t="s">
        <v>1023</v>
      </c>
      <c r="R464" s="17" t="str">
        <f>VLOOKUP(A464,[1]Export!$A:$I,9,0)</f>
        <v>Comprou Marcas</v>
      </c>
      <c r="S464" s="17" t="s">
        <v>1023</v>
      </c>
      <c r="T464" s="20"/>
      <c r="U464" s="17"/>
      <c r="V464" s="17"/>
    </row>
    <row r="465" spans="1:22" x14ac:dyDescent="0.35">
      <c r="A465" s="5">
        <v>18806193000561</v>
      </c>
      <c r="B465" s="7" t="s">
        <v>992</v>
      </c>
      <c r="C465" s="4"/>
      <c r="D465" s="6" t="s">
        <v>57</v>
      </c>
      <c r="E465" s="6" t="s">
        <v>61</v>
      </c>
      <c r="F465" s="6" t="s">
        <v>8</v>
      </c>
      <c r="G465" s="11" t="s">
        <v>9</v>
      </c>
      <c r="H465" s="6" t="s">
        <v>10</v>
      </c>
      <c r="I465" s="21" t="s">
        <v>1066</v>
      </c>
      <c r="J465" s="18">
        <f>VLOOKUP(A465,[2]Export!$A:$B,2,0)</f>
        <v>13050.194415897502</v>
      </c>
      <c r="K465" s="18">
        <f>VLOOKUP(A465,[2]Export!$A:$C,3,0)</f>
        <v>7001.76</v>
      </c>
      <c r="L465" s="19">
        <f t="shared" si="16"/>
        <v>0.5365253403022554</v>
      </c>
      <c r="M465" s="18">
        <f>VLOOKUP(A465,[2]Export!$A:$G,7,0)</f>
        <v>7637.2500000000018</v>
      </c>
      <c r="N465" s="19">
        <f t="shared" si="17"/>
        <v>0.58522116656717749</v>
      </c>
      <c r="O465" s="17" t="s">
        <v>1027</v>
      </c>
      <c r="P465" s="17" t="s">
        <v>1028</v>
      </c>
      <c r="Q465" s="17" t="s">
        <v>1022</v>
      </c>
      <c r="R465" s="17" t="str">
        <f>VLOOKUP(A465,[1]Export!$A:$I,9,0)</f>
        <v>Comprou Marcas</v>
      </c>
      <c r="S465" s="17"/>
      <c r="T465" s="20"/>
      <c r="U465" s="17"/>
      <c r="V465" s="17"/>
    </row>
    <row r="466" spans="1:22" x14ac:dyDescent="0.35">
      <c r="A466" s="4">
        <v>18806193000308</v>
      </c>
      <c r="B466" s="7" t="s">
        <v>992</v>
      </c>
      <c r="C466" s="4"/>
      <c r="D466" s="1" t="s">
        <v>57</v>
      </c>
      <c r="E466" s="1" t="s">
        <v>285</v>
      </c>
      <c r="F466" s="1" t="s">
        <v>8</v>
      </c>
      <c r="G466" s="10" t="s">
        <v>9</v>
      </c>
      <c r="H466" s="1" t="s">
        <v>10</v>
      </c>
      <c r="I466" s="21" t="s">
        <v>1066</v>
      </c>
      <c r="J466" s="18">
        <f>VLOOKUP(A466,[2]Export!$A:$B,2,0)</f>
        <v>9580.2576781711359</v>
      </c>
      <c r="K466" s="18">
        <f>VLOOKUP(A466,[2]Export!$A:$C,3,0)</f>
        <v>5392.8499999999976</v>
      </c>
      <c r="L466" s="19">
        <f t="shared" si="16"/>
        <v>0.5629128339927375</v>
      </c>
      <c r="M466" s="18">
        <f>VLOOKUP(A466,[2]Export!$A:$G,7,0)</f>
        <v>6967.4499999999989</v>
      </c>
      <c r="N466" s="19">
        <f t="shared" si="17"/>
        <v>0.7272716699338384</v>
      </c>
      <c r="O466" s="17" t="s">
        <v>1027</v>
      </c>
      <c r="P466" s="17" t="s">
        <v>1028</v>
      </c>
      <c r="Q466" s="17" t="s">
        <v>1022</v>
      </c>
      <c r="R466" s="17" t="str">
        <f>VLOOKUP(A466,[1]Export!$A:$I,9,0)</f>
        <v>Comprou Marcas</v>
      </c>
      <c r="S466" s="17" t="s">
        <v>1022</v>
      </c>
      <c r="T466" s="20"/>
      <c r="U466" s="17"/>
      <c r="V466" s="17">
        <v>1</v>
      </c>
    </row>
    <row r="467" spans="1:22" x14ac:dyDescent="0.35">
      <c r="A467" s="5">
        <v>27377243000361</v>
      </c>
      <c r="B467" s="7" t="s">
        <v>147</v>
      </c>
      <c r="C467" s="4"/>
      <c r="D467" s="6" t="s">
        <v>547</v>
      </c>
      <c r="E467" s="6" t="s">
        <v>113</v>
      </c>
      <c r="F467" s="6" t="s">
        <v>8</v>
      </c>
      <c r="G467" s="11" t="s">
        <v>20</v>
      </c>
      <c r="H467" s="6" t="s">
        <v>17</v>
      </c>
      <c r="I467" s="21" t="s">
        <v>1072</v>
      </c>
      <c r="J467" s="18">
        <f>VLOOKUP(A467,[2]Export!$A:$B,2,0)</f>
        <v>430.10867727657848</v>
      </c>
      <c r="K467" s="18">
        <f>VLOOKUP(A467,[2]Export!$A:$C,3,0)</f>
        <v>415.63</v>
      </c>
      <c r="L467" s="19">
        <f t="shared" si="16"/>
        <v>0.96633716536886316</v>
      </c>
      <c r="M467" s="18">
        <f>VLOOKUP(A467,[2]Export!$A:$G,7,0)</f>
        <v>319.91999999999996</v>
      </c>
      <c r="N467" s="19">
        <f t="shared" si="17"/>
        <v>0.74381201054978385</v>
      </c>
      <c r="O467" s="17" t="s">
        <v>1025</v>
      </c>
      <c r="P467" s="17" t="s">
        <v>1026</v>
      </c>
      <c r="Q467" s="17" t="s">
        <v>1022</v>
      </c>
      <c r="R467" s="17" t="str">
        <f>VLOOKUP(A467,[1]Export!$A:$I,9,0)</f>
        <v>Comprou Marcas</v>
      </c>
      <c r="S467" s="17" t="s">
        <v>1023</v>
      </c>
      <c r="T467" s="20"/>
      <c r="U467" s="17"/>
      <c r="V467" s="17"/>
    </row>
    <row r="468" spans="1:22" x14ac:dyDescent="0.35">
      <c r="A468" s="4">
        <v>59472205000112</v>
      </c>
      <c r="B468" s="7"/>
      <c r="C468" s="4"/>
      <c r="D468" s="1" t="s">
        <v>548</v>
      </c>
      <c r="E468" s="1" t="s">
        <v>35</v>
      </c>
      <c r="F468" s="1" t="s">
        <v>8</v>
      </c>
      <c r="G468" s="10" t="s">
        <v>16</v>
      </c>
      <c r="H468" s="1" t="s">
        <v>17</v>
      </c>
      <c r="I468" s="21" t="s">
        <v>1070</v>
      </c>
      <c r="J468" s="18">
        <f>VLOOKUP(A468,[2]Export!$A:$B,2,0)</f>
        <v>561.94186596884856</v>
      </c>
      <c r="K468" s="18">
        <f>VLOOKUP(A468,[2]Export!$A:$C,3,0)</f>
        <v>368.10999999999996</v>
      </c>
      <c r="L468" s="19">
        <f t="shared" si="16"/>
        <v>0.6550677610847494</v>
      </c>
      <c r="M468" s="18">
        <f>VLOOKUP(A468,[2]Export!$A:$G,7,0)</f>
        <v>0</v>
      </c>
      <c r="N468" s="19">
        <f t="shared" si="17"/>
        <v>0</v>
      </c>
      <c r="O468" s="17" t="s">
        <v>1025</v>
      </c>
      <c r="P468" s="17" t="s">
        <v>1026</v>
      </c>
      <c r="Q468" s="17" t="s">
        <v>1023</v>
      </c>
      <c r="R468" s="17" t="str">
        <f>VLOOKUP(A468,[1]Export!$A:$I,9,0)</f>
        <v>Não Comprou</v>
      </c>
      <c r="S468" s="17" t="s">
        <v>1023</v>
      </c>
      <c r="T468" s="20"/>
      <c r="U468" s="17"/>
      <c r="V468" s="17"/>
    </row>
    <row r="469" spans="1:22" x14ac:dyDescent="0.35">
      <c r="A469" s="5">
        <v>59824286000172</v>
      </c>
      <c r="B469" s="7"/>
      <c r="C469" s="4"/>
      <c r="D469" s="6" t="s">
        <v>543</v>
      </c>
      <c r="E469" s="6" t="s">
        <v>94</v>
      </c>
      <c r="F469" s="6" t="s">
        <v>15</v>
      </c>
      <c r="G469" s="11" t="s">
        <v>36</v>
      </c>
      <c r="H469" s="6" t="s">
        <v>17</v>
      </c>
      <c r="I469" s="21" t="s">
        <v>1069</v>
      </c>
      <c r="J469" s="18">
        <f>VLOOKUP(A469,[2]Export!$A:$B,2,0)</f>
        <v>2465.809779733886</v>
      </c>
      <c r="K469" s="18">
        <f>VLOOKUP(A469,[2]Export!$A:$C,3,0)</f>
        <v>1014.03</v>
      </c>
      <c r="L469" s="19">
        <f t="shared" si="16"/>
        <v>0.41123610115190462</v>
      </c>
      <c r="M469" s="18">
        <f>VLOOKUP(A469,[2]Export!$A:$G,7,0)</f>
        <v>195.85000000000002</v>
      </c>
      <c r="N469" s="19">
        <f t="shared" si="17"/>
        <v>7.9426240259756156E-2</v>
      </c>
      <c r="O469" s="17" t="s">
        <v>1029</v>
      </c>
      <c r="P469" s="17" t="s">
        <v>1026</v>
      </c>
      <c r="Q469" s="17" t="s">
        <v>1022</v>
      </c>
      <c r="R469" s="17" t="str">
        <f>VLOOKUP(A469,[1]Export!$A:$I,9,0)</f>
        <v>Comprou Marcas e SG</v>
      </c>
      <c r="S469" s="17" t="s">
        <v>1023</v>
      </c>
      <c r="T469" s="20"/>
      <c r="U469" s="17"/>
      <c r="V469" s="17"/>
    </row>
    <row r="470" spans="1:22" x14ac:dyDescent="0.35">
      <c r="A470" s="4">
        <v>3997842000158</v>
      </c>
      <c r="B470" s="7"/>
      <c r="C470" s="4"/>
      <c r="D470" s="1" t="s">
        <v>549</v>
      </c>
      <c r="E470" s="1" t="s">
        <v>232</v>
      </c>
      <c r="F470" s="1" t="s">
        <v>8</v>
      </c>
      <c r="G470" s="10" t="s">
        <v>550</v>
      </c>
      <c r="H470" s="1" t="s">
        <v>17</v>
      </c>
      <c r="I470" s="21" t="s">
        <v>1068</v>
      </c>
      <c r="J470" s="18">
        <f>VLOOKUP(A470,[2]Export!$A:$B,2,0)</f>
        <v>2526.7028194891222</v>
      </c>
      <c r="K470" s="18">
        <f>VLOOKUP(A470,[2]Export!$A:$C,3,0)</f>
        <v>2807.2899999999995</v>
      </c>
      <c r="L470" s="19">
        <f t="shared" si="16"/>
        <v>1.1110487463530079</v>
      </c>
      <c r="M470" s="18">
        <f>VLOOKUP(A470,[2]Export!$A:$G,7,0)</f>
        <v>2367.4300000000003</v>
      </c>
      <c r="N470" s="19">
        <f t="shared" si="17"/>
        <v>0.93696416600297872</v>
      </c>
      <c r="O470" s="17" t="s">
        <v>1029</v>
      </c>
      <c r="P470" s="17" t="s">
        <v>1026</v>
      </c>
      <c r="Q470" s="17" t="s">
        <v>1023</v>
      </c>
      <c r="R470" s="17" t="str">
        <f>VLOOKUP(A470,[1]Export!$A:$I,9,0)</f>
        <v>Comprou Marcas</v>
      </c>
      <c r="S470" s="17" t="s">
        <v>1022</v>
      </c>
      <c r="T470" s="20"/>
      <c r="U470" s="17"/>
      <c r="V470" s="17"/>
    </row>
    <row r="471" spans="1:22" x14ac:dyDescent="0.35">
      <c r="A471" s="5">
        <v>4834843002198</v>
      </c>
      <c r="B471" s="7" t="s">
        <v>994</v>
      </c>
      <c r="C471" s="4"/>
      <c r="D471" s="6" t="s">
        <v>91</v>
      </c>
      <c r="E471" s="6" t="s">
        <v>551</v>
      </c>
      <c r="F471" s="6" t="s">
        <v>48</v>
      </c>
      <c r="G471" s="11" t="s">
        <v>92</v>
      </c>
      <c r="H471" s="6" t="s">
        <v>17</v>
      </c>
      <c r="I471" s="21" t="s">
        <v>1071</v>
      </c>
      <c r="J471" s="18">
        <f>VLOOKUP(A471,[2]Export!$A:$B,2,0)</f>
        <v>9001.7860464774058</v>
      </c>
      <c r="K471" s="18">
        <f>VLOOKUP(A471,[2]Export!$A:$C,3,0)</f>
        <v>5809.4400000000014</v>
      </c>
      <c r="L471" s="19">
        <f t="shared" si="16"/>
        <v>0.64536526084991341</v>
      </c>
      <c r="M471" s="18">
        <f>VLOOKUP(A471,[2]Export!$A:$G,7,0)</f>
        <v>4885.59</v>
      </c>
      <c r="N471" s="19">
        <f t="shared" si="17"/>
        <v>0.54273562766045047</v>
      </c>
      <c r="O471" s="17" t="s">
        <v>1027</v>
      </c>
      <c r="P471" s="17" t="s">
        <v>1028</v>
      </c>
      <c r="Q471" s="17" t="s">
        <v>1023</v>
      </c>
      <c r="R471" s="17" t="str">
        <f>VLOOKUP(A471,[1]Export!$A:$I,9,0)</f>
        <v>Comprou Marcas</v>
      </c>
      <c r="S471" s="17" t="s">
        <v>1022</v>
      </c>
      <c r="T471" s="20"/>
      <c r="U471" s="17"/>
      <c r="V471" s="17"/>
    </row>
    <row r="472" spans="1:22" x14ac:dyDescent="0.35">
      <c r="A472" s="4">
        <v>4965393000129</v>
      </c>
      <c r="B472" s="7"/>
      <c r="C472" s="4"/>
      <c r="D472" s="1" t="s">
        <v>552</v>
      </c>
      <c r="E472" s="1" t="s">
        <v>166</v>
      </c>
      <c r="F472" s="1" t="s">
        <v>8</v>
      </c>
      <c r="G472" s="10" t="s">
        <v>74</v>
      </c>
      <c r="H472" s="1" t="s">
        <v>17</v>
      </c>
      <c r="I472" s="21" t="s">
        <v>1068</v>
      </c>
      <c r="J472" s="18">
        <f>VLOOKUP(A472,[2]Export!$A:$B,2,0)</f>
        <v>15463.061109481445</v>
      </c>
      <c r="K472" s="18">
        <f>VLOOKUP(A472,[2]Export!$A:$C,3,0)</f>
        <v>6134.25</v>
      </c>
      <c r="L472" s="19">
        <f t="shared" si="16"/>
        <v>0.3967034700676878</v>
      </c>
      <c r="M472" s="18">
        <f>VLOOKUP(A472,[2]Export!$A:$G,7,0)</f>
        <v>3998.57</v>
      </c>
      <c r="N472" s="19">
        <f t="shared" si="17"/>
        <v>0.25858851437560493</v>
      </c>
      <c r="O472" s="17" t="s">
        <v>1027</v>
      </c>
      <c r="P472" s="17" t="s">
        <v>1026</v>
      </c>
      <c r="Q472" s="17" t="s">
        <v>1023</v>
      </c>
      <c r="R472" s="17" t="str">
        <f>VLOOKUP(A472,[1]Export!$A:$I,9,0)</f>
        <v>Comprou Marcas</v>
      </c>
      <c r="S472" s="17" t="s">
        <v>1022</v>
      </c>
      <c r="T472" s="20"/>
      <c r="U472" s="17"/>
      <c r="V472" s="17"/>
    </row>
    <row r="473" spans="1:22" x14ac:dyDescent="0.35">
      <c r="A473" s="5">
        <v>3921201000110</v>
      </c>
      <c r="B473" s="7"/>
      <c r="C473" s="4"/>
      <c r="D473" s="6" t="s">
        <v>553</v>
      </c>
      <c r="E473" s="6" t="s">
        <v>47</v>
      </c>
      <c r="F473" s="6" t="s">
        <v>48</v>
      </c>
      <c r="G473" s="11" t="s">
        <v>103</v>
      </c>
      <c r="H473" s="6" t="s">
        <v>17</v>
      </c>
      <c r="I473" s="21" t="s">
        <v>1071</v>
      </c>
      <c r="J473" s="18">
        <f>VLOOKUP(A473,[2]Export!$A:$B,2,0)</f>
        <v>25717.510491813617</v>
      </c>
      <c r="K473" s="18">
        <f>VLOOKUP(A473,[2]Export!$A:$C,3,0)</f>
        <v>12207.59</v>
      </c>
      <c r="L473" s="19">
        <f t="shared" si="16"/>
        <v>0.4746800824242266</v>
      </c>
      <c r="M473" s="18">
        <f>VLOOKUP(A473,[2]Export!$A:$G,7,0)</f>
        <v>2583.2200000000003</v>
      </c>
      <c r="N473" s="19">
        <f t="shared" si="17"/>
        <v>0.10044595882724688</v>
      </c>
      <c r="O473" s="17" t="s">
        <v>1027</v>
      </c>
      <c r="P473" s="17" t="s">
        <v>1028</v>
      </c>
      <c r="Q473" s="17" t="s">
        <v>1023</v>
      </c>
      <c r="R473" s="17" t="str">
        <f>VLOOKUP(A473,[1]Export!$A:$I,9,0)</f>
        <v>Comprou Marcas e SG</v>
      </c>
      <c r="S473" s="17" t="s">
        <v>1022</v>
      </c>
      <c r="T473" s="20"/>
      <c r="U473" s="17"/>
      <c r="V473" s="17"/>
    </row>
    <row r="474" spans="1:22" x14ac:dyDescent="0.35">
      <c r="A474" s="4">
        <v>4276276000158</v>
      </c>
      <c r="B474" s="7"/>
      <c r="C474" s="4"/>
      <c r="D474" s="1" t="s">
        <v>554</v>
      </c>
      <c r="E474" s="1" t="s">
        <v>149</v>
      </c>
      <c r="F474" s="1" t="s">
        <v>8</v>
      </c>
      <c r="G474" s="10" t="s">
        <v>20</v>
      </c>
      <c r="H474" s="1" t="s">
        <v>17</v>
      </c>
      <c r="I474" s="21" t="s">
        <v>1072</v>
      </c>
      <c r="J474" s="18">
        <f>VLOOKUP(A474,[2]Export!$A:$B,2,0)</f>
        <v>923.02973075871114</v>
      </c>
      <c r="K474" s="18">
        <f>VLOOKUP(A474,[2]Export!$A:$C,3,0)</f>
        <v>1218.0600000000002</v>
      </c>
      <c r="L474" s="19">
        <f t="shared" si="16"/>
        <v>1.3196324662248748</v>
      </c>
      <c r="M474" s="18">
        <f>VLOOKUP(A474,[2]Export!$A:$G,7,0)</f>
        <v>0</v>
      </c>
      <c r="N474" s="19">
        <f t="shared" si="17"/>
        <v>0</v>
      </c>
      <c r="O474" s="17" t="s">
        <v>1025</v>
      </c>
      <c r="P474" s="17" t="s">
        <v>1026</v>
      </c>
      <c r="Q474" s="17" t="s">
        <v>1023</v>
      </c>
      <c r="R474" s="17" t="str">
        <f>VLOOKUP(A474,[1]Export!$A:$I,9,0)</f>
        <v>Não Comprou</v>
      </c>
      <c r="S474" s="17" t="s">
        <v>1022</v>
      </c>
      <c r="T474" s="20"/>
      <c r="U474" s="17"/>
      <c r="V474" s="17"/>
    </row>
    <row r="475" spans="1:22" x14ac:dyDescent="0.35">
      <c r="A475" s="5">
        <v>4621137000114</v>
      </c>
      <c r="B475" s="7"/>
      <c r="C475" s="4"/>
      <c r="D475" s="6" t="s">
        <v>555</v>
      </c>
      <c r="E475" s="6" t="s">
        <v>14</v>
      </c>
      <c r="F475" s="6" t="s">
        <v>15</v>
      </c>
      <c r="G475" s="11" t="s">
        <v>20</v>
      </c>
      <c r="H475" s="6" t="s">
        <v>17</v>
      </c>
      <c r="I475" s="21" t="s">
        <v>1067</v>
      </c>
      <c r="J475" s="18">
        <f>VLOOKUP(A475,[2]Export!$A:$B,2,0)</f>
        <v>5700.9677718862386</v>
      </c>
      <c r="K475" s="18">
        <f>VLOOKUP(A475,[2]Export!$A:$C,3,0)</f>
        <v>3828.4700000000012</v>
      </c>
      <c r="L475" s="19">
        <f t="shared" si="16"/>
        <v>0.67154738514392665</v>
      </c>
      <c r="M475" s="18">
        <f>VLOOKUP(A475,[2]Export!$A:$G,7,0)</f>
        <v>3266.6400000000003</v>
      </c>
      <c r="N475" s="19">
        <f t="shared" si="17"/>
        <v>0.57299745073268327</v>
      </c>
      <c r="O475" s="17" t="s">
        <v>1025</v>
      </c>
      <c r="P475" s="17" t="s">
        <v>1026</v>
      </c>
      <c r="Q475" s="17" t="s">
        <v>1022</v>
      </c>
      <c r="R475" s="17" t="str">
        <f>VLOOKUP(A475,[1]Export!$A:$I,9,0)</f>
        <v>Comprou Marcas</v>
      </c>
      <c r="S475" s="17" t="s">
        <v>1023</v>
      </c>
      <c r="T475" s="20"/>
      <c r="U475" s="17"/>
      <c r="V475" s="17"/>
    </row>
    <row r="476" spans="1:22" x14ac:dyDescent="0.35">
      <c r="A476" s="4">
        <v>4834843000225</v>
      </c>
      <c r="B476" s="7" t="s">
        <v>994</v>
      </c>
      <c r="C476" s="4"/>
      <c r="D476" s="1" t="s">
        <v>91</v>
      </c>
      <c r="E476" s="1" t="s">
        <v>316</v>
      </c>
      <c r="F476" s="1" t="s">
        <v>48</v>
      </c>
      <c r="G476" s="10" t="s">
        <v>92</v>
      </c>
      <c r="H476" s="1" t="s">
        <v>17</v>
      </c>
      <c r="I476" s="21" t="s">
        <v>1071</v>
      </c>
      <c r="J476" s="18">
        <f>VLOOKUP(A476,[2]Export!$A:$B,2,0)</f>
        <v>20490.174640322879</v>
      </c>
      <c r="K476" s="18">
        <f>VLOOKUP(A476,[2]Export!$A:$C,3,0)</f>
        <v>17292.809999999994</v>
      </c>
      <c r="L476" s="19">
        <f t="shared" si="16"/>
        <v>0.8439562035732604</v>
      </c>
      <c r="M476" s="18">
        <f>VLOOKUP(A476,[2]Export!$A:$G,7,0)</f>
        <v>6625.0800000000017</v>
      </c>
      <c r="N476" s="19">
        <f t="shared" si="17"/>
        <v>0.32332960144529083</v>
      </c>
      <c r="O476" s="17" t="s">
        <v>1027</v>
      </c>
      <c r="P476" s="17" t="s">
        <v>1028</v>
      </c>
      <c r="Q476" s="17" t="s">
        <v>1023</v>
      </c>
      <c r="R476" s="17" t="str">
        <f>VLOOKUP(A476,[1]Export!$A:$I,9,0)</f>
        <v>Comprou Marcas e SG</v>
      </c>
      <c r="S476" s="17" t="s">
        <v>1022</v>
      </c>
      <c r="T476" s="20">
        <v>7</v>
      </c>
      <c r="U476" s="17"/>
      <c r="V476" s="17">
        <v>12</v>
      </c>
    </row>
    <row r="477" spans="1:22" x14ac:dyDescent="0.35">
      <c r="A477" s="5">
        <v>4834843001892</v>
      </c>
      <c r="B477" s="7" t="s">
        <v>994</v>
      </c>
      <c r="C477" s="4"/>
      <c r="D477" s="6" t="s">
        <v>91</v>
      </c>
      <c r="E477" s="6" t="s">
        <v>557</v>
      </c>
      <c r="F477" s="6" t="s">
        <v>48</v>
      </c>
      <c r="G477" s="11" t="s">
        <v>92</v>
      </c>
      <c r="H477" s="6" t="s">
        <v>17</v>
      </c>
      <c r="I477" s="21" t="s">
        <v>1071</v>
      </c>
      <c r="J477" s="18">
        <f>VLOOKUP(A477,[2]Export!$A:$B,2,0)</f>
        <v>9162.9330138946443</v>
      </c>
      <c r="K477" s="18">
        <f>VLOOKUP(A477,[2]Export!$A:$C,3,0)</f>
        <v>5818.7700000000013</v>
      </c>
      <c r="L477" s="19">
        <f t="shared" si="16"/>
        <v>0.63503356307160996</v>
      </c>
      <c r="M477" s="18">
        <f>VLOOKUP(A477,[2]Export!$A:$G,7,0)</f>
        <v>4926.92</v>
      </c>
      <c r="N477" s="19">
        <f t="shared" si="17"/>
        <v>0.5377011915866714</v>
      </c>
      <c r="O477" s="17" t="s">
        <v>1027</v>
      </c>
      <c r="P477" s="17" t="s">
        <v>1028</v>
      </c>
      <c r="Q477" s="17" t="s">
        <v>1023</v>
      </c>
      <c r="R477" s="17" t="str">
        <f>VLOOKUP(A477,[1]Export!$A:$I,9,0)</f>
        <v>Comprou Marcas e SG</v>
      </c>
      <c r="S477" s="17" t="s">
        <v>1022</v>
      </c>
      <c r="T477" s="20"/>
      <c r="U477" s="17"/>
      <c r="V477" s="17"/>
    </row>
    <row r="478" spans="1:22" x14ac:dyDescent="0.35">
      <c r="A478" s="4">
        <v>7110508000191</v>
      </c>
      <c r="B478" s="7"/>
      <c r="C478" s="4"/>
      <c r="D478" s="1" t="s">
        <v>558</v>
      </c>
      <c r="E478" s="1" t="s">
        <v>252</v>
      </c>
      <c r="F478" s="1" t="s">
        <v>15</v>
      </c>
      <c r="G478" s="10" t="s">
        <v>20</v>
      </c>
      <c r="H478" s="1" t="s">
        <v>17</v>
      </c>
      <c r="I478" s="21" t="s">
        <v>1069</v>
      </c>
      <c r="J478" s="18">
        <f>VLOOKUP(A478,[2]Export!$A:$B,2,0)</f>
        <v>8901.0504926284611</v>
      </c>
      <c r="K478" s="18">
        <f>VLOOKUP(A478,[2]Export!$A:$C,3,0)</f>
        <v>2452.48</v>
      </c>
      <c r="L478" s="19">
        <f t="shared" si="16"/>
        <v>0.27552702931311962</v>
      </c>
      <c r="M478" s="18">
        <f>VLOOKUP(A478,[2]Export!$A:$G,7,0)</f>
        <v>197.26999999999998</v>
      </c>
      <c r="N478" s="19">
        <f t="shared" si="17"/>
        <v>2.216255262941965E-2</v>
      </c>
      <c r="O478" s="17" t="s">
        <v>1025</v>
      </c>
      <c r="P478" s="17" t="s">
        <v>1026</v>
      </c>
      <c r="Q478" s="17" t="s">
        <v>1023</v>
      </c>
      <c r="R478" s="17" t="str">
        <f>VLOOKUP(A478,[1]Export!$A:$I,9,0)</f>
        <v>Comprou Marcas</v>
      </c>
      <c r="S478" s="17" t="s">
        <v>1022</v>
      </c>
      <c r="T478" s="20"/>
      <c r="U478" s="17"/>
      <c r="V478" s="17"/>
    </row>
    <row r="479" spans="1:22" x14ac:dyDescent="0.35">
      <c r="A479" s="5">
        <v>7113333000176</v>
      </c>
      <c r="B479" s="7"/>
      <c r="C479" s="4"/>
      <c r="D479" s="6" t="s">
        <v>497</v>
      </c>
      <c r="E479" s="6" t="s">
        <v>232</v>
      </c>
      <c r="F479" s="6" t="s">
        <v>8</v>
      </c>
      <c r="G479" s="11" t="s">
        <v>229</v>
      </c>
      <c r="H479" s="6" t="s">
        <v>17</v>
      </c>
      <c r="I479" s="21" t="s">
        <v>1068</v>
      </c>
      <c r="J479" s="18">
        <f>VLOOKUP(A479,[2]Export!$A:$B,2,0)</f>
        <v>2837.2925198814141</v>
      </c>
      <c r="K479" s="18">
        <f>VLOOKUP(A479,[2]Export!$A:$C,3,0)</f>
        <v>744.47</v>
      </c>
      <c r="L479" s="19">
        <f t="shared" si="16"/>
        <v>0.26238746790588779</v>
      </c>
      <c r="M479" s="18">
        <f>VLOOKUP(A479,[2]Export!$A:$G,7,0)</f>
        <v>0</v>
      </c>
      <c r="N479" s="19">
        <f t="shared" si="17"/>
        <v>0</v>
      </c>
      <c r="O479" s="17" t="s">
        <v>1025</v>
      </c>
      <c r="P479" s="17" t="s">
        <v>1026</v>
      </c>
      <c r="Q479" s="17" t="s">
        <v>1023</v>
      </c>
      <c r="R479" s="17" t="str">
        <f>VLOOKUP(A479,[1]Export!$A:$I,9,0)</f>
        <v>Não Comprou</v>
      </c>
      <c r="S479" s="17" t="s">
        <v>1023</v>
      </c>
      <c r="T479" s="20"/>
      <c r="U479" s="17"/>
      <c r="V479" s="17"/>
    </row>
    <row r="480" spans="1:22" x14ac:dyDescent="0.35">
      <c r="A480" s="4">
        <v>18806193000219</v>
      </c>
      <c r="B480" s="7" t="s">
        <v>992</v>
      </c>
      <c r="C480" s="4"/>
      <c r="D480" s="1" t="s">
        <v>57</v>
      </c>
      <c r="E480" s="1" t="s">
        <v>61</v>
      </c>
      <c r="F480" s="1" t="s">
        <v>8</v>
      </c>
      <c r="G480" s="10" t="s">
        <v>9</v>
      </c>
      <c r="H480" s="1" t="s">
        <v>10</v>
      </c>
      <c r="I480" s="21" t="s">
        <v>1066</v>
      </c>
      <c r="J480" s="18">
        <f>VLOOKUP(A480,[2]Export!$A:$B,2,0)</f>
        <v>7056.7358933211126</v>
      </c>
      <c r="K480" s="18">
        <f>VLOOKUP(A480,[2]Export!$A:$C,3,0)</f>
        <v>2859.32</v>
      </c>
      <c r="L480" s="19">
        <f t="shared" si="16"/>
        <v>0.4051901676958351</v>
      </c>
      <c r="M480" s="18">
        <f>VLOOKUP(A480,[2]Export!$A:$G,7,0)</f>
        <v>3208.2200000000007</v>
      </c>
      <c r="N480" s="19">
        <f t="shared" si="17"/>
        <v>0.45463229012671974</v>
      </c>
      <c r="O480" s="17" t="s">
        <v>1027</v>
      </c>
      <c r="P480" s="17" t="s">
        <v>1028</v>
      </c>
      <c r="Q480" s="17" t="s">
        <v>1022</v>
      </c>
      <c r="R480" s="17" t="str">
        <f>VLOOKUP(A480,[1]Export!$A:$I,9,0)</f>
        <v>Comprou Marcas</v>
      </c>
      <c r="S480" s="17" t="s">
        <v>1022</v>
      </c>
      <c r="T480" s="20"/>
      <c r="U480" s="17"/>
      <c r="V480" s="17"/>
    </row>
    <row r="481" spans="1:22" x14ac:dyDescent="0.35">
      <c r="A481" s="4">
        <v>18806193000138</v>
      </c>
      <c r="B481" s="7" t="s">
        <v>992</v>
      </c>
      <c r="C481" s="4"/>
      <c r="D481" s="1" t="s">
        <v>57</v>
      </c>
      <c r="E481" s="1" t="s">
        <v>61</v>
      </c>
      <c r="F481" s="1" t="s">
        <v>8</v>
      </c>
      <c r="G481" s="10" t="s">
        <v>9</v>
      </c>
      <c r="H481" s="1" t="s">
        <v>10</v>
      </c>
      <c r="I481" s="21" t="s">
        <v>1066</v>
      </c>
      <c r="J481" s="18">
        <f>VLOOKUP(A481,[2]Export!$A:$B,2,0)</f>
        <v>14360.382873471581</v>
      </c>
      <c r="K481" s="18">
        <f>VLOOKUP(A481,[2]Export!$A:$C,3,0)</f>
        <v>8694.0899999999983</v>
      </c>
      <c r="L481" s="19">
        <f t="shared" si="16"/>
        <v>0.6054218802244391</v>
      </c>
      <c r="M481" s="18">
        <f>VLOOKUP(A481,[2]Export!$A:$G,7,0)</f>
        <v>4271.13</v>
      </c>
      <c r="N481" s="19">
        <f t="shared" si="17"/>
        <v>0.29742452117277474</v>
      </c>
      <c r="O481" s="17" t="s">
        <v>1027</v>
      </c>
      <c r="P481" s="17" t="s">
        <v>1028</v>
      </c>
      <c r="Q481" s="17" t="s">
        <v>1023</v>
      </c>
      <c r="R481" s="17" t="str">
        <f>VLOOKUP(A481,[1]Export!$A:$I,9,0)</f>
        <v>Comprou Marcas</v>
      </c>
      <c r="S481" s="17" t="s">
        <v>1022</v>
      </c>
      <c r="T481" s="20"/>
      <c r="U481" s="17"/>
      <c r="V481" s="17"/>
    </row>
    <row r="482" spans="1:22" x14ac:dyDescent="0.35">
      <c r="A482" s="5">
        <v>18806193000995</v>
      </c>
      <c r="B482" s="7" t="s">
        <v>992</v>
      </c>
      <c r="C482" s="4"/>
      <c r="D482" s="6" t="s">
        <v>57</v>
      </c>
      <c r="E482" s="6" t="s">
        <v>58</v>
      </c>
      <c r="F482" s="6" t="s">
        <v>8</v>
      </c>
      <c r="G482" s="11" t="s">
        <v>9</v>
      </c>
      <c r="H482" s="6" t="s">
        <v>10</v>
      </c>
      <c r="I482" s="21" t="s">
        <v>1066</v>
      </c>
      <c r="J482" s="18">
        <f>VLOOKUP(A482,[2]Export!$A:$B,2,0)</f>
        <v>3560.6147015222559</v>
      </c>
      <c r="K482" s="18">
        <f>VLOOKUP(A482,[2]Export!$A:$C,3,0)</f>
        <v>2717.3399999999997</v>
      </c>
      <c r="L482" s="19">
        <f t="shared" si="16"/>
        <v>0.76316597772802142</v>
      </c>
      <c r="M482" s="18">
        <f>VLOOKUP(A482,[2]Export!$A:$G,7,0)</f>
        <v>3313.2899999999991</v>
      </c>
      <c r="N482" s="19">
        <f t="shared" si="17"/>
        <v>0.93053876303534921</v>
      </c>
      <c r="O482" s="17" t="s">
        <v>1027</v>
      </c>
      <c r="P482" s="17" t="s">
        <v>1028</v>
      </c>
      <c r="Q482" s="17" t="s">
        <v>1023</v>
      </c>
      <c r="R482" s="17" t="str">
        <f>VLOOKUP(A482,[1]Export!$A:$I,9,0)</f>
        <v>Comprou Marcas</v>
      </c>
      <c r="S482" s="17" t="s">
        <v>1022</v>
      </c>
      <c r="T482" s="20"/>
      <c r="U482" s="17"/>
      <c r="V482" s="17"/>
    </row>
    <row r="483" spans="1:22" x14ac:dyDescent="0.35">
      <c r="A483" s="5">
        <v>11109080000134</v>
      </c>
      <c r="B483" s="7"/>
      <c r="C483" s="4"/>
      <c r="D483" s="6" t="s">
        <v>560</v>
      </c>
      <c r="E483" s="6" t="s">
        <v>28</v>
      </c>
      <c r="F483" s="6" t="s">
        <v>15</v>
      </c>
      <c r="G483" s="11" t="s">
        <v>36</v>
      </c>
      <c r="H483" s="6" t="s">
        <v>17</v>
      </c>
      <c r="I483" s="21" t="s">
        <v>1069</v>
      </c>
      <c r="J483" s="18">
        <f>VLOOKUP(A483,[2]Export!$A:$B,2,0)</f>
        <v>7062.1304273527403</v>
      </c>
      <c r="K483" s="18">
        <f>VLOOKUP(A483,[2]Export!$A:$C,3,0)</f>
        <v>3976.4899999999993</v>
      </c>
      <c r="L483" s="19">
        <f t="shared" si="16"/>
        <v>0.56307229679565662</v>
      </c>
      <c r="M483" s="18">
        <f>VLOOKUP(A483,[2]Export!$A:$G,7,0)</f>
        <v>2278.8600000000006</v>
      </c>
      <c r="N483" s="19">
        <f t="shared" si="17"/>
        <v>0.3226873283412634</v>
      </c>
      <c r="O483" s="17" t="s">
        <v>1025</v>
      </c>
      <c r="P483" s="17" t="s">
        <v>1026</v>
      </c>
      <c r="Q483" s="17" t="s">
        <v>1022</v>
      </c>
      <c r="R483" s="17" t="str">
        <f>VLOOKUP(A483,[1]Export!$A:$I,9,0)</f>
        <v>Comprou Marcas e SG</v>
      </c>
      <c r="S483" s="17" t="s">
        <v>1022</v>
      </c>
      <c r="T483" s="20"/>
      <c r="U483" s="17"/>
      <c r="V483" s="17"/>
    </row>
    <row r="484" spans="1:22" x14ac:dyDescent="0.35">
      <c r="A484" s="4">
        <v>12040504000114</v>
      </c>
      <c r="B484" s="7" t="s">
        <v>994</v>
      </c>
      <c r="C484" s="4"/>
      <c r="D484" s="1" t="s">
        <v>561</v>
      </c>
      <c r="E484" s="1" t="s">
        <v>50</v>
      </c>
      <c r="F484" s="1" t="s">
        <v>48</v>
      </c>
      <c r="G484" s="10" t="s">
        <v>92</v>
      </c>
      <c r="H484" s="1" t="s">
        <v>17</v>
      </c>
      <c r="I484" s="21" t="s">
        <v>1071</v>
      </c>
      <c r="J484" s="18">
        <f>VLOOKUP(A484,[2]Export!$A:$B,2,0)</f>
        <v>7697.7983986724203</v>
      </c>
      <c r="K484" s="18">
        <f>VLOOKUP(A484,[2]Export!$A:$C,3,0)</f>
        <v>2437.2199999999998</v>
      </c>
      <c r="L484" s="19">
        <f t="shared" si="16"/>
        <v>0.31661260451044398</v>
      </c>
      <c r="M484" s="18">
        <f>VLOOKUP(A484,[2]Export!$A:$G,7,0)</f>
        <v>3057.52</v>
      </c>
      <c r="N484" s="19">
        <f t="shared" si="17"/>
        <v>0.39719408610743906</v>
      </c>
      <c r="O484" s="17" t="s">
        <v>1027</v>
      </c>
      <c r="P484" s="17" t="s">
        <v>1028</v>
      </c>
      <c r="Q484" s="17" t="s">
        <v>1023</v>
      </c>
      <c r="R484" s="17" t="str">
        <f>VLOOKUP(A484,[1]Export!$A:$I,9,0)</f>
        <v>Comprou Marcas e SG</v>
      </c>
      <c r="S484" s="17" t="s">
        <v>1022</v>
      </c>
      <c r="T484" s="20"/>
      <c r="U484" s="17"/>
      <c r="V484" s="17"/>
    </row>
    <row r="485" spans="1:22" x14ac:dyDescent="0.35">
      <c r="A485" s="5">
        <v>22155730000102</v>
      </c>
      <c r="B485" s="7"/>
      <c r="C485" s="4"/>
      <c r="D485" s="6" t="s">
        <v>562</v>
      </c>
      <c r="E485" s="6" t="s">
        <v>50</v>
      </c>
      <c r="F485" s="6" t="s">
        <v>48</v>
      </c>
      <c r="G485" s="11" t="s">
        <v>20</v>
      </c>
      <c r="H485" s="6" t="s">
        <v>17</v>
      </c>
      <c r="I485" s="21" t="s">
        <v>1071</v>
      </c>
      <c r="J485" s="18">
        <f>VLOOKUP(A485,[2]Export!$A:$B,2,0)</f>
        <v>2306.626504482922</v>
      </c>
      <c r="K485" s="18">
        <f>VLOOKUP(A485,[2]Export!$A:$C,3,0)</f>
        <v>2839.2599999999993</v>
      </c>
      <c r="L485" s="19">
        <f t="shared" si="16"/>
        <v>1.230914495468558</v>
      </c>
      <c r="M485" s="18">
        <f>VLOOKUP(A485,[2]Export!$A:$G,7,0)</f>
        <v>2265.6999999999998</v>
      </c>
      <c r="N485" s="19">
        <f t="shared" si="17"/>
        <v>0.98225698681456164</v>
      </c>
      <c r="O485" s="17" t="s">
        <v>1025</v>
      </c>
      <c r="P485" s="17" t="s">
        <v>1026</v>
      </c>
      <c r="Q485" s="17" t="s">
        <v>1023</v>
      </c>
      <c r="R485" s="17" t="str">
        <f>VLOOKUP(A485,[1]Export!$A:$I,9,0)</f>
        <v>Comprou Marcas e SG</v>
      </c>
      <c r="S485" s="17" t="s">
        <v>1022</v>
      </c>
      <c r="T485" s="20"/>
      <c r="U485" s="17"/>
      <c r="V485" s="17"/>
    </row>
    <row r="486" spans="1:22" x14ac:dyDescent="0.35">
      <c r="A486" s="4">
        <v>22646643000140</v>
      </c>
      <c r="B486" s="7"/>
      <c r="C486" s="4"/>
      <c r="D486" s="1" t="s">
        <v>563</v>
      </c>
      <c r="E486" s="1" t="s">
        <v>358</v>
      </c>
      <c r="F486" s="1" t="s">
        <v>15</v>
      </c>
      <c r="G486" s="10" t="s">
        <v>20</v>
      </c>
      <c r="H486" s="1" t="s">
        <v>17</v>
      </c>
      <c r="I486" s="21" t="s">
        <v>1069</v>
      </c>
      <c r="J486" s="18">
        <f>VLOOKUP(A486,[2]Export!$A:$B,2,0)</f>
        <v>6980.0671972334358</v>
      </c>
      <c r="K486" s="18">
        <f>VLOOKUP(A486,[2]Export!$A:$C,3,0)</f>
        <v>4271.3500000000004</v>
      </c>
      <c r="L486" s="19">
        <f t="shared" si="16"/>
        <v>0.61193536957537586</v>
      </c>
      <c r="M486" s="18">
        <f>VLOOKUP(A486,[2]Export!$A:$G,7,0)</f>
        <v>471.01</v>
      </c>
      <c r="N486" s="19">
        <f t="shared" si="17"/>
        <v>6.7479293062778223E-2</v>
      </c>
      <c r="O486" s="17" t="s">
        <v>1025</v>
      </c>
      <c r="P486" s="17" t="s">
        <v>1026</v>
      </c>
      <c r="Q486" s="17" t="s">
        <v>1023</v>
      </c>
      <c r="R486" s="17" t="str">
        <f>VLOOKUP(A486,[1]Export!$A:$I,9,0)</f>
        <v>Comprou Marcas</v>
      </c>
      <c r="S486" s="17" t="s">
        <v>1022</v>
      </c>
      <c r="T486" s="20"/>
      <c r="U486" s="17"/>
      <c r="V486" s="17"/>
    </row>
    <row r="487" spans="1:22" x14ac:dyDescent="0.35">
      <c r="A487" s="5">
        <v>17222004000117</v>
      </c>
      <c r="B487" s="7"/>
      <c r="C487" s="4"/>
      <c r="D487" s="6" t="s">
        <v>49</v>
      </c>
      <c r="E487" s="6" t="s">
        <v>50</v>
      </c>
      <c r="F487" s="6" t="s">
        <v>48</v>
      </c>
      <c r="G487" s="11" t="s">
        <v>38</v>
      </c>
      <c r="H487" s="6" t="s">
        <v>17</v>
      </c>
      <c r="I487" s="21" t="s">
        <v>1071</v>
      </c>
      <c r="J487" s="18">
        <f>VLOOKUP(A487,[2]Export!$A:$B,2,0)</f>
        <v>2690.5534653886107</v>
      </c>
      <c r="K487" s="18">
        <f>VLOOKUP(A487,[2]Export!$A:$C,3,0)</f>
        <v>1213.4000000000001</v>
      </c>
      <c r="L487" s="19">
        <f t="shared" si="16"/>
        <v>0.45098527704772534</v>
      </c>
      <c r="M487" s="18">
        <f>VLOOKUP(A487,[2]Export!$A:$G,7,0)</f>
        <v>0</v>
      </c>
      <c r="N487" s="19">
        <f t="shared" si="17"/>
        <v>0</v>
      </c>
      <c r="O487" s="17" t="s">
        <v>1027</v>
      </c>
      <c r="P487" s="17" t="s">
        <v>1028</v>
      </c>
      <c r="Q487" s="17" t="s">
        <v>1023</v>
      </c>
      <c r="R487" s="17" t="str">
        <f>VLOOKUP(A487,[1]Export!$A:$I,9,0)</f>
        <v>Não Comprou</v>
      </c>
      <c r="S487" s="17" t="s">
        <v>1023</v>
      </c>
      <c r="T487" s="20"/>
      <c r="U487" s="17"/>
      <c r="V487" s="17"/>
    </row>
    <row r="488" spans="1:22" x14ac:dyDescent="0.35">
      <c r="A488" s="5">
        <v>4822740000164</v>
      </c>
      <c r="B488" s="7"/>
      <c r="C488" s="4"/>
      <c r="D488" s="6" t="s">
        <v>175</v>
      </c>
      <c r="E488" s="6" t="s">
        <v>176</v>
      </c>
      <c r="F488" s="6" t="s">
        <v>48</v>
      </c>
      <c r="G488" s="11" t="s">
        <v>38</v>
      </c>
      <c r="H488" s="6" t="s">
        <v>17</v>
      </c>
      <c r="I488" s="21" t="s">
        <v>1071</v>
      </c>
      <c r="J488" s="18">
        <f>VLOOKUP(A488,[2]Export!$A:$B,2,0)</f>
        <v>8404.9924108994819</v>
      </c>
      <c r="K488" s="18">
        <f>VLOOKUP(A488,[2]Export!$A:$C,3,0)</f>
        <v>4928.46</v>
      </c>
      <c r="L488" s="19">
        <f t="shared" si="16"/>
        <v>0.58637292683439413</v>
      </c>
      <c r="M488" s="18">
        <f>VLOOKUP(A488,[2]Export!$A:$G,7,0)</f>
        <v>0</v>
      </c>
      <c r="N488" s="19">
        <f t="shared" si="17"/>
        <v>0</v>
      </c>
      <c r="O488" s="17" t="s">
        <v>1030</v>
      </c>
      <c r="P488" s="17" t="s">
        <v>1026</v>
      </c>
      <c r="Q488" s="17" t="s">
        <v>1023</v>
      </c>
      <c r="R488" s="17" t="str">
        <f>VLOOKUP(A488,[1]Export!$A:$I,9,0)</f>
        <v>Comprou SG</v>
      </c>
      <c r="S488" s="17" t="s">
        <v>1022</v>
      </c>
      <c r="T488" s="20"/>
      <c r="U488" s="17"/>
      <c r="V488" s="17"/>
    </row>
    <row r="489" spans="1:22" x14ac:dyDescent="0.35">
      <c r="A489" s="5">
        <v>55994018000148</v>
      </c>
      <c r="B489" s="7"/>
      <c r="C489" s="4"/>
      <c r="D489" s="6" t="s">
        <v>565</v>
      </c>
      <c r="E489" s="6" t="s">
        <v>35</v>
      </c>
      <c r="F489" s="6" t="s">
        <v>8</v>
      </c>
      <c r="G489" s="11" t="s">
        <v>20</v>
      </c>
      <c r="H489" s="6" t="s">
        <v>17</v>
      </c>
      <c r="I489" s="21" t="s">
        <v>1070</v>
      </c>
      <c r="J489" s="18">
        <f>VLOOKUP(A489,[2]Export!$A:$B,2,0)</f>
        <v>2007.8721199121453</v>
      </c>
      <c r="K489" s="18">
        <f>VLOOKUP(A489,[2]Export!$A:$C,3,0)</f>
        <v>664.04</v>
      </c>
      <c r="L489" s="19">
        <f t="shared" si="16"/>
        <v>0.33071827304871143</v>
      </c>
      <c r="M489" s="18">
        <f>VLOOKUP(A489,[2]Export!$A:$G,7,0)</f>
        <v>0</v>
      </c>
      <c r="N489" s="19">
        <f t="shared" si="17"/>
        <v>0</v>
      </c>
      <c r="O489" s="17" t="s">
        <v>1025</v>
      </c>
      <c r="P489" s="17" t="s">
        <v>1026</v>
      </c>
      <c r="Q489" s="17" t="s">
        <v>1023</v>
      </c>
      <c r="R489" s="17" t="str">
        <f>VLOOKUP(A489,[1]Export!$A:$I,9,0)</f>
        <v>Não Comprou</v>
      </c>
      <c r="S489" s="17" t="s">
        <v>1023</v>
      </c>
      <c r="T489" s="20"/>
      <c r="U489" s="17"/>
      <c r="V489" s="17"/>
    </row>
    <row r="490" spans="1:22" x14ac:dyDescent="0.35">
      <c r="A490" s="4">
        <v>56089146000100</v>
      </c>
      <c r="B490" s="7"/>
      <c r="C490" s="4"/>
      <c r="D490" s="1" t="s">
        <v>566</v>
      </c>
      <c r="E490" s="1" t="s">
        <v>50</v>
      </c>
      <c r="F490" s="1" t="s">
        <v>48</v>
      </c>
      <c r="G490" s="10" t="s">
        <v>80</v>
      </c>
      <c r="H490" s="1" t="s">
        <v>17</v>
      </c>
      <c r="I490" s="21" t="s">
        <v>1071</v>
      </c>
      <c r="J490" s="18">
        <f>VLOOKUP(A490,[2]Export!$A:$B,2,0)</f>
        <v>5356.898403668004</v>
      </c>
      <c r="K490" s="18">
        <f>VLOOKUP(A490,[2]Export!$A:$C,3,0)</f>
        <v>2264.1500000000005</v>
      </c>
      <c r="L490" s="19">
        <f t="shared" si="16"/>
        <v>0.42266061989334719</v>
      </c>
      <c r="M490" s="18">
        <f>VLOOKUP(A490,[2]Export!$A:$G,7,0)</f>
        <v>0</v>
      </c>
      <c r="N490" s="19">
        <f t="shared" si="17"/>
        <v>0</v>
      </c>
      <c r="O490" s="17" t="s">
        <v>1025</v>
      </c>
      <c r="P490" s="17" t="s">
        <v>1026</v>
      </c>
      <c r="Q490" s="17" t="s">
        <v>1022</v>
      </c>
      <c r="R490" s="17" t="str">
        <f>VLOOKUP(A490,[1]Export!$A:$I,9,0)</f>
        <v>Comprou SG</v>
      </c>
      <c r="S490" s="17" t="s">
        <v>1022</v>
      </c>
      <c r="T490" s="20"/>
      <c r="U490" s="17"/>
      <c r="V490" s="17"/>
    </row>
    <row r="491" spans="1:22" x14ac:dyDescent="0.35">
      <c r="A491" s="5">
        <v>51905753000187</v>
      </c>
      <c r="B491" s="7"/>
      <c r="C491" s="4"/>
      <c r="D491" s="6" t="s">
        <v>567</v>
      </c>
      <c r="E491" s="6" t="s">
        <v>52</v>
      </c>
      <c r="F491" s="6" t="s">
        <v>8</v>
      </c>
      <c r="G491" s="11" t="s">
        <v>20</v>
      </c>
      <c r="H491" s="6" t="s">
        <v>17</v>
      </c>
      <c r="I491" s="21" t="s">
        <v>1072</v>
      </c>
      <c r="J491" s="18">
        <f>VLOOKUP(A491,[2]Export!$A:$B,2,0)</f>
        <v>12611.390676123952</v>
      </c>
      <c r="K491" s="18">
        <f>VLOOKUP(A491,[2]Export!$A:$C,3,0)</f>
        <v>6846.1999999999989</v>
      </c>
      <c r="L491" s="19">
        <f t="shared" si="16"/>
        <v>0.542858450413507</v>
      </c>
      <c r="M491" s="18">
        <f>VLOOKUP(A491,[2]Export!$A:$G,7,0)</f>
        <v>0</v>
      </c>
      <c r="N491" s="19">
        <f t="shared" si="17"/>
        <v>0</v>
      </c>
      <c r="O491" s="17" t="s">
        <v>1031</v>
      </c>
      <c r="P491" s="17" t="s">
        <v>1026</v>
      </c>
      <c r="Q491" s="17" t="s">
        <v>1023</v>
      </c>
      <c r="R491" s="17" t="str">
        <f>VLOOKUP(A491,[1]Export!$A:$I,9,0)</f>
        <v>Não Comprou</v>
      </c>
      <c r="S491" s="17" t="s">
        <v>1022</v>
      </c>
      <c r="T491" s="20">
        <v>3</v>
      </c>
      <c r="U491" s="17"/>
      <c r="V491" s="17"/>
    </row>
    <row r="492" spans="1:22" x14ac:dyDescent="0.35">
      <c r="A492" s="4">
        <v>52950355000226</v>
      </c>
      <c r="B492" s="7"/>
      <c r="C492" s="4"/>
      <c r="D492" s="1" t="s">
        <v>568</v>
      </c>
      <c r="E492" s="1" t="s">
        <v>40</v>
      </c>
      <c r="F492" s="1" t="s">
        <v>8</v>
      </c>
      <c r="G492" s="10" t="s">
        <v>74</v>
      </c>
      <c r="H492" s="1" t="s">
        <v>17</v>
      </c>
      <c r="I492" s="21" t="s">
        <v>1070</v>
      </c>
      <c r="J492" s="18">
        <f>VLOOKUP(A492,[2]Export!$A:$B,2,0)</f>
        <v>5282.5820237035086</v>
      </c>
      <c r="K492" s="18">
        <f>VLOOKUP(A492,[2]Export!$A:$C,3,0)</f>
        <v>4005.4700000000012</v>
      </c>
      <c r="L492" s="19">
        <f t="shared" si="16"/>
        <v>0.75824094770834227</v>
      </c>
      <c r="M492" s="18">
        <f>VLOOKUP(A492,[2]Export!$A:$G,7,0)</f>
        <v>0</v>
      </c>
      <c r="N492" s="19">
        <f t="shared" si="17"/>
        <v>0</v>
      </c>
      <c r="O492" s="17" t="s">
        <v>1025</v>
      </c>
      <c r="P492" s="17" t="s">
        <v>1026</v>
      </c>
      <c r="Q492" s="17" t="s">
        <v>1023</v>
      </c>
      <c r="R492" s="17" t="str">
        <f>VLOOKUP(A492,[1]Export!$A:$I,9,0)</f>
        <v>Não Comprou</v>
      </c>
      <c r="S492" s="17" t="s">
        <v>1022</v>
      </c>
      <c r="T492" s="20"/>
      <c r="U492" s="17"/>
      <c r="V492" s="17"/>
    </row>
    <row r="493" spans="1:22" x14ac:dyDescent="0.35">
      <c r="A493" s="5">
        <v>64621083000119</v>
      </c>
      <c r="B493" s="7"/>
      <c r="C493" s="4"/>
      <c r="D493" s="6" t="s">
        <v>569</v>
      </c>
      <c r="E493" s="6" t="s">
        <v>122</v>
      </c>
      <c r="F493" s="6" t="s">
        <v>8</v>
      </c>
      <c r="G493" s="11" t="s">
        <v>20</v>
      </c>
      <c r="H493" s="6" t="s">
        <v>17</v>
      </c>
      <c r="I493" s="21" t="s">
        <v>1066</v>
      </c>
      <c r="J493" s="18">
        <f>VLOOKUP(A493,[2]Export!$A:$B,2,0)</f>
        <v>1126.5760623733865</v>
      </c>
      <c r="K493" s="18">
        <f>VLOOKUP(A493,[2]Export!$A:$C,3,0)</f>
        <v>1187.6899999999996</v>
      </c>
      <c r="L493" s="19">
        <f t="shared" si="16"/>
        <v>1.0542475023815638</v>
      </c>
      <c r="M493" s="18">
        <f>VLOOKUP(A493,[2]Export!$A:$G,7,0)</f>
        <v>0</v>
      </c>
      <c r="N493" s="19">
        <f t="shared" si="17"/>
        <v>0</v>
      </c>
      <c r="O493" s="17" t="s">
        <v>1025</v>
      </c>
      <c r="P493" s="17" t="s">
        <v>1026</v>
      </c>
      <c r="Q493" s="17" t="s">
        <v>1023</v>
      </c>
      <c r="R493" s="17" t="str">
        <f>VLOOKUP(A493,[1]Export!$A:$I,9,0)</f>
        <v>Não Comprou</v>
      </c>
      <c r="S493" s="17" t="s">
        <v>1023</v>
      </c>
      <c r="T493" s="20"/>
      <c r="U493" s="17"/>
      <c r="V493" s="17"/>
    </row>
    <row r="494" spans="1:22" x14ac:dyDescent="0.35">
      <c r="A494" s="4">
        <v>52189626000191</v>
      </c>
      <c r="B494" s="7"/>
      <c r="C494" s="4"/>
      <c r="D494" s="1" t="s">
        <v>570</v>
      </c>
      <c r="E494" s="1" t="s">
        <v>52</v>
      </c>
      <c r="F494" s="1" t="s">
        <v>8</v>
      </c>
      <c r="G494" s="10" t="s">
        <v>20</v>
      </c>
      <c r="H494" s="1" t="s">
        <v>17</v>
      </c>
      <c r="I494" s="21" t="s">
        <v>1072</v>
      </c>
      <c r="J494" s="18">
        <f>VLOOKUP(A494,[2]Export!$A:$B,2,0)</f>
        <v>2878.2248885629883</v>
      </c>
      <c r="K494" s="18">
        <f>VLOOKUP(A494,[2]Export!$A:$C,3,0)</f>
        <v>1390.59</v>
      </c>
      <c r="L494" s="19">
        <f t="shared" si="16"/>
        <v>0.48314153821881511</v>
      </c>
      <c r="M494" s="18">
        <f>VLOOKUP(A494,[2]Export!$A:$G,7,0)</f>
        <v>0</v>
      </c>
      <c r="N494" s="19">
        <f t="shared" si="17"/>
        <v>0</v>
      </c>
      <c r="O494" s="17" t="s">
        <v>1025</v>
      </c>
      <c r="P494" s="17" t="s">
        <v>1026</v>
      </c>
      <c r="Q494" s="17" t="s">
        <v>1023</v>
      </c>
      <c r="R494" s="17" t="str">
        <f>VLOOKUP(A494,[1]Export!$A:$I,9,0)</f>
        <v>Não Comprou</v>
      </c>
      <c r="S494" s="17" t="s">
        <v>1022</v>
      </c>
      <c r="T494" s="20">
        <v>4</v>
      </c>
      <c r="U494" s="17"/>
      <c r="V494" s="17"/>
    </row>
    <row r="495" spans="1:22" x14ac:dyDescent="0.35">
      <c r="A495" s="5">
        <v>49560389000119</v>
      </c>
      <c r="B495" s="7"/>
      <c r="C495" s="4"/>
      <c r="D495" s="6" t="s">
        <v>571</v>
      </c>
      <c r="E495" s="6" t="s">
        <v>14</v>
      </c>
      <c r="F495" s="6" t="s">
        <v>15</v>
      </c>
      <c r="G495" s="11" t="s">
        <v>36</v>
      </c>
      <c r="H495" s="6" t="s">
        <v>17</v>
      </c>
      <c r="I495" s="21" t="s">
        <v>1067</v>
      </c>
      <c r="J495" s="18">
        <f>VLOOKUP(A495,[2]Export!$A:$B,2,0)</f>
        <v>2501.0830845813425</v>
      </c>
      <c r="K495" s="18">
        <f>VLOOKUP(A495,[2]Export!$A:$C,3,0)</f>
        <v>3277.7400000000002</v>
      </c>
      <c r="L495" s="19">
        <f t="shared" si="16"/>
        <v>1.3105282348301766</v>
      </c>
      <c r="M495" s="18">
        <f>VLOOKUP(A495,[2]Export!$A:$G,7,0)</f>
        <v>2455.46</v>
      </c>
      <c r="N495" s="19">
        <f t="shared" si="17"/>
        <v>0.98175866892923336</v>
      </c>
      <c r="O495" s="17" t="s">
        <v>1025</v>
      </c>
      <c r="P495" s="17" t="s">
        <v>1026</v>
      </c>
      <c r="Q495" s="17" t="s">
        <v>1023</v>
      </c>
      <c r="R495" s="17" t="str">
        <f>VLOOKUP(A495,[1]Export!$A:$I,9,0)</f>
        <v>Comprou Marcas</v>
      </c>
      <c r="S495" s="17" t="s">
        <v>1023</v>
      </c>
      <c r="T495" s="20"/>
      <c r="U495" s="17"/>
      <c r="V495" s="17"/>
    </row>
    <row r="496" spans="1:22" x14ac:dyDescent="0.35">
      <c r="A496" s="4">
        <v>54593917000176</v>
      </c>
      <c r="B496" s="7"/>
      <c r="C496" s="4"/>
      <c r="D496" s="1" t="s">
        <v>572</v>
      </c>
      <c r="E496" s="1" t="s">
        <v>14</v>
      </c>
      <c r="F496" s="1" t="s">
        <v>15</v>
      </c>
      <c r="G496" s="10" t="s">
        <v>20</v>
      </c>
      <c r="H496" s="1" t="s">
        <v>17</v>
      </c>
      <c r="I496" s="21" t="s">
        <v>1067</v>
      </c>
      <c r="J496" s="18">
        <f>VLOOKUP(A496,[2]Export!$A:$B,2,0)</f>
        <v>2817.7071009326314</v>
      </c>
      <c r="K496" s="18">
        <f>VLOOKUP(A496,[2]Export!$A:$C,3,0)</f>
        <v>1548.2700000000004</v>
      </c>
      <c r="L496" s="19">
        <f t="shared" si="16"/>
        <v>0.54947868764909569</v>
      </c>
      <c r="M496" s="18">
        <f>VLOOKUP(A496,[2]Export!$A:$G,7,0)</f>
        <v>0</v>
      </c>
      <c r="N496" s="19">
        <f t="shared" si="17"/>
        <v>0</v>
      </c>
      <c r="O496" s="17" t="s">
        <v>1025</v>
      </c>
      <c r="P496" s="17" t="s">
        <v>1026</v>
      </c>
      <c r="Q496" s="17" t="s">
        <v>1023</v>
      </c>
      <c r="R496" s="17" t="str">
        <f>VLOOKUP(A496,[1]Export!$A:$I,9,0)</f>
        <v>Não Comprou</v>
      </c>
      <c r="S496" s="17" t="s">
        <v>1023</v>
      </c>
      <c r="T496" s="20"/>
      <c r="U496" s="17"/>
      <c r="V496" s="17"/>
    </row>
    <row r="497" spans="1:22" x14ac:dyDescent="0.35">
      <c r="A497" s="5">
        <v>36752663000100</v>
      </c>
      <c r="B497" s="7"/>
      <c r="C497" s="4"/>
      <c r="D497" s="6" t="s">
        <v>573</v>
      </c>
      <c r="E497" s="6" t="s">
        <v>166</v>
      </c>
      <c r="F497" s="6" t="s">
        <v>8</v>
      </c>
      <c r="G497" s="11" t="s">
        <v>16</v>
      </c>
      <c r="H497" s="6" t="s">
        <v>17</v>
      </c>
      <c r="I497" s="21" t="s">
        <v>1068</v>
      </c>
      <c r="J497" s="18">
        <f>VLOOKUP(A497,[2]Export!$A:$B,2,0)</f>
        <v>5781.152473963004</v>
      </c>
      <c r="K497" s="18">
        <f>VLOOKUP(A497,[2]Export!$A:$C,3,0)</f>
        <v>7072.23</v>
      </c>
      <c r="L497" s="19">
        <f t="shared" si="16"/>
        <v>1.2233252853737582</v>
      </c>
      <c r="M497" s="18">
        <f>VLOOKUP(A497,[2]Export!$A:$G,7,0)</f>
        <v>5893.3099999999977</v>
      </c>
      <c r="N497" s="19">
        <f t="shared" si="17"/>
        <v>1.0194005479949069</v>
      </c>
      <c r="O497" s="17"/>
      <c r="P497" s="17"/>
      <c r="Q497" s="17"/>
      <c r="R497" s="17" t="str">
        <f>VLOOKUP(A497,[1]Export!$A:$I,9,0)</f>
        <v>Comprou Marcas</v>
      </c>
      <c r="S497" s="17"/>
      <c r="T497" s="20"/>
      <c r="U497" s="17">
        <v>3</v>
      </c>
      <c r="V497" s="17">
        <v>6</v>
      </c>
    </row>
    <row r="498" spans="1:22" x14ac:dyDescent="0.35">
      <c r="A498" s="4">
        <v>96619283000123</v>
      </c>
      <c r="B498" s="7"/>
      <c r="C498" s="4"/>
      <c r="D498" s="1" t="s">
        <v>574</v>
      </c>
      <c r="E498" s="1" t="s">
        <v>47</v>
      </c>
      <c r="F498" s="1" t="s">
        <v>48</v>
      </c>
      <c r="G498" s="10" t="s">
        <v>20</v>
      </c>
      <c r="H498" s="1" t="s">
        <v>17</v>
      </c>
      <c r="I498" s="21" t="s">
        <v>1071</v>
      </c>
      <c r="J498" s="18">
        <f>VLOOKUP(A498,[2]Export!$A:$B,2,0)</f>
        <v>2088.0580216779567</v>
      </c>
      <c r="K498" s="18">
        <f>VLOOKUP(A498,[2]Export!$A:$C,3,0)</f>
        <v>1210.1199999999999</v>
      </c>
      <c r="L498" s="19">
        <f t="shared" si="16"/>
        <v>0.57954328253175236</v>
      </c>
      <c r="M498" s="18">
        <f>VLOOKUP(A498,[2]Export!$A:$G,7,0)</f>
        <v>0</v>
      </c>
      <c r="N498" s="19">
        <f t="shared" si="17"/>
        <v>0</v>
      </c>
      <c r="O498" s="17" t="s">
        <v>1025</v>
      </c>
      <c r="P498" s="17" t="s">
        <v>1026</v>
      </c>
      <c r="Q498" s="17" t="s">
        <v>1023</v>
      </c>
      <c r="R498" s="17" t="str">
        <f>VLOOKUP(A498,[1]Export!$A:$I,9,0)</f>
        <v>Não Comprou</v>
      </c>
      <c r="S498" s="17" t="s">
        <v>1023</v>
      </c>
      <c r="T498" s="20"/>
      <c r="U498" s="17"/>
      <c r="V498" s="17"/>
    </row>
    <row r="499" spans="1:22" x14ac:dyDescent="0.35">
      <c r="A499" s="5">
        <v>60042541000104</v>
      </c>
      <c r="B499" s="7"/>
      <c r="C499" s="4"/>
      <c r="D499" s="6" t="s">
        <v>575</v>
      </c>
      <c r="E499" s="6" t="s">
        <v>379</v>
      </c>
      <c r="F499" s="6" t="s">
        <v>15</v>
      </c>
      <c r="G499" s="11" t="s">
        <v>20</v>
      </c>
      <c r="H499" s="6" t="s">
        <v>17</v>
      </c>
      <c r="I499" s="21" t="s">
        <v>1073</v>
      </c>
      <c r="J499" s="18">
        <f>VLOOKUP(A499,[2]Export!$A:$B,2,0)</f>
        <v>1043.3438006282786</v>
      </c>
      <c r="K499" s="18">
        <f>VLOOKUP(A499,[2]Export!$A:$C,3,0)</f>
        <v>1353.8300000000002</v>
      </c>
      <c r="L499" s="19">
        <f t="shared" si="16"/>
        <v>1.2975876208635673</v>
      </c>
      <c r="M499" s="18">
        <f>VLOOKUP(A499,[2]Export!$A:$G,7,0)</f>
        <v>905.07</v>
      </c>
      <c r="N499" s="19">
        <f t="shared" si="17"/>
        <v>0.86747053028444399</v>
      </c>
      <c r="O499" s="17" t="s">
        <v>1025</v>
      </c>
      <c r="P499" s="17" t="s">
        <v>1026</v>
      </c>
      <c r="Q499" s="17" t="s">
        <v>1023</v>
      </c>
      <c r="R499" s="17" t="str">
        <f>VLOOKUP(A499,[1]Export!$A:$I,9,0)</f>
        <v>Comprou Marcas</v>
      </c>
      <c r="S499" s="17" t="s">
        <v>1023</v>
      </c>
      <c r="T499" s="20"/>
      <c r="U499" s="17"/>
      <c r="V499" s="17"/>
    </row>
    <row r="500" spans="1:22" x14ac:dyDescent="0.35">
      <c r="A500" s="4">
        <v>62464432000100</v>
      </c>
      <c r="B500" s="7"/>
      <c r="C500" s="4"/>
      <c r="D500" s="1" t="s">
        <v>576</v>
      </c>
      <c r="E500" s="1" t="s">
        <v>577</v>
      </c>
      <c r="F500" s="1" t="s">
        <v>15</v>
      </c>
      <c r="G500" s="10" t="s">
        <v>36</v>
      </c>
      <c r="H500" s="1" t="s">
        <v>17</v>
      </c>
      <c r="I500" s="21" t="s">
        <v>1067</v>
      </c>
      <c r="J500" s="18">
        <f>VLOOKUP(A500,[2]Export!$A:$B,2,0)</f>
        <v>5152.5426936792219</v>
      </c>
      <c r="K500" s="18">
        <f>VLOOKUP(A500,[2]Export!$A:$C,3,0)</f>
        <v>2434.2500000000005</v>
      </c>
      <c r="L500" s="19">
        <f t="shared" si="16"/>
        <v>0.47243664821762033</v>
      </c>
      <c r="M500" s="18">
        <f>VLOOKUP(A500,[2]Export!$A:$G,7,0)</f>
        <v>0</v>
      </c>
      <c r="N500" s="19">
        <f t="shared" si="17"/>
        <v>0</v>
      </c>
      <c r="O500" s="17" t="s">
        <v>1025</v>
      </c>
      <c r="P500" s="17" t="s">
        <v>1026</v>
      </c>
      <c r="Q500" s="17" t="s">
        <v>1023</v>
      </c>
      <c r="R500" s="17" t="str">
        <f>VLOOKUP(A500,[1]Export!$A:$I,9,0)</f>
        <v>Não Comprou</v>
      </c>
      <c r="S500" s="17" t="s">
        <v>1022</v>
      </c>
      <c r="T500" s="20">
        <v>4</v>
      </c>
      <c r="U500" s="17"/>
      <c r="V500" s="17"/>
    </row>
    <row r="501" spans="1:22" x14ac:dyDescent="0.35">
      <c r="A501" s="5">
        <v>63937486000109</v>
      </c>
      <c r="B501" s="7"/>
      <c r="C501" s="4"/>
      <c r="D501" s="6" t="s">
        <v>578</v>
      </c>
      <c r="E501" s="6" t="s">
        <v>50</v>
      </c>
      <c r="F501" s="6" t="s">
        <v>48</v>
      </c>
      <c r="G501" s="11" t="s">
        <v>80</v>
      </c>
      <c r="H501" s="6" t="s">
        <v>17</v>
      </c>
      <c r="I501" s="21" t="s">
        <v>1071</v>
      </c>
      <c r="J501" s="18">
        <f>VLOOKUP(A501,[2]Export!$A:$B,2,0)</f>
        <v>14212.191520025044</v>
      </c>
      <c r="K501" s="18">
        <f>VLOOKUP(A501,[2]Export!$A:$C,3,0)</f>
        <v>3919.1499999999992</v>
      </c>
      <c r="L501" s="19">
        <f t="shared" si="16"/>
        <v>0.27575972322621028</v>
      </c>
      <c r="M501" s="18">
        <f>VLOOKUP(A501,[2]Export!$A:$G,7,0)</f>
        <v>0</v>
      </c>
      <c r="N501" s="19">
        <f t="shared" si="17"/>
        <v>0</v>
      </c>
      <c r="O501" s="17" t="s">
        <v>1027</v>
      </c>
      <c r="P501" s="17" t="s">
        <v>1028</v>
      </c>
      <c r="Q501" s="17" t="s">
        <v>1023</v>
      </c>
      <c r="R501" s="17" t="str">
        <f>VLOOKUP(A501,[1]Export!$A:$I,9,0)</f>
        <v>Comprou SG</v>
      </c>
      <c r="S501" s="17" t="s">
        <v>1022</v>
      </c>
      <c r="T501" s="20"/>
      <c r="U501" s="17"/>
      <c r="V501" s="17"/>
    </row>
    <row r="502" spans="1:22" x14ac:dyDescent="0.35">
      <c r="A502" s="4">
        <v>67096438000196</v>
      </c>
      <c r="B502" s="7"/>
      <c r="C502" s="4">
        <v>11744</v>
      </c>
      <c r="D502" s="1" t="s">
        <v>579</v>
      </c>
      <c r="E502" s="1" t="s">
        <v>143</v>
      </c>
      <c r="F502" s="1" t="s">
        <v>48</v>
      </c>
      <c r="G502" s="10" t="s">
        <v>87</v>
      </c>
      <c r="H502" s="1" t="s">
        <v>17</v>
      </c>
      <c r="I502" s="21" t="s">
        <v>1073</v>
      </c>
      <c r="J502" s="18">
        <f>VLOOKUP(A502,[2]Export!$A:$B,2,0)</f>
        <v>3748.0639305731934</v>
      </c>
      <c r="K502" s="18">
        <f>VLOOKUP(A502,[2]Export!$A:$C,3,0)</f>
        <v>1840.8800000000003</v>
      </c>
      <c r="L502" s="19">
        <f t="shared" si="16"/>
        <v>0.49115490933434364</v>
      </c>
      <c r="M502" s="18">
        <f>VLOOKUP(A502,[2]Export!$A:$G,7,0)</f>
        <v>633.44000000000005</v>
      </c>
      <c r="N502" s="19">
        <f t="shared" si="17"/>
        <v>0.16900458789749825</v>
      </c>
      <c r="O502" s="17" t="s">
        <v>1027</v>
      </c>
      <c r="P502" s="17" t="s">
        <v>1026</v>
      </c>
      <c r="Q502" s="17" t="s">
        <v>1023</v>
      </c>
      <c r="R502" s="17" t="str">
        <f>VLOOKUP(A502,[1]Export!$A:$I,9,0)</f>
        <v>Comprou Marcas e SG</v>
      </c>
      <c r="S502" s="17" t="s">
        <v>1022</v>
      </c>
      <c r="T502" s="20"/>
      <c r="U502" s="17"/>
      <c r="V502" s="17"/>
    </row>
    <row r="503" spans="1:22" x14ac:dyDescent="0.35">
      <c r="A503" s="5">
        <v>1374296000173</v>
      </c>
      <c r="B503" s="7"/>
      <c r="C503" s="4"/>
      <c r="D503" s="6" t="s">
        <v>580</v>
      </c>
      <c r="E503" s="6" t="s">
        <v>50</v>
      </c>
      <c r="F503" s="6" t="s">
        <v>48</v>
      </c>
      <c r="G503" s="11" t="s">
        <v>352</v>
      </c>
      <c r="H503" s="6" t="s">
        <v>17</v>
      </c>
      <c r="I503" s="21" t="s">
        <v>1071</v>
      </c>
      <c r="J503" s="18">
        <f>VLOOKUP(A503,[2]Export!$A:$B,2,0)</f>
        <v>4822.5258651296444</v>
      </c>
      <c r="K503" s="18">
        <f>VLOOKUP(A503,[2]Export!$A:$C,3,0)</f>
        <v>1205.81</v>
      </c>
      <c r="L503" s="19">
        <f t="shared" si="16"/>
        <v>0.25003702079005524</v>
      </c>
      <c r="M503" s="18">
        <f>VLOOKUP(A503,[2]Export!$A:$G,7,0)</f>
        <v>766.36</v>
      </c>
      <c r="N503" s="19">
        <f t="shared" si="17"/>
        <v>0.15891257432984196</v>
      </c>
      <c r="O503" s="17" t="s">
        <v>1029</v>
      </c>
      <c r="P503" s="17" t="s">
        <v>1026</v>
      </c>
      <c r="Q503" s="17" t="s">
        <v>1023</v>
      </c>
      <c r="R503" s="17" t="str">
        <f>VLOOKUP(A503,[1]Export!$A:$I,9,0)</f>
        <v>Comprou Marcas</v>
      </c>
      <c r="S503" s="17" t="s">
        <v>1022</v>
      </c>
      <c r="T503" s="20"/>
      <c r="U503" s="17"/>
      <c r="V503" s="17"/>
    </row>
    <row r="504" spans="1:22" x14ac:dyDescent="0.35">
      <c r="A504" s="4">
        <v>1996877000147</v>
      </c>
      <c r="B504" s="7"/>
      <c r="C504" s="4"/>
      <c r="D504" s="1" t="s">
        <v>581</v>
      </c>
      <c r="E504" s="1" t="s">
        <v>208</v>
      </c>
      <c r="F504" s="1" t="s">
        <v>15</v>
      </c>
      <c r="G504" s="10" t="s">
        <v>20</v>
      </c>
      <c r="H504" s="1" t="s">
        <v>17</v>
      </c>
      <c r="I504" s="21" t="s">
        <v>1067</v>
      </c>
      <c r="J504" s="18">
        <f>VLOOKUP(A504,[2]Export!$A:$B,2,0)</f>
        <v>1332.8522979641857</v>
      </c>
      <c r="K504" s="18">
        <f>VLOOKUP(A504,[2]Export!$A:$C,3,0)</f>
        <v>330.65999999999997</v>
      </c>
      <c r="L504" s="19">
        <f t="shared" si="16"/>
        <v>0.24808450306538388</v>
      </c>
      <c r="M504" s="18">
        <f>VLOOKUP(A504,[2]Export!$A:$G,7,0)</f>
        <v>0</v>
      </c>
      <c r="N504" s="19">
        <f t="shared" si="17"/>
        <v>0</v>
      </c>
      <c r="O504" s="17" t="s">
        <v>1025</v>
      </c>
      <c r="P504" s="17" t="s">
        <v>1026</v>
      </c>
      <c r="Q504" s="17" t="s">
        <v>1023</v>
      </c>
      <c r="R504" s="17" t="str">
        <f>VLOOKUP(A504,[1]Export!$A:$I,9,0)</f>
        <v>Não Comprou</v>
      </c>
      <c r="S504" s="17" t="s">
        <v>1023</v>
      </c>
      <c r="T504" s="20"/>
      <c r="U504" s="17"/>
      <c r="V504" s="17"/>
    </row>
    <row r="505" spans="1:22" x14ac:dyDescent="0.35">
      <c r="A505" s="5">
        <v>3141355000199</v>
      </c>
      <c r="B505" s="7"/>
      <c r="C505" s="4"/>
      <c r="D505" s="6" t="s">
        <v>582</v>
      </c>
      <c r="E505" s="6" t="s">
        <v>160</v>
      </c>
      <c r="F505" s="6" t="s">
        <v>8</v>
      </c>
      <c r="G505" s="11" t="s">
        <v>20</v>
      </c>
      <c r="H505" s="6" t="s">
        <v>17</v>
      </c>
      <c r="I505" s="21" t="s">
        <v>1068</v>
      </c>
      <c r="J505" s="18">
        <f>VLOOKUP(A505,[2]Export!$A:$B,2,0)</f>
        <v>938.51789230651866</v>
      </c>
      <c r="K505" s="18">
        <f>VLOOKUP(A505,[2]Export!$A:$C,3,0)</f>
        <v>1077.31</v>
      </c>
      <c r="L505" s="19">
        <f t="shared" si="16"/>
        <v>1.1478843491756809</v>
      </c>
      <c r="M505" s="18">
        <f>VLOOKUP(A505,[2]Export!$A:$G,7,0)</f>
        <v>0</v>
      </c>
      <c r="N505" s="19">
        <f t="shared" si="17"/>
        <v>0</v>
      </c>
      <c r="O505" s="17" t="s">
        <v>1025</v>
      </c>
      <c r="P505" s="17" t="s">
        <v>1026</v>
      </c>
      <c r="Q505" s="17" t="s">
        <v>1023</v>
      </c>
      <c r="R505" s="17" t="str">
        <f>VLOOKUP(A505,[1]Export!$A:$I,9,0)</f>
        <v>Não Comprou</v>
      </c>
      <c r="S505" s="17" t="s">
        <v>1023</v>
      </c>
      <c r="T505" s="20"/>
      <c r="U505" s="17"/>
      <c r="V505" s="17"/>
    </row>
    <row r="506" spans="1:22" x14ac:dyDescent="0.35">
      <c r="A506" s="4">
        <v>18806193000723</v>
      </c>
      <c r="B506" s="7" t="s">
        <v>992</v>
      </c>
      <c r="C506" s="4"/>
      <c r="D506" s="1" t="s">
        <v>57</v>
      </c>
      <c r="E506" s="1" t="s">
        <v>61</v>
      </c>
      <c r="F506" s="1" t="s">
        <v>8</v>
      </c>
      <c r="G506" s="10" t="s">
        <v>9</v>
      </c>
      <c r="H506" s="1" t="s">
        <v>10</v>
      </c>
      <c r="I506" s="21" t="s">
        <v>1066</v>
      </c>
      <c r="J506" s="18">
        <f>VLOOKUP(A506,[2]Export!$A:$B,2,0)</f>
        <v>5900.8226506732117</v>
      </c>
      <c r="K506" s="18">
        <f>VLOOKUP(A506,[2]Export!$A:$C,3,0)</f>
        <v>4394.1100000000006</v>
      </c>
      <c r="L506" s="19">
        <f t="shared" si="16"/>
        <v>0.74466057702965982</v>
      </c>
      <c r="M506" s="18">
        <f>VLOOKUP(A506,[2]Export!$A:$G,7,0)</f>
        <v>5207.1599999999989</v>
      </c>
      <c r="N506" s="19">
        <f t="shared" si="17"/>
        <v>0.88244644997184007</v>
      </c>
      <c r="O506" s="17" t="s">
        <v>1027</v>
      </c>
      <c r="P506" s="17" t="s">
        <v>1028</v>
      </c>
      <c r="Q506" s="17" t="s">
        <v>1022</v>
      </c>
      <c r="R506" s="17" t="str">
        <f>VLOOKUP(A506,[1]Export!$A:$I,9,0)</f>
        <v>Comprou Marcas</v>
      </c>
      <c r="S506" s="17" t="s">
        <v>1022</v>
      </c>
      <c r="T506" s="20"/>
      <c r="U506" s="17"/>
      <c r="V506" s="17">
        <v>1</v>
      </c>
    </row>
    <row r="507" spans="1:22" x14ac:dyDescent="0.35">
      <c r="A507" s="5">
        <v>4050862000694</v>
      </c>
      <c r="B507" s="7" t="s">
        <v>997</v>
      </c>
      <c r="C507" s="4"/>
      <c r="D507" s="6" t="s">
        <v>559</v>
      </c>
      <c r="E507" s="6" t="s">
        <v>14</v>
      </c>
      <c r="F507" s="6" t="s">
        <v>15</v>
      </c>
      <c r="G507" s="11" t="s">
        <v>9</v>
      </c>
      <c r="H507" s="6" t="s">
        <v>10</v>
      </c>
      <c r="I507" s="21" t="s">
        <v>1067</v>
      </c>
      <c r="J507" s="18">
        <f>VLOOKUP(A507,[2]Export!$A:$B,2,0)</f>
        <v>4887.3768799351101</v>
      </c>
      <c r="K507" s="18">
        <f>VLOOKUP(A507,[2]Export!$A:$C,3,0)</f>
        <v>1820.7099999999996</v>
      </c>
      <c r="L507" s="19">
        <f t="shared" si="16"/>
        <v>0.37253316957708676</v>
      </c>
      <c r="M507" s="18">
        <f>VLOOKUP(A507,[2]Export!$A:$G,7,0)</f>
        <v>817.56000000000017</v>
      </c>
      <c r="N507" s="19">
        <f t="shared" si="17"/>
        <v>0.16727991724077046</v>
      </c>
      <c r="O507" s="17" t="s">
        <v>1027</v>
      </c>
      <c r="P507" s="17" t="s">
        <v>1028</v>
      </c>
      <c r="Q507" s="17" t="s">
        <v>1023</v>
      </c>
      <c r="R507" s="17" t="str">
        <f>VLOOKUP(A507,[1]Export!$A:$I,9,0)</f>
        <v>Comprou Marcas</v>
      </c>
      <c r="S507" s="17" t="s">
        <v>1022</v>
      </c>
      <c r="T507" s="20"/>
      <c r="U507" s="17"/>
      <c r="V507" s="17"/>
    </row>
    <row r="508" spans="1:22" x14ac:dyDescent="0.35">
      <c r="A508" s="4">
        <v>4834843002007</v>
      </c>
      <c r="B508" s="7" t="s">
        <v>994</v>
      </c>
      <c r="C508" s="4"/>
      <c r="D508" s="1" t="s">
        <v>91</v>
      </c>
      <c r="E508" s="1" t="s">
        <v>405</v>
      </c>
      <c r="F508" s="1" t="s">
        <v>48</v>
      </c>
      <c r="G508" s="10" t="s">
        <v>92</v>
      </c>
      <c r="H508" s="1" t="s">
        <v>17</v>
      </c>
      <c r="I508" s="21" t="s">
        <v>1071</v>
      </c>
      <c r="J508" s="18">
        <f>VLOOKUP(A508,[2]Export!$A:$B,2,0)</f>
        <v>4514.8315353889247</v>
      </c>
      <c r="K508" s="18">
        <f>VLOOKUP(A508,[2]Export!$A:$C,3,0)</f>
        <v>2573.48</v>
      </c>
      <c r="L508" s="19">
        <f t="shared" si="16"/>
        <v>0.57000576429665406</v>
      </c>
      <c r="M508" s="18">
        <f>VLOOKUP(A508,[2]Export!$A:$G,7,0)</f>
        <v>2125.8700000000003</v>
      </c>
      <c r="N508" s="19">
        <f t="shared" si="17"/>
        <v>0.47086363762116978</v>
      </c>
      <c r="O508" s="17" t="s">
        <v>1027</v>
      </c>
      <c r="P508" s="17" t="s">
        <v>1028</v>
      </c>
      <c r="Q508" s="17" t="s">
        <v>1023</v>
      </c>
      <c r="R508" s="17" t="str">
        <f>VLOOKUP(A508,[1]Export!$A:$I,9,0)</f>
        <v>Comprou Marcas</v>
      </c>
      <c r="S508" s="17" t="s">
        <v>1022</v>
      </c>
      <c r="T508" s="20"/>
      <c r="U508" s="17"/>
      <c r="V508" s="17"/>
    </row>
    <row r="509" spans="1:22" x14ac:dyDescent="0.35">
      <c r="A509" s="5">
        <v>4834843002430</v>
      </c>
      <c r="B509" s="7" t="s">
        <v>994</v>
      </c>
      <c r="C509" s="4"/>
      <c r="D509" s="6" t="s">
        <v>91</v>
      </c>
      <c r="E509" s="6" t="s">
        <v>500</v>
      </c>
      <c r="F509" s="6" t="s">
        <v>48</v>
      </c>
      <c r="G509" s="11" t="s">
        <v>92</v>
      </c>
      <c r="H509" s="6" t="s">
        <v>17</v>
      </c>
      <c r="I509" s="21" t="s">
        <v>1071</v>
      </c>
      <c r="J509" s="18">
        <f>VLOOKUP(A509,[2]Export!$A:$B,2,0)</f>
        <v>12360.582361648758</v>
      </c>
      <c r="K509" s="18">
        <f>VLOOKUP(A509,[2]Export!$A:$C,3,0)</f>
        <v>13005.410000000003</v>
      </c>
      <c r="L509" s="19">
        <f t="shared" si="16"/>
        <v>1.0521680629184558</v>
      </c>
      <c r="M509" s="18">
        <f>VLOOKUP(A509,[2]Export!$A:$G,7,0)</f>
        <v>8589.1799999999985</v>
      </c>
      <c r="N509" s="19">
        <f t="shared" si="17"/>
        <v>0.694884735095467</v>
      </c>
      <c r="O509" s="17" t="s">
        <v>1027</v>
      </c>
      <c r="P509" s="17" t="s">
        <v>1028</v>
      </c>
      <c r="Q509" s="17" t="s">
        <v>1023</v>
      </c>
      <c r="R509" s="17" t="str">
        <f>VLOOKUP(A509,[1]Export!$A:$I,9,0)</f>
        <v>Comprou Marcas</v>
      </c>
      <c r="S509" s="17" t="s">
        <v>1022</v>
      </c>
      <c r="T509" s="20"/>
      <c r="U509" s="17"/>
      <c r="V509" s="17">
        <v>3</v>
      </c>
    </row>
    <row r="510" spans="1:22" x14ac:dyDescent="0.35">
      <c r="A510" s="4">
        <v>65824591000167</v>
      </c>
      <c r="B510" s="7"/>
      <c r="C510" s="4"/>
      <c r="D510" s="1" t="s">
        <v>460</v>
      </c>
      <c r="E510" s="1" t="s">
        <v>157</v>
      </c>
      <c r="F510" s="1" t="s">
        <v>48</v>
      </c>
      <c r="G510" s="10" t="s">
        <v>38</v>
      </c>
      <c r="H510" s="1" t="s">
        <v>17</v>
      </c>
      <c r="I510" s="21" t="s">
        <v>1071</v>
      </c>
      <c r="J510" s="18">
        <f>VLOOKUP(A510,[2]Export!$A:$B,2,0)</f>
        <v>3704.5584216858729</v>
      </c>
      <c r="K510" s="18">
        <f>VLOOKUP(A510,[2]Export!$A:$C,3,0)</f>
        <v>4385.0599999999995</v>
      </c>
      <c r="L510" s="19">
        <f t="shared" si="16"/>
        <v>1.18369303459505</v>
      </c>
      <c r="M510" s="18">
        <f>VLOOKUP(A510,[2]Export!$A:$G,7,0)</f>
        <v>1503.7099999999998</v>
      </c>
      <c r="N510" s="19">
        <f t="shared" si="17"/>
        <v>0.40590802703974915</v>
      </c>
      <c r="O510" s="17" t="s">
        <v>1027</v>
      </c>
      <c r="P510" s="17" t="s">
        <v>1028</v>
      </c>
      <c r="Q510" s="17" t="s">
        <v>1023</v>
      </c>
      <c r="R510" s="17" t="str">
        <f>VLOOKUP(A510,[1]Export!$A:$I,9,0)</f>
        <v>Comprou Marcas</v>
      </c>
      <c r="S510" s="17" t="s">
        <v>1022</v>
      </c>
      <c r="T510" s="20"/>
      <c r="U510" s="17"/>
      <c r="V510" s="17"/>
    </row>
    <row r="511" spans="1:22" x14ac:dyDescent="0.35">
      <c r="A511" s="5">
        <v>5638726000178</v>
      </c>
      <c r="B511" s="7"/>
      <c r="C511" s="4"/>
      <c r="D511" s="6" t="s">
        <v>585</v>
      </c>
      <c r="E511" s="6" t="s">
        <v>586</v>
      </c>
      <c r="F511" s="6" t="s">
        <v>8</v>
      </c>
      <c r="G511" s="11" t="s">
        <v>36</v>
      </c>
      <c r="H511" s="6" t="s">
        <v>17</v>
      </c>
      <c r="I511" s="21" t="s">
        <v>1072</v>
      </c>
      <c r="J511" s="18">
        <f>VLOOKUP(A511,[2]Export!$A:$B,2,0)</f>
        <v>3529.1278887131743</v>
      </c>
      <c r="K511" s="18">
        <f>VLOOKUP(A511,[2]Export!$A:$C,3,0)</f>
        <v>2385.3900000000008</v>
      </c>
      <c r="L511" s="19">
        <f t="shared" si="16"/>
        <v>0.67591486486758778</v>
      </c>
      <c r="M511" s="18">
        <f>VLOOKUP(A511,[2]Export!$A:$G,7,0)</f>
        <v>1869.2899999999997</v>
      </c>
      <c r="N511" s="19">
        <f t="shared" si="17"/>
        <v>0.52967476921942858</v>
      </c>
      <c r="O511" s="17" t="s">
        <v>1025</v>
      </c>
      <c r="P511" s="17" t="s">
        <v>1026</v>
      </c>
      <c r="Q511" s="17" t="s">
        <v>1023</v>
      </c>
      <c r="R511" s="17" t="str">
        <f>VLOOKUP(A511,[1]Export!$A:$I,9,0)</f>
        <v>Comprou Marcas</v>
      </c>
      <c r="S511" s="17" t="s">
        <v>1023</v>
      </c>
      <c r="T511" s="20"/>
      <c r="U511" s="17"/>
      <c r="V511" s="17"/>
    </row>
    <row r="512" spans="1:22" x14ac:dyDescent="0.35">
      <c r="A512" s="4">
        <v>18806193000642</v>
      </c>
      <c r="B512" s="7" t="s">
        <v>992</v>
      </c>
      <c r="C512" s="4"/>
      <c r="D512" s="1" t="s">
        <v>57</v>
      </c>
      <c r="E512" s="1" t="s">
        <v>61</v>
      </c>
      <c r="F512" s="1" t="s">
        <v>8</v>
      </c>
      <c r="G512" s="10" t="s">
        <v>9</v>
      </c>
      <c r="H512" s="1" t="s">
        <v>10</v>
      </c>
      <c r="I512" s="21" t="s">
        <v>1066</v>
      </c>
      <c r="J512" s="18">
        <f>VLOOKUP(A512,[2]Export!$A:$B,2,0)</f>
        <v>4284.223224518294</v>
      </c>
      <c r="K512" s="18">
        <f>VLOOKUP(A512,[2]Export!$A:$C,3,0)</f>
        <v>2150.7799999999997</v>
      </c>
      <c r="L512" s="19">
        <f t="shared" si="16"/>
        <v>0.50202332775081471</v>
      </c>
      <c r="M512" s="18">
        <f>VLOOKUP(A512,[2]Export!$A:$G,7,0)</f>
        <v>2762.74</v>
      </c>
      <c r="N512" s="19">
        <f t="shared" si="17"/>
        <v>0.64486369061935012</v>
      </c>
      <c r="O512" s="17" t="s">
        <v>1027</v>
      </c>
      <c r="P512" s="17" t="s">
        <v>1028</v>
      </c>
      <c r="Q512" s="17" t="s">
        <v>1022</v>
      </c>
      <c r="R512" s="17" t="str">
        <f>VLOOKUP(A512,[1]Export!$A:$I,9,0)</f>
        <v>Comprou Marcas</v>
      </c>
      <c r="S512" s="17" t="s">
        <v>1022</v>
      </c>
      <c r="T512" s="20"/>
      <c r="U512" s="17"/>
      <c r="V512" s="17"/>
    </row>
    <row r="513" spans="1:22" x14ac:dyDescent="0.35">
      <c r="A513" s="5">
        <v>1913782000112</v>
      </c>
      <c r="B513" s="7"/>
      <c r="C513" s="4"/>
      <c r="D513" s="6" t="s">
        <v>589</v>
      </c>
      <c r="E513" s="6" t="s">
        <v>50</v>
      </c>
      <c r="F513" s="6" t="s">
        <v>48</v>
      </c>
      <c r="G513" s="11" t="s">
        <v>589</v>
      </c>
      <c r="H513" s="6" t="s">
        <v>17</v>
      </c>
      <c r="I513" s="21" t="s">
        <v>1071</v>
      </c>
      <c r="J513" s="18">
        <f>VLOOKUP(A513,[2]Export!$A:$B,2,0)</f>
        <v>11052.544630361763</v>
      </c>
      <c r="K513" s="18">
        <f>VLOOKUP(A513,[2]Export!$A:$C,3,0)</f>
        <v>3687.5499999999997</v>
      </c>
      <c r="L513" s="19">
        <f t="shared" si="16"/>
        <v>0.33363810084694512</v>
      </c>
      <c r="M513" s="18">
        <f>VLOOKUP(A513,[2]Export!$A:$G,7,0)</f>
        <v>0</v>
      </c>
      <c r="N513" s="19">
        <f t="shared" si="17"/>
        <v>0</v>
      </c>
      <c r="O513" s="17" t="s">
        <v>1027</v>
      </c>
      <c r="P513" s="17" t="s">
        <v>1028</v>
      </c>
      <c r="Q513" s="17" t="s">
        <v>1023</v>
      </c>
      <c r="R513" s="17" t="str">
        <f>VLOOKUP(A513,[1]Export!$A:$I,9,0)</f>
        <v>Comprou SG</v>
      </c>
      <c r="S513" s="17" t="s">
        <v>1022</v>
      </c>
      <c r="T513" s="20"/>
      <c r="U513" s="17"/>
      <c r="V513" s="17"/>
    </row>
    <row r="514" spans="1:22" x14ac:dyDescent="0.35">
      <c r="A514" s="5">
        <v>13667030000106</v>
      </c>
      <c r="B514" s="7"/>
      <c r="C514" s="4"/>
      <c r="D514" s="6" t="s">
        <v>564</v>
      </c>
      <c r="E514" s="6" t="s">
        <v>384</v>
      </c>
      <c r="F514" s="6" t="s">
        <v>48</v>
      </c>
      <c r="G514" s="11" t="s">
        <v>38</v>
      </c>
      <c r="H514" s="6" t="s">
        <v>17</v>
      </c>
      <c r="I514" s="21" t="s">
        <v>1071</v>
      </c>
      <c r="J514" s="18">
        <f>VLOOKUP(A514,[2]Export!$A:$B,2,0)</f>
        <v>6554.552964213025</v>
      </c>
      <c r="K514" s="18">
        <f>VLOOKUP(A514,[2]Export!$A:$C,3,0)</f>
        <v>5861.6400000000012</v>
      </c>
      <c r="L514" s="19">
        <f t="shared" si="16"/>
        <v>0.89428524447109736</v>
      </c>
      <c r="M514" s="18">
        <f>VLOOKUP(A514,[2]Export!$A:$G,7,0)</f>
        <v>6799.4900000000016</v>
      </c>
      <c r="N514" s="19">
        <f t="shared" si="17"/>
        <v>1.0373689917717195</v>
      </c>
      <c r="O514" s="17" t="s">
        <v>1027</v>
      </c>
      <c r="P514" s="17" t="s">
        <v>1028</v>
      </c>
      <c r="Q514" s="17" t="s">
        <v>1023</v>
      </c>
      <c r="R514" s="17" t="str">
        <f>VLOOKUP(A514,[1]Export!$A:$I,9,0)</f>
        <v>Comprou Marcas e SG</v>
      </c>
      <c r="S514" s="17" t="s">
        <v>1022</v>
      </c>
      <c r="T514" s="20"/>
      <c r="U514" s="17"/>
      <c r="V514" s="17"/>
    </row>
    <row r="515" spans="1:22" x14ac:dyDescent="0.35">
      <c r="A515" s="5">
        <v>46726427000172</v>
      </c>
      <c r="B515" s="7"/>
      <c r="C515" s="4"/>
      <c r="D515" s="6" t="s">
        <v>591</v>
      </c>
      <c r="E515" s="6" t="s">
        <v>35</v>
      </c>
      <c r="F515" s="6" t="s">
        <v>8</v>
      </c>
      <c r="G515" s="11" t="s">
        <v>20</v>
      </c>
      <c r="H515" s="6" t="s">
        <v>17</v>
      </c>
      <c r="I515" s="21" t="s">
        <v>1070</v>
      </c>
      <c r="J515" s="18">
        <f>VLOOKUP(A515,[2]Export!$A:$B,2,0)</f>
        <v>461.86377396897592</v>
      </c>
      <c r="K515" s="18">
        <f>VLOOKUP(A515,[2]Export!$A:$C,3,0)</f>
        <v>739.33</v>
      </c>
      <c r="L515" s="19">
        <f t="shared" si="16"/>
        <v>1.6007533858883289</v>
      </c>
      <c r="M515" s="18">
        <f>VLOOKUP(A515,[2]Export!$A:$G,7,0)</f>
        <v>0</v>
      </c>
      <c r="N515" s="19">
        <f t="shared" si="17"/>
        <v>0</v>
      </c>
      <c r="O515" s="17" t="s">
        <v>1025</v>
      </c>
      <c r="P515" s="17" t="s">
        <v>1026</v>
      </c>
      <c r="Q515" s="17" t="s">
        <v>1022</v>
      </c>
      <c r="R515" s="17" t="str">
        <f>VLOOKUP(A515,[1]Export!$A:$I,9,0)</f>
        <v>Não Comprou</v>
      </c>
      <c r="S515" s="17" t="s">
        <v>1023</v>
      </c>
      <c r="T515" s="20"/>
      <c r="U515" s="17"/>
      <c r="V515" s="17">
        <v>1</v>
      </c>
    </row>
    <row r="516" spans="1:22" x14ac:dyDescent="0.35">
      <c r="A516" s="4">
        <v>44556106000141</v>
      </c>
      <c r="B516" s="7"/>
      <c r="C516" s="4"/>
      <c r="D516" s="1" t="s">
        <v>592</v>
      </c>
      <c r="E516" s="1" t="s">
        <v>12</v>
      </c>
      <c r="F516" s="1" t="s">
        <v>8</v>
      </c>
      <c r="G516" s="10" t="s">
        <v>550</v>
      </c>
      <c r="H516" s="1" t="s">
        <v>17</v>
      </c>
      <c r="I516" s="21" t="s">
        <v>1066</v>
      </c>
      <c r="J516" s="18">
        <f>VLOOKUP(A516,[2]Export!$A:$B,2,0)</f>
        <v>4579.2165797816488</v>
      </c>
      <c r="K516" s="18">
        <f>VLOOKUP(A516,[2]Export!$A:$C,3,0)</f>
        <v>1936.21</v>
      </c>
      <c r="L516" s="19">
        <f t="shared" si="16"/>
        <v>0.42282560046380785</v>
      </c>
      <c r="M516" s="18">
        <f>VLOOKUP(A516,[2]Export!$A:$G,7,0)</f>
        <v>1776.6300000000003</v>
      </c>
      <c r="N516" s="19">
        <f t="shared" si="17"/>
        <v>0.38797684473895655</v>
      </c>
      <c r="O516" s="17" t="s">
        <v>1029</v>
      </c>
      <c r="P516" s="17" t="s">
        <v>1026</v>
      </c>
      <c r="Q516" s="17" t="s">
        <v>1022</v>
      </c>
      <c r="R516" s="17" t="str">
        <f>VLOOKUP(A516,[1]Export!$A:$I,9,0)</f>
        <v>Comprou Marcas</v>
      </c>
      <c r="S516" s="17" t="s">
        <v>1022</v>
      </c>
      <c r="T516" s="20"/>
      <c r="U516" s="17"/>
      <c r="V516" s="17"/>
    </row>
    <row r="517" spans="1:22" x14ac:dyDescent="0.35">
      <c r="A517" s="5">
        <v>46943757000110</v>
      </c>
      <c r="B517" s="7"/>
      <c r="C517" s="4"/>
      <c r="D517" s="6" t="s">
        <v>593</v>
      </c>
      <c r="E517" s="6" t="s">
        <v>52</v>
      </c>
      <c r="F517" s="6" t="s">
        <v>8</v>
      </c>
      <c r="G517" s="11" t="s">
        <v>36</v>
      </c>
      <c r="H517" s="6" t="s">
        <v>17</v>
      </c>
      <c r="I517" s="21" t="s">
        <v>1072</v>
      </c>
      <c r="J517" s="18">
        <f>VLOOKUP(A517,[2]Export!$A:$B,2,0)</f>
        <v>1020.1706752159773</v>
      </c>
      <c r="K517" s="18">
        <f>VLOOKUP(A517,[2]Export!$A:$C,3,0)</f>
        <v>111.91999999999999</v>
      </c>
      <c r="L517" s="19">
        <f t="shared" si="16"/>
        <v>0.10970713305036506</v>
      </c>
      <c r="M517" s="18">
        <f>VLOOKUP(A517,[2]Export!$A:$G,7,0)</f>
        <v>306.70000000000005</v>
      </c>
      <c r="N517" s="19">
        <f t="shared" si="17"/>
        <v>0.30063596950095578</v>
      </c>
      <c r="O517" s="17" t="s">
        <v>1025</v>
      </c>
      <c r="P517" s="17" t="s">
        <v>1026</v>
      </c>
      <c r="Q517" s="17" t="s">
        <v>1023</v>
      </c>
      <c r="R517" s="17" t="str">
        <f>VLOOKUP(A517,[1]Export!$A:$I,9,0)</f>
        <v>Comprou Marcas</v>
      </c>
      <c r="S517" s="17" t="s">
        <v>1022</v>
      </c>
      <c r="T517" s="20"/>
      <c r="U517" s="17"/>
      <c r="V517" s="17"/>
    </row>
    <row r="518" spans="1:22" x14ac:dyDescent="0.35">
      <c r="A518" s="4">
        <v>49007687000186</v>
      </c>
      <c r="B518" s="7"/>
      <c r="C518" s="4"/>
      <c r="D518" s="1" t="s">
        <v>594</v>
      </c>
      <c r="E518" s="1" t="s">
        <v>595</v>
      </c>
      <c r="F518" s="1" t="s">
        <v>8</v>
      </c>
      <c r="G518" s="10" t="s">
        <v>36</v>
      </c>
      <c r="H518" s="1" t="s">
        <v>17</v>
      </c>
      <c r="I518" s="21" t="s">
        <v>1066</v>
      </c>
      <c r="J518" s="18">
        <f>VLOOKUP(A518,[2]Export!$A:$B,2,0)</f>
        <v>6176.7487480665777</v>
      </c>
      <c r="K518" s="18">
        <f>VLOOKUP(A518,[2]Export!$A:$C,3,0)</f>
        <v>8362.23</v>
      </c>
      <c r="L518" s="19">
        <f t="shared" si="16"/>
        <v>1.3538238871408705</v>
      </c>
      <c r="M518" s="18">
        <f>VLOOKUP(A518,[2]Export!$A:$G,7,0)</f>
        <v>6333.83</v>
      </c>
      <c r="N518" s="19">
        <f t="shared" si="17"/>
        <v>1.0254310573961085</v>
      </c>
      <c r="O518" s="17" t="s">
        <v>1027</v>
      </c>
      <c r="P518" s="17" t="s">
        <v>1028</v>
      </c>
      <c r="Q518" s="17" t="s">
        <v>1023</v>
      </c>
      <c r="R518" s="17" t="str">
        <f>VLOOKUP(A518,[1]Export!$A:$I,9,0)</f>
        <v>Comprou Marcas</v>
      </c>
      <c r="S518" s="17" t="s">
        <v>1022</v>
      </c>
      <c r="T518" s="20"/>
      <c r="U518" s="17"/>
      <c r="V518" s="17"/>
    </row>
    <row r="519" spans="1:22" x14ac:dyDescent="0.35">
      <c r="A519" s="5">
        <v>59535889000154</v>
      </c>
      <c r="B519" s="7"/>
      <c r="C519" s="4"/>
      <c r="D519" s="6" t="s">
        <v>33</v>
      </c>
      <c r="E519" s="6" t="s">
        <v>390</v>
      </c>
      <c r="F519" s="6" t="s">
        <v>8</v>
      </c>
      <c r="G519" s="11" t="s">
        <v>33</v>
      </c>
      <c r="H519" s="6" t="s">
        <v>17</v>
      </c>
      <c r="I519" s="21" t="s">
        <v>1068</v>
      </c>
      <c r="J519" s="18">
        <f>VLOOKUP(A519,[2]Export!$A:$B,2,0)</f>
        <v>1826.7675638873327</v>
      </c>
      <c r="K519" s="18">
        <f>VLOOKUP(A519,[2]Export!$A:$C,3,0)</f>
        <v>2624.5199999999995</v>
      </c>
      <c r="L519" s="19">
        <f t="shared" si="16"/>
        <v>1.4367016646688548</v>
      </c>
      <c r="M519" s="18">
        <f>VLOOKUP(A519,[2]Export!$A:$G,7,0)</f>
        <v>0</v>
      </c>
      <c r="N519" s="19">
        <f t="shared" si="17"/>
        <v>0</v>
      </c>
      <c r="O519" s="17"/>
      <c r="P519" s="17"/>
      <c r="Q519" s="17"/>
      <c r="R519" s="17" t="str">
        <f>VLOOKUP(A519,[1]Export!$A:$I,9,0)</f>
        <v>Não Comprou</v>
      </c>
      <c r="S519" s="17"/>
      <c r="T519" s="20"/>
      <c r="U519" s="17"/>
      <c r="V519" s="17"/>
    </row>
    <row r="520" spans="1:22" x14ac:dyDescent="0.35">
      <c r="A520" s="4">
        <v>49841927000143</v>
      </c>
      <c r="B520" s="7"/>
      <c r="C520" s="4"/>
      <c r="D520" s="1" t="s">
        <v>304</v>
      </c>
      <c r="E520" s="1" t="s">
        <v>596</v>
      </c>
      <c r="F520" s="1" t="s">
        <v>48</v>
      </c>
      <c r="G520" s="10" t="s">
        <v>80</v>
      </c>
      <c r="H520" s="1" t="s">
        <v>17</v>
      </c>
      <c r="I520" s="21" t="s">
        <v>1071</v>
      </c>
      <c r="J520" s="18">
        <f>VLOOKUP(A520,[2]Export!$A:$B,2,0)</f>
        <v>3766.027108977823</v>
      </c>
      <c r="K520" s="18">
        <f>VLOOKUP(A520,[2]Export!$A:$C,3,0)</f>
        <v>2961.5899999999997</v>
      </c>
      <c r="L520" s="19">
        <f t="shared" si="16"/>
        <v>0.7863963573018028</v>
      </c>
      <c r="M520" s="18">
        <f>VLOOKUP(A520,[2]Export!$A:$G,7,0)</f>
        <v>0</v>
      </c>
      <c r="N520" s="19">
        <f t="shared" si="17"/>
        <v>0</v>
      </c>
      <c r="O520" s="17" t="s">
        <v>1027</v>
      </c>
      <c r="P520" s="17" t="s">
        <v>1028</v>
      </c>
      <c r="Q520" s="17" t="s">
        <v>1023</v>
      </c>
      <c r="R520" s="17" t="str">
        <f>VLOOKUP(A520,[1]Export!$A:$I,9,0)</f>
        <v>Não Comprou</v>
      </c>
      <c r="S520" s="17" t="s">
        <v>1022</v>
      </c>
      <c r="T520" s="20"/>
      <c r="U520" s="17"/>
      <c r="V520" s="17"/>
    </row>
    <row r="521" spans="1:22" x14ac:dyDescent="0.35">
      <c r="A521" s="5">
        <v>53091979000117</v>
      </c>
      <c r="B521" s="7"/>
      <c r="C521" s="4"/>
      <c r="D521" s="6" t="s">
        <v>597</v>
      </c>
      <c r="E521" s="6" t="s">
        <v>379</v>
      </c>
      <c r="F521" s="6" t="s">
        <v>15</v>
      </c>
      <c r="G521" s="11" t="s">
        <v>36</v>
      </c>
      <c r="H521" s="6" t="s">
        <v>17</v>
      </c>
      <c r="I521" s="21" t="s">
        <v>1073</v>
      </c>
      <c r="J521" s="18">
        <f>VLOOKUP(A521,[2]Export!$A:$B,2,0)</f>
        <v>4323.23269541012</v>
      </c>
      <c r="K521" s="18">
        <f>VLOOKUP(A521,[2]Export!$A:$C,3,0)</f>
        <v>5571.67</v>
      </c>
      <c r="L521" s="19">
        <f t="shared" si="16"/>
        <v>1.2887740245662276</v>
      </c>
      <c r="M521" s="18">
        <f>VLOOKUP(A521,[2]Export!$A:$G,7,0)</f>
        <v>0</v>
      </c>
      <c r="N521" s="19">
        <f t="shared" si="17"/>
        <v>0</v>
      </c>
      <c r="O521" s="17" t="s">
        <v>1025</v>
      </c>
      <c r="P521" s="17" t="s">
        <v>1026</v>
      </c>
      <c r="Q521" s="17" t="s">
        <v>1023</v>
      </c>
      <c r="R521" s="17" t="str">
        <f>VLOOKUP(A521,[1]Export!$A:$I,9,0)</f>
        <v>Não Comprou</v>
      </c>
      <c r="S521" s="17" t="s">
        <v>1023</v>
      </c>
      <c r="T521" s="20">
        <v>4</v>
      </c>
      <c r="U521" s="17"/>
      <c r="V521" s="17"/>
    </row>
    <row r="522" spans="1:22" x14ac:dyDescent="0.35">
      <c r="A522" s="4">
        <v>96252382000110</v>
      </c>
      <c r="B522" s="7"/>
      <c r="C522" s="4"/>
      <c r="D522" s="1" t="s">
        <v>598</v>
      </c>
      <c r="E522" s="1" t="s">
        <v>599</v>
      </c>
      <c r="F522" s="1" t="s">
        <v>48</v>
      </c>
      <c r="G522" s="10" t="s">
        <v>20</v>
      </c>
      <c r="H522" s="1" t="s">
        <v>17</v>
      </c>
      <c r="I522" s="21" t="s">
        <v>1071</v>
      </c>
      <c r="J522" s="18">
        <f>VLOOKUP(A522,[2]Export!$A:$B,2,0)</f>
        <v>3524.7399300630627</v>
      </c>
      <c r="K522" s="18">
        <f>VLOOKUP(A522,[2]Export!$A:$C,3,0)</f>
        <v>1245.6099999999999</v>
      </c>
      <c r="L522" s="19">
        <f t="shared" si="16"/>
        <v>0.35339061170896491</v>
      </c>
      <c r="M522" s="18">
        <f>VLOOKUP(A522,[2]Export!$A:$G,7,0)</f>
        <v>1182.75</v>
      </c>
      <c r="N522" s="19">
        <f t="shared" si="17"/>
        <v>0.33555667183049132</v>
      </c>
      <c r="O522" s="17" t="s">
        <v>1025</v>
      </c>
      <c r="P522" s="17" t="s">
        <v>1026</v>
      </c>
      <c r="Q522" s="17" t="s">
        <v>1023</v>
      </c>
      <c r="R522" s="17" t="str">
        <f>VLOOKUP(A522,[1]Export!$A:$I,9,0)</f>
        <v>Comprou Marcas</v>
      </c>
      <c r="S522" s="17" t="s">
        <v>1023</v>
      </c>
      <c r="T522" s="20"/>
      <c r="U522" s="17"/>
      <c r="V522" s="17"/>
    </row>
    <row r="523" spans="1:22" x14ac:dyDescent="0.35">
      <c r="A523" s="5">
        <v>53039511000183</v>
      </c>
      <c r="B523" s="7"/>
      <c r="C523" s="4"/>
      <c r="D523" s="6" t="s">
        <v>600</v>
      </c>
      <c r="E523" s="6" t="s">
        <v>50</v>
      </c>
      <c r="F523" s="6" t="s">
        <v>48</v>
      </c>
      <c r="G523" s="11" t="s">
        <v>20</v>
      </c>
      <c r="H523" s="6" t="s">
        <v>17</v>
      </c>
      <c r="I523" s="21" t="s">
        <v>1071</v>
      </c>
      <c r="J523" s="18">
        <f>VLOOKUP(A523,[2]Export!$A:$B,2,0)</f>
        <v>3000.09026962398</v>
      </c>
      <c r="K523" s="18">
        <f>VLOOKUP(A523,[2]Export!$A:$C,3,0)</f>
        <v>2010.2299999999998</v>
      </c>
      <c r="L523" s="19">
        <f t="shared" si="16"/>
        <v>0.67005650475042355</v>
      </c>
      <c r="M523" s="18">
        <f>VLOOKUP(A523,[2]Export!$A:$G,7,0)</f>
        <v>1503.0399999999997</v>
      </c>
      <c r="N523" s="19">
        <f t="shared" si="17"/>
        <v>0.5009982583585344</v>
      </c>
      <c r="O523" s="17" t="s">
        <v>1027</v>
      </c>
      <c r="P523" s="17" t="s">
        <v>1028</v>
      </c>
      <c r="Q523" s="17" t="s">
        <v>1023</v>
      </c>
      <c r="R523" s="17" t="str">
        <f>VLOOKUP(A523,[1]Export!$A:$I,9,0)</f>
        <v>Comprou Marcas</v>
      </c>
      <c r="S523" s="17" t="s">
        <v>1023</v>
      </c>
      <c r="T523" s="20"/>
      <c r="U523" s="17"/>
      <c r="V523" s="17"/>
    </row>
    <row r="524" spans="1:22" x14ac:dyDescent="0.35">
      <c r="A524" s="4">
        <v>54288141000180</v>
      </c>
      <c r="B524" s="7"/>
      <c r="C524" s="4"/>
      <c r="D524" s="1" t="s">
        <v>601</v>
      </c>
      <c r="E524" s="1" t="s">
        <v>14</v>
      </c>
      <c r="F524" s="1" t="s">
        <v>15</v>
      </c>
      <c r="G524" s="10" t="s">
        <v>20</v>
      </c>
      <c r="H524" s="1" t="s">
        <v>17</v>
      </c>
      <c r="I524" s="21" t="s">
        <v>1067</v>
      </c>
      <c r="J524" s="18">
        <f>VLOOKUP(A524,[2]Export!$A:$B,2,0)</f>
        <v>6187.3721267756782</v>
      </c>
      <c r="K524" s="18">
        <f>VLOOKUP(A524,[2]Export!$A:$C,3,0)</f>
        <v>2424.8300000000008</v>
      </c>
      <c r="L524" s="19">
        <f t="shared" si="16"/>
        <v>0.39189981632212123</v>
      </c>
      <c r="M524" s="18">
        <f>VLOOKUP(A524,[2]Export!$A:$G,7,0)</f>
        <v>911.49</v>
      </c>
      <c r="N524" s="19">
        <f t="shared" si="17"/>
        <v>0.14731455961013767</v>
      </c>
      <c r="O524" s="17" t="s">
        <v>1025</v>
      </c>
      <c r="P524" s="17" t="s">
        <v>1026</v>
      </c>
      <c r="Q524" s="17" t="s">
        <v>1023</v>
      </c>
      <c r="R524" s="17" t="str">
        <f>VLOOKUP(A524,[1]Export!$A:$I,9,0)</f>
        <v>Comprou Marcas</v>
      </c>
      <c r="S524" s="17" t="s">
        <v>1023</v>
      </c>
      <c r="T524" s="20">
        <v>1</v>
      </c>
      <c r="U524" s="17"/>
      <c r="V524" s="17">
        <v>1</v>
      </c>
    </row>
    <row r="525" spans="1:22" x14ac:dyDescent="0.35">
      <c r="A525" s="5">
        <v>55133314000154</v>
      </c>
      <c r="B525" s="7"/>
      <c r="C525" s="4"/>
      <c r="D525" s="6" t="s">
        <v>90</v>
      </c>
      <c r="E525" s="6" t="s">
        <v>35</v>
      </c>
      <c r="F525" s="6" t="s">
        <v>8</v>
      </c>
      <c r="G525" s="11" t="s">
        <v>64</v>
      </c>
      <c r="H525" s="6" t="s">
        <v>17</v>
      </c>
      <c r="I525" s="21" t="s">
        <v>1070</v>
      </c>
      <c r="J525" s="18">
        <f>VLOOKUP(A525,[2]Export!$A:$B,2,0)</f>
        <v>418.25669277876096</v>
      </c>
      <c r="K525" s="18">
        <f>VLOOKUP(A525,[2]Export!$A:$C,3,0)</f>
        <v>0</v>
      </c>
      <c r="L525" s="19">
        <f t="shared" ref="L525:L588" si="18">K525/J525</f>
        <v>0</v>
      </c>
      <c r="M525" s="18">
        <f>VLOOKUP(A525,[2]Export!$A:$G,7,0)</f>
        <v>0</v>
      </c>
      <c r="N525" s="19">
        <f t="shared" ref="N525:N588" si="19">M525/J525</f>
        <v>0</v>
      </c>
      <c r="O525" s="17" t="s">
        <v>1029</v>
      </c>
      <c r="P525" s="17" t="s">
        <v>1026</v>
      </c>
      <c r="Q525" s="17" t="s">
        <v>1022</v>
      </c>
      <c r="R525" s="17" t="str">
        <f>VLOOKUP(A525,[1]Export!$A:$I,9,0)</f>
        <v>Não Comprou</v>
      </c>
      <c r="S525" s="17" t="s">
        <v>1023</v>
      </c>
      <c r="T525" s="20"/>
      <c r="U525" s="17"/>
      <c r="V525" s="17"/>
    </row>
    <row r="526" spans="1:22" x14ac:dyDescent="0.35">
      <c r="A526" s="4">
        <v>57629502000101</v>
      </c>
      <c r="B526" s="7"/>
      <c r="C526" s="4"/>
      <c r="D526" s="1" t="s">
        <v>602</v>
      </c>
      <c r="E526" s="1" t="s">
        <v>186</v>
      </c>
      <c r="F526" s="1" t="s">
        <v>15</v>
      </c>
      <c r="G526" s="10" t="s">
        <v>20</v>
      </c>
      <c r="H526" s="1" t="s">
        <v>17</v>
      </c>
      <c r="I526" s="21" t="s">
        <v>1067</v>
      </c>
      <c r="J526" s="18">
        <f>VLOOKUP(A526,[2]Export!$A:$B,2,0)</f>
        <v>1187.2943977847278</v>
      </c>
      <c r="K526" s="18">
        <f>VLOOKUP(A526,[2]Export!$A:$C,3,0)</f>
        <v>559.16</v>
      </c>
      <c r="L526" s="19">
        <f t="shared" si="18"/>
        <v>0.47095311916175914</v>
      </c>
      <c r="M526" s="18">
        <f>VLOOKUP(A526,[2]Export!$A:$G,7,0)</f>
        <v>0</v>
      </c>
      <c r="N526" s="19">
        <f t="shared" si="19"/>
        <v>0</v>
      </c>
      <c r="O526" s="17"/>
      <c r="P526" s="17"/>
      <c r="Q526" s="17"/>
      <c r="R526" s="17" t="str">
        <f>VLOOKUP(A526,[1]Export!$A:$I,9,0)</f>
        <v>Não Comprou</v>
      </c>
      <c r="S526" s="17"/>
      <c r="T526" s="20"/>
      <c r="U526" s="17"/>
      <c r="V526" s="17"/>
    </row>
    <row r="527" spans="1:22" x14ac:dyDescent="0.35">
      <c r="A527" s="5">
        <v>4716183000105</v>
      </c>
      <c r="B527" s="7"/>
      <c r="C527" s="4"/>
      <c r="D527" s="6" t="s">
        <v>357</v>
      </c>
      <c r="E527" s="6" t="s">
        <v>384</v>
      </c>
      <c r="F527" s="6" t="s">
        <v>48</v>
      </c>
      <c r="G527" s="11" t="s">
        <v>352</v>
      </c>
      <c r="H527" s="6" t="s">
        <v>17</v>
      </c>
      <c r="I527" s="21" t="s">
        <v>1071</v>
      </c>
      <c r="J527" s="18">
        <f>VLOOKUP(A527,[2]Export!$A:$B,2,0)</f>
        <v>11827.582212232277</v>
      </c>
      <c r="K527" s="18">
        <f>VLOOKUP(A527,[2]Export!$A:$C,3,0)</f>
        <v>6012.88</v>
      </c>
      <c r="L527" s="19">
        <f t="shared" si="18"/>
        <v>0.50837778102961584</v>
      </c>
      <c r="M527" s="18">
        <f>VLOOKUP(A527,[2]Export!$A:$G,7,0)</f>
        <v>3597.8300000000004</v>
      </c>
      <c r="N527" s="19">
        <f t="shared" si="19"/>
        <v>0.30418981119227106</v>
      </c>
      <c r="O527" s="17" t="s">
        <v>1025</v>
      </c>
      <c r="P527" s="17" t="s">
        <v>1026</v>
      </c>
      <c r="Q527" s="17" t="s">
        <v>1022</v>
      </c>
      <c r="R527" s="17" t="str">
        <f>VLOOKUP(A527,[1]Export!$A:$I,9,0)</f>
        <v>Comprou Marcas e SG</v>
      </c>
      <c r="S527" s="17" t="s">
        <v>1022</v>
      </c>
      <c r="T527" s="20"/>
      <c r="U527" s="17"/>
      <c r="V527" s="17"/>
    </row>
    <row r="528" spans="1:22" x14ac:dyDescent="0.35">
      <c r="A528" s="4">
        <v>5052802000169</v>
      </c>
      <c r="B528" s="7"/>
      <c r="C528" s="4"/>
      <c r="D528" s="1" t="s">
        <v>603</v>
      </c>
      <c r="E528" s="1" t="s">
        <v>358</v>
      </c>
      <c r="F528" s="1" t="s">
        <v>15</v>
      </c>
      <c r="G528" s="10" t="s">
        <v>16</v>
      </c>
      <c r="H528" s="1" t="s">
        <v>17</v>
      </c>
      <c r="I528" s="21" t="s">
        <v>1069</v>
      </c>
      <c r="J528" s="18">
        <f>VLOOKUP(A528,[2]Export!$A:$B,2,0)</f>
        <v>5731.7178487538658</v>
      </c>
      <c r="K528" s="18">
        <f>VLOOKUP(A528,[2]Export!$A:$C,3,0)</f>
        <v>2324.6200000000003</v>
      </c>
      <c r="L528" s="19">
        <f t="shared" si="18"/>
        <v>0.40557125478627609</v>
      </c>
      <c r="M528" s="18">
        <f>VLOOKUP(A528,[2]Export!$A:$G,7,0)</f>
        <v>0</v>
      </c>
      <c r="N528" s="19">
        <f t="shared" si="19"/>
        <v>0</v>
      </c>
      <c r="O528" s="17" t="s">
        <v>1029</v>
      </c>
      <c r="P528" s="17" t="s">
        <v>1026</v>
      </c>
      <c r="Q528" s="17" t="s">
        <v>1022</v>
      </c>
      <c r="R528" s="17" t="str">
        <f>VLOOKUP(A528,[1]Export!$A:$I,9,0)</f>
        <v>Não Comprou</v>
      </c>
      <c r="S528" s="17" t="s">
        <v>1022</v>
      </c>
      <c r="T528" s="20"/>
      <c r="U528" s="17"/>
      <c r="V528" s="17"/>
    </row>
    <row r="529" spans="1:22" x14ac:dyDescent="0.35">
      <c r="A529" s="4">
        <v>27545412000163</v>
      </c>
      <c r="B529" s="7" t="s">
        <v>991</v>
      </c>
      <c r="C529" s="4"/>
      <c r="D529" s="1" t="s">
        <v>6</v>
      </c>
      <c r="E529" s="1" t="s">
        <v>7</v>
      </c>
      <c r="F529" s="1" t="s">
        <v>8</v>
      </c>
      <c r="G529" s="10" t="s">
        <v>9</v>
      </c>
      <c r="H529" s="1" t="s">
        <v>10</v>
      </c>
      <c r="I529" s="21" t="s">
        <v>1066</v>
      </c>
      <c r="J529" s="18">
        <f>VLOOKUP(A529,[2]Export!$A:$B,2,0)</f>
        <v>9578.2109870873373</v>
      </c>
      <c r="K529" s="18">
        <f>VLOOKUP(A529,[2]Export!$A:$C,3,0)</f>
        <v>3905.79</v>
      </c>
      <c r="L529" s="19">
        <f t="shared" si="18"/>
        <v>0.40777865566602239</v>
      </c>
      <c r="M529" s="18">
        <f>VLOOKUP(A529,[2]Export!$A:$G,7,0)</f>
        <v>2447.2999999999993</v>
      </c>
      <c r="N529" s="19">
        <f t="shared" si="19"/>
        <v>0.25550700473181004</v>
      </c>
      <c r="O529" s="17" t="s">
        <v>1027</v>
      </c>
      <c r="P529" s="17" t="s">
        <v>1028</v>
      </c>
      <c r="Q529" s="17" t="s">
        <v>1023</v>
      </c>
      <c r="R529" s="17" t="str">
        <f>VLOOKUP(A529,[1]Export!$A:$I,9,0)</f>
        <v>Comprou Marcas</v>
      </c>
      <c r="S529" s="17"/>
      <c r="T529" s="20"/>
      <c r="U529" s="17"/>
      <c r="V529" s="17"/>
    </row>
    <row r="530" spans="1:22" x14ac:dyDescent="0.35">
      <c r="A530" s="4">
        <v>34607195000154</v>
      </c>
      <c r="B530" s="7"/>
      <c r="C530" s="4"/>
      <c r="D530" s="1" t="s">
        <v>604</v>
      </c>
      <c r="E530" s="1" t="s">
        <v>89</v>
      </c>
      <c r="F530" s="1" t="s">
        <v>15</v>
      </c>
      <c r="G530" s="10" t="s">
        <v>20</v>
      </c>
      <c r="H530" s="1" t="s">
        <v>17</v>
      </c>
      <c r="I530" s="21" t="s">
        <v>1067</v>
      </c>
      <c r="J530" s="18">
        <f>VLOOKUP(A530,[2]Export!$A:$B,2,0)</f>
        <v>405.60370259641059</v>
      </c>
      <c r="K530" s="18">
        <f>VLOOKUP(A530,[2]Export!$A:$C,3,0)</f>
        <v>224.92999999999998</v>
      </c>
      <c r="L530" s="19">
        <f t="shared" si="18"/>
        <v>0.55455608161401071</v>
      </c>
      <c r="M530" s="18">
        <f>VLOOKUP(A530,[2]Export!$A:$G,7,0)</f>
        <v>0</v>
      </c>
      <c r="N530" s="19">
        <f t="shared" si="19"/>
        <v>0</v>
      </c>
      <c r="O530" s="17" t="s">
        <v>1025</v>
      </c>
      <c r="P530" s="17" t="s">
        <v>1026</v>
      </c>
      <c r="Q530" s="17" t="s">
        <v>1023</v>
      </c>
      <c r="R530" s="17" t="str">
        <f>VLOOKUP(A530,[1]Export!$A:$I,9,0)</f>
        <v>Não Comprou</v>
      </c>
      <c r="S530" s="17" t="s">
        <v>1023</v>
      </c>
      <c r="T530" s="20"/>
      <c r="U530" s="17"/>
      <c r="V530" s="17"/>
    </row>
    <row r="531" spans="1:22" x14ac:dyDescent="0.35">
      <c r="A531" s="5">
        <v>34738410000156</v>
      </c>
      <c r="B531" s="7"/>
      <c r="C531" s="4"/>
      <c r="D531" s="6" t="s">
        <v>605</v>
      </c>
      <c r="E531" s="6" t="s">
        <v>182</v>
      </c>
      <c r="F531" s="6" t="s">
        <v>8</v>
      </c>
      <c r="G531" s="11" t="s">
        <v>20</v>
      </c>
      <c r="H531" s="6" t="s">
        <v>17</v>
      </c>
      <c r="I531" s="21" t="s">
        <v>1072</v>
      </c>
      <c r="J531" s="18">
        <f>VLOOKUP(A531,[2]Export!$A:$B,2,0)</f>
        <v>2969.9861114232208</v>
      </c>
      <c r="K531" s="18">
        <f>VLOOKUP(A531,[2]Export!$A:$C,3,0)</f>
        <v>1850.2000000000003</v>
      </c>
      <c r="L531" s="19">
        <f t="shared" si="18"/>
        <v>0.62296587613111165</v>
      </c>
      <c r="M531" s="18">
        <f>VLOOKUP(A531,[2]Export!$A:$G,7,0)</f>
        <v>137.85</v>
      </c>
      <c r="N531" s="19">
        <f t="shared" si="19"/>
        <v>4.6414358461071094E-2</v>
      </c>
      <c r="O531" s="17" t="s">
        <v>1027</v>
      </c>
      <c r="P531" s="17" t="s">
        <v>1028</v>
      </c>
      <c r="Q531" s="17" t="s">
        <v>1023</v>
      </c>
      <c r="R531" s="17" t="str">
        <f>VLOOKUP(A531,[1]Export!$A:$I,9,0)</f>
        <v>Comprou Marcas</v>
      </c>
      <c r="S531" s="17" t="s">
        <v>1023</v>
      </c>
      <c r="T531" s="20"/>
      <c r="U531" s="17"/>
      <c r="V531" s="17"/>
    </row>
    <row r="532" spans="1:22" x14ac:dyDescent="0.35">
      <c r="A532" s="4">
        <v>36014287000156</v>
      </c>
      <c r="B532" s="7"/>
      <c r="C532" s="4"/>
      <c r="D532" s="1" t="s">
        <v>150</v>
      </c>
      <c r="E532" s="1" t="s">
        <v>606</v>
      </c>
      <c r="F532" s="1" t="s">
        <v>48</v>
      </c>
      <c r="G532" s="10" t="s">
        <v>33</v>
      </c>
      <c r="H532" s="1" t="s">
        <v>17</v>
      </c>
      <c r="I532" s="21" t="s">
        <v>1071</v>
      </c>
      <c r="J532" s="18">
        <f>VLOOKUP(A532,[2]Export!$A:$B,2,0)</f>
        <v>15629.505037231791</v>
      </c>
      <c r="K532" s="18">
        <f>VLOOKUP(A532,[2]Export!$A:$C,3,0)</f>
        <v>20173.009999999995</v>
      </c>
      <c r="L532" s="19">
        <f t="shared" si="18"/>
        <v>1.2907005021556923</v>
      </c>
      <c r="M532" s="18">
        <f>VLOOKUP(A532,[2]Export!$A:$G,7,0)</f>
        <v>18154.129999999997</v>
      </c>
      <c r="N532" s="19">
        <f t="shared" si="19"/>
        <v>1.1615294250684316</v>
      </c>
      <c r="O532" s="17" t="s">
        <v>1027</v>
      </c>
      <c r="P532" s="17" t="s">
        <v>1026</v>
      </c>
      <c r="Q532" s="17" t="s">
        <v>1023</v>
      </c>
      <c r="R532" s="17" t="str">
        <f>VLOOKUP(A532,[1]Export!$A:$I,9,0)</f>
        <v>Comprou Marcas e SG</v>
      </c>
      <c r="S532" s="17" t="s">
        <v>1022</v>
      </c>
      <c r="T532" s="20">
        <v>4</v>
      </c>
      <c r="U532" s="17"/>
      <c r="V532" s="17"/>
    </row>
    <row r="533" spans="1:22" x14ac:dyDescent="0.35">
      <c r="A533" s="5">
        <v>38872460000425</v>
      </c>
      <c r="B533" s="7" t="s">
        <v>308</v>
      </c>
      <c r="C533" s="4"/>
      <c r="D533" s="6" t="s">
        <v>308</v>
      </c>
      <c r="E533" s="6" t="s">
        <v>307</v>
      </c>
      <c r="F533" s="6" t="s">
        <v>8</v>
      </c>
      <c r="G533" s="11" t="s">
        <v>74</v>
      </c>
      <c r="H533" s="6" t="s">
        <v>17</v>
      </c>
      <c r="I533" s="21" t="s">
        <v>1068</v>
      </c>
      <c r="J533" s="18">
        <f>VLOOKUP(A533,[2]Export!$A:$B,2,0)</f>
        <v>8516.5057857969387</v>
      </c>
      <c r="K533" s="18">
        <f>VLOOKUP(A533,[2]Export!$A:$C,3,0)</f>
        <v>8428.3499999999985</v>
      </c>
      <c r="L533" s="19">
        <f t="shared" si="18"/>
        <v>0.98964883157316019</v>
      </c>
      <c r="M533" s="18">
        <f>VLOOKUP(A533,[2]Export!$A:$G,7,0)</f>
        <v>8944.779999999997</v>
      </c>
      <c r="N533" s="19">
        <f t="shared" si="19"/>
        <v>1.0502875504314568</v>
      </c>
      <c r="O533" s="17" t="s">
        <v>1029</v>
      </c>
      <c r="P533" s="17" t="s">
        <v>1026</v>
      </c>
      <c r="Q533" s="17" t="s">
        <v>1022</v>
      </c>
      <c r="R533" s="17" t="str">
        <f>VLOOKUP(A533,[1]Export!$A:$I,9,0)</f>
        <v>Comprou Marcas e SG</v>
      </c>
      <c r="S533" s="17" t="s">
        <v>1022</v>
      </c>
      <c r="T533" s="20"/>
      <c r="U533" s="17"/>
      <c r="V533" s="17"/>
    </row>
    <row r="534" spans="1:22" x14ac:dyDescent="0.35">
      <c r="A534" s="4">
        <v>43162536000116</v>
      </c>
      <c r="B534" s="7"/>
      <c r="C534" s="4"/>
      <c r="D534" s="1" t="s">
        <v>607</v>
      </c>
      <c r="E534" s="1" t="s">
        <v>608</v>
      </c>
      <c r="F534" s="1" t="s">
        <v>48</v>
      </c>
      <c r="G534" s="10" t="s">
        <v>20</v>
      </c>
      <c r="H534" s="1" t="s">
        <v>17</v>
      </c>
      <c r="I534" s="21" t="s">
        <v>1071</v>
      </c>
      <c r="J534" s="18">
        <f>VLOOKUP(A534,[2]Export!$A:$B,2,0)</f>
        <v>2918.532855852221</v>
      </c>
      <c r="K534" s="18">
        <f>VLOOKUP(A534,[2]Export!$A:$C,3,0)</f>
        <v>1961.3500000000004</v>
      </c>
      <c r="L534" s="19">
        <f t="shared" si="18"/>
        <v>0.67203286612556568</v>
      </c>
      <c r="M534" s="18">
        <f>VLOOKUP(A534,[2]Export!$A:$G,7,0)</f>
        <v>0</v>
      </c>
      <c r="N534" s="19">
        <f t="shared" si="19"/>
        <v>0</v>
      </c>
      <c r="O534" s="17" t="s">
        <v>1025</v>
      </c>
      <c r="P534" s="17" t="s">
        <v>1026</v>
      </c>
      <c r="Q534" s="17" t="s">
        <v>1023</v>
      </c>
      <c r="R534" s="17" t="str">
        <f>VLOOKUP(A534,[1]Export!$A:$I,9,0)</f>
        <v>Comprou SG</v>
      </c>
      <c r="S534" s="17" t="s">
        <v>1022</v>
      </c>
      <c r="T534" s="20"/>
      <c r="U534" s="17"/>
      <c r="V534" s="17"/>
    </row>
    <row r="535" spans="1:22" x14ac:dyDescent="0.35">
      <c r="A535" s="5">
        <v>46018910000100</v>
      </c>
      <c r="B535" s="7"/>
      <c r="C535" s="4"/>
      <c r="D535" s="6" t="s">
        <v>597</v>
      </c>
      <c r="E535" s="6" t="s">
        <v>379</v>
      </c>
      <c r="F535" s="6" t="s">
        <v>15</v>
      </c>
      <c r="G535" s="11" t="s">
        <v>36</v>
      </c>
      <c r="H535" s="6" t="s">
        <v>17</v>
      </c>
      <c r="I535" s="21" t="s">
        <v>1073</v>
      </c>
      <c r="J535" s="18">
        <f>VLOOKUP(A535,[2]Export!$A:$B,2,0)</f>
        <v>8516.0721692022671</v>
      </c>
      <c r="K535" s="18">
        <f>VLOOKUP(A535,[2]Export!$A:$C,3,0)</f>
        <v>1540.31</v>
      </c>
      <c r="L535" s="19">
        <f t="shared" si="18"/>
        <v>0.18087094254208119</v>
      </c>
      <c r="M535" s="18">
        <f>VLOOKUP(A535,[2]Export!$A:$G,7,0)</f>
        <v>0</v>
      </c>
      <c r="N535" s="19">
        <f t="shared" si="19"/>
        <v>0</v>
      </c>
      <c r="O535" s="17" t="s">
        <v>1025</v>
      </c>
      <c r="P535" s="17" t="s">
        <v>1026</v>
      </c>
      <c r="Q535" s="17" t="s">
        <v>1023</v>
      </c>
      <c r="R535" s="17" t="str">
        <f>VLOOKUP(A535,[1]Export!$A:$I,9,0)</f>
        <v>Não Comprou</v>
      </c>
      <c r="S535" s="17" t="s">
        <v>1023</v>
      </c>
      <c r="T535" s="20">
        <v>4</v>
      </c>
      <c r="U535" s="17"/>
      <c r="V535" s="17"/>
    </row>
    <row r="536" spans="1:22" x14ac:dyDescent="0.35">
      <c r="A536" s="4">
        <v>47216701000126</v>
      </c>
      <c r="B536" s="7"/>
      <c r="C536" s="4"/>
      <c r="D536" s="1" t="s">
        <v>42</v>
      </c>
      <c r="E536" s="1" t="s">
        <v>43</v>
      </c>
      <c r="F536" s="1" t="s">
        <v>8</v>
      </c>
      <c r="G536" s="10" t="s">
        <v>36</v>
      </c>
      <c r="H536" s="1" t="s">
        <v>17</v>
      </c>
      <c r="I536" s="21" t="s">
        <v>1068</v>
      </c>
      <c r="J536" s="18">
        <f>VLOOKUP(A536,[2]Export!$A:$B,2,0)</f>
        <v>2778.7720746563391</v>
      </c>
      <c r="K536" s="18">
        <f>VLOOKUP(A536,[2]Export!$A:$C,3,0)</f>
        <v>1228.1200000000001</v>
      </c>
      <c r="L536" s="19">
        <f t="shared" si="18"/>
        <v>0.44196500000882089</v>
      </c>
      <c r="M536" s="18">
        <f>VLOOKUP(A536,[2]Export!$A:$G,7,0)</f>
        <v>205.9</v>
      </c>
      <c r="N536" s="19">
        <f t="shared" si="19"/>
        <v>7.4097477039553314E-2</v>
      </c>
      <c r="O536" s="17" t="s">
        <v>1025</v>
      </c>
      <c r="P536" s="17" t="s">
        <v>1026</v>
      </c>
      <c r="Q536" s="17" t="s">
        <v>1023</v>
      </c>
      <c r="R536" s="17" t="str">
        <f>VLOOKUP(A536,[1]Export!$A:$I,9,0)</f>
        <v>Comprou Marcas</v>
      </c>
      <c r="S536" s="17" t="s">
        <v>1023</v>
      </c>
      <c r="T536" s="20"/>
      <c r="U536" s="17"/>
      <c r="V536" s="17"/>
    </row>
    <row r="537" spans="1:22" x14ac:dyDescent="0.35">
      <c r="A537" s="5">
        <v>55248561000104</v>
      </c>
      <c r="B537" s="7"/>
      <c r="C537" s="4"/>
      <c r="D537" s="6" t="s">
        <v>609</v>
      </c>
      <c r="E537" s="6" t="s">
        <v>295</v>
      </c>
      <c r="F537" s="6" t="s">
        <v>48</v>
      </c>
      <c r="G537" s="11" t="s">
        <v>352</v>
      </c>
      <c r="H537" s="6" t="s">
        <v>17</v>
      </c>
      <c r="I537" s="21" t="s">
        <v>1071</v>
      </c>
      <c r="J537" s="18">
        <f>VLOOKUP(A537,[2]Export!$A:$B,2,0)</f>
        <v>3424.2501926250843</v>
      </c>
      <c r="K537" s="18">
        <f>VLOOKUP(A537,[2]Export!$A:$C,3,0)</f>
        <v>1445.6300000000003</v>
      </c>
      <c r="L537" s="19">
        <f t="shared" si="18"/>
        <v>0.42217417498099269</v>
      </c>
      <c r="M537" s="18">
        <f>VLOOKUP(A537,[2]Export!$A:$G,7,0)</f>
        <v>1463.4800000000002</v>
      </c>
      <c r="N537" s="19">
        <f t="shared" si="19"/>
        <v>0.42738699501337352</v>
      </c>
      <c r="O537" s="17" t="s">
        <v>1031</v>
      </c>
      <c r="P537" s="17" t="s">
        <v>1026</v>
      </c>
      <c r="Q537" s="17" t="s">
        <v>1023</v>
      </c>
      <c r="R537" s="17" t="str">
        <f>VLOOKUP(A537,[1]Export!$A:$I,9,0)</f>
        <v>Comprou Marcas</v>
      </c>
      <c r="S537" s="17" t="s">
        <v>1022</v>
      </c>
      <c r="T537" s="20"/>
      <c r="U537" s="17"/>
      <c r="V537" s="17"/>
    </row>
    <row r="538" spans="1:22" x14ac:dyDescent="0.35">
      <c r="A538" s="4">
        <v>55323943000147</v>
      </c>
      <c r="B538" s="7"/>
      <c r="C538" s="4"/>
      <c r="D538" s="1" t="s">
        <v>610</v>
      </c>
      <c r="E538" s="1" t="s">
        <v>50</v>
      </c>
      <c r="F538" s="1" t="s">
        <v>48</v>
      </c>
      <c r="G538" s="10" t="s">
        <v>20</v>
      </c>
      <c r="H538" s="1" t="s">
        <v>17</v>
      </c>
      <c r="I538" s="21" t="s">
        <v>1071</v>
      </c>
      <c r="J538" s="18">
        <f>VLOOKUP(A538,[2]Export!$A:$B,2,0)</f>
        <v>3266.3943942087544</v>
      </c>
      <c r="K538" s="18">
        <f>VLOOKUP(A538,[2]Export!$A:$C,3,0)</f>
        <v>1433.9200000000003</v>
      </c>
      <c r="L538" s="19">
        <f t="shared" si="18"/>
        <v>0.438991691432703</v>
      </c>
      <c r="M538" s="18">
        <f>VLOOKUP(A538,[2]Export!$A:$G,7,0)</f>
        <v>283.24</v>
      </c>
      <c r="N538" s="19">
        <f t="shared" si="19"/>
        <v>8.6713349894972369E-2</v>
      </c>
      <c r="O538" s="17" t="s">
        <v>1025</v>
      </c>
      <c r="P538" s="17" t="s">
        <v>1026</v>
      </c>
      <c r="Q538" s="17" t="s">
        <v>1023</v>
      </c>
      <c r="R538" s="17" t="str">
        <f>VLOOKUP(A538,[1]Export!$A:$I,9,0)</f>
        <v>Não Comprou</v>
      </c>
      <c r="S538" s="17" t="s">
        <v>1022</v>
      </c>
      <c r="T538" s="20"/>
      <c r="U538" s="17"/>
      <c r="V538" s="17"/>
    </row>
    <row r="539" spans="1:22" x14ac:dyDescent="0.35">
      <c r="A539" s="4">
        <v>18715418000140</v>
      </c>
      <c r="B539" s="7"/>
      <c r="C539" s="4"/>
      <c r="D539" s="1" t="s">
        <v>775</v>
      </c>
      <c r="E539" s="1" t="s">
        <v>405</v>
      </c>
      <c r="F539" s="1" t="s">
        <v>48</v>
      </c>
      <c r="G539" s="10" t="s">
        <v>38</v>
      </c>
      <c r="H539" s="1" t="s">
        <v>17</v>
      </c>
      <c r="I539" s="21" t="s">
        <v>1071</v>
      </c>
      <c r="J539" s="18">
        <f>VLOOKUP(A539,[2]Export!$A:$B,2,0)</f>
        <v>7090.0321745616129</v>
      </c>
      <c r="K539" s="18">
        <f>VLOOKUP(A539,[2]Export!$A:$C,3,0)</f>
        <v>3810.0899999999992</v>
      </c>
      <c r="L539" s="19">
        <f t="shared" si="18"/>
        <v>0.53738684200478715</v>
      </c>
      <c r="M539" s="18">
        <f>VLOOKUP(A539,[2]Export!$A:$G,7,0)</f>
        <v>2439.8300000000004</v>
      </c>
      <c r="N539" s="19">
        <f t="shared" si="19"/>
        <v>0.34412114641085656</v>
      </c>
      <c r="O539" s="17" t="s">
        <v>1027</v>
      </c>
      <c r="P539" s="17" t="s">
        <v>1028</v>
      </c>
      <c r="Q539" s="17" t="s">
        <v>1023</v>
      </c>
      <c r="R539" s="17" t="str">
        <f>VLOOKUP(A539,[1]Export!$A:$I,9,0)</f>
        <v>Comprou Marcas e SG</v>
      </c>
      <c r="S539" s="17" t="s">
        <v>1022</v>
      </c>
      <c r="T539" s="20"/>
      <c r="U539" s="17"/>
      <c r="V539" s="17"/>
    </row>
    <row r="540" spans="1:22" x14ac:dyDescent="0.35">
      <c r="A540" s="4">
        <v>58080762000125</v>
      </c>
      <c r="B540" s="7"/>
      <c r="C540" s="4"/>
      <c r="D540" s="1" t="s">
        <v>612</v>
      </c>
      <c r="E540" s="1" t="s">
        <v>61</v>
      </c>
      <c r="F540" s="1" t="s">
        <v>8</v>
      </c>
      <c r="G540" s="10" t="s">
        <v>36</v>
      </c>
      <c r="H540" s="1" t="s">
        <v>17</v>
      </c>
      <c r="I540" s="21" t="s">
        <v>1066</v>
      </c>
      <c r="J540" s="18">
        <f>VLOOKUP(A540,[2]Export!$A:$B,2,0)</f>
        <v>2022.8655795559625</v>
      </c>
      <c r="K540" s="18">
        <f>VLOOKUP(A540,[2]Export!$A:$C,3,0)</f>
        <v>1021.8899999999999</v>
      </c>
      <c r="L540" s="19">
        <f t="shared" si="18"/>
        <v>0.50516950326690224</v>
      </c>
      <c r="M540" s="18">
        <f>VLOOKUP(A540,[2]Export!$A:$G,7,0)</f>
        <v>317.86</v>
      </c>
      <c r="N540" s="19">
        <f t="shared" si="19"/>
        <v>0.15713352543661016</v>
      </c>
      <c r="O540" s="17" t="s">
        <v>1025</v>
      </c>
      <c r="P540" s="17" t="s">
        <v>1026</v>
      </c>
      <c r="Q540" s="17" t="s">
        <v>1023</v>
      </c>
      <c r="R540" s="17" t="str">
        <f>VLOOKUP(A540,[1]Export!$A:$I,9,0)</f>
        <v>Comprou Marcas</v>
      </c>
      <c r="S540" s="17" t="s">
        <v>1023</v>
      </c>
      <c r="T540" s="20"/>
      <c r="U540" s="17"/>
      <c r="V540" s="17">
        <v>1</v>
      </c>
    </row>
    <row r="541" spans="1:22" x14ac:dyDescent="0.35">
      <c r="A541" s="5">
        <v>58694365000143</v>
      </c>
      <c r="B541" s="7"/>
      <c r="C541" s="4"/>
      <c r="D541" s="6" t="s">
        <v>613</v>
      </c>
      <c r="E541" s="6" t="s">
        <v>206</v>
      </c>
      <c r="F541" s="6" t="s">
        <v>48</v>
      </c>
      <c r="G541" s="11" t="s">
        <v>614</v>
      </c>
      <c r="H541" s="6" t="s">
        <v>17</v>
      </c>
      <c r="I541" s="21" t="s">
        <v>1073</v>
      </c>
      <c r="J541" s="18">
        <f>VLOOKUP(A541,[2]Export!$A:$B,2,0)</f>
        <v>3876.5100431236701</v>
      </c>
      <c r="K541" s="18">
        <f>VLOOKUP(A541,[2]Export!$A:$C,3,0)</f>
        <v>2915.5299999999993</v>
      </c>
      <c r="L541" s="19">
        <f t="shared" si="18"/>
        <v>0.75210175326946438</v>
      </c>
      <c r="M541" s="18">
        <f>VLOOKUP(A541,[2]Export!$A:$G,7,0)</f>
        <v>1743.8000000000002</v>
      </c>
      <c r="N541" s="19">
        <f t="shared" si="19"/>
        <v>0.44983760666201084</v>
      </c>
      <c r="O541" s="17" t="s">
        <v>1029</v>
      </c>
      <c r="P541" s="17" t="s">
        <v>1026</v>
      </c>
      <c r="Q541" s="17" t="s">
        <v>1022</v>
      </c>
      <c r="R541" s="17" t="str">
        <f>VLOOKUP(A541,[1]Export!$A:$I,9,0)</f>
        <v>Comprou Marcas e SG</v>
      </c>
      <c r="S541" s="17" t="s">
        <v>1022</v>
      </c>
      <c r="T541" s="20"/>
      <c r="U541" s="17"/>
      <c r="V541" s="17"/>
    </row>
    <row r="542" spans="1:22" x14ac:dyDescent="0.35">
      <c r="A542" s="4">
        <v>54858819000113</v>
      </c>
      <c r="B542" s="7"/>
      <c r="C542" s="4"/>
      <c r="D542" s="1" t="s">
        <v>615</v>
      </c>
      <c r="E542" s="1" t="s">
        <v>125</v>
      </c>
      <c r="F542" s="1" t="s">
        <v>15</v>
      </c>
      <c r="G542" s="10" t="s">
        <v>36</v>
      </c>
      <c r="H542" s="1" t="s">
        <v>17</v>
      </c>
      <c r="I542" s="21" t="s">
        <v>1067</v>
      </c>
      <c r="J542" s="18">
        <f>VLOOKUP(A542,[2]Export!$A:$B,2,0)</f>
        <v>8108.3938402961958</v>
      </c>
      <c r="K542" s="18">
        <f>VLOOKUP(A542,[2]Export!$A:$C,3,0)</f>
        <v>1221.6599999999999</v>
      </c>
      <c r="L542" s="19">
        <f t="shared" si="18"/>
        <v>0.15066609048128984</v>
      </c>
      <c r="M542" s="18">
        <f>VLOOKUP(A542,[2]Export!$A:$G,7,0)</f>
        <v>480.21999999999997</v>
      </c>
      <c r="N542" s="19">
        <f t="shared" si="19"/>
        <v>5.9225046224747488E-2</v>
      </c>
      <c r="O542" s="17" t="s">
        <v>1025</v>
      </c>
      <c r="P542" s="17" t="s">
        <v>1026</v>
      </c>
      <c r="Q542" s="17" t="s">
        <v>1023</v>
      </c>
      <c r="R542" s="17" t="str">
        <f>VLOOKUP(A542,[1]Export!$A:$I,9,0)</f>
        <v>Comprou Marcas</v>
      </c>
      <c r="S542" s="17" t="s">
        <v>1023</v>
      </c>
      <c r="T542" s="20"/>
      <c r="U542" s="17"/>
      <c r="V542" s="17"/>
    </row>
    <row r="543" spans="1:22" x14ac:dyDescent="0.35">
      <c r="A543" s="5">
        <v>43054517000176</v>
      </c>
      <c r="B543" s="7"/>
      <c r="C543" s="4"/>
      <c r="D543" s="6" t="s">
        <v>150</v>
      </c>
      <c r="E543" s="6" t="s">
        <v>358</v>
      </c>
      <c r="F543" s="6" t="s">
        <v>15</v>
      </c>
      <c r="G543" s="11" t="s">
        <v>33</v>
      </c>
      <c r="H543" s="6" t="s">
        <v>17</v>
      </c>
      <c r="I543" s="21" t="s">
        <v>1069</v>
      </c>
      <c r="J543" s="18">
        <f>VLOOKUP(A543,[2]Export!$A:$B,2,0)</f>
        <v>13453.053394235025</v>
      </c>
      <c r="K543" s="18">
        <f>VLOOKUP(A543,[2]Export!$A:$C,3,0)</f>
        <v>9370.6700000000019</v>
      </c>
      <c r="L543" s="19">
        <f t="shared" si="18"/>
        <v>0.69654596063787066</v>
      </c>
      <c r="M543" s="18">
        <f>VLOOKUP(A543,[2]Export!$A:$G,7,0)</f>
        <v>7825.06</v>
      </c>
      <c r="N543" s="19">
        <f t="shared" si="19"/>
        <v>0.58165680092767913</v>
      </c>
      <c r="O543" s="17" t="s">
        <v>1027</v>
      </c>
      <c r="P543" s="17" t="s">
        <v>1026</v>
      </c>
      <c r="Q543" s="17" t="s">
        <v>1023</v>
      </c>
      <c r="R543" s="17" t="str">
        <f>VLOOKUP(A543,[1]Export!$A:$I,9,0)</f>
        <v>Comprou Marcas</v>
      </c>
      <c r="S543" s="17" t="s">
        <v>1022</v>
      </c>
      <c r="T543" s="20">
        <v>2</v>
      </c>
      <c r="U543" s="17"/>
      <c r="V543" s="17">
        <v>2</v>
      </c>
    </row>
    <row r="544" spans="1:22" x14ac:dyDescent="0.35">
      <c r="A544" s="4">
        <v>43491146000190</v>
      </c>
      <c r="B544" s="7"/>
      <c r="C544" s="4"/>
      <c r="D544" s="1" t="s">
        <v>616</v>
      </c>
      <c r="E544" s="1" t="s">
        <v>52</v>
      </c>
      <c r="F544" s="1" t="s">
        <v>8</v>
      </c>
      <c r="G544" s="10" t="s">
        <v>16</v>
      </c>
      <c r="H544" s="1" t="s">
        <v>17</v>
      </c>
      <c r="I544" s="21" t="s">
        <v>1072</v>
      </c>
      <c r="J544" s="18">
        <f>VLOOKUP(A544,[2]Export!$A:$B,2,0)</f>
        <v>3771.6636636850012</v>
      </c>
      <c r="K544" s="18">
        <f>VLOOKUP(A544,[2]Export!$A:$C,3,0)</f>
        <v>1697.97</v>
      </c>
      <c r="L544" s="19">
        <f t="shared" si="18"/>
        <v>0.45019125547929817</v>
      </c>
      <c r="M544" s="18">
        <f>VLOOKUP(A544,[2]Export!$A:$G,7,0)</f>
        <v>0</v>
      </c>
      <c r="N544" s="19">
        <f t="shared" si="19"/>
        <v>0</v>
      </c>
      <c r="O544" s="17" t="s">
        <v>1029</v>
      </c>
      <c r="P544" s="17" t="s">
        <v>1026</v>
      </c>
      <c r="Q544" s="17" t="s">
        <v>1023</v>
      </c>
      <c r="R544" s="17" t="str">
        <f>VLOOKUP(A544,[1]Export!$A:$I,9,0)</f>
        <v>Não Comprou</v>
      </c>
      <c r="S544" s="17" t="s">
        <v>1023</v>
      </c>
      <c r="T544" s="20"/>
      <c r="U544" s="17"/>
      <c r="V544" s="17"/>
    </row>
    <row r="545" spans="1:22" x14ac:dyDescent="0.35">
      <c r="A545" s="5">
        <v>43963049000152</v>
      </c>
      <c r="B545" s="7"/>
      <c r="C545" s="4"/>
      <c r="D545" s="6" t="s">
        <v>617</v>
      </c>
      <c r="E545" s="6" t="s">
        <v>206</v>
      </c>
      <c r="F545" s="6" t="s">
        <v>48</v>
      </c>
      <c r="G545" s="11" t="s">
        <v>20</v>
      </c>
      <c r="H545" s="6" t="s">
        <v>17</v>
      </c>
      <c r="I545" s="21" t="s">
        <v>1073</v>
      </c>
      <c r="J545" s="18">
        <f>VLOOKUP(A545,[2]Export!$A:$B,2,0)</f>
        <v>3123.8607713471265</v>
      </c>
      <c r="K545" s="18">
        <f>VLOOKUP(A545,[2]Export!$A:$C,3,0)</f>
        <v>999</v>
      </c>
      <c r="L545" s="19">
        <f t="shared" si="18"/>
        <v>0.31979658285769041</v>
      </c>
      <c r="M545" s="18">
        <f>VLOOKUP(A545,[2]Export!$A:$G,7,0)</f>
        <v>1253.6899999999998</v>
      </c>
      <c r="N545" s="19">
        <f t="shared" si="19"/>
        <v>0.40132710506792574</v>
      </c>
      <c r="O545" s="17" t="s">
        <v>1025</v>
      </c>
      <c r="P545" s="17" t="s">
        <v>1026</v>
      </c>
      <c r="Q545" s="17" t="s">
        <v>1023</v>
      </c>
      <c r="R545" s="17" t="str">
        <f>VLOOKUP(A545,[1]Export!$A:$I,9,0)</f>
        <v>Comprou SG</v>
      </c>
      <c r="S545" s="17" t="s">
        <v>1023</v>
      </c>
      <c r="T545" s="20"/>
      <c r="U545" s="17"/>
      <c r="V545" s="17"/>
    </row>
    <row r="546" spans="1:22" x14ac:dyDescent="0.35">
      <c r="A546" s="4">
        <v>49580979000103</v>
      </c>
      <c r="B546" s="7"/>
      <c r="C546" s="4"/>
      <c r="D546" s="1" t="s">
        <v>618</v>
      </c>
      <c r="E546" s="1" t="s">
        <v>14</v>
      </c>
      <c r="F546" s="1" t="s">
        <v>15</v>
      </c>
      <c r="G546" s="10" t="s">
        <v>20</v>
      </c>
      <c r="H546" s="1" t="s">
        <v>17</v>
      </c>
      <c r="I546" s="21" t="s">
        <v>1067</v>
      </c>
      <c r="J546" s="18">
        <f>VLOOKUP(A546,[2]Export!$A:$B,2,0)</f>
        <v>2519.8139368738293</v>
      </c>
      <c r="K546" s="18">
        <f>VLOOKUP(A546,[2]Export!$A:$C,3,0)</f>
        <v>1069.01</v>
      </c>
      <c r="L546" s="19">
        <f t="shared" si="18"/>
        <v>0.42424164116111357</v>
      </c>
      <c r="M546" s="18">
        <f>VLOOKUP(A546,[2]Export!$A:$G,7,0)</f>
        <v>1027.25</v>
      </c>
      <c r="N546" s="19">
        <f t="shared" si="19"/>
        <v>0.40766898895497133</v>
      </c>
      <c r="O546" s="17" t="s">
        <v>1025</v>
      </c>
      <c r="P546" s="17" t="s">
        <v>1026</v>
      </c>
      <c r="Q546" s="17" t="s">
        <v>1023</v>
      </c>
      <c r="R546" s="17" t="str">
        <f>VLOOKUP(A546,[1]Export!$A:$I,9,0)</f>
        <v>Comprou Marcas</v>
      </c>
      <c r="S546" s="17" t="s">
        <v>1023</v>
      </c>
      <c r="T546" s="20"/>
      <c r="U546" s="17"/>
      <c r="V546" s="17"/>
    </row>
    <row r="547" spans="1:22" x14ac:dyDescent="0.35">
      <c r="A547" s="5">
        <v>86309000146</v>
      </c>
      <c r="B547" s="7"/>
      <c r="C547" s="4"/>
      <c r="D547" s="6" t="s">
        <v>619</v>
      </c>
      <c r="E547" s="6" t="s">
        <v>89</v>
      </c>
      <c r="F547" s="6" t="s">
        <v>15</v>
      </c>
      <c r="G547" s="11" t="s">
        <v>16</v>
      </c>
      <c r="H547" s="6" t="s">
        <v>17</v>
      </c>
      <c r="I547" s="21" t="s">
        <v>1067</v>
      </c>
      <c r="J547" s="18">
        <f>VLOOKUP(A547,[2]Export!$A:$B,2,0)</f>
        <v>4068.4806747792054</v>
      </c>
      <c r="K547" s="18">
        <f>VLOOKUP(A547,[2]Export!$A:$C,3,0)</f>
        <v>2264.66</v>
      </c>
      <c r="L547" s="19">
        <f t="shared" si="18"/>
        <v>0.55663530959819585</v>
      </c>
      <c r="M547" s="18">
        <f>VLOOKUP(A547,[2]Export!$A:$G,7,0)</f>
        <v>1131.56</v>
      </c>
      <c r="N547" s="19">
        <f t="shared" si="19"/>
        <v>0.27812839495947939</v>
      </c>
      <c r="O547" s="17" t="s">
        <v>1027</v>
      </c>
      <c r="P547" s="17" t="s">
        <v>1026</v>
      </c>
      <c r="Q547" s="17" t="s">
        <v>1023</v>
      </c>
      <c r="R547" s="17" t="str">
        <f>VLOOKUP(A547,[1]Export!$A:$I,9,0)</f>
        <v>Comprou Marcas</v>
      </c>
      <c r="S547" s="17" t="s">
        <v>1023</v>
      </c>
      <c r="T547" s="20"/>
      <c r="U547" s="17"/>
      <c r="V547" s="17"/>
    </row>
    <row r="548" spans="1:22" x14ac:dyDescent="0.35">
      <c r="A548" s="4">
        <v>1987999000177</v>
      </c>
      <c r="B548" s="7"/>
      <c r="C548" s="4"/>
      <c r="D548" s="1" t="s">
        <v>620</v>
      </c>
      <c r="E548" s="1" t="s">
        <v>166</v>
      </c>
      <c r="F548" s="1" t="s">
        <v>8</v>
      </c>
      <c r="G548" s="10" t="s">
        <v>621</v>
      </c>
      <c r="H548" s="1" t="s">
        <v>17</v>
      </c>
      <c r="I548" s="21" t="s">
        <v>1068</v>
      </c>
      <c r="J548" s="18">
        <f>VLOOKUP(A548,[2]Export!$A:$B,2,0)</f>
        <v>3352.1939228006418</v>
      </c>
      <c r="K548" s="18">
        <f>VLOOKUP(A548,[2]Export!$A:$C,3,0)</f>
        <v>901.48</v>
      </c>
      <c r="L548" s="19">
        <f t="shared" si="18"/>
        <v>0.26892238956356224</v>
      </c>
      <c r="M548" s="18">
        <f>VLOOKUP(A548,[2]Export!$A:$G,7,0)</f>
        <v>467.65</v>
      </c>
      <c r="N548" s="19">
        <f t="shared" si="19"/>
        <v>0.13950565234880405</v>
      </c>
      <c r="O548" s="17" t="s">
        <v>1025</v>
      </c>
      <c r="P548" s="17" t="s">
        <v>1026</v>
      </c>
      <c r="Q548" s="17" t="s">
        <v>1022</v>
      </c>
      <c r="R548" s="17" t="str">
        <f>VLOOKUP(A548,[1]Export!$A:$I,9,0)</f>
        <v>Comprou Marcas</v>
      </c>
      <c r="S548" s="17" t="s">
        <v>1022</v>
      </c>
      <c r="T548" s="20"/>
      <c r="U548" s="17"/>
      <c r="V548" s="17"/>
    </row>
    <row r="549" spans="1:22" x14ac:dyDescent="0.35">
      <c r="A549" s="5">
        <v>17476547000241</v>
      </c>
      <c r="B549" s="7"/>
      <c r="C549" s="4"/>
      <c r="D549" s="6" t="s">
        <v>195</v>
      </c>
      <c r="E549" s="6" t="s">
        <v>127</v>
      </c>
      <c r="F549" s="6" t="s">
        <v>8</v>
      </c>
      <c r="G549" s="11" t="s">
        <v>16</v>
      </c>
      <c r="H549" s="6" t="s">
        <v>17</v>
      </c>
      <c r="I549" s="21" t="s">
        <v>1068</v>
      </c>
      <c r="J549" s="18">
        <f>VLOOKUP(A549,[2]Export!$A:$B,2,0)</f>
        <v>10559.56317586548</v>
      </c>
      <c r="K549" s="18">
        <f>VLOOKUP(A549,[2]Export!$A:$C,3,0)</f>
        <v>13894.279999999999</v>
      </c>
      <c r="L549" s="19">
        <f t="shared" si="18"/>
        <v>1.3158006414276886</v>
      </c>
      <c r="M549" s="18">
        <f>VLOOKUP(A549,[2]Export!$A:$G,7,0)</f>
        <v>0</v>
      </c>
      <c r="N549" s="19">
        <f t="shared" si="19"/>
        <v>0</v>
      </c>
      <c r="O549" s="17" t="s">
        <v>1027</v>
      </c>
      <c r="P549" s="17" t="s">
        <v>1028</v>
      </c>
      <c r="Q549" s="17" t="s">
        <v>1023</v>
      </c>
      <c r="R549" s="17" t="str">
        <f>VLOOKUP(A549,[1]Export!$A:$I,9,0)</f>
        <v>Não Comprou</v>
      </c>
      <c r="S549" s="17" t="s">
        <v>1022</v>
      </c>
      <c r="T549" s="20"/>
      <c r="U549" s="17"/>
      <c r="V549" s="17"/>
    </row>
    <row r="550" spans="1:22" x14ac:dyDescent="0.35">
      <c r="A550" s="4">
        <v>18332251000562</v>
      </c>
      <c r="B550" s="7" t="s">
        <v>998</v>
      </c>
      <c r="C550" s="4"/>
      <c r="D550" s="1" t="s">
        <v>59</v>
      </c>
      <c r="E550" s="1" t="s">
        <v>577</v>
      </c>
      <c r="F550" s="1" t="s">
        <v>15</v>
      </c>
      <c r="G550" s="10" t="s">
        <v>9</v>
      </c>
      <c r="H550" s="1" t="s">
        <v>10</v>
      </c>
      <c r="I550" s="21" t="s">
        <v>1067</v>
      </c>
      <c r="J550" s="18">
        <f>VLOOKUP(A550,[2]Export!$A:$B,2,0)</f>
        <v>17205.127692196249</v>
      </c>
      <c r="K550" s="18">
        <f>VLOOKUP(A550,[2]Export!$A:$C,3,0)</f>
        <v>11088.579999999998</v>
      </c>
      <c r="L550" s="19">
        <f t="shared" si="18"/>
        <v>0.64449274648681965</v>
      </c>
      <c r="M550" s="18">
        <f>VLOOKUP(A550,[2]Export!$A:$G,7,0)</f>
        <v>14627.920000000004</v>
      </c>
      <c r="N550" s="19">
        <f t="shared" si="19"/>
        <v>0.85020700001167715</v>
      </c>
      <c r="O550" s="17" t="s">
        <v>1027</v>
      </c>
      <c r="P550" s="17" t="s">
        <v>1028</v>
      </c>
      <c r="Q550" s="17" t="s">
        <v>1023</v>
      </c>
      <c r="R550" s="17" t="str">
        <f>VLOOKUP(A550,[1]Export!$A:$I,9,0)</f>
        <v>Comprou Marcas</v>
      </c>
      <c r="S550" s="17" t="s">
        <v>1022</v>
      </c>
      <c r="T550" s="20"/>
      <c r="U550" s="17"/>
      <c r="V550" s="17"/>
    </row>
    <row r="551" spans="1:22" x14ac:dyDescent="0.35">
      <c r="A551" s="5">
        <v>13537905000147</v>
      </c>
      <c r="B551" s="7"/>
      <c r="C551" s="4">
        <v>13686</v>
      </c>
      <c r="D551" s="6" t="s">
        <v>622</v>
      </c>
      <c r="E551" s="6" t="s">
        <v>14</v>
      </c>
      <c r="F551" s="6" t="s">
        <v>15</v>
      </c>
      <c r="G551" s="11" t="s">
        <v>20</v>
      </c>
      <c r="H551" s="6" t="s">
        <v>17</v>
      </c>
      <c r="I551" s="21" t="s">
        <v>1067</v>
      </c>
      <c r="J551" s="18">
        <f>VLOOKUP(A551,[2]Export!$A:$B,2,0)</f>
        <v>4755.0318983396919</v>
      </c>
      <c r="K551" s="18">
        <f>VLOOKUP(A551,[2]Export!$A:$C,3,0)</f>
        <v>1872.0100000000002</v>
      </c>
      <c r="L551" s="19">
        <f t="shared" si="18"/>
        <v>0.39369031376080726</v>
      </c>
      <c r="M551" s="18">
        <f>VLOOKUP(A551,[2]Export!$A:$G,7,0)</f>
        <v>269.27</v>
      </c>
      <c r="N551" s="19">
        <f t="shared" si="19"/>
        <v>5.6628431892122667E-2</v>
      </c>
      <c r="O551" s="17" t="s">
        <v>1025</v>
      </c>
      <c r="P551" s="17" t="s">
        <v>1026</v>
      </c>
      <c r="Q551" s="17" t="s">
        <v>1023</v>
      </c>
      <c r="R551" s="17" t="str">
        <f>VLOOKUP(A551,[1]Export!$A:$I,9,0)</f>
        <v>Comprou Marcas e SG</v>
      </c>
      <c r="S551" s="17" t="s">
        <v>1023</v>
      </c>
      <c r="T551" s="20"/>
      <c r="U551" s="17"/>
      <c r="V551" s="17"/>
    </row>
    <row r="552" spans="1:22" x14ac:dyDescent="0.35">
      <c r="A552" s="4">
        <v>35239450000116</v>
      </c>
      <c r="B552" s="7"/>
      <c r="C552" s="4"/>
      <c r="D552" s="1" t="s">
        <v>636</v>
      </c>
      <c r="E552" s="1" t="s">
        <v>556</v>
      </c>
      <c r="F552" s="1" t="s">
        <v>48</v>
      </c>
      <c r="G552" s="10" t="s">
        <v>38</v>
      </c>
      <c r="H552" s="1" t="s">
        <v>17</v>
      </c>
      <c r="I552" s="21" t="s">
        <v>1071</v>
      </c>
      <c r="J552" s="18">
        <f>VLOOKUP(A552,[2]Export!$A:$B,2,0)</f>
        <v>3790.5938809702402</v>
      </c>
      <c r="K552" s="18">
        <f>VLOOKUP(A552,[2]Export!$A:$C,3,0)</f>
        <v>841.88000000000011</v>
      </c>
      <c r="L552" s="19">
        <f t="shared" si="18"/>
        <v>0.22209712420696268</v>
      </c>
      <c r="M552" s="18">
        <f>VLOOKUP(A552,[2]Export!$A:$G,7,0)</f>
        <v>292.68</v>
      </c>
      <c r="N552" s="19">
        <f t="shared" si="19"/>
        <v>7.7212175503508604E-2</v>
      </c>
      <c r="O552" s="17" t="s">
        <v>1027</v>
      </c>
      <c r="P552" s="17" t="s">
        <v>1028</v>
      </c>
      <c r="Q552" s="17" t="s">
        <v>1023</v>
      </c>
      <c r="R552" s="17" t="str">
        <f>VLOOKUP(A552,[1]Export!$A:$I,9,0)</f>
        <v>Não Comprou</v>
      </c>
      <c r="S552" s="17" t="s">
        <v>1023</v>
      </c>
      <c r="T552" s="20"/>
      <c r="U552" s="17"/>
      <c r="V552" s="17"/>
    </row>
    <row r="553" spans="1:22" x14ac:dyDescent="0.35">
      <c r="A553" s="5">
        <v>14699069000160</v>
      </c>
      <c r="B553" s="7"/>
      <c r="C553" s="4"/>
      <c r="D553" s="6" t="s">
        <v>624</v>
      </c>
      <c r="E553" s="6" t="s">
        <v>303</v>
      </c>
      <c r="F553" s="6" t="s">
        <v>48</v>
      </c>
      <c r="G553" s="11" t="s">
        <v>20</v>
      </c>
      <c r="H553" s="6" t="s">
        <v>17</v>
      </c>
      <c r="I553" s="21" t="s">
        <v>1071</v>
      </c>
      <c r="J553" s="18">
        <f>VLOOKUP(A553,[2]Export!$A:$B,2,0)</f>
        <v>1268.769535352943</v>
      </c>
      <c r="K553" s="18">
        <f>VLOOKUP(A553,[2]Export!$A:$C,3,0)</f>
        <v>1286.9899999999998</v>
      </c>
      <c r="L553" s="19">
        <f t="shared" si="18"/>
        <v>1.0143607362403988</v>
      </c>
      <c r="M553" s="18">
        <f>VLOOKUP(A553,[2]Export!$A:$G,7,0)</f>
        <v>1076.44</v>
      </c>
      <c r="N553" s="19">
        <f t="shared" si="19"/>
        <v>0.8484125524818491</v>
      </c>
      <c r="O553" s="17"/>
      <c r="P553" s="17"/>
      <c r="Q553" s="17"/>
      <c r="R553" s="17" t="str">
        <f>VLOOKUP(A553,[1]Export!$A:$I,9,0)</f>
        <v>Comprou Marcas</v>
      </c>
      <c r="S553" s="17"/>
      <c r="T553" s="20"/>
      <c r="U553" s="17"/>
      <c r="V553" s="17"/>
    </row>
    <row r="554" spans="1:22" x14ac:dyDescent="0.35">
      <c r="A554" s="4">
        <v>15910375000166</v>
      </c>
      <c r="B554" s="7"/>
      <c r="C554" s="4"/>
      <c r="D554" s="1" t="s">
        <v>625</v>
      </c>
      <c r="E554" s="1" t="s">
        <v>275</v>
      </c>
      <c r="F554" s="1" t="s">
        <v>15</v>
      </c>
      <c r="G554" s="10" t="s">
        <v>33</v>
      </c>
      <c r="H554" s="1" t="s">
        <v>17</v>
      </c>
      <c r="I554" s="21" t="s">
        <v>1073</v>
      </c>
      <c r="J554" s="18">
        <f>VLOOKUP(A554,[2]Export!$A:$B,2,0)</f>
        <v>9431.5649345696165</v>
      </c>
      <c r="K554" s="18">
        <f>VLOOKUP(A554,[2]Export!$A:$C,3,0)</f>
        <v>5314.2399999999989</v>
      </c>
      <c r="L554" s="19">
        <f t="shared" si="18"/>
        <v>0.56345262285388698</v>
      </c>
      <c r="M554" s="18">
        <f>VLOOKUP(A554,[2]Export!$A:$G,7,0)</f>
        <v>2280.9</v>
      </c>
      <c r="N554" s="19">
        <f t="shared" si="19"/>
        <v>0.24183685484047221</v>
      </c>
      <c r="O554" s="17" t="s">
        <v>1027</v>
      </c>
      <c r="P554" s="17" t="s">
        <v>1028</v>
      </c>
      <c r="Q554" s="17" t="s">
        <v>1023</v>
      </c>
      <c r="R554" s="17" t="str">
        <f>VLOOKUP(A554,[1]Export!$A:$I,9,0)</f>
        <v>Comprou Marcas</v>
      </c>
      <c r="S554" s="17" t="s">
        <v>1022</v>
      </c>
      <c r="T554" s="20"/>
      <c r="U554" s="17"/>
      <c r="V554" s="17"/>
    </row>
    <row r="555" spans="1:22" x14ac:dyDescent="0.35">
      <c r="A555" s="5">
        <v>16825373000131</v>
      </c>
      <c r="B555" s="7"/>
      <c r="C555" s="4"/>
      <c r="D555" s="6" t="s">
        <v>626</v>
      </c>
      <c r="E555" s="6" t="s">
        <v>327</v>
      </c>
      <c r="F555" s="6" t="s">
        <v>15</v>
      </c>
      <c r="G555" s="11" t="s">
        <v>20</v>
      </c>
      <c r="H555" s="6" t="s">
        <v>17</v>
      </c>
      <c r="I555" s="21" t="s">
        <v>1069</v>
      </c>
      <c r="J555" s="18">
        <f>VLOOKUP(A555,[2]Export!$A:$B,2,0)</f>
        <v>32504.206367615086</v>
      </c>
      <c r="K555" s="18">
        <f>VLOOKUP(A555,[2]Export!$A:$C,3,0)</f>
        <v>14441.430000000002</v>
      </c>
      <c r="L555" s="19">
        <f t="shared" si="18"/>
        <v>0.4442941887788539</v>
      </c>
      <c r="M555" s="18">
        <f>VLOOKUP(A555,[2]Export!$A:$G,7,0)</f>
        <v>328.75</v>
      </c>
      <c r="N555" s="19">
        <f t="shared" si="19"/>
        <v>1.0114075584000213E-2</v>
      </c>
      <c r="O555" s="17" t="s">
        <v>1025</v>
      </c>
      <c r="P555" s="17" t="s">
        <v>1026</v>
      </c>
      <c r="Q555" s="17" t="s">
        <v>1023</v>
      </c>
      <c r="R555" s="17" t="str">
        <f>VLOOKUP(A555,[1]Export!$A:$I,9,0)</f>
        <v>Comprou Marcas</v>
      </c>
      <c r="S555" s="17" t="s">
        <v>1022</v>
      </c>
      <c r="T555" s="20">
        <v>2</v>
      </c>
      <c r="U555" s="17"/>
      <c r="V555" s="17"/>
    </row>
    <row r="556" spans="1:22" x14ac:dyDescent="0.35">
      <c r="A556" s="5">
        <v>27545412000406</v>
      </c>
      <c r="B556" s="7" t="s">
        <v>991</v>
      </c>
      <c r="C556" s="4"/>
      <c r="D556" s="6" t="s">
        <v>11</v>
      </c>
      <c r="E556" s="6" t="s">
        <v>12</v>
      </c>
      <c r="F556" s="6" t="s">
        <v>8</v>
      </c>
      <c r="G556" s="11" t="s">
        <v>9</v>
      </c>
      <c r="H556" s="6" t="s">
        <v>10</v>
      </c>
      <c r="I556" s="21" t="s">
        <v>1066</v>
      </c>
      <c r="J556" s="18">
        <f>VLOOKUP(A556,[2]Export!$A:$B,2,0)</f>
        <v>13334.273715960313</v>
      </c>
      <c r="K556" s="18">
        <f>VLOOKUP(A556,[2]Export!$A:$C,3,0)</f>
        <v>9356.7799999999988</v>
      </c>
      <c r="L556" s="19">
        <f t="shared" si="18"/>
        <v>0.70170900937787883</v>
      </c>
      <c r="M556" s="18">
        <f>VLOOKUP(A556,[2]Export!$A:$G,7,0)</f>
        <v>7114.9399999999978</v>
      </c>
      <c r="N556" s="19">
        <f t="shared" si="19"/>
        <v>0.53358286709562952</v>
      </c>
      <c r="O556" s="17" t="s">
        <v>1027</v>
      </c>
      <c r="P556" s="17" t="s">
        <v>1028</v>
      </c>
      <c r="Q556" s="17" t="s">
        <v>1023</v>
      </c>
      <c r="R556" s="17" t="str">
        <f>VLOOKUP(A556,[1]Export!$A:$I,9,0)</f>
        <v>Comprou Marcas</v>
      </c>
      <c r="S556" s="17" t="s">
        <v>1022</v>
      </c>
      <c r="T556" s="20"/>
      <c r="U556" s="17"/>
      <c r="V556" s="17">
        <v>3</v>
      </c>
    </row>
    <row r="557" spans="1:22" x14ac:dyDescent="0.35">
      <c r="A557" s="5">
        <v>49835112000151</v>
      </c>
      <c r="B557" s="7"/>
      <c r="C557" s="4"/>
      <c r="D557" s="6" t="s">
        <v>627</v>
      </c>
      <c r="E557" s="6" t="s">
        <v>166</v>
      </c>
      <c r="F557" s="6" t="s">
        <v>8</v>
      </c>
      <c r="G557" s="11" t="s">
        <v>36</v>
      </c>
      <c r="H557" s="6" t="s">
        <v>17</v>
      </c>
      <c r="I557" s="21" t="s">
        <v>1068</v>
      </c>
      <c r="J557" s="18">
        <f>VLOOKUP(A557,[2]Export!$A:$B,2,0)</f>
        <v>4801.7735588080495</v>
      </c>
      <c r="K557" s="18">
        <f>VLOOKUP(A557,[2]Export!$A:$C,3,0)</f>
        <v>650.85</v>
      </c>
      <c r="L557" s="19">
        <f t="shared" si="18"/>
        <v>0.13554366777794524</v>
      </c>
      <c r="M557" s="18">
        <f>VLOOKUP(A557,[2]Export!$A:$G,7,0)</f>
        <v>0</v>
      </c>
      <c r="N557" s="19">
        <f t="shared" si="19"/>
        <v>0</v>
      </c>
      <c r="O557" s="17" t="s">
        <v>1025</v>
      </c>
      <c r="P557" s="17" t="s">
        <v>1026</v>
      </c>
      <c r="Q557" s="17" t="s">
        <v>1023</v>
      </c>
      <c r="R557" s="17" t="str">
        <f>VLOOKUP(A557,[1]Export!$A:$I,9,0)</f>
        <v>Não Comprou</v>
      </c>
      <c r="S557" s="17" t="s">
        <v>1023</v>
      </c>
      <c r="T557" s="20"/>
      <c r="U557" s="17"/>
      <c r="V557" s="17"/>
    </row>
    <row r="558" spans="1:22" x14ac:dyDescent="0.35">
      <c r="A558" s="4">
        <v>51398846000162</v>
      </c>
      <c r="B558" s="7"/>
      <c r="C558" s="4"/>
      <c r="D558" s="1" t="s">
        <v>628</v>
      </c>
      <c r="E558" s="1" t="s">
        <v>390</v>
      </c>
      <c r="F558" s="1" t="s">
        <v>8</v>
      </c>
      <c r="G558" s="10" t="s">
        <v>16</v>
      </c>
      <c r="H558" s="1" t="s">
        <v>17</v>
      </c>
      <c r="I558" s="21" t="s">
        <v>1068</v>
      </c>
      <c r="J558" s="18">
        <f>VLOOKUP(A558,[2]Export!$A:$B,2,0)</f>
        <v>2556.8986956733825</v>
      </c>
      <c r="K558" s="18">
        <f>VLOOKUP(A558,[2]Export!$A:$C,3,0)</f>
        <v>2464.25</v>
      </c>
      <c r="L558" s="19">
        <f t="shared" si="18"/>
        <v>0.96376520672087773</v>
      </c>
      <c r="M558" s="18">
        <f>VLOOKUP(A558,[2]Export!$A:$G,7,0)</f>
        <v>0</v>
      </c>
      <c r="N558" s="19">
        <f t="shared" si="19"/>
        <v>0</v>
      </c>
      <c r="O558" s="17"/>
      <c r="P558" s="17"/>
      <c r="Q558" s="17"/>
      <c r="R558" s="17" t="str">
        <f>VLOOKUP(A558,[1]Export!$A:$I,9,0)</f>
        <v>Não Comprou</v>
      </c>
      <c r="S558" s="17"/>
      <c r="T558" s="20"/>
      <c r="U558" s="17"/>
      <c r="V558" s="17"/>
    </row>
    <row r="559" spans="1:22" x14ac:dyDescent="0.35">
      <c r="A559" s="5">
        <v>55354724000125</v>
      </c>
      <c r="B559" s="7"/>
      <c r="C559" s="4"/>
      <c r="D559" s="6" t="s">
        <v>629</v>
      </c>
      <c r="E559" s="6" t="s">
        <v>50</v>
      </c>
      <c r="F559" s="6" t="s">
        <v>48</v>
      </c>
      <c r="G559" s="11" t="s">
        <v>20</v>
      </c>
      <c r="H559" s="6" t="s">
        <v>17</v>
      </c>
      <c r="I559" s="21" t="s">
        <v>1071</v>
      </c>
      <c r="J559" s="18">
        <f>VLOOKUP(A559,[2]Export!$A:$B,2,0)</f>
        <v>6020.1422943845446</v>
      </c>
      <c r="K559" s="18">
        <f>VLOOKUP(A559,[2]Export!$A:$C,3,0)</f>
        <v>1316.8399999999997</v>
      </c>
      <c r="L559" s="19">
        <f t="shared" si="18"/>
        <v>0.21873901572531249</v>
      </c>
      <c r="M559" s="18">
        <f>VLOOKUP(A559,[2]Export!$A:$G,7,0)</f>
        <v>0</v>
      </c>
      <c r="N559" s="19">
        <f t="shared" si="19"/>
        <v>0</v>
      </c>
      <c r="O559" s="17" t="s">
        <v>1025</v>
      </c>
      <c r="P559" s="17" t="s">
        <v>1026</v>
      </c>
      <c r="Q559" s="17" t="s">
        <v>1023</v>
      </c>
      <c r="R559" s="17" t="str">
        <f>VLOOKUP(A559,[1]Export!$A:$I,9,0)</f>
        <v>Não Comprou</v>
      </c>
      <c r="S559" s="17" t="s">
        <v>1022</v>
      </c>
      <c r="T559" s="20">
        <v>2</v>
      </c>
      <c r="U559" s="17"/>
      <c r="V559" s="17">
        <v>1</v>
      </c>
    </row>
    <row r="560" spans="1:22" x14ac:dyDescent="0.35">
      <c r="A560" s="4">
        <v>62028636000107</v>
      </c>
      <c r="B560" s="7"/>
      <c r="C560" s="4"/>
      <c r="D560" s="1" t="s">
        <v>630</v>
      </c>
      <c r="E560" s="1" t="s">
        <v>542</v>
      </c>
      <c r="F560" s="1" t="s">
        <v>15</v>
      </c>
      <c r="G560" s="10" t="s">
        <v>36</v>
      </c>
      <c r="H560" s="1" t="s">
        <v>17</v>
      </c>
      <c r="I560" s="21" t="s">
        <v>1073</v>
      </c>
      <c r="J560" s="18">
        <f>VLOOKUP(A560,[2]Export!$A:$B,2,0)</f>
        <v>1429.4493362458838</v>
      </c>
      <c r="K560" s="18">
        <f>VLOOKUP(A560,[2]Export!$A:$C,3,0)</f>
        <v>1912.2300000000002</v>
      </c>
      <c r="L560" s="19">
        <f t="shared" si="18"/>
        <v>1.3377389121198429</v>
      </c>
      <c r="M560" s="18">
        <f>VLOOKUP(A560,[2]Export!$A:$G,7,0)</f>
        <v>1575.1799999999998</v>
      </c>
      <c r="N560" s="19">
        <f t="shared" si="19"/>
        <v>1.1019488134758548</v>
      </c>
      <c r="O560" s="17" t="s">
        <v>1025</v>
      </c>
      <c r="P560" s="17" t="s">
        <v>1026</v>
      </c>
      <c r="Q560" s="17" t="s">
        <v>1023</v>
      </c>
      <c r="R560" s="17" t="str">
        <f>VLOOKUP(A560,[1]Export!$A:$I,9,0)</f>
        <v>Comprou Marcas</v>
      </c>
      <c r="S560" s="17" t="s">
        <v>1023</v>
      </c>
      <c r="T560" s="20"/>
      <c r="U560" s="17"/>
      <c r="V560" s="17"/>
    </row>
    <row r="561" spans="1:22" x14ac:dyDescent="0.35">
      <c r="A561" s="5">
        <v>65675078000402</v>
      </c>
      <c r="B561" s="7"/>
      <c r="C561" s="4"/>
      <c r="D561" s="6" t="s">
        <v>380</v>
      </c>
      <c r="E561" s="6" t="s">
        <v>14</v>
      </c>
      <c r="F561" s="6" t="s">
        <v>15</v>
      </c>
      <c r="G561" s="11" t="s">
        <v>20</v>
      </c>
      <c r="H561" s="6" t="s">
        <v>17</v>
      </c>
      <c r="I561" s="21" t="s">
        <v>1067</v>
      </c>
      <c r="J561" s="18">
        <f>VLOOKUP(A561,[2]Export!$A:$B,2,0)</f>
        <v>471.89040531614927</v>
      </c>
      <c r="K561" s="18">
        <f>VLOOKUP(A561,[2]Export!$A:$C,3,0)</f>
        <v>779.37</v>
      </c>
      <c r="L561" s="19">
        <f t="shared" si="18"/>
        <v>1.6515911135719124</v>
      </c>
      <c r="M561" s="18">
        <f>VLOOKUP(A561,[2]Export!$A:$G,7,0)</f>
        <v>748.54</v>
      </c>
      <c r="N561" s="19">
        <f t="shared" si="19"/>
        <v>1.5862581471613215</v>
      </c>
      <c r="O561" s="17"/>
      <c r="P561" s="17"/>
      <c r="Q561" s="17"/>
      <c r="R561" s="17" t="str">
        <f>VLOOKUP(A561,[1]Export!$A:$I,9,0)</f>
        <v>Comprou Marcas</v>
      </c>
      <c r="S561" s="17"/>
      <c r="T561" s="20"/>
      <c r="U561" s="17"/>
      <c r="V561" s="17"/>
    </row>
    <row r="562" spans="1:22" x14ac:dyDescent="0.35">
      <c r="A562" s="4">
        <v>66160225000113</v>
      </c>
      <c r="B562" s="7"/>
      <c r="C562" s="4"/>
      <c r="D562" s="1" t="s">
        <v>631</v>
      </c>
      <c r="E562" s="1" t="s">
        <v>122</v>
      </c>
      <c r="F562" s="1" t="s">
        <v>8</v>
      </c>
      <c r="G562" s="10" t="s">
        <v>20</v>
      </c>
      <c r="H562" s="1" t="s">
        <v>17</v>
      </c>
      <c r="I562" s="21" t="s">
        <v>1066</v>
      </c>
      <c r="J562" s="18">
        <f>VLOOKUP(A562,[2]Export!$A:$B,2,0)</f>
        <v>257.80909289554575</v>
      </c>
      <c r="K562" s="18">
        <f>VLOOKUP(A562,[2]Export!$A:$C,3,0)</f>
        <v>357.32000000000005</v>
      </c>
      <c r="L562" s="19">
        <f t="shared" si="18"/>
        <v>1.3859868012676042</v>
      </c>
      <c r="M562" s="18">
        <f>VLOOKUP(A562,[2]Export!$A:$G,7,0)</f>
        <v>0</v>
      </c>
      <c r="N562" s="19">
        <f t="shared" si="19"/>
        <v>0</v>
      </c>
      <c r="O562" s="17"/>
      <c r="P562" s="17"/>
      <c r="Q562" s="17"/>
      <c r="R562" s="17" t="str">
        <f>VLOOKUP(A562,[1]Export!$A:$I,9,0)</f>
        <v>Não Comprou</v>
      </c>
      <c r="S562" s="17"/>
      <c r="T562" s="20"/>
      <c r="U562" s="17"/>
      <c r="V562" s="17">
        <v>1</v>
      </c>
    </row>
    <row r="563" spans="1:22" x14ac:dyDescent="0.35">
      <c r="A563" s="5">
        <v>46365701000125</v>
      </c>
      <c r="B563" s="7"/>
      <c r="C563" s="4"/>
      <c r="D563" s="6" t="s">
        <v>632</v>
      </c>
      <c r="E563" s="6" t="s">
        <v>52</v>
      </c>
      <c r="F563" s="6" t="s">
        <v>8</v>
      </c>
      <c r="G563" s="11" t="s">
        <v>20</v>
      </c>
      <c r="H563" s="6" t="s">
        <v>17</v>
      </c>
      <c r="I563" s="21" t="s">
        <v>1072</v>
      </c>
      <c r="J563" s="18">
        <f>VLOOKUP(A563,[2]Export!$A:$B,2,0)</f>
        <v>2916.419152359801</v>
      </c>
      <c r="K563" s="18">
        <f>VLOOKUP(A563,[2]Export!$A:$C,3,0)</f>
        <v>109.45</v>
      </c>
      <c r="L563" s="19">
        <f t="shared" si="18"/>
        <v>3.7528899064950681E-2</v>
      </c>
      <c r="M563" s="18">
        <f>VLOOKUP(A563,[2]Export!$A:$G,7,0)</f>
        <v>0</v>
      </c>
      <c r="N563" s="19">
        <f t="shared" si="19"/>
        <v>0</v>
      </c>
      <c r="O563" s="17" t="s">
        <v>1027</v>
      </c>
      <c r="P563" s="17" t="s">
        <v>1026</v>
      </c>
      <c r="Q563" s="17" t="s">
        <v>1023</v>
      </c>
      <c r="R563" s="17" t="str">
        <f>VLOOKUP(A563,[1]Export!$A:$I,9,0)</f>
        <v>Não Comprou</v>
      </c>
      <c r="S563" s="17" t="s">
        <v>1022</v>
      </c>
      <c r="T563" s="20"/>
      <c r="U563" s="17"/>
      <c r="V563" s="17"/>
    </row>
    <row r="564" spans="1:22" x14ac:dyDescent="0.35">
      <c r="A564" s="4">
        <v>47541257000114</v>
      </c>
      <c r="B564" s="7"/>
      <c r="C564" s="4"/>
      <c r="D564" s="1" t="s">
        <v>633</v>
      </c>
      <c r="E564" s="1" t="s">
        <v>343</v>
      </c>
      <c r="F564" s="1" t="s">
        <v>8</v>
      </c>
      <c r="G564" s="10" t="s">
        <v>20</v>
      </c>
      <c r="H564" s="1" t="s">
        <v>17</v>
      </c>
      <c r="I564" s="21" t="s">
        <v>1068</v>
      </c>
      <c r="J564" s="18">
        <f>VLOOKUP(A564,[2]Export!$A:$B,2,0)</f>
        <v>4087.5832484211746</v>
      </c>
      <c r="K564" s="18">
        <f>VLOOKUP(A564,[2]Export!$A:$C,3,0)</f>
        <v>2221.46</v>
      </c>
      <c r="L564" s="19">
        <f t="shared" si="18"/>
        <v>0.54346538406478617</v>
      </c>
      <c r="M564" s="18">
        <f>VLOOKUP(A564,[2]Export!$A:$G,7,0)</f>
        <v>0</v>
      </c>
      <c r="N564" s="19">
        <f t="shared" si="19"/>
        <v>0</v>
      </c>
      <c r="O564" s="17" t="s">
        <v>1025</v>
      </c>
      <c r="P564" s="17" t="s">
        <v>1026</v>
      </c>
      <c r="Q564" s="17" t="s">
        <v>1022</v>
      </c>
      <c r="R564" s="17" t="str">
        <f>VLOOKUP(A564,[1]Export!$A:$I,9,0)</f>
        <v>Não Comprou</v>
      </c>
      <c r="S564" s="17" t="s">
        <v>1022</v>
      </c>
      <c r="T564" s="20"/>
      <c r="U564" s="17"/>
      <c r="V564" s="17"/>
    </row>
    <row r="565" spans="1:22" x14ac:dyDescent="0.35">
      <c r="A565" s="5">
        <v>48210177000149</v>
      </c>
      <c r="B565" s="7"/>
      <c r="C565" s="4"/>
      <c r="D565" s="6" t="s">
        <v>62</v>
      </c>
      <c r="E565" s="6" t="s">
        <v>390</v>
      </c>
      <c r="F565" s="6" t="s">
        <v>8</v>
      </c>
      <c r="G565" s="11" t="s">
        <v>62</v>
      </c>
      <c r="H565" s="6" t="s">
        <v>17</v>
      </c>
      <c r="I565" s="21" t="s">
        <v>1068</v>
      </c>
      <c r="J565" s="18">
        <f>VLOOKUP(A565,[2]Export!$A:$B,2,0)</f>
        <v>2235.7067890232929</v>
      </c>
      <c r="K565" s="18">
        <f>VLOOKUP(A565,[2]Export!$A:$C,3,0)</f>
        <v>2339.0500000000002</v>
      </c>
      <c r="L565" s="19">
        <f t="shared" si="18"/>
        <v>1.0462239554328385</v>
      </c>
      <c r="M565" s="18">
        <f>VLOOKUP(A565,[2]Export!$A:$G,7,0)</f>
        <v>0</v>
      </c>
      <c r="N565" s="19">
        <f t="shared" si="19"/>
        <v>0</v>
      </c>
      <c r="O565" s="17"/>
      <c r="P565" s="17"/>
      <c r="Q565" s="17"/>
      <c r="R565" s="17" t="str">
        <f>VLOOKUP(A565,[1]Export!$A:$I,9,0)</f>
        <v>Não Comprou</v>
      </c>
      <c r="S565" s="17"/>
      <c r="T565" s="20"/>
      <c r="U565" s="17"/>
      <c r="V565" s="17"/>
    </row>
    <row r="566" spans="1:22" x14ac:dyDescent="0.35">
      <c r="A566" s="4">
        <v>52619699000176</v>
      </c>
      <c r="B566" s="7"/>
      <c r="C566" s="4"/>
      <c r="D566" s="1" t="s">
        <v>634</v>
      </c>
      <c r="E566" s="1" t="s">
        <v>635</v>
      </c>
      <c r="F566" s="1" t="s">
        <v>48</v>
      </c>
      <c r="G566" s="10" t="s">
        <v>20</v>
      </c>
      <c r="H566" s="1" t="s">
        <v>17</v>
      </c>
      <c r="I566" s="21" t="s">
        <v>1071</v>
      </c>
      <c r="J566" s="18">
        <f>VLOOKUP(A566,[2]Export!$A:$B,2,0)</f>
        <v>3007.8277459002397</v>
      </c>
      <c r="K566" s="18">
        <f>VLOOKUP(A566,[2]Export!$A:$C,3,0)</f>
        <v>2760.7500000000005</v>
      </c>
      <c r="L566" s="19">
        <f t="shared" si="18"/>
        <v>0.91785508786631353</v>
      </c>
      <c r="M566" s="18">
        <f>VLOOKUP(A566,[2]Export!$A:$G,7,0)</f>
        <v>2148.1999999999998</v>
      </c>
      <c r="N566" s="19">
        <f t="shared" si="19"/>
        <v>0.71420313311760009</v>
      </c>
      <c r="O566" s="17" t="s">
        <v>1025</v>
      </c>
      <c r="P566" s="17" t="s">
        <v>1026</v>
      </c>
      <c r="Q566" s="17" t="s">
        <v>1023</v>
      </c>
      <c r="R566" s="17" t="str">
        <f>VLOOKUP(A566,[1]Export!$A:$I,9,0)</f>
        <v>Não Comprou</v>
      </c>
      <c r="S566" s="17" t="s">
        <v>1023</v>
      </c>
      <c r="T566" s="20"/>
      <c r="U566" s="17"/>
      <c r="V566" s="17"/>
    </row>
    <row r="567" spans="1:22" x14ac:dyDescent="0.35">
      <c r="A567" s="5">
        <v>52905500000176</v>
      </c>
      <c r="B567" s="7"/>
      <c r="C567" s="4"/>
      <c r="D567" s="6" t="s">
        <v>636</v>
      </c>
      <c r="E567" s="6" t="s">
        <v>89</v>
      </c>
      <c r="F567" s="6" t="s">
        <v>15</v>
      </c>
      <c r="G567" s="11" t="s">
        <v>74</v>
      </c>
      <c r="H567" s="6" t="s">
        <v>17</v>
      </c>
      <c r="I567" s="21" t="s">
        <v>1067</v>
      </c>
      <c r="J567" s="18">
        <f>VLOOKUP(A567,[2]Export!$A:$B,2,0)</f>
        <v>4424.9283122645284</v>
      </c>
      <c r="K567" s="18">
        <f>VLOOKUP(A567,[2]Export!$A:$C,3,0)</f>
        <v>3132.2099999999996</v>
      </c>
      <c r="L567" s="19">
        <f t="shared" si="18"/>
        <v>0.70785553549387126</v>
      </c>
      <c r="M567" s="18">
        <f>VLOOKUP(A567,[2]Export!$A:$G,7,0)</f>
        <v>0</v>
      </c>
      <c r="N567" s="19">
        <f t="shared" si="19"/>
        <v>0</v>
      </c>
      <c r="O567" s="17" t="s">
        <v>1025</v>
      </c>
      <c r="P567" s="17" t="s">
        <v>1026</v>
      </c>
      <c r="Q567" s="17" t="s">
        <v>1023</v>
      </c>
      <c r="R567" s="17" t="str">
        <f>VLOOKUP(A567,[1]Export!$A:$I,9,0)</f>
        <v>Não Comprou</v>
      </c>
      <c r="S567" s="17" t="s">
        <v>1022</v>
      </c>
      <c r="T567" s="20"/>
      <c r="U567" s="17"/>
      <c r="V567" s="17"/>
    </row>
    <row r="568" spans="1:22" x14ac:dyDescent="0.35">
      <c r="A568" s="4">
        <v>41008901000107</v>
      </c>
      <c r="B568" s="7"/>
      <c r="C568" s="4"/>
      <c r="D568" s="1" t="s">
        <v>637</v>
      </c>
      <c r="E568" s="1" t="s">
        <v>52</v>
      </c>
      <c r="F568" s="1" t="s">
        <v>8</v>
      </c>
      <c r="G568" s="10" t="s">
        <v>33</v>
      </c>
      <c r="H568" s="1" t="s">
        <v>17</v>
      </c>
      <c r="I568" s="21" t="s">
        <v>1072</v>
      </c>
      <c r="J568" s="18">
        <f>VLOOKUP(A568,[2]Export!$A:$B,2,0)</f>
        <v>4027.5752921329886</v>
      </c>
      <c r="K568" s="18">
        <f>VLOOKUP(A568,[2]Export!$A:$C,3,0)</f>
        <v>2785.1400000000003</v>
      </c>
      <c r="L568" s="19">
        <f t="shared" si="18"/>
        <v>0.69151779867161733</v>
      </c>
      <c r="M568" s="18">
        <f>VLOOKUP(A568,[2]Export!$A:$G,7,0)</f>
        <v>0</v>
      </c>
      <c r="N568" s="19">
        <f t="shared" si="19"/>
        <v>0</v>
      </c>
      <c r="O568" s="17" t="s">
        <v>1027</v>
      </c>
      <c r="P568" s="17" t="s">
        <v>1026</v>
      </c>
      <c r="Q568" s="17" t="s">
        <v>1023</v>
      </c>
      <c r="R568" s="17" t="str">
        <f>VLOOKUP(A568,[1]Export!$A:$I,9,0)</f>
        <v>Não Comprou</v>
      </c>
      <c r="S568" s="17" t="s">
        <v>1023</v>
      </c>
      <c r="T568" s="20"/>
      <c r="U568" s="17"/>
      <c r="V568" s="17"/>
    </row>
    <row r="569" spans="1:22" x14ac:dyDescent="0.35">
      <c r="A569" s="5">
        <v>5123132000124</v>
      </c>
      <c r="B569" s="7"/>
      <c r="C569" s="4"/>
      <c r="D569" s="6" t="s">
        <v>140</v>
      </c>
      <c r="E569" s="6" t="s">
        <v>86</v>
      </c>
      <c r="F569" s="6" t="s">
        <v>48</v>
      </c>
      <c r="G569" s="11" t="s">
        <v>38</v>
      </c>
      <c r="H569" s="6" t="s">
        <v>17</v>
      </c>
      <c r="I569" s="21" t="s">
        <v>1073</v>
      </c>
      <c r="J569" s="18">
        <f>VLOOKUP(A569,[2]Export!$A:$B,2,0)</f>
        <v>8189.3517243911665</v>
      </c>
      <c r="K569" s="18">
        <f>VLOOKUP(A569,[2]Export!$A:$C,3,0)</f>
        <v>3377.9100000000003</v>
      </c>
      <c r="L569" s="19">
        <f t="shared" si="18"/>
        <v>0.41247587277747916</v>
      </c>
      <c r="M569" s="18">
        <f>VLOOKUP(A569,[2]Export!$A:$G,7,0)</f>
        <v>1819.5500000000002</v>
      </c>
      <c r="N569" s="19">
        <f t="shared" si="19"/>
        <v>0.22218486410598925</v>
      </c>
      <c r="O569" s="17" t="s">
        <v>1027</v>
      </c>
      <c r="P569" s="17" t="s">
        <v>1028</v>
      </c>
      <c r="Q569" s="17" t="s">
        <v>1023</v>
      </c>
      <c r="R569" s="17" t="str">
        <f>VLOOKUP(A569,[1]Export!$A:$I,9,0)</f>
        <v>Comprou Marcas</v>
      </c>
      <c r="S569" s="17" t="s">
        <v>1022</v>
      </c>
      <c r="T569" s="20"/>
      <c r="U569" s="17"/>
      <c r="V569" s="17"/>
    </row>
    <row r="570" spans="1:22" x14ac:dyDescent="0.35">
      <c r="A570" s="4">
        <v>51041632000134</v>
      </c>
      <c r="B570" s="7"/>
      <c r="C570" s="4"/>
      <c r="D570" s="1" t="s">
        <v>638</v>
      </c>
      <c r="E570" s="1" t="s">
        <v>52</v>
      </c>
      <c r="F570" s="1" t="s">
        <v>8</v>
      </c>
      <c r="G570" s="10" t="s">
        <v>16</v>
      </c>
      <c r="H570" s="1" t="s">
        <v>17</v>
      </c>
      <c r="I570" s="21" t="s">
        <v>1072</v>
      </c>
      <c r="J570" s="18">
        <f>VLOOKUP(A570,[2]Export!$A:$B,2,0)</f>
        <v>1736.4930224574789</v>
      </c>
      <c r="K570" s="18">
        <f>VLOOKUP(A570,[2]Export!$A:$C,3,0)</f>
        <v>1140.9100000000001</v>
      </c>
      <c r="L570" s="19">
        <f t="shared" si="18"/>
        <v>0.6570196282075399</v>
      </c>
      <c r="M570" s="18">
        <f>VLOOKUP(A570,[2]Export!$A:$G,7,0)</f>
        <v>0</v>
      </c>
      <c r="N570" s="19">
        <f t="shared" si="19"/>
        <v>0</v>
      </c>
      <c r="O570" s="17" t="s">
        <v>1029</v>
      </c>
      <c r="P570" s="17" t="s">
        <v>1026</v>
      </c>
      <c r="Q570" s="17" t="s">
        <v>1022</v>
      </c>
      <c r="R570" s="17" t="str">
        <f>VLOOKUP(A570,[1]Export!$A:$I,9,0)</f>
        <v>Não Comprou</v>
      </c>
      <c r="S570" s="17" t="s">
        <v>1023</v>
      </c>
      <c r="T570" s="20"/>
      <c r="U570" s="17"/>
      <c r="V570" s="17"/>
    </row>
    <row r="571" spans="1:22" x14ac:dyDescent="0.35">
      <c r="A571" s="5">
        <v>51954038000134</v>
      </c>
      <c r="B571" s="7"/>
      <c r="C571" s="4"/>
      <c r="D571" s="6" t="s">
        <v>639</v>
      </c>
      <c r="E571" s="6" t="s">
        <v>540</v>
      </c>
      <c r="F571" s="6" t="s">
        <v>8</v>
      </c>
      <c r="G571" s="11" t="s">
        <v>64</v>
      </c>
      <c r="H571" s="6" t="s">
        <v>17</v>
      </c>
      <c r="I571" s="21" t="s">
        <v>1072</v>
      </c>
      <c r="J571" s="18">
        <f>VLOOKUP(A571,[2]Export!$A:$B,2,0)</f>
        <v>6570.2047317071001</v>
      </c>
      <c r="K571" s="18">
        <f>VLOOKUP(A571,[2]Export!$A:$C,3,0)</f>
        <v>4114.72</v>
      </c>
      <c r="L571" s="19">
        <f t="shared" si="18"/>
        <v>0.62626967773816922</v>
      </c>
      <c r="M571" s="18">
        <f>VLOOKUP(A571,[2]Export!$A:$G,7,0)</f>
        <v>863.06999999999994</v>
      </c>
      <c r="N571" s="19">
        <f t="shared" si="19"/>
        <v>0.13136120337847573</v>
      </c>
      <c r="O571" s="17" t="s">
        <v>1029</v>
      </c>
      <c r="P571" s="17" t="s">
        <v>1026</v>
      </c>
      <c r="Q571" s="17" t="s">
        <v>1022</v>
      </c>
      <c r="R571" s="17" t="str">
        <f>VLOOKUP(A571,[1]Export!$A:$I,9,0)</f>
        <v>Comprou Marcas</v>
      </c>
      <c r="S571" s="17" t="s">
        <v>1022</v>
      </c>
      <c r="T571" s="20"/>
      <c r="U571" s="17"/>
      <c r="V571" s="17"/>
    </row>
    <row r="572" spans="1:22" x14ac:dyDescent="0.35">
      <c r="A572" s="4">
        <v>36886133000154</v>
      </c>
      <c r="B572" s="7"/>
      <c r="C572" s="4"/>
      <c r="D572" s="1" t="s">
        <v>640</v>
      </c>
      <c r="E572" s="1" t="s">
        <v>149</v>
      </c>
      <c r="F572" s="1" t="s">
        <v>8</v>
      </c>
      <c r="G572" s="10" t="s">
        <v>20</v>
      </c>
      <c r="H572" s="1" t="s">
        <v>17</v>
      </c>
      <c r="I572" s="21" t="s">
        <v>1072</v>
      </c>
      <c r="J572" s="18">
        <f>VLOOKUP(A572,[2]Export!$A:$B,2,0)</f>
        <v>6263.439003853583</v>
      </c>
      <c r="K572" s="18">
        <f>VLOOKUP(A572,[2]Export!$A:$C,3,0)</f>
        <v>2076.81</v>
      </c>
      <c r="L572" s="19">
        <f t="shared" si="18"/>
        <v>0.33157663046167479</v>
      </c>
      <c r="M572" s="18">
        <f>VLOOKUP(A572,[2]Export!$A:$G,7,0)</f>
        <v>0</v>
      </c>
      <c r="N572" s="19">
        <f t="shared" si="19"/>
        <v>0</v>
      </c>
      <c r="O572" s="17" t="s">
        <v>1029</v>
      </c>
      <c r="P572" s="17" t="s">
        <v>1026</v>
      </c>
      <c r="Q572" s="17" t="s">
        <v>1023</v>
      </c>
      <c r="R572" s="17" t="str">
        <f>VLOOKUP(A572,[1]Export!$A:$I,9,0)</f>
        <v>Não Comprou</v>
      </c>
      <c r="S572" s="17" t="s">
        <v>1022</v>
      </c>
      <c r="T572" s="20"/>
      <c r="U572" s="17"/>
      <c r="V572" s="17"/>
    </row>
    <row r="573" spans="1:22" x14ac:dyDescent="0.35">
      <c r="A573" s="5">
        <v>7217112000490</v>
      </c>
      <c r="B573" s="7" t="s">
        <v>1002</v>
      </c>
      <c r="C573" s="4"/>
      <c r="D573" s="6" t="s">
        <v>195</v>
      </c>
      <c r="E573" s="6" t="s">
        <v>364</v>
      </c>
      <c r="F573" s="6" t="s">
        <v>8</v>
      </c>
      <c r="G573" s="11" t="s">
        <v>20</v>
      </c>
      <c r="H573" s="6" t="s">
        <v>17</v>
      </c>
      <c r="I573" s="21" t="s">
        <v>1066</v>
      </c>
      <c r="J573" s="18">
        <f>VLOOKUP(A573,[2]Export!$A:$B,2,0)</f>
        <v>8897.6124929663692</v>
      </c>
      <c r="K573" s="18">
        <f>VLOOKUP(A573,[2]Export!$A:$C,3,0)</f>
        <v>5017.8300000000017</v>
      </c>
      <c r="L573" s="19">
        <f t="shared" si="18"/>
        <v>0.56395240902732446</v>
      </c>
      <c r="M573" s="18">
        <f>VLOOKUP(A573,[2]Export!$A:$G,7,0)</f>
        <v>3871.4700000000007</v>
      </c>
      <c r="N573" s="19">
        <f t="shared" si="19"/>
        <v>0.43511335238081311</v>
      </c>
      <c r="O573" s="17" t="s">
        <v>1027</v>
      </c>
      <c r="P573" s="17" t="s">
        <v>1028</v>
      </c>
      <c r="Q573" s="17" t="s">
        <v>1023</v>
      </c>
      <c r="R573" s="17" t="str">
        <f>VLOOKUP(A573,[1]Export!$A:$I,9,0)</f>
        <v>Comprou Marcas</v>
      </c>
      <c r="S573" s="17" t="s">
        <v>1022</v>
      </c>
      <c r="T573" s="20"/>
      <c r="U573" s="17"/>
      <c r="V573" s="17"/>
    </row>
    <row r="574" spans="1:22" x14ac:dyDescent="0.35">
      <c r="A574" s="4">
        <v>8087667000770</v>
      </c>
      <c r="B574" s="7" t="s">
        <v>1001</v>
      </c>
      <c r="C574" s="4"/>
      <c r="D574" s="1" t="s">
        <v>218</v>
      </c>
      <c r="E574" s="1" t="s">
        <v>35</v>
      </c>
      <c r="F574" s="1" t="s">
        <v>8</v>
      </c>
      <c r="G574" s="10" t="s">
        <v>36</v>
      </c>
      <c r="H574" s="1" t="s">
        <v>17</v>
      </c>
      <c r="I574" s="21" t="s">
        <v>1070</v>
      </c>
      <c r="J574" s="18">
        <f>VLOOKUP(A574,[2]Export!$A:$B,2,0)</f>
        <v>6436.2683542566438</v>
      </c>
      <c r="K574" s="18">
        <f>VLOOKUP(A574,[2]Export!$A:$C,3,0)</f>
        <v>2620.71</v>
      </c>
      <c r="L574" s="19">
        <f t="shared" si="18"/>
        <v>0.40717848538226131</v>
      </c>
      <c r="M574" s="18">
        <f>VLOOKUP(A574,[2]Export!$A:$G,7,0)</f>
        <v>2719.7899999999995</v>
      </c>
      <c r="N574" s="19">
        <f t="shared" si="19"/>
        <v>0.4225724985816135</v>
      </c>
      <c r="O574" s="17" t="s">
        <v>1025</v>
      </c>
      <c r="P574" s="17" t="s">
        <v>1026</v>
      </c>
      <c r="Q574" s="17" t="s">
        <v>1023</v>
      </c>
      <c r="R574" s="17" t="str">
        <f>VLOOKUP(A574,[1]Export!$A:$I,9,0)</f>
        <v>Comprou Marcas</v>
      </c>
      <c r="S574" s="17" t="s">
        <v>1022</v>
      </c>
      <c r="T574" s="20">
        <v>4</v>
      </c>
      <c r="U574" s="17"/>
      <c r="V574" s="17"/>
    </row>
    <row r="575" spans="1:22" x14ac:dyDescent="0.35">
      <c r="A575" s="5">
        <v>11368538000170</v>
      </c>
      <c r="B575" s="7"/>
      <c r="C575" s="4"/>
      <c r="D575" s="6" t="s">
        <v>641</v>
      </c>
      <c r="E575" s="6" t="s">
        <v>270</v>
      </c>
      <c r="F575" s="6" t="s">
        <v>48</v>
      </c>
      <c r="G575" s="11" t="s">
        <v>9</v>
      </c>
      <c r="H575" s="6" t="s">
        <v>10</v>
      </c>
      <c r="I575" s="21" t="s">
        <v>1073</v>
      </c>
      <c r="J575" s="18">
        <f>VLOOKUP(A575,[2]Export!$A:$B,2,0)</f>
        <v>25182.741858439273</v>
      </c>
      <c r="K575" s="18">
        <f>VLOOKUP(A575,[2]Export!$A:$C,3,0)</f>
        <v>19959.179999999993</v>
      </c>
      <c r="L575" s="19">
        <f t="shared" si="18"/>
        <v>0.79257374404253944</v>
      </c>
      <c r="M575" s="18">
        <f>VLOOKUP(A575,[2]Export!$A:$G,7,0)</f>
        <v>0</v>
      </c>
      <c r="N575" s="19">
        <f t="shared" si="19"/>
        <v>0</v>
      </c>
      <c r="O575" s="17" t="s">
        <v>1027</v>
      </c>
      <c r="P575" s="17" t="s">
        <v>1028</v>
      </c>
      <c r="Q575" s="17" t="s">
        <v>1023</v>
      </c>
      <c r="R575" s="17" t="str">
        <f>VLOOKUP(A575,[1]Export!$A:$I,9,0)</f>
        <v>Comprou SG</v>
      </c>
      <c r="S575" s="17" t="s">
        <v>1022</v>
      </c>
      <c r="T575" s="20">
        <v>6</v>
      </c>
      <c r="U575" s="17"/>
      <c r="V575" s="17">
        <v>7</v>
      </c>
    </row>
    <row r="576" spans="1:22" x14ac:dyDescent="0.35">
      <c r="A576" s="5">
        <v>27545412000325</v>
      </c>
      <c r="B576" s="7" t="s">
        <v>991</v>
      </c>
      <c r="C576" s="4"/>
      <c r="D576" s="6" t="s">
        <v>123</v>
      </c>
      <c r="E576" s="6" t="s">
        <v>7</v>
      </c>
      <c r="F576" s="6" t="s">
        <v>8</v>
      </c>
      <c r="G576" s="11" t="s">
        <v>9</v>
      </c>
      <c r="H576" s="6" t="s">
        <v>10</v>
      </c>
      <c r="I576" s="21" t="s">
        <v>1066</v>
      </c>
      <c r="J576" s="18">
        <f>VLOOKUP(A576,[2]Export!$A:$B,2,0)</f>
        <v>20886.823246334938</v>
      </c>
      <c r="K576" s="18">
        <f>VLOOKUP(A576,[2]Export!$A:$C,3,0)</f>
        <v>13729.8</v>
      </c>
      <c r="L576" s="19">
        <f t="shared" si="18"/>
        <v>0.65734266231267124</v>
      </c>
      <c r="M576" s="18">
        <f>VLOOKUP(A576,[2]Export!$A:$G,7,0)</f>
        <v>12301.610000000002</v>
      </c>
      <c r="N576" s="19">
        <f t="shared" si="19"/>
        <v>0.58896510277878644</v>
      </c>
      <c r="O576" s="17" t="s">
        <v>1027</v>
      </c>
      <c r="P576" s="17" t="s">
        <v>1028</v>
      </c>
      <c r="Q576" s="17" t="s">
        <v>1023</v>
      </c>
      <c r="R576" s="17" t="str">
        <f>VLOOKUP(A576,[1]Export!$A:$I,9,0)</f>
        <v>Comprou Marcas</v>
      </c>
      <c r="S576" s="17" t="s">
        <v>1022</v>
      </c>
      <c r="T576" s="20"/>
      <c r="U576" s="17">
        <v>9</v>
      </c>
      <c r="V576" s="17">
        <v>6</v>
      </c>
    </row>
    <row r="577" spans="1:22" x14ac:dyDescent="0.35">
      <c r="A577" s="5">
        <v>11628018000159</v>
      </c>
      <c r="B577" s="7"/>
      <c r="C577" s="4"/>
      <c r="D577" s="6" t="s">
        <v>636</v>
      </c>
      <c r="E577" s="6" t="s">
        <v>334</v>
      </c>
      <c r="F577" s="6" t="s">
        <v>15</v>
      </c>
      <c r="G577" s="11" t="s">
        <v>20</v>
      </c>
      <c r="H577" s="6" t="s">
        <v>17</v>
      </c>
      <c r="I577" s="21" t="s">
        <v>1067</v>
      </c>
      <c r="J577" s="18">
        <f>VLOOKUP(A577,[2]Export!$A:$B,2,0)</f>
        <v>6928.3468504087668</v>
      </c>
      <c r="K577" s="18">
        <f>VLOOKUP(A577,[2]Export!$A:$C,3,0)</f>
        <v>2845.53</v>
      </c>
      <c r="L577" s="19">
        <f t="shared" si="18"/>
        <v>0.41070836397749289</v>
      </c>
      <c r="M577" s="18">
        <f>VLOOKUP(A577,[2]Export!$A:$G,7,0)</f>
        <v>0</v>
      </c>
      <c r="N577" s="19">
        <f t="shared" si="19"/>
        <v>0</v>
      </c>
      <c r="O577" s="17"/>
      <c r="P577" s="17"/>
      <c r="Q577" s="17"/>
      <c r="R577" s="17" t="str">
        <f>VLOOKUP(A577,[1]Export!$A:$I,9,0)</f>
        <v>Não Comprou</v>
      </c>
      <c r="S577" s="17"/>
      <c r="T577" s="20"/>
      <c r="U577" s="17"/>
      <c r="V577" s="17"/>
    </row>
    <row r="578" spans="1:22" x14ac:dyDescent="0.35">
      <c r="A578" s="4">
        <v>7236140000102</v>
      </c>
      <c r="B578" s="7"/>
      <c r="C578" s="4"/>
      <c r="D578" s="1" t="s">
        <v>393</v>
      </c>
      <c r="E578" s="1" t="s">
        <v>642</v>
      </c>
      <c r="F578" s="1" t="s">
        <v>8</v>
      </c>
      <c r="G578" s="10" t="s">
        <v>190</v>
      </c>
      <c r="H578" s="1" t="s">
        <v>17</v>
      </c>
      <c r="I578" s="21" t="s">
        <v>1070</v>
      </c>
      <c r="J578" s="18">
        <f>VLOOKUP(A578,[2]Export!$A:$B,2,0)</f>
        <v>18449.683547141067</v>
      </c>
      <c r="K578" s="18">
        <f>VLOOKUP(A578,[2]Export!$A:$C,3,0)</f>
        <v>5451.4299999999994</v>
      </c>
      <c r="L578" s="19">
        <f t="shared" si="18"/>
        <v>0.29547552867619481</v>
      </c>
      <c r="M578" s="18">
        <f>VLOOKUP(A578,[2]Export!$A:$G,7,0)</f>
        <v>3608.02</v>
      </c>
      <c r="N578" s="19">
        <f t="shared" si="19"/>
        <v>0.19555999379507477</v>
      </c>
      <c r="O578" s="17" t="s">
        <v>1027</v>
      </c>
      <c r="P578" s="17" t="s">
        <v>1028</v>
      </c>
      <c r="Q578" s="17" t="s">
        <v>1023</v>
      </c>
      <c r="R578" s="17" t="str">
        <f>VLOOKUP(A578,[1]Export!$A:$I,9,0)</f>
        <v>Comprou Marcas</v>
      </c>
      <c r="S578" s="17" t="s">
        <v>1022</v>
      </c>
      <c r="T578" s="20">
        <v>1</v>
      </c>
      <c r="U578" s="17"/>
      <c r="V578" s="17"/>
    </row>
    <row r="579" spans="1:22" x14ac:dyDescent="0.35">
      <c r="A579" s="5">
        <v>20884408000261</v>
      </c>
      <c r="B579" s="7"/>
      <c r="C579" s="4"/>
      <c r="D579" s="6" t="s">
        <v>104</v>
      </c>
      <c r="E579" s="6" t="s">
        <v>138</v>
      </c>
      <c r="F579" s="6" t="s">
        <v>15</v>
      </c>
      <c r="G579" s="11" t="s">
        <v>9</v>
      </c>
      <c r="H579" s="6" t="s">
        <v>10</v>
      </c>
      <c r="I579" s="21" t="s">
        <v>1069</v>
      </c>
      <c r="J579" s="18">
        <f>VLOOKUP(A579,[2]Export!$A:$B,2,0)</f>
        <v>18510.005167711533</v>
      </c>
      <c r="K579" s="18">
        <f>VLOOKUP(A579,[2]Export!$A:$C,3,0)</f>
        <v>12090.030000000002</v>
      </c>
      <c r="L579" s="19">
        <f t="shared" si="18"/>
        <v>0.65316189220139165</v>
      </c>
      <c r="M579" s="18">
        <f>VLOOKUP(A579,[2]Export!$A:$G,7,0)</f>
        <v>4342.71</v>
      </c>
      <c r="N579" s="19">
        <f t="shared" si="19"/>
        <v>0.23461419706004905</v>
      </c>
      <c r="O579" s="17" t="s">
        <v>1027</v>
      </c>
      <c r="P579" s="17" t="s">
        <v>1028</v>
      </c>
      <c r="Q579" s="17" t="s">
        <v>1023</v>
      </c>
      <c r="R579" s="17" t="str">
        <f>VLOOKUP(A579,[1]Export!$A:$I,9,0)</f>
        <v>Comprou Marcas</v>
      </c>
      <c r="S579" s="17" t="s">
        <v>1022</v>
      </c>
      <c r="T579" s="20"/>
      <c r="U579" s="17"/>
      <c r="V579" s="17">
        <v>1</v>
      </c>
    </row>
    <row r="580" spans="1:22" x14ac:dyDescent="0.35">
      <c r="A580" s="4">
        <v>7966206000110</v>
      </c>
      <c r="B580" s="7"/>
      <c r="C580" s="4"/>
      <c r="D580" s="1" t="s">
        <v>643</v>
      </c>
      <c r="E580" s="1" t="s">
        <v>50</v>
      </c>
      <c r="F580" s="1" t="s">
        <v>48</v>
      </c>
      <c r="G580" s="10" t="s">
        <v>80</v>
      </c>
      <c r="H580" s="1" t="s">
        <v>17</v>
      </c>
      <c r="I580" s="21" t="s">
        <v>1071</v>
      </c>
      <c r="J580" s="18">
        <f>VLOOKUP(A580,[2]Export!$A:$B,2,0)</f>
        <v>5447.1023643851786</v>
      </c>
      <c r="K580" s="18">
        <f>VLOOKUP(A580,[2]Export!$A:$C,3,0)</f>
        <v>3774.7000000000007</v>
      </c>
      <c r="L580" s="19">
        <f t="shared" si="18"/>
        <v>0.69297394238084153</v>
      </c>
      <c r="M580" s="18">
        <f>VLOOKUP(A580,[2]Export!$A:$G,7,0)</f>
        <v>678.92</v>
      </c>
      <c r="N580" s="19">
        <f t="shared" si="19"/>
        <v>0.12463874452571087</v>
      </c>
      <c r="O580" s="17" t="s">
        <v>1027</v>
      </c>
      <c r="P580" s="17" t="s">
        <v>1028</v>
      </c>
      <c r="Q580" s="17" t="s">
        <v>1023</v>
      </c>
      <c r="R580" s="17" t="str">
        <f>VLOOKUP(A580,[1]Export!$A:$I,9,0)</f>
        <v>Comprou Marcas</v>
      </c>
      <c r="S580" s="17" t="s">
        <v>1023</v>
      </c>
      <c r="T580" s="20"/>
      <c r="U580" s="17"/>
      <c r="V580" s="17"/>
    </row>
    <row r="581" spans="1:22" x14ac:dyDescent="0.35">
      <c r="A581" s="5">
        <v>19825473000156</v>
      </c>
      <c r="B581" s="7"/>
      <c r="C581" s="4"/>
      <c r="D581" s="6" t="s">
        <v>644</v>
      </c>
      <c r="E581" s="6" t="s">
        <v>260</v>
      </c>
      <c r="F581" s="6" t="s">
        <v>8</v>
      </c>
      <c r="G581" s="11" t="s">
        <v>33</v>
      </c>
      <c r="H581" s="6" t="s">
        <v>17</v>
      </c>
      <c r="I581" s="21" t="s">
        <v>1066</v>
      </c>
      <c r="J581" s="18">
        <f>VLOOKUP(A581,[2]Export!$A:$B,2,0)</f>
        <v>2623.7710966149293</v>
      </c>
      <c r="K581" s="18">
        <f>VLOOKUP(A581,[2]Export!$A:$C,3,0)</f>
        <v>1217.95</v>
      </c>
      <c r="L581" s="19">
        <f t="shared" si="18"/>
        <v>0.46419826850419382</v>
      </c>
      <c r="M581" s="18">
        <f>VLOOKUP(A581,[2]Export!$A:$G,7,0)</f>
        <v>444.1699999999999</v>
      </c>
      <c r="N581" s="19">
        <f t="shared" si="19"/>
        <v>0.16928687131779444</v>
      </c>
      <c r="O581" s="17" t="s">
        <v>1027</v>
      </c>
      <c r="P581" s="17" t="s">
        <v>1026</v>
      </c>
      <c r="Q581" s="17" t="s">
        <v>1023</v>
      </c>
      <c r="R581" s="17" t="str">
        <f>VLOOKUP(A581,[1]Export!$A:$I,9,0)</f>
        <v>Comprou Marcas</v>
      </c>
      <c r="S581" s="17" t="s">
        <v>1022</v>
      </c>
      <c r="T581" s="20"/>
      <c r="U581" s="17"/>
      <c r="V581" s="17"/>
    </row>
    <row r="582" spans="1:22" x14ac:dyDescent="0.35">
      <c r="A582" s="4">
        <v>21013882000361</v>
      </c>
      <c r="B582" s="7" t="s">
        <v>1008</v>
      </c>
      <c r="C582" s="4"/>
      <c r="D582" s="1" t="s">
        <v>90</v>
      </c>
      <c r="E582" s="1" t="s">
        <v>82</v>
      </c>
      <c r="F582" s="1" t="s">
        <v>8</v>
      </c>
      <c r="G582" s="10" t="s">
        <v>64</v>
      </c>
      <c r="H582" s="1" t="s">
        <v>17</v>
      </c>
      <c r="I582" s="21" t="s">
        <v>1070</v>
      </c>
      <c r="J582" s="18">
        <f>VLOOKUP(A582,[2]Export!$A:$B,2,0)</f>
        <v>2370.7882437372609</v>
      </c>
      <c r="K582" s="18">
        <f>VLOOKUP(A582,[2]Export!$A:$C,3,0)</f>
        <v>4521.71</v>
      </c>
      <c r="L582" s="19">
        <f t="shared" si="18"/>
        <v>1.9072601747307769</v>
      </c>
      <c r="M582" s="18">
        <f>VLOOKUP(A582,[2]Export!$A:$G,7,0)</f>
        <v>4348.9499999999989</v>
      </c>
      <c r="N582" s="19">
        <f t="shared" si="19"/>
        <v>1.8343898960560077</v>
      </c>
      <c r="O582" s="17" t="s">
        <v>1029</v>
      </c>
      <c r="P582" s="17" t="s">
        <v>1026</v>
      </c>
      <c r="Q582" s="17" t="s">
        <v>1022</v>
      </c>
      <c r="R582" s="17" t="str">
        <f>VLOOKUP(A582,[1]Export!$A:$I,9,0)</f>
        <v>Comprou Marcas</v>
      </c>
      <c r="S582" s="17" t="s">
        <v>1022</v>
      </c>
      <c r="T582" s="20">
        <v>4</v>
      </c>
      <c r="U582" s="17"/>
      <c r="V582" s="17"/>
    </row>
    <row r="583" spans="1:22" x14ac:dyDescent="0.35">
      <c r="A583" s="5">
        <v>27545412000244</v>
      </c>
      <c r="B583" s="7" t="s">
        <v>991</v>
      </c>
      <c r="C583" s="4"/>
      <c r="D583" s="6" t="s">
        <v>790</v>
      </c>
      <c r="E583" s="6" t="s">
        <v>430</v>
      </c>
      <c r="F583" s="6" t="s">
        <v>8</v>
      </c>
      <c r="G583" s="11" t="s">
        <v>9</v>
      </c>
      <c r="H583" s="6" t="s">
        <v>10</v>
      </c>
      <c r="I583" s="21" t="s">
        <v>1066</v>
      </c>
      <c r="J583" s="18">
        <f>VLOOKUP(A583,[2]Export!$A:$B,2,0)</f>
        <v>11208.494448730382</v>
      </c>
      <c r="K583" s="18">
        <f>VLOOKUP(A583,[2]Export!$A:$C,3,0)</f>
        <v>6468.0699999999988</v>
      </c>
      <c r="L583" s="19">
        <f t="shared" si="18"/>
        <v>0.57706858218881085</v>
      </c>
      <c r="M583" s="18">
        <f>VLOOKUP(A583,[2]Export!$A:$G,7,0)</f>
        <v>3963.0200000000013</v>
      </c>
      <c r="N583" s="19">
        <f t="shared" si="19"/>
        <v>0.35357291009310388</v>
      </c>
      <c r="O583" s="17" t="s">
        <v>1027</v>
      </c>
      <c r="P583" s="17" t="s">
        <v>1028</v>
      </c>
      <c r="Q583" s="17" t="s">
        <v>1023</v>
      </c>
      <c r="R583" s="17" t="str">
        <f>VLOOKUP(A583,[1]Export!$A:$I,9,0)</f>
        <v>Comprou Marcas</v>
      </c>
      <c r="S583" s="17"/>
      <c r="T583" s="20"/>
      <c r="U583" s="17"/>
      <c r="V583" s="17"/>
    </row>
    <row r="584" spans="1:22" x14ac:dyDescent="0.35">
      <c r="A584" s="4">
        <v>22836127000188</v>
      </c>
      <c r="B584" s="7"/>
      <c r="C584" s="4"/>
      <c r="D584" s="1" t="s">
        <v>645</v>
      </c>
      <c r="E584" s="1" t="s">
        <v>193</v>
      </c>
      <c r="F584" s="1" t="s">
        <v>194</v>
      </c>
      <c r="G584" s="10" t="s">
        <v>646</v>
      </c>
      <c r="H584" s="1" t="s">
        <v>17</v>
      </c>
      <c r="I584" s="21" t="s">
        <v>1068</v>
      </c>
      <c r="J584" s="18">
        <f>VLOOKUP(A584,[2]Export!$A:$B,2,0)</f>
        <v>974.87370865869946</v>
      </c>
      <c r="K584" s="18">
        <f>VLOOKUP(A584,[2]Export!$A:$C,3,0)</f>
        <v>557.80999999999995</v>
      </c>
      <c r="L584" s="19">
        <f t="shared" si="18"/>
        <v>0.57218693564674605</v>
      </c>
      <c r="M584" s="18">
        <f>VLOOKUP(A584,[2]Export!$A:$G,7,0)</f>
        <v>317.21000000000004</v>
      </c>
      <c r="N584" s="19">
        <f t="shared" si="19"/>
        <v>0.32538573682168542</v>
      </c>
      <c r="O584" s="17" t="s">
        <v>1025</v>
      </c>
      <c r="P584" s="17" t="s">
        <v>1026</v>
      </c>
      <c r="Q584" s="17" t="s">
        <v>1023</v>
      </c>
      <c r="R584" s="17" t="str">
        <f>VLOOKUP(A584,[1]Export!$A:$I,9,0)</f>
        <v>Comprou Marcas</v>
      </c>
      <c r="S584" s="17" t="s">
        <v>1023</v>
      </c>
      <c r="T584" s="20"/>
      <c r="U584" s="17"/>
      <c r="V584" s="17"/>
    </row>
    <row r="585" spans="1:22" x14ac:dyDescent="0.35">
      <c r="A585" s="5">
        <v>27104567000164</v>
      </c>
      <c r="B585" s="7"/>
      <c r="C585" s="4"/>
      <c r="D585" s="6" t="s">
        <v>647</v>
      </c>
      <c r="E585" s="6" t="s">
        <v>14</v>
      </c>
      <c r="F585" s="6" t="s">
        <v>15</v>
      </c>
      <c r="G585" s="11" t="s">
        <v>36</v>
      </c>
      <c r="H585" s="6" t="s">
        <v>17</v>
      </c>
      <c r="I585" s="21" t="s">
        <v>1067</v>
      </c>
      <c r="J585" s="18">
        <f>VLOOKUP(A585,[2]Export!$A:$B,2,0)</f>
        <v>3179.3592097864048</v>
      </c>
      <c r="K585" s="18">
        <f>VLOOKUP(A585,[2]Export!$A:$C,3,0)</f>
        <v>1779.5600000000004</v>
      </c>
      <c r="L585" s="19">
        <f t="shared" si="18"/>
        <v>0.55972285060534399</v>
      </c>
      <c r="M585" s="18">
        <f>VLOOKUP(A585,[2]Export!$A:$G,7,0)</f>
        <v>1220.73</v>
      </c>
      <c r="N585" s="19">
        <f t="shared" si="19"/>
        <v>0.38395472780881873</v>
      </c>
      <c r="O585" s="17" t="s">
        <v>1025</v>
      </c>
      <c r="P585" s="17" t="s">
        <v>1026</v>
      </c>
      <c r="Q585" s="17" t="s">
        <v>1022</v>
      </c>
      <c r="R585" s="17" t="str">
        <f>VLOOKUP(A585,[1]Export!$A:$I,9,0)</f>
        <v>Comprou Marcas</v>
      </c>
      <c r="S585" s="17" t="s">
        <v>1023</v>
      </c>
      <c r="T585" s="20"/>
      <c r="U585" s="17"/>
      <c r="V585" s="17"/>
    </row>
    <row r="586" spans="1:22" x14ac:dyDescent="0.35">
      <c r="A586" s="4">
        <v>27855189000150</v>
      </c>
      <c r="B586" s="7"/>
      <c r="C586" s="4"/>
      <c r="D586" s="1" t="s">
        <v>648</v>
      </c>
      <c r="E586" s="1" t="s">
        <v>174</v>
      </c>
      <c r="F586" s="1" t="s">
        <v>48</v>
      </c>
      <c r="G586" s="10" t="s">
        <v>486</v>
      </c>
      <c r="H586" s="1" t="s">
        <v>17</v>
      </c>
      <c r="I586" s="21" t="s">
        <v>1073</v>
      </c>
      <c r="J586" s="18">
        <f>VLOOKUP(A586,[2]Export!$A:$B,2,0)</f>
        <v>4782.0080793479692</v>
      </c>
      <c r="K586" s="18">
        <f>VLOOKUP(A586,[2]Export!$A:$C,3,0)</f>
        <v>469.30999999999995</v>
      </c>
      <c r="L586" s="19">
        <f t="shared" si="18"/>
        <v>9.8140779399099376E-2</v>
      </c>
      <c r="M586" s="18">
        <f>VLOOKUP(A586,[2]Export!$A:$G,7,0)</f>
        <v>0</v>
      </c>
      <c r="N586" s="19">
        <f t="shared" si="19"/>
        <v>0</v>
      </c>
      <c r="O586" s="17" t="s">
        <v>1027</v>
      </c>
      <c r="P586" s="17" t="s">
        <v>1028</v>
      </c>
      <c r="Q586" s="17" t="s">
        <v>1023</v>
      </c>
      <c r="R586" s="17" t="str">
        <f>VLOOKUP(A586,[1]Export!$A:$I,9,0)</f>
        <v>Comprou SG</v>
      </c>
      <c r="S586" s="17" t="s">
        <v>1023</v>
      </c>
      <c r="T586" s="20"/>
      <c r="U586" s="17"/>
      <c r="V586" s="17"/>
    </row>
    <row r="587" spans="1:22" x14ac:dyDescent="0.35">
      <c r="A587" s="5">
        <v>28031224000180</v>
      </c>
      <c r="B587" s="7"/>
      <c r="C587" s="4"/>
      <c r="D587" s="6" t="s">
        <v>649</v>
      </c>
      <c r="E587" s="6" t="s">
        <v>43</v>
      </c>
      <c r="F587" s="6" t="s">
        <v>8</v>
      </c>
      <c r="G587" s="11" t="s">
        <v>16</v>
      </c>
      <c r="H587" s="6" t="s">
        <v>17</v>
      </c>
      <c r="I587" s="21" t="s">
        <v>1068</v>
      </c>
      <c r="J587" s="18">
        <f>VLOOKUP(A587,[2]Export!$A:$B,2,0)</f>
        <v>6586.4923201018946</v>
      </c>
      <c r="K587" s="18">
        <f>VLOOKUP(A587,[2]Export!$A:$C,3,0)</f>
        <v>4037.8199999999997</v>
      </c>
      <c r="L587" s="19">
        <f t="shared" si="18"/>
        <v>0.61304557931034431</v>
      </c>
      <c r="M587" s="18">
        <f>VLOOKUP(A587,[2]Export!$A:$G,7,0)</f>
        <v>1751.8500000000001</v>
      </c>
      <c r="N587" s="19">
        <f t="shared" si="19"/>
        <v>0.26597616984284261</v>
      </c>
      <c r="O587" s="17" t="s">
        <v>1031</v>
      </c>
      <c r="P587" s="17" t="s">
        <v>1026</v>
      </c>
      <c r="Q587" s="17" t="s">
        <v>1023</v>
      </c>
      <c r="R587" s="17" t="str">
        <f>VLOOKUP(A587,[1]Export!$A:$I,9,0)</f>
        <v>Comprou Marcas</v>
      </c>
      <c r="S587" s="17" t="s">
        <v>1022</v>
      </c>
      <c r="T587" s="20"/>
      <c r="U587" s="17"/>
      <c r="V587" s="17"/>
    </row>
    <row r="588" spans="1:22" x14ac:dyDescent="0.35">
      <c r="A588" s="4">
        <v>17684597000133</v>
      </c>
      <c r="B588" s="7"/>
      <c r="C588" s="4"/>
      <c r="D588" s="1" t="s">
        <v>505</v>
      </c>
      <c r="E588" s="1" t="s">
        <v>52</v>
      </c>
      <c r="F588" s="1" t="s">
        <v>8</v>
      </c>
      <c r="G588" s="10" t="s">
        <v>36</v>
      </c>
      <c r="H588" s="1" t="s">
        <v>17</v>
      </c>
      <c r="I588" s="21" t="s">
        <v>1072</v>
      </c>
      <c r="J588" s="18">
        <f>VLOOKUP(A588,[2]Export!$A:$B,2,0)</f>
        <v>6061.5963289834626</v>
      </c>
      <c r="K588" s="18">
        <f>VLOOKUP(A588,[2]Export!$A:$C,3,0)</f>
        <v>3940.3100000000004</v>
      </c>
      <c r="L588" s="19">
        <f t="shared" si="18"/>
        <v>0.65004493637417704</v>
      </c>
      <c r="M588" s="18">
        <f>VLOOKUP(A588,[2]Export!$A:$G,7,0)</f>
        <v>3393.6800000000003</v>
      </c>
      <c r="N588" s="19">
        <f t="shared" si="19"/>
        <v>0.55986572114232569</v>
      </c>
      <c r="O588" s="17" t="s">
        <v>1025</v>
      </c>
      <c r="P588" s="17" t="s">
        <v>1026</v>
      </c>
      <c r="Q588" s="17" t="s">
        <v>1023</v>
      </c>
      <c r="R588" s="17" t="str">
        <f>VLOOKUP(A588,[1]Export!$A:$I,9,0)</f>
        <v>Comprou Marcas</v>
      </c>
      <c r="S588" s="17" t="s">
        <v>1023</v>
      </c>
      <c r="T588" s="20"/>
      <c r="U588" s="17"/>
      <c r="V588" s="17"/>
    </row>
    <row r="589" spans="1:22" x14ac:dyDescent="0.35">
      <c r="A589" s="5">
        <v>18919955000293</v>
      </c>
      <c r="B589" s="7"/>
      <c r="C589" s="4"/>
      <c r="D589" s="6" t="s">
        <v>650</v>
      </c>
      <c r="E589" s="6" t="s">
        <v>203</v>
      </c>
      <c r="F589" s="6" t="s">
        <v>8</v>
      </c>
      <c r="G589" s="11" t="s">
        <v>20</v>
      </c>
      <c r="H589" s="6" t="s">
        <v>17</v>
      </c>
      <c r="I589" s="21" t="s">
        <v>1072</v>
      </c>
      <c r="J589" s="18">
        <f>VLOOKUP(A589,[2]Export!$A:$B,2,0)</f>
        <v>6816.0045420352726</v>
      </c>
      <c r="K589" s="18">
        <f>VLOOKUP(A589,[2]Export!$A:$C,3,0)</f>
        <v>1947.8600000000001</v>
      </c>
      <c r="L589" s="19">
        <f t="shared" ref="L589:L652" si="20">K589/J589</f>
        <v>0.28577739172373928</v>
      </c>
      <c r="M589" s="18">
        <f>VLOOKUP(A589,[2]Export!$A:$G,7,0)</f>
        <v>0</v>
      </c>
      <c r="N589" s="19">
        <f t="shared" ref="N589:N652" si="21">M589/J589</f>
        <v>0</v>
      </c>
      <c r="O589" s="17" t="s">
        <v>1030</v>
      </c>
      <c r="P589" s="17" t="s">
        <v>1026</v>
      </c>
      <c r="Q589" s="17" t="s">
        <v>1023</v>
      </c>
      <c r="R589" s="17" t="str">
        <f>VLOOKUP(A589,[1]Export!$A:$I,9,0)</f>
        <v>Não Comprou</v>
      </c>
      <c r="S589" s="17" t="s">
        <v>1022</v>
      </c>
      <c r="T589" s="20">
        <v>4</v>
      </c>
      <c r="U589" s="17"/>
      <c r="V589" s="17"/>
    </row>
    <row r="590" spans="1:22" x14ac:dyDescent="0.35">
      <c r="A590" s="4">
        <v>19023460000163</v>
      </c>
      <c r="B590" s="7"/>
      <c r="C590" s="4"/>
      <c r="D590" s="1" t="s">
        <v>651</v>
      </c>
      <c r="E590" s="1" t="s">
        <v>52</v>
      </c>
      <c r="F590" s="1" t="s">
        <v>8</v>
      </c>
      <c r="G590" s="10" t="s">
        <v>20</v>
      </c>
      <c r="H590" s="1" t="s">
        <v>17</v>
      </c>
      <c r="I590" s="21" t="s">
        <v>1072</v>
      </c>
      <c r="J590" s="18">
        <f>VLOOKUP(A590,[2]Export!$A:$B,2,0)</f>
        <v>3408.5836317369344</v>
      </c>
      <c r="K590" s="18">
        <f>VLOOKUP(A590,[2]Export!$A:$C,3,0)</f>
        <v>2277.2899999999995</v>
      </c>
      <c r="L590" s="19">
        <f t="shared" si="20"/>
        <v>0.66810448152024537</v>
      </c>
      <c r="M590" s="18">
        <f>VLOOKUP(A590,[2]Export!$A:$G,7,0)</f>
        <v>1543.6599999999999</v>
      </c>
      <c r="N590" s="19">
        <f t="shared" si="21"/>
        <v>0.45287432164701996</v>
      </c>
      <c r="O590" s="17" t="s">
        <v>1027</v>
      </c>
      <c r="P590" s="17" t="s">
        <v>1026</v>
      </c>
      <c r="Q590" s="17" t="s">
        <v>1023</v>
      </c>
      <c r="R590" s="17" t="str">
        <f>VLOOKUP(A590,[1]Export!$A:$I,9,0)</f>
        <v>Comprou Marcas</v>
      </c>
      <c r="S590" s="17" t="s">
        <v>1022</v>
      </c>
      <c r="T590" s="20"/>
      <c r="U590" s="17"/>
      <c r="V590" s="17"/>
    </row>
    <row r="591" spans="1:22" x14ac:dyDescent="0.35">
      <c r="A591" s="5">
        <v>19325814000124</v>
      </c>
      <c r="B591" s="7"/>
      <c r="C591" s="4"/>
      <c r="D591" s="6" t="s">
        <v>528</v>
      </c>
      <c r="E591" s="6" t="s">
        <v>61</v>
      </c>
      <c r="F591" s="6" t="s">
        <v>8</v>
      </c>
      <c r="G591" s="11" t="s">
        <v>20</v>
      </c>
      <c r="H591" s="6" t="s">
        <v>17</v>
      </c>
      <c r="I591" s="21" t="s">
        <v>1066</v>
      </c>
      <c r="J591" s="18">
        <f>VLOOKUP(A591,[2]Export!$A:$B,2,0)</f>
        <v>42.23541285331055</v>
      </c>
      <c r="K591" s="18">
        <f>VLOOKUP(A591,[2]Export!$A:$C,3,0)</f>
        <v>32.32</v>
      </c>
      <c r="L591" s="19">
        <f t="shared" si="20"/>
        <v>0.76523461750573729</v>
      </c>
      <c r="M591" s="18">
        <f>VLOOKUP(A591,[2]Export!$A:$G,7,0)</f>
        <v>0</v>
      </c>
      <c r="N591" s="19">
        <f t="shared" si="21"/>
        <v>0</v>
      </c>
      <c r="O591" s="17"/>
      <c r="P591" s="17"/>
      <c r="Q591" s="17"/>
      <c r="R591" s="17" t="str">
        <f>VLOOKUP(A591,[1]Export!$A:$I,9,0)</f>
        <v>Não Comprou</v>
      </c>
      <c r="S591" s="17"/>
      <c r="T591" s="20"/>
      <c r="U591" s="17"/>
      <c r="V591" s="17"/>
    </row>
    <row r="592" spans="1:22" x14ac:dyDescent="0.35">
      <c r="A592" s="4">
        <v>27545412000678</v>
      </c>
      <c r="B592" s="7" t="s">
        <v>991</v>
      </c>
      <c r="C592" s="4"/>
      <c r="D592" s="1" t="s">
        <v>791</v>
      </c>
      <c r="E592" s="1" t="s">
        <v>388</v>
      </c>
      <c r="F592" s="1" t="s">
        <v>8</v>
      </c>
      <c r="G592" s="10" t="s">
        <v>9</v>
      </c>
      <c r="H592" s="1" t="s">
        <v>10</v>
      </c>
      <c r="I592" s="21" t="s">
        <v>1070</v>
      </c>
      <c r="J592" s="18">
        <f>VLOOKUP(A592,[2]Export!$A:$B,2,0)</f>
        <v>3328.7114366937776</v>
      </c>
      <c r="K592" s="18">
        <f>VLOOKUP(A592,[2]Export!$A:$C,3,0)</f>
        <v>18502.72</v>
      </c>
      <c r="L592" s="19">
        <f t="shared" si="20"/>
        <v>5.5585232760150927</v>
      </c>
      <c r="M592" s="18">
        <f>VLOOKUP(A592,[2]Export!$A:$G,7,0)</f>
        <v>1801.7700000000002</v>
      </c>
      <c r="N592" s="19">
        <f t="shared" si="21"/>
        <v>0.54128152417729469</v>
      </c>
      <c r="O592" s="17" t="s">
        <v>1027</v>
      </c>
      <c r="P592" s="17" t="s">
        <v>1028</v>
      </c>
      <c r="Q592" s="17" t="s">
        <v>1023</v>
      </c>
      <c r="R592" s="17" t="str">
        <f>VLOOKUP(A592,[1]Export!$A:$I,9,0)</f>
        <v>Comprou Marcas</v>
      </c>
      <c r="S592" s="17" t="s">
        <v>1022</v>
      </c>
      <c r="T592" s="20"/>
      <c r="U592" s="17"/>
      <c r="V592" s="17"/>
    </row>
    <row r="593" spans="1:22" x14ac:dyDescent="0.35">
      <c r="A593" s="4">
        <v>27545412000597</v>
      </c>
      <c r="B593" s="7" t="s">
        <v>991</v>
      </c>
      <c r="C593" s="4"/>
      <c r="D593" s="1" t="s">
        <v>880</v>
      </c>
      <c r="E593" s="1" t="s">
        <v>35</v>
      </c>
      <c r="F593" s="1" t="s">
        <v>8</v>
      </c>
      <c r="G593" s="10" t="s">
        <v>9</v>
      </c>
      <c r="H593" s="1" t="s">
        <v>10</v>
      </c>
      <c r="I593" s="21" t="s">
        <v>1070</v>
      </c>
      <c r="J593" s="18">
        <f>VLOOKUP(A593,[2]Export!$A:$B,2,0)</f>
        <v>3160.2269284939739</v>
      </c>
      <c r="K593" s="18">
        <f>VLOOKUP(A593,[2]Export!$A:$C,3,0)</f>
        <v>3033.3499999999995</v>
      </c>
      <c r="L593" s="19">
        <f t="shared" si="20"/>
        <v>0.95985195640540966</v>
      </c>
      <c r="M593" s="18">
        <f>VLOOKUP(A593,[2]Export!$A:$G,7,0)</f>
        <v>2202.1200000000003</v>
      </c>
      <c r="N593" s="19">
        <f t="shared" si="21"/>
        <v>0.69682337687358242</v>
      </c>
      <c r="O593" s="17" t="s">
        <v>1027</v>
      </c>
      <c r="P593" s="17" t="s">
        <v>1028</v>
      </c>
      <c r="Q593" s="17" t="s">
        <v>1023</v>
      </c>
      <c r="R593" s="17" t="str">
        <f>VLOOKUP(A593,[1]Export!$A:$I,9,0)</f>
        <v>Comprou Marcas</v>
      </c>
      <c r="S593" s="17" t="s">
        <v>1022</v>
      </c>
      <c r="T593" s="20"/>
      <c r="U593" s="17"/>
      <c r="V593" s="17"/>
    </row>
    <row r="594" spans="1:22" x14ac:dyDescent="0.35">
      <c r="A594" s="4">
        <v>19825473000237</v>
      </c>
      <c r="B594" s="7"/>
      <c r="C594" s="4"/>
      <c r="D594" s="1" t="s">
        <v>644</v>
      </c>
      <c r="E594" s="1" t="s">
        <v>260</v>
      </c>
      <c r="F594" s="1" t="s">
        <v>8</v>
      </c>
      <c r="G594" s="10" t="s">
        <v>33</v>
      </c>
      <c r="H594" s="1" t="s">
        <v>17</v>
      </c>
      <c r="I594" s="21" t="s">
        <v>1066</v>
      </c>
      <c r="J594" s="18">
        <f>VLOOKUP(A594,[2]Export!$A:$B,2,0)</f>
        <v>6199.5663513429708</v>
      </c>
      <c r="K594" s="18">
        <f>VLOOKUP(A594,[2]Export!$A:$C,3,0)</f>
        <v>505.35999999999996</v>
      </c>
      <c r="L594" s="19">
        <f t="shared" si="20"/>
        <v>8.151537887654467E-2</v>
      </c>
      <c r="M594" s="18">
        <f>VLOOKUP(A594,[2]Export!$A:$G,7,0)</f>
        <v>174.54000000000002</v>
      </c>
      <c r="N594" s="19">
        <f t="shared" si="21"/>
        <v>2.8153582058556496E-2</v>
      </c>
      <c r="O594" s="17" t="s">
        <v>1027</v>
      </c>
      <c r="P594" s="17" t="s">
        <v>1026</v>
      </c>
      <c r="Q594" s="17" t="s">
        <v>1023</v>
      </c>
      <c r="R594" s="17" t="str">
        <f>VLOOKUP(A594,[1]Export!$A:$I,9,0)</f>
        <v>Comprou Marcas</v>
      </c>
      <c r="S594" s="17" t="s">
        <v>1022</v>
      </c>
      <c r="T594" s="20"/>
      <c r="U594" s="17"/>
      <c r="V594" s="17"/>
    </row>
    <row r="595" spans="1:22" x14ac:dyDescent="0.35">
      <c r="A595" s="5">
        <v>43080555000101</v>
      </c>
      <c r="B595" s="7"/>
      <c r="C595" s="4"/>
      <c r="D595" s="6" t="s">
        <v>53</v>
      </c>
      <c r="E595" s="6" t="s">
        <v>652</v>
      </c>
      <c r="F595" s="6" t="s">
        <v>48</v>
      </c>
      <c r="G595" s="11" t="s">
        <v>352</v>
      </c>
      <c r="H595" s="6" t="s">
        <v>17</v>
      </c>
      <c r="I595" s="21" t="s">
        <v>1071</v>
      </c>
      <c r="J595" s="18">
        <f>VLOOKUP(A595,[2]Export!$A:$B,2,0)</f>
        <v>5581.3357902594362</v>
      </c>
      <c r="K595" s="18">
        <f>VLOOKUP(A595,[2]Export!$A:$C,3,0)</f>
        <v>2914.8400000000006</v>
      </c>
      <c r="L595" s="19">
        <f t="shared" si="20"/>
        <v>0.52224773952625969</v>
      </c>
      <c r="M595" s="18">
        <f>VLOOKUP(A595,[2]Export!$A:$G,7,0)</f>
        <v>866.79</v>
      </c>
      <c r="N595" s="19">
        <f t="shared" si="21"/>
        <v>0.15530153220896054</v>
      </c>
      <c r="O595" s="17" t="s">
        <v>1025</v>
      </c>
      <c r="P595" s="17" t="s">
        <v>1026</v>
      </c>
      <c r="Q595" s="17" t="s">
        <v>1022</v>
      </c>
      <c r="R595" s="17" t="str">
        <f>VLOOKUP(A595,[1]Export!$A:$I,9,0)</f>
        <v>Comprou Marcas</v>
      </c>
      <c r="S595" s="17" t="s">
        <v>1022</v>
      </c>
      <c r="T595" s="20">
        <v>1</v>
      </c>
      <c r="U595" s="17"/>
      <c r="V595" s="17"/>
    </row>
    <row r="596" spans="1:22" x14ac:dyDescent="0.35">
      <c r="A596" s="4">
        <v>44192893000190</v>
      </c>
      <c r="B596" s="7"/>
      <c r="C596" s="4"/>
      <c r="D596" s="1" t="s">
        <v>653</v>
      </c>
      <c r="E596" s="1" t="s">
        <v>275</v>
      </c>
      <c r="F596" s="1" t="s">
        <v>15</v>
      </c>
      <c r="G596" s="10" t="s">
        <v>33</v>
      </c>
      <c r="H596" s="1" t="s">
        <v>17</v>
      </c>
      <c r="I596" s="21" t="s">
        <v>1073</v>
      </c>
      <c r="J596" s="18">
        <f>VLOOKUP(A596,[2]Export!$A:$B,2,0)</f>
        <v>2879.2510701126857</v>
      </c>
      <c r="K596" s="18">
        <f>VLOOKUP(A596,[2]Export!$A:$C,3,0)</f>
        <v>965.58999999999992</v>
      </c>
      <c r="L596" s="19">
        <f t="shared" si="20"/>
        <v>0.33536151467409525</v>
      </c>
      <c r="M596" s="18">
        <f>VLOOKUP(A596,[2]Export!$A:$G,7,0)</f>
        <v>0</v>
      </c>
      <c r="N596" s="19">
        <f t="shared" si="21"/>
        <v>0</v>
      </c>
      <c r="O596" s="17" t="s">
        <v>1027</v>
      </c>
      <c r="P596" s="17" t="s">
        <v>1028</v>
      </c>
      <c r="Q596" s="17" t="s">
        <v>1023</v>
      </c>
      <c r="R596" s="17" t="str">
        <f>VLOOKUP(A596,[1]Export!$A:$I,9,0)</f>
        <v>Não Comprou</v>
      </c>
      <c r="S596" s="17" t="s">
        <v>1022</v>
      </c>
      <c r="T596" s="20"/>
      <c r="U596" s="17"/>
      <c r="V596" s="17"/>
    </row>
    <row r="597" spans="1:22" x14ac:dyDescent="0.35">
      <c r="A597" s="5">
        <v>33687112000111</v>
      </c>
      <c r="B597" s="7"/>
      <c r="C597" s="4"/>
      <c r="D597" s="6" t="s">
        <v>654</v>
      </c>
      <c r="E597" s="6" t="s">
        <v>149</v>
      </c>
      <c r="F597" s="6" t="s">
        <v>8</v>
      </c>
      <c r="G597" s="11" t="s">
        <v>16</v>
      </c>
      <c r="H597" s="6" t="s">
        <v>17</v>
      </c>
      <c r="I597" s="21" t="s">
        <v>1072</v>
      </c>
      <c r="J597" s="18">
        <f>VLOOKUP(A597,[2]Export!$A:$B,2,0)</f>
        <v>4745.9255958807908</v>
      </c>
      <c r="K597" s="18">
        <f>VLOOKUP(A597,[2]Export!$A:$C,3,0)</f>
        <v>2599.98</v>
      </c>
      <c r="L597" s="19">
        <f t="shared" si="20"/>
        <v>0.54783412581449731</v>
      </c>
      <c r="M597" s="18">
        <f>VLOOKUP(A597,[2]Export!$A:$G,7,0)</f>
        <v>1757.3800000000003</v>
      </c>
      <c r="N597" s="19">
        <f t="shared" si="21"/>
        <v>0.37029236225812562</v>
      </c>
      <c r="O597" s="17" t="s">
        <v>1025</v>
      </c>
      <c r="P597" s="17" t="s">
        <v>1026</v>
      </c>
      <c r="Q597" s="17" t="s">
        <v>1023</v>
      </c>
      <c r="R597" s="17" t="str">
        <f>VLOOKUP(A597,[1]Export!$A:$I,9,0)</f>
        <v>Comprou Marcas</v>
      </c>
      <c r="S597" s="17" t="s">
        <v>1022</v>
      </c>
      <c r="T597" s="20"/>
      <c r="U597" s="17"/>
      <c r="V597" s="17"/>
    </row>
    <row r="598" spans="1:22" x14ac:dyDescent="0.35">
      <c r="A598" s="4">
        <v>33694076000113</v>
      </c>
      <c r="B598" s="7"/>
      <c r="C598" s="4"/>
      <c r="D598" s="1" t="s">
        <v>655</v>
      </c>
      <c r="E598" s="1" t="s">
        <v>166</v>
      </c>
      <c r="F598" s="1" t="s">
        <v>8</v>
      </c>
      <c r="G598" s="10" t="s">
        <v>20</v>
      </c>
      <c r="H598" s="1" t="s">
        <v>17</v>
      </c>
      <c r="I598" s="21" t="s">
        <v>1068</v>
      </c>
      <c r="J598" s="18">
        <f>VLOOKUP(A598,[2]Export!$A:$B,2,0)</f>
        <v>1816.096334680102</v>
      </c>
      <c r="K598" s="18">
        <f>VLOOKUP(A598,[2]Export!$A:$C,3,0)</f>
        <v>673.66</v>
      </c>
      <c r="L598" s="19">
        <f t="shared" si="20"/>
        <v>0.37093847233531391</v>
      </c>
      <c r="M598" s="18">
        <f>VLOOKUP(A598,[2]Export!$A:$G,7,0)</f>
        <v>0</v>
      </c>
      <c r="N598" s="19">
        <f t="shared" si="21"/>
        <v>0</v>
      </c>
      <c r="O598" s="17" t="s">
        <v>1025</v>
      </c>
      <c r="P598" s="17" t="s">
        <v>1026</v>
      </c>
      <c r="Q598" s="17" t="s">
        <v>1023</v>
      </c>
      <c r="R598" s="17" t="str">
        <f>VLOOKUP(A598,[1]Export!$A:$I,9,0)</f>
        <v>Não Comprou</v>
      </c>
      <c r="S598" s="17" t="s">
        <v>1022</v>
      </c>
      <c r="T598" s="20"/>
      <c r="U598" s="17"/>
      <c r="V598" s="17"/>
    </row>
    <row r="599" spans="1:22" x14ac:dyDescent="0.35">
      <c r="A599" s="5">
        <v>36883544000196</v>
      </c>
      <c r="B599" s="7"/>
      <c r="C599" s="4"/>
      <c r="D599" s="6" t="s">
        <v>656</v>
      </c>
      <c r="E599" s="6" t="s">
        <v>291</v>
      </c>
      <c r="F599" s="6" t="s">
        <v>8</v>
      </c>
      <c r="G599" s="11" t="s">
        <v>20</v>
      </c>
      <c r="H599" s="6" t="s">
        <v>17</v>
      </c>
      <c r="I599" s="21" t="s">
        <v>1066</v>
      </c>
      <c r="J599" s="18">
        <f>VLOOKUP(A599,[2]Export!$A:$B,2,0)</f>
        <v>8427.9918123484185</v>
      </c>
      <c r="K599" s="18">
        <f>VLOOKUP(A599,[2]Export!$A:$C,3,0)</f>
        <v>1843.3799999999999</v>
      </c>
      <c r="L599" s="19">
        <f t="shared" si="20"/>
        <v>0.21872114271624465</v>
      </c>
      <c r="M599" s="18">
        <f>VLOOKUP(A599,[2]Export!$A:$G,7,0)</f>
        <v>0</v>
      </c>
      <c r="N599" s="19">
        <f t="shared" si="21"/>
        <v>0</v>
      </c>
      <c r="O599" s="17" t="s">
        <v>1025</v>
      </c>
      <c r="P599" s="17" t="s">
        <v>1026</v>
      </c>
      <c r="Q599" s="17" t="s">
        <v>1023</v>
      </c>
      <c r="R599" s="17" t="str">
        <f>VLOOKUP(A599,[1]Export!$A:$I,9,0)</f>
        <v>Não Comprou</v>
      </c>
      <c r="S599" s="17" t="s">
        <v>1022</v>
      </c>
      <c r="T599" s="20"/>
      <c r="U599" s="17"/>
      <c r="V599" s="17"/>
    </row>
    <row r="600" spans="1:22" x14ac:dyDescent="0.35">
      <c r="A600" s="4">
        <v>37963302000175</v>
      </c>
      <c r="B600" s="7"/>
      <c r="C600" s="4"/>
      <c r="D600" s="1" t="s">
        <v>616</v>
      </c>
      <c r="E600" s="1" t="s">
        <v>45</v>
      </c>
      <c r="F600" s="1" t="s">
        <v>8</v>
      </c>
      <c r="G600" s="10" t="s">
        <v>20</v>
      </c>
      <c r="H600" s="1" t="s">
        <v>17</v>
      </c>
      <c r="I600" s="21" t="s">
        <v>1068</v>
      </c>
      <c r="J600" s="18">
        <f>VLOOKUP(A600,[2]Export!$A:$B,2,0)</f>
        <v>1675.4408104986769</v>
      </c>
      <c r="K600" s="18">
        <f>VLOOKUP(A600,[2]Export!$A:$C,3,0)</f>
        <v>798.87999999999988</v>
      </c>
      <c r="L600" s="19">
        <f t="shared" si="20"/>
        <v>0.47681779922874257</v>
      </c>
      <c r="M600" s="18">
        <f>VLOOKUP(A600,[2]Export!$A:$G,7,0)</f>
        <v>0</v>
      </c>
      <c r="N600" s="19">
        <f t="shared" si="21"/>
        <v>0</v>
      </c>
      <c r="O600" s="17" t="s">
        <v>1025</v>
      </c>
      <c r="P600" s="17" t="s">
        <v>1026</v>
      </c>
      <c r="Q600" s="17" t="s">
        <v>1023</v>
      </c>
      <c r="R600" s="17" t="str">
        <f>VLOOKUP(A600,[1]Export!$A:$I,9,0)</f>
        <v>Não Comprou</v>
      </c>
      <c r="S600" s="17" t="s">
        <v>1023</v>
      </c>
      <c r="T600" s="20">
        <v>2</v>
      </c>
      <c r="U600" s="17"/>
      <c r="V600" s="17"/>
    </row>
    <row r="601" spans="1:22" x14ac:dyDescent="0.35">
      <c r="A601" s="5">
        <v>48669698000169</v>
      </c>
      <c r="B601" s="7"/>
      <c r="C601" s="4"/>
      <c r="D601" s="6" t="s">
        <v>286</v>
      </c>
      <c r="E601" s="6" t="s">
        <v>7</v>
      </c>
      <c r="F601" s="6" t="s">
        <v>8</v>
      </c>
      <c r="G601" s="11" t="s">
        <v>74</v>
      </c>
      <c r="H601" s="6" t="s">
        <v>17</v>
      </c>
      <c r="I601" s="21" t="s">
        <v>1066</v>
      </c>
      <c r="J601" s="18">
        <f>VLOOKUP(A601,[2]Export!$A:$B,2,0)</f>
        <v>4681.0697844560527</v>
      </c>
      <c r="K601" s="18">
        <f>VLOOKUP(A601,[2]Export!$A:$C,3,0)</f>
        <v>1990.3600000000004</v>
      </c>
      <c r="L601" s="19">
        <f t="shared" si="20"/>
        <v>0.42519340485142609</v>
      </c>
      <c r="M601" s="18">
        <f>VLOOKUP(A601,[2]Export!$A:$G,7,0)</f>
        <v>0</v>
      </c>
      <c r="N601" s="19">
        <f t="shared" si="21"/>
        <v>0</v>
      </c>
      <c r="O601" s="17"/>
      <c r="P601" s="17"/>
      <c r="Q601" s="17"/>
      <c r="R601" s="17" t="str">
        <f>VLOOKUP(A601,[1]Export!$A:$I,9,0)</f>
        <v>Não Comprou</v>
      </c>
      <c r="S601" s="17"/>
      <c r="T601" s="20"/>
      <c r="U601" s="17"/>
      <c r="V601" s="17"/>
    </row>
    <row r="602" spans="1:22" x14ac:dyDescent="0.35">
      <c r="A602" s="4">
        <v>49465956000158</v>
      </c>
      <c r="B602" s="7"/>
      <c r="C602" s="4"/>
      <c r="D602" s="1" t="s">
        <v>657</v>
      </c>
      <c r="E602" s="1" t="s">
        <v>334</v>
      </c>
      <c r="F602" s="1" t="s">
        <v>15</v>
      </c>
      <c r="G602" s="10" t="s">
        <v>16</v>
      </c>
      <c r="H602" s="1" t="s">
        <v>17</v>
      </c>
      <c r="I602" s="21" t="s">
        <v>1067</v>
      </c>
      <c r="J602" s="18">
        <f>VLOOKUP(A602,[2]Export!$A:$B,2,0)</f>
        <v>2341.7390189694893</v>
      </c>
      <c r="K602" s="18">
        <f>VLOOKUP(A602,[2]Export!$A:$C,3,0)</f>
        <v>0</v>
      </c>
      <c r="L602" s="19">
        <f t="shared" si="20"/>
        <v>0</v>
      </c>
      <c r="M602" s="18">
        <f>VLOOKUP(A602,[2]Export!$A:$G,7,0)</f>
        <v>0</v>
      </c>
      <c r="N602" s="19">
        <f t="shared" si="21"/>
        <v>0</v>
      </c>
      <c r="O602" s="17" t="s">
        <v>1029</v>
      </c>
      <c r="P602" s="17" t="s">
        <v>1026</v>
      </c>
      <c r="Q602" s="17" t="s">
        <v>1022</v>
      </c>
      <c r="R602" s="17" t="str">
        <f>VLOOKUP(A602,[1]Export!$A:$I,9,0)</f>
        <v>Não Comprou</v>
      </c>
      <c r="S602" s="17" t="s">
        <v>1022</v>
      </c>
      <c r="T602" s="20"/>
      <c r="U602" s="17"/>
      <c r="V602" s="17"/>
    </row>
    <row r="603" spans="1:22" x14ac:dyDescent="0.35">
      <c r="A603" s="5">
        <v>49760647000100</v>
      </c>
      <c r="B603" s="7"/>
      <c r="C603" s="4"/>
      <c r="D603" s="6" t="s">
        <v>658</v>
      </c>
      <c r="E603" s="6" t="s">
        <v>35</v>
      </c>
      <c r="F603" s="6" t="s">
        <v>8</v>
      </c>
      <c r="G603" s="11" t="s">
        <v>33</v>
      </c>
      <c r="H603" s="6" t="s">
        <v>17</v>
      </c>
      <c r="I603" s="21" t="s">
        <v>1070</v>
      </c>
      <c r="J603" s="18">
        <f>VLOOKUP(A603,[2]Export!$A:$B,2,0)</f>
        <v>5856.8797575753842</v>
      </c>
      <c r="K603" s="18">
        <f>VLOOKUP(A603,[2]Export!$A:$C,3,0)</f>
        <v>1124.8500000000001</v>
      </c>
      <c r="L603" s="19">
        <f t="shared" si="20"/>
        <v>0.19205618803170763</v>
      </c>
      <c r="M603" s="18">
        <f>VLOOKUP(A603,[2]Export!$A:$G,7,0)</f>
        <v>0</v>
      </c>
      <c r="N603" s="19">
        <f t="shared" si="21"/>
        <v>0</v>
      </c>
      <c r="O603" s="17" t="s">
        <v>1027</v>
      </c>
      <c r="P603" s="17" t="s">
        <v>1026</v>
      </c>
      <c r="Q603" s="17" t="s">
        <v>1023</v>
      </c>
      <c r="R603" s="17" t="str">
        <f>VLOOKUP(A603,[1]Export!$A:$I,9,0)</f>
        <v>Não Comprou</v>
      </c>
      <c r="S603" s="17" t="s">
        <v>1023</v>
      </c>
      <c r="T603" s="20"/>
      <c r="U603" s="17"/>
      <c r="V603" s="17"/>
    </row>
    <row r="604" spans="1:22" x14ac:dyDescent="0.35">
      <c r="A604" s="4">
        <v>50038493000127</v>
      </c>
      <c r="B604" s="7"/>
      <c r="C604" s="4"/>
      <c r="D604" s="1" t="s">
        <v>659</v>
      </c>
      <c r="E604" s="1" t="s">
        <v>327</v>
      </c>
      <c r="F604" s="1" t="s">
        <v>15</v>
      </c>
      <c r="G604" s="10" t="s">
        <v>20</v>
      </c>
      <c r="H604" s="1" t="s">
        <v>17</v>
      </c>
      <c r="I604" s="21" t="s">
        <v>1069</v>
      </c>
      <c r="J604" s="18">
        <f>VLOOKUP(A604,[2]Export!$A:$B,2,0)</f>
        <v>5334.5720511806494</v>
      </c>
      <c r="K604" s="18">
        <f>VLOOKUP(A604,[2]Export!$A:$C,3,0)</f>
        <v>2715.7</v>
      </c>
      <c r="L604" s="19">
        <f t="shared" si="20"/>
        <v>0.50907551232698411</v>
      </c>
      <c r="M604" s="18">
        <f>VLOOKUP(A604,[2]Export!$A:$G,7,0)</f>
        <v>2775.36</v>
      </c>
      <c r="N604" s="19">
        <f t="shared" si="21"/>
        <v>0.52025916481637102</v>
      </c>
      <c r="O604" s="17" t="s">
        <v>1027</v>
      </c>
      <c r="P604" s="17" t="s">
        <v>1028</v>
      </c>
      <c r="Q604" s="17" t="s">
        <v>1022</v>
      </c>
      <c r="R604" s="17" t="str">
        <f>VLOOKUP(A604,[1]Export!$A:$I,9,0)</f>
        <v>Comprou Marcas</v>
      </c>
      <c r="S604" s="17" t="s">
        <v>1022</v>
      </c>
      <c r="T604" s="20">
        <v>4</v>
      </c>
      <c r="U604" s="17"/>
      <c r="V604" s="17"/>
    </row>
    <row r="605" spans="1:22" x14ac:dyDescent="0.35">
      <c r="A605" s="4">
        <v>33587172000162</v>
      </c>
      <c r="B605" s="7"/>
      <c r="C605" s="4"/>
      <c r="D605" s="1" t="s">
        <v>314</v>
      </c>
      <c r="E605" s="1" t="s">
        <v>100</v>
      </c>
      <c r="F605" s="1" t="s">
        <v>15</v>
      </c>
      <c r="G605" s="10" t="s">
        <v>38</v>
      </c>
      <c r="H605" s="1" t="s">
        <v>17</v>
      </c>
      <c r="I605" s="21" t="s">
        <v>1073</v>
      </c>
      <c r="J605" s="18">
        <f>VLOOKUP(A605,[2]Export!$A:$B,2,0)</f>
        <v>4557.0627623930659</v>
      </c>
      <c r="K605" s="18">
        <f>VLOOKUP(A605,[2]Export!$A:$C,3,0)</f>
        <v>3244.5700000000006</v>
      </c>
      <c r="L605" s="19">
        <f t="shared" si="20"/>
        <v>0.71198712178722956</v>
      </c>
      <c r="M605" s="18">
        <f>VLOOKUP(A605,[2]Export!$A:$G,7,0)</f>
        <v>1986.2399999999998</v>
      </c>
      <c r="N605" s="19">
        <f t="shared" si="21"/>
        <v>0.43585969813524333</v>
      </c>
      <c r="O605" s="17" t="s">
        <v>1027</v>
      </c>
      <c r="P605" s="17" t="s">
        <v>1028</v>
      </c>
      <c r="Q605" s="17" t="s">
        <v>1023</v>
      </c>
      <c r="R605" s="17" t="str">
        <f>VLOOKUP(A605,[1]Export!$A:$I,9,0)</f>
        <v>Comprou Marcas</v>
      </c>
      <c r="S605" s="17" t="s">
        <v>1022</v>
      </c>
      <c r="T605" s="20">
        <v>4</v>
      </c>
      <c r="U605" s="17"/>
      <c r="V605" s="17"/>
    </row>
    <row r="606" spans="1:22" x14ac:dyDescent="0.35">
      <c r="A606" s="4">
        <v>430268000163</v>
      </c>
      <c r="B606" s="7"/>
      <c r="C606" s="4"/>
      <c r="D606" s="1" t="s">
        <v>661</v>
      </c>
      <c r="E606" s="1" t="s">
        <v>588</v>
      </c>
      <c r="F606" s="1" t="s">
        <v>8</v>
      </c>
      <c r="G606" s="10" t="s">
        <v>20</v>
      </c>
      <c r="H606" s="1" t="s">
        <v>17</v>
      </c>
      <c r="I606" s="21" t="s">
        <v>1066</v>
      </c>
      <c r="J606" s="18">
        <f>VLOOKUP(A606,[2]Export!$A:$B,2,0)</f>
        <v>2151.3606046240184</v>
      </c>
      <c r="K606" s="18">
        <f>VLOOKUP(A606,[2]Export!$A:$C,3,0)</f>
        <v>1578.69</v>
      </c>
      <c r="L606" s="19">
        <f t="shared" si="20"/>
        <v>0.73381003473190365</v>
      </c>
      <c r="M606" s="18">
        <f>VLOOKUP(A606,[2]Export!$A:$G,7,0)</f>
        <v>1204.7199999999998</v>
      </c>
      <c r="N606" s="19">
        <f t="shared" si="21"/>
        <v>0.55998050601588578</v>
      </c>
      <c r="O606" s="17" t="s">
        <v>1025</v>
      </c>
      <c r="P606" s="17" t="s">
        <v>1026</v>
      </c>
      <c r="Q606" s="17" t="s">
        <v>1023</v>
      </c>
      <c r="R606" s="17" t="str">
        <f>VLOOKUP(A606,[1]Export!$A:$I,9,0)</f>
        <v>Comprou Marcas</v>
      </c>
      <c r="S606" s="17" t="s">
        <v>1023</v>
      </c>
      <c r="T606" s="20"/>
      <c r="U606" s="17"/>
      <c r="V606" s="17"/>
    </row>
    <row r="607" spans="1:22" x14ac:dyDescent="0.35">
      <c r="A607" s="5">
        <v>1559060000101</v>
      </c>
      <c r="B607" s="7"/>
      <c r="C607" s="4"/>
      <c r="D607" s="6" t="s">
        <v>662</v>
      </c>
      <c r="E607" s="6" t="s">
        <v>110</v>
      </c>
      <c r="F607" s="6" t="s">
        <v>15</v>
      </c>
      <c r="G607" s="11" t="s">
        <v>20</v>
      </c>
      <c r="H607" s="6" t="s">
        <v>17</v>
      </c>
      <c r="I607" s="21" t="s">
        <v>1069</v>
      </c>
      <c r="J607" s="18">
        <f>VLOOKUP(A607,[2]Export!$A:$B,2,0)</f>
        <v>2403.0817177274002</v>
      </c>
      <c r="K607" s="18">
        <f>VLOOKUP(A607,[2]Export!$A:$C,3,0)</f>
        <v>988.92000000000007</v>
      </c>
      <c r="L607" s="19">
        <f t="shared" si="20"/>
        <v>0.4115215860970487</v>
      </c>
      <c r="M607" s="18">
        <f>VLOOKUP(A607,[2]Export!$A:$G,7,0)</f>
        <v>453.49</v>
      </c>
      <c r="N607" s="19">
        <f t="shared" si="21"/>
        <v>0.1887118513925804</v>
      </c>
      <c r="O607" s="17" t="s">
        <v>1025</v>
      </c>
      <c r="P607" s="17" t="s">
        <v>1026</v>
      </c>
      <c r="Q607" s="17" t="s">
        <v>1023</v>
      </c>
      <c r="R607" s="17" t="str">
        <f>VLOOKUP(A607,[1]Export!$A:$I,9,0)</f>
        <v>Comprou Marcas</v>
      </c>
      <c r="S607" s="17" t="s">
        <v>1022</v>
      </c>
      <c r="T607" s="20"/>
      <c r="U607" s="17"/>
      <c r="V607" s="17"/>
    </row>
    <row r="608" spans="1:22" x14ac:dyDescent="0.35">
      <c r="A608" s="4">
        <v>4114403000384</v>
      </c>
      <c r="B608" s="7" t="s">
        <v>1000</v>
      </c>
      <c r="C608" s="4"/>
      <c r="D608" s="1" t="s">
        <v>104</v>
      </c>
      <c r="E608" s="1" t="s">
        <v>203</v>
      </c>
      <c r="F608" s="1" t="s">
        <v>8</v>
      </c>
      <c r="G608" s="10" t="s">
        <v>9</v>
      </c>
      <c r="H608" s="1" t="s">
        <v>10</v>
      </c>
      <c r="I608" s="21" t="s">
        <v>1072</v>
      </c>
      <c r="J608" s="18">
        <f>VLOOKUP(A608,[2]Export!$A:$B,2,0)</f>
        <v>14525.135025598309</v>
      </c>
      <c r="K608" s="18">
        <f>VLOOKUP(A608,[2]Export!$A:$C,3,0)</f>
        <v>10346.609999999999</v>
      </c>
      <c r="L608" s="19">
        <f t="shared" si="20"/>
        <v>0.71232453135655505</v>
      </c>
      <c r="M608" s="18">
        <f>VLOOKUP(A608,[2]Export!$A:$G,7,0)</f>
        <v>6935</v>
      </c>
      <c r="N608" s="19">
        <f t="shared" si="21"/>
        <v>0.47744822941598358</v>
      </c>
      <c r="O608" s="17" t="s">
        <v>1027</v>
      </c>
      <c r="P608" s="17" t="s">
        <v>1026</v>
      </c>
      <c r="Q608" s="17" t="s">
        <v>1023</v>
      </c>
      <c r="R608" s="17" t="str">
        <f>VLOOKUP(A608,[1]Export!$A:$I,9,0)</f>
        <v>Comprou Marcas</v>
      </c>
      <c r="S608" s="17" t="s">
        <v>1022</v>
      </c>
      <c r="T608" s="20"/>
      <c r="U608" s="17"/>
      <c r="V608" s="17">
        <v>1</v>
      </c>
    </row>
    <row r="609" spans="1:22" x14ac:dyDescent="0.35">
      <c r="A609" s="5">
        <v>21987208000116</v>
      </c>
      <c r="B609" s="7"/>
      <c r="C609" s="4"/>
      <c r="D609" s="6" t="s">
        <v>663</v>
      </c>
      <c r="E609" s="6" t="s">
        <v>226</v>
      </c>
      <c r="F609" s="6" t="s">
        <v>15</v>
      </c>
      <c r="G609" s="11" t="s">
        <v>36</v>
      </c>
      <c r="H609" s="6" t="s">
        <v>17</v>
      </c>
      <c r="I609" s="21" t="s">
        <v>1069</v>
      </c>
      <c r="J609" s="18">
        <f>VLOOKUP(A609,[2]Export!$A:$B,2,0)</f>
        <v>11727.191540284417</v>
      </c>
      <c r="K609" s="18">
        <f>VLOOKUP(A609,[2]Export!$A:$C,3,0)</f>
        <v>18489.080000000002</v>
      </c>
      <c r="L609" s="19">
        <f t="shared" si="20"/>
        <v>1.5765991317262642</v>
      </c>
      <c r="M609" s="18">
        <f>VLOOKUP(A609,[2]Export!$A:$G,7,0)</f>
        <v>15396.280000000004</v>
      </c>
      <c r="N609" s="19">
        <f t="shared" si="21"/>
        <v>1.3128701741684523</v>
      </c>
      <c r="O609" s="17" t="s">
        <v>1027</v>
      </c>
      <c r="P609" s="17" t="s">
        <v>1028</v>
      </c>
      <c r="Q609" s="17" t="s">
        <v>1023</v>
      </c>
      <c r="R609" s="17" t="str">
        <f>VLOOKUP(A609,[1]Export!$A:$I,9,0)</f>
        <v>Comprou Marcas</v>
      </c>
      <c r="S609" s="17" t="s">
        <v>1022</v>
      </c>
      <c r="T609" s="20"/>
      <c r="U609" s="17"/>
      <c r="V609" s="17"/>
    </row>
    <row r="610" spans="1:22" x14ac:dyDescent="0.35">
      <c r="A610" s="4">
        <v>22954090000192</v>
      </c>
      <c r="B610" s="7"/>
      <c r="C610" s="4"/>
      <c r="D610" s="1" t="s">
        <v>664</v>
      </c>
      <c r="E610" s="1" t="s">
        <v>588</v>
      </c>
      <c r="F610" s="1" t="s">
        <v>8</v>
      </c>
      <c r="G610" s="10" t="s">
        <v>20</v>
      </c>
      <c r="H610" s="1" t="s">
        <v>17</v>
      </c>
      <c r="I610" s="21" t="s">
        <v>1066</v>
      </c>
      <c r="J610" s="18">
        <f>VLOOKUP(A610,[2]Export!$A:$B,2,0)</f>
        <v>3306.4772634320298</v>
      </c>
      <c r="K610" s="18">
        <f>VLOOKUP(A610,[2]Export!$A:$C,3,0)</f>
        <v>312.56</v>
      </c>
      <c r="L610" s="19">
        <f t="shared" si="20"/>
        <v>9.4529608129097359E-2</v>
      </c>
      <c r="M610" s="18">
        <f>VLOOKUP(A610,[2]Export!$A:$G,7,0)</f>
        <v>0</v>
      </c>
      <c r="N610" s="19">
        <f t="shared" si="21"/>
        <v>0</v>
      </c>
      <c r="O610" s="17" t="s">
        <v>1025</v>
      </c>
      <c r="P610" s="17" t="s">
        <v>1026</v>
      </c>
      <c r="Q610" s="17" t="s">
        <v>1023</v>
      </c>
      <c r="R610" s="17" t="str">
        <f>VLOOKUP(A610,[1]Export!$A:$I,9,0)</f>
        <v>Não Comprou</v>
      </c>
      <c r="S610" s="17" t="s">
        <v>1023</v>
      </c>
      <c r="T610" s="20"/>
      <c r="U610" s="17"/>
      <c r="V610" s="17"/>
    </row>
    <row r="611" spans="1:22" x14ac:dyDescent="0.35">
      <c r="A611" s="5">
        <v>7771697000143</v>
      </c>
      <c r="B611" s="7"/>
      <c r="C611" s="4"/>
      <c r="D611" s="6" t="s">
        <v>665</v>
      </c>
      <c r="E611" s="6" t="s">
        <v>606</v>
      </c>
      <c r="F611" s="6" t="s">
        <v>48</v>
      </c>
      <c r="G611" s="11" t="s">
        <v>20</v>
      </c>
      <c r="H611" s="6" t="s">
        <v>17</v>
      </c>
      <c r="I611" s="21" t="s">
        <v>1071</v>
      </c>
      <c r="J611" s="18">
        <f>VLOOKUP(A611,[2]Export!$A:$B,2,0)</f>
        <v>3190.1768161882815</v>
      </c>
      <c r="K611" s="18">
        <f>VLOOKUP(A611,[2]Export!$A:$C,3,0)</f>
        <v>2349.6799999999998</v>
      </c>
      <c r="L611" s="19">
        <f t="shared" si="20"/>
        <v>0.73653597759119438</v>
      </c>
      <c r="M611" s="18">
        <f>VLOOKUP(A611,[2]Export!$A:$G,7,0)</f>
        <v>1061.96</v>
      </c>
      <c r="N611" s="19">
        <f t="shared" si="21"/>
        <v>0.33288437011114058</v>
      </c>
      <c r="O611" s="17" t="s">
        <v>1025</v>
      </c>
      <c r="P611" s="17" t="s">
        <v>1026</v>
      </c>
      <c r="Q611" s="17" t="s">
        <v>1023</v>
      </c>
      <c r="R611" s="17" t="str">
        <f>VLOOKUP(A611,[1]Export!$A:$I,9,0)</f>
        <v>Não Comprou</v>
      </c>
      <c r="S611" s="17" t="s">
        <v>1022</v>
      </c>
      <c r="T611" s="20"/>
      <c r="U611" s="17"/>
      <c r="V611" s="17"/>
    </row>
    <row r="612" spans="1:22" x14ac:dyDescent="0.35">
      <c r="A612" s="4">
        <v>8600885000171</v>
      </c>
      <c r="B612" s="7"/>
      <c r="C612" s="4"/>
      <c r="D612" s="1" t="s">
        <v>666</v>
      </c>
      <c r="E612" s="1" t="s">
        <v>26</v>
      </c>
      <c r="F612" s="1" t="s">
        <v>8</v>
      </c>
      <c r="G612" s="10" t="s">
        <v>36</v>
      </c>
      <c r="H612" s="1" t="s">
        <v>17</v>
      </c>
      <c r="I612" s="21" t="s">
        <v>1066</v>
      </c>
      <c r="J612" s="18">
        <f>VLOOKUP(A612,[2]Export!$A:$B,2,0)</f>
        <v>5307.0296745042997</v>
      </c>
      <c r="K612" s="18">
        <f>VLOOKUP(A612,[2]Export!$A:$C,3,0)</f>
        <v>2237.38</v>
      </c>
      <c r="L612" s="19">
        <f t="shared" si="20"/>
        <v>0.42158799502265482</v>
      </c>
      <c r="M612" s="18">
        <f>VLOOKUP(A612,[2]Export!$A:$G,7,0)</f>
        <v>1457.3999999999999</v>
      </c>
      <c r="N612" s="19">
        <f t="shared" si="21"/>
        <v>0.27461689294890318</v>
      </c>
      <c r="O612" s="17" t="s">
        <v>1025</v>
      </c>
      <c r="P612" s="17" t="s">
        <v>1026</v>
      </c>
      <c r="Q612" s="17" t="s">
        <v>1023</v>
      </c>
      <c r="R612" s="17" t="str">
        <f>VLOOKUP(A612,[1]Export!$A:$I,9,0)</f>
        <v>Comprou Marcas</v>
      </c>
      <c r="S612" s="17" t="s">
        <v>1023</v>
      </c>
      <c r="T612" s="20"/>
      <c r="U612" s="17"/>
      <c r="V612" s="17"/>
    </row>
    <row r="613" spans="1:22" x14ac:dyDescent="0.35">
      <c r="A613" s="5">
        <v>8954952000407</v>
      </c>
      <c r="B613" s="7" t="s">
        <v>227</v>
      </c>
      <c r="C613" s="4"/>
      <c r="D613" s="6" t="s">
        <v>227</v>
      </c>
      <c r="E613" s="6" t="s">
        <v>35</v>
      </c>
      <c r="F613" s="6" t="s">
        <v>8</v>
      </c>
      <c r="G613" s="11" t="s">
        <v>16</v>
      </c>
      <c r="H613" s="6" t="s">
        <v>17</v>
      </c>
      <c r="I613" s="21" t="s">
        <v>1070</v>
      </c>
      <c r="J613" s="18">
        <f>VLOOKUP(A613,[2]Export!$A:$B,2,0)</f>
        <v>10882.499910082217</v>
      </c>
      <c r="K613" s="18">
        <f>VLOOKUP(A613,[2]Export!$A:$C,3,0)</f>
        <v>4484.05</v>
      </c>
      <c r="L613" s="19">
        <f t="shared" si="20"/>
        <v>0.41204227310360009</v>
      </c>
      <c r="M613" s="18">
        <f>VLOOKUP(A613,[2]Export!$A:$G,7,0)</f>
        <v>2285.71</v>
      </c>
      <c r="N613" s="19">
        <f t="shared" si="21"/>
        <v>0.21003537963573771</v>
      </c>
      <c r="O613" s="17" t="s">
        <v>1027</v>
      </c>
      <c r="P613" s="17" t="s">
        <v>1028</v>
      </c>
      <c r="Q613" s="17" t="s">
        <v>1023</v>
      </c>
      <c r="R613" s="17" t="str">
        <f>VLOOKUP(A613,[1]Export!$A:$I,9,0)</f>
        <v>Comprou Marcas e SG</v>
      </c>
      <c r="S613" s="17" t="s">
        <v>1022</v>
      </c>
      <c r="T613" s="20"/>
      <c r="U613" s="17"/>
      <c r="V613" s="17"/>
    </row>
    <row r="614" spans="1:22" x14ac:dyDescent="0.35">
      <c r="A614" s="4">
        <v>13565587000128</v>
      </c>
      <c r="B614" s="7"/>
      <c r="C614" s="4"/>
      <c r="D614" s="1" t="s">
        <v>80</v>
      </c>
      <c r="E614" s="1" t="s">
        <v>206</v>
      </c>
      <c r="F614" s="1" t="s">
        <v>48</v>
      </c>
      <c r="G614" s="10" t="s">
        <v>80</v>
      </c>
      <c r="H614" s="1" t="s">
        <v>17</v>
      </c>
      <c r="I614" s="21" t="s">
        <v>1073</v>
      </c>
      <c r="J614" s="18">
        <f>VLOOKUP(A614,[2]Export!$A:$B,2,0)</f>
        <v>10818.855231194351</v>
      </c>
      <c r="K614" s="18">
        <f>VLOOKUP(A614,[2]Export!$A:$C,3,0)</f>
        <v>9019.4999999999982</v>
      </c>
      <c r="L614" s="19">
        <f t="shared" si="20"/>
        <v>0.83368339877529607</v>
      </c>
      <c r="M614" s="18">
        <f>VLOOKUP(A614,[2]Export!$A:$G,7,0)</f>
        <v>8640.3499999999985</v>
      </c>
      <c r="N614" s="19">
        <f t="shared" si="21"/>
        <v>0.7986381012925472</v>
      </c>
      <c r="O614" s="17" t="s">
        <v>1027</v>
      </c>
      <c r="P614" s="17" t="s">
        <v>1028</v>
      </c>
      <c r="Q614" s="17" t="s">
        <v>1023</v>
      </c>
      <c r="R614" s="17" t="str">
        <f>VLOOKUP(A614,[1]Export!$A:$I,9,0)</f>
        <v>Comprou Marcas e SG</v>
      </c>
      <c r="S614" s="17" t="s">
        <v>1022</v>
      </c>
      <c r="T614" s="20"/>
      <c r="U614" s="17"/>
      <c r="V614" s="17"/>
    </row>
    <row r="615" spans="1:22" x14ac:dyDescent="0.35">
      <c r="A615" s="5">
        <v>17660742000146</v>
      </c>
      <c r="B615" s="7"/>
      <c r="C615" s="4"/>
      <c r="D615" s="6" t="s">
        <v>667</v>
      </c>
      <c r="E615" s="6" t="s">
        <v>14</v>
      </c>
      <c r="F615" s="6" t="s">
        <v>15</v>
      </c>
      <c r="G615" s="11" t="s">
        <v>36</v>
      </c>
      <c r="H615" s="6" t="s">
        <v>17</v>
      </c>
      <c r="I615" s="21" t="s">
        <v>1067</v>
      </c>
      <c r="J615" s="18">
        <f>VLOOKUP(A615,[2]Export!$A:$B,2,0)</f>
        <v>4679.4826963835339</v>
      </c>
      <c r="K615" s="18">
        <f>VLOOKUP(A615,[2]Export!$A:$C,3,0)</f>
        <v>1649.8200000000002</v>
      </c>
      <c r="L615" s="19">
        <f t="shared" si="20"/>
        <v>0.35256461174117348</v>
      </c>
      <c r="M615" s="18">
        <f>VLOOKUP(A615,[2]Export!$A:$G,7,0)</f>
        <v>2334.5</v>
      </c>
      <c r="N615" s="19">
        <f t="shared" si="21"/>
        <v>0.49887992999828429</v>
      </c>
      <c r="O615" s="17" t="s">
        <v>1025</v>
      </c>
      <c r="P615" s="17" t="s">
        <v>1026</v>
      </c>
      <c r="Q615" s="17" t="s">
        <v>1022</v>
      </c>
      <c r="R615" s="17" t="str">
        <f>VLOOKUP(A615,[1]Export!$A:$I,9,0)</f>
        <v>Comprou Marcas</v>
      </c>
      <c r="S615" s="17" t="s">
        <v>1022</v>
      </c>
      <c r="T615" s="20"/>
      <c r="U615" s="17"/>
      <c r="V615" s="17"/>
    </row>
    <row r="616" spans="1:22" x14ac:dyDescent="0.35">
      <c r="A616" s="4">
        <v>13117848000147</v>
      </c>
      <c r="B616" s="7"/>
      <c r="C616" s="4"/>
      <c r="D616" s="1" t="s">
        <v>668</v>
      </c>
      <c r="E616" s="1" t="s">
        <v>146</v>
      </c>
      <c r="F616" s="1" t="s">
        <v>8</v>
      </c>
      <c r="G616" s="10" t="s">
        <v>20</v>
      </c>
      <c r="H616" s="1" t="s">
        <v>17</v>
      </c>
      <c r="I616" s="21" t="s">
        <v>1072</v>
      </c>
      <c r="J616" s="18">
        <f>VLOOKUP(A616,[2]Export!$A:$B,2,0)</f>
        <v>1398.5805511619699</v>
      </c>
      <c r="K616" s="18">
        <f>VLOOKUP(A616,[2]Export!$A:$C,3,0)</f>
        <v>875.39</v>
      </c>
      <c r="L616" s="19">
        <f t="shared" si="20"/>
        <v>0.62591317981127914</v>
      </c>
      <c r="M616" s="18">
        <f>VLOOKUP(A616,[2]Export!$A:$G,7,0)</f>
        <v>137.85</v>
      </c>
      <c r="N616" s="19">
        <f t="shared" si="21"/>
        <v>9.856421919028642E-2</v>
      </c>
      <c r="O616" s="17" t="s">
        <v>1025</v>
      </c>
      <c r="P616" s="17" t="s">
        <v>1026</v>
      </c>
      <c r="Q616" s="17" t="s">
        <v>1023</v>
      </c>
      <c r="R616" s="17" t="str">
        <f>VLOOKUP(A616,[1]Export!$A:$I,9,0)</f>
        <v>Comprou Marcas</v>
      </c>
      <c r="S616" s="17" t="s">
        <v>1022</v>
      </c>
      <c r="T616" s="20"/>
      <c r="U616" s="17"/>
      <c r="V616" s="17"/>
    </row>
    <row r="617" spans="1:22" x14ac:dyDescent="0.35">
      <c r="A617" s="5">
        <v>14492828000119</v>
      </c>
      <c r="B617" s="7"/>
      <c r="C617" s="4"/>
      <c r="D617" s="6" t="s">
        <v>134</v>
      </c>
      <c r="E617" s="6" t="s">
        <v>219</v>
      </c>
      <c r="F617" s="6" t="s">
        <v>8</v>
      </c>
      <c r="G617" s="11" t="s">
        <v>20</v>
      </c>
      <c r="H617" s="6" t="s">
        <v>17</v>
      </c>
      <c r="I617" s="21" t="s">
        <v>1070</v>
      </c>
      <c r="J617" s="18">
        <f>VLOOKUP(A617,[2]Export!$A:$B,2,0)</f>
        <v>2875.5145535776364</v>
      </c>
      <c r="K617" s="18">
        <f>VLOOKUP(A617,[2]Export!$A:$C,3,0)</f>
        <v>822.96999999999991</v>
      </c>
      <c r="L617" s="19">
        <f t="shared" si="20"/>
        <v>0.28619921223354033</v>
      </c>
      <c r="M617" s="18">
        <f>VLOOKUP(A617,[2]Export!$A:$G,7,0)</f>
        <v>748.31999999999994</v>
      </c>
      <c r="N617" s="19">
        <f t="shared" si="21"/>
        <v>0.26023864113953471</v>
      </c>
      <c r="O617" s="17" t="s">
        <v>1025</v>
      </c>
      <c r="P617" s="17" t="s">
        <v>1026</v>
      </c>
      <c r="Q617" s="17" t="s">
        <v>1023</v>
      </c>
      <c r="R617" s="17" t="str">
        <f>VLOOKUP(A617,[1]Export!$A:$I,9,0)</f>
        <v>Comprou Marcas</v>
      </c>
      <c r="S617" s="17" t="s">
        <v>1022</v>
      </c>
      <c r="T617" s="20">
        <v>4</v>
      </c>
      <c r="U617" s="17"/>
      <c r="V617" s="17"/>
    </row>
    <row r="618" spans="1:22" x14ac:dyDescent="0.35">
      <c r="A618" s="4">
        <v>16022063000189</v>
      </c>
      <c r="B618" s="7"/>
      <c r="C618" s="4"/>
      <c r="D618" s="1" t="s">
        <v>669</v>
      </c>
      <c r="E618" s="1" t="s">
        <v>94</v>
      </c>
      <c r="F618" s="1" t="s">
        <v>15</v>
      </c>
      <c r="G618" s="10" t="s">
        <v>20</v>
      </c>
      <c r="H618" s="1" t="s">
        <v>17</v>
      </c>
      <c r="I618" s="21" t="s">
        <v>1069</v>
      </c>
      <c r="J618" s="18">
        <f>VLOOKUP(A618,[2]Export!$A:$B,2,0)</f>
        <v>1543.9521425716241</v>
      </c>
      <c r="K618" s="18">
        <f>VLOOKUP(A618,[2]Export!$A:$C,3,0)</f>
        <v>1166.6400000000001</v>
      </c>
      <c r="L618" s="19">
        <f t="shared" si="20"/>
        <v>0.75561927590374101</v>
      </c>
      <c r="M618" s="18">
        <f>VLOOKUP(A618,[2]Export!$A:$G,7,0)</f>
        <v>357.24</v>
      </c>
      <c r="N618" s="19">
        <f t="shared" si="21"/>
        <v>0.23138022879710315</v>
      </c>
      <c r="O618" s="17" t="s">
        <v>1025</v>
      </c>
      <c r="P618" s="17" t="s">
        <v>1026</v>
      </c>
      <c r="Q618" s="17" t="s">
        <v>1023</v>
      </c>
      <c r="R618" s="17" t="str">
        <f>VLOOKUP(A618,[1]Export!$A:$I,9,0)</f>
        <v>Comprou Marcas</v>
      </c>
      <c r="S618" s="17" t="s">
        <v>1023</v>
      </c>
      <c r="T618" s="20"/>
      <c r="U618" s="17"/>
      <c r="V618" s="17"/>
    </row>
    <row r="619" spans="1:22" x14ac:dyDescent="0.35">
      <c r="A619" s="5">
        <v>4114403000201</v>
      </c>
      <c r="B619" s="7" t="s">
        <v>1000</v>
      </c>
      <c r="C619" s="4"/>
      <c r="D619" s="6" t="s">
        <v>104</v>
      </c>
      <c r="E619" s="6" t="s">
        <v>203</v>
      </c>
      <c r="F619" s="6" t="s">
        <v>8</v>
      </c>
      <c r="G619" s="11" t="s">
        <v>9</v>
      </c>
      <c r="H619" s="6" t="s">
        <v>10</v>
      </c>
      <c r="I619" s="21" t="s">
        <v>1072</v>
      </c>
      <c r="J619" s="18">
        <f>VLOOKUP(A619,[2]Export!$A:$B,2,0)</f>
        <v>16089.111922314993</v>
      </c>
      <c r="K619" s="18">
        <f>VLOOKUP(A619,[2]Export!$A:$C,3,0)</f>
        <v>9872.3099999999959</v>
      </c>
      <c r="L619" s="19">
        <f t="shared" si="20"/>
        <v>0.61360192207423669</v>
      </c>
      <c r="M619" s="18">
        <f>VLOOKUP(A619,[2]Export!$A:$G,7,0)</f>
        <v>7732.5900000000011</v>
      </c>
      <c r="N619" s="19">
        <f t="shared" si="21"/>
        <v>0.48061011927421488</v>
      </c>
      <c r="O619" s="17" t="s">
        <v>1027</v>
      </c>
      <c r="P619" s="17" t="s">
        <v>1028</v>
      </c>
      <c r="Q619" s="17" t="s">
        <v>1023</v>
      </c>
      <c r="R619" s="17" t="str">
        <f>VLOOKUP(A619,[1]Export!$A:$I,9,0)</f>
        <v>Comprou Marcas</v>
      </c>
      <c r="S619" s="17"/>
      <c r="T619" s="20"/>
      <c r="U619" s="17">
        <v>1</v>
      </c>
      <c r="V619" s="17">
        <v>1</v>
      </c>
    </row>
    <row r="620" spans="1:22" x14ac:dyDescent="0.35">
      <c r="A620" s="4">
        <v>27785214000339</v>
      </c>
      <c r="B620" s="7" t="s">
        <v>1010</v>
      </c>
      <c r="C620" s="4"/>
      <c r="D620" s="1" t="s">
        <v>670</v>
      </c>
      <c r="E620" s="1" t="s">
        <v>259</v>
      </c>
      <c r="F620" s="1" t="s">
        <v>15</v>
      </c>
      <c r="G620" s="10" t="s">
        <v>36</v>
      </c>
      <c r="H620" s="1" t="s">
        <v>17</v>
      </c>
      <c r="I620" s="21" t="s">
        <v>1069</v>
      </c>
      <c r="J620" s="18">
        <f>VLOOKUP(A620,[2]Export!$A:$B,2,0)</f>
        <v>10332.478372547856</v>
      </c>
      <c r="K620" s="18">
        <f>VLOOKUP(A620,[2]Export!$A:$C,3,0)</f>
        <v>7940.0000000000018</v>
      </c>
      <c r="L620" s="19">
        <f t="shared" si="20"/>
        <v>0.76845067695429403</v>
      </c>
      <c r="M620" s="18">
        <f>VLOOKUP(A620,[2]Export!$A:$G,7,0)</f>
        <v>6625.4000000000024</v>
      </c>
      <c r="N620" s="19">
        <f t="shared" si="21"/>
        <v>0.6412207953517608</v>
      </c>
      <c r="O620" s="17" t="s">
        <v>1027</v>
      </c>
      <c r="P620" s="17" t="s">
        <v>1028</v>
      </c>
      <c r="Q620" s="17" t="s">
        <v>1023</v>
      </c>
      <c r="R620" s="17" t="str">
        <f>VLOOKUP(A620,[1]Export!$A:$I,9,0)</f>
        <v>Comprou Marcas</v>
      </c>
      <c r="S620" s="17" t="s">
        <v>1022</v>
      </c>
      <c r="T620" s="20">
        <v>1</v>
      </c>
      <c r="U620" s="17"/>
      <c r="V620" s="17"/>
    </row>
    <row r="621" spans="1:22" x14ac:dyDescent="0.35">
      <c r="A621" s="5">
        <v>51190802000142</v>
      </c>
      <c r="B621" s="7"/>
      <c r="C621" s="4"/>
      <c r="D621" s="6" t="s">
        <v>671</v>
      </c>
      <c r="E621" s="6" t="s">
        <v>672</v>
      </c>
      <c r="F621" s="6" t="s">
        <v>15</v>
      </c>
      <c r="G621" s="11" t="s">
        <v>33</v>
      </c>
      <c r="H621" s="6" t="s">
        <v>17</v>
      </c>
      <c r="I621" s="21" t="s">
        <v>1073</v>
      </c>
      <c r="J621" s="18">
        <f>VLOOKUP(A621,[2]Export!$A:$B,2,0)</f>
        <v>3519.7957878372426</v>
      </c>
      <c r="K621" s="18">
        <f>VLOOKUP(A621,[2]Export!$A:$C,3,0)</f>
        <v>3996.9799999999996</v>
      </c>
      <c r="L621" s="19">
        <f t="shared" si="20"/>
        <v>1.1355715617967612</v>
      </c>
      <c r="M621" s="18">
        <f>VLOOKUP(A621,[2]Export!$A:$G,7,0)</f>
        <v>2618.59</v>
      </c>
      <c r="N621" s="19">
        <f t="shared" si="21"/>
        <v>0.74396077438600683</v>
      </c>
      <c r="O621" s="17" t="s">
        <v>1027</v>
      </c>
      <c r="P621" s="17" t="s">
        <v>1028</v>
      </c>
      <c r="Q621" s="17" t="s">
        <v>1023</v>
      </c>
      <c r="R621" s="17" t="str">
        <f>VLOOKUP(A621,[1]Export!$A:$I,9,0)</f>
        <v>Comprou Marcas</v>
      </c>
      <c r="S621" s="17" t="s">
        <v>1022</v>
      </c>
      <c r="T621" s="20"/>
      <c r="U621" s="17"/>
      <c r="V621" s="17"/>
    </row>
    <row r="622" spans="1:22" x14ac:dyDescent="0.35">
      <c r="A622" s="4">
        <v>55299135000191</v>
      </c>
      <c r="B622" s="7"/>
      <c r="C622" s="4">
        <v>39952</v>
      </c>
      <c r="D622" s="1" t="s">
        <v>673</v>
      </c>
      <c r="E622" s="1" t="s">
        <v>270</v>
      </c>
      <c r="F622" s="1" t="s">
        <v>48</v>
      </c>
      <c r="G622" s="10" t="s">
        <v>80</v>
      </c>
      <c r="H622" s="1" t="s">
        <v>17</v>
      </c>
      <c r="I622" s="21" t="s">
        <v>1073</v>
      </c>
      <c r="J622" s="18">
        <f>VLOOKUP(A622,[2]Export!$A:$B,2,0)</f>
        <v>32850.665121876693</v>
      </c>
      <c r="K622" s="18">
        <f>VLOOKUP(A622,[2]Export!$A:$C,3,0)</f>
        <v>19931.61</v>
      </c>
      <c r="L622" s="19">
        <f t="shared" si="20"/>
        <v>0.60673383403511882</v>
      </c>
      <c r="M622" s="18">
        <f>VLOOKUP(A622,[2]Export!$A:$G,7,0)</f>
        <v>12265.369999999994</v>
      </c>
      <c r="N622" s="19">
        <f t="shared" si="21"/>
        <v>0.37336747839032181</v>
      </c>
      <c r="O622" s="17" t="s">
        <v>1027</v>
      </c>
      <c r="P622" s="17" t="s">
        <v>1028</v>
      </c>
      <c r="Q622" s="17" t="s">
        <v>1023</v>
      </c>
      <c r="R622" s="17" t="str">
        <f>VLOOKUP(A622,[1]Export!$A:$I,9,0)</f>
        <v>Comprou Marcas e SG</v>
      </c>
      <c r="S622" s="17" t="s">
        <v>1022</v>
      </c>
      <c r="T622" s="20"/>
      <c r="U622" s="17"/>
      <c r="V622" s="17"/>
    </row>
    <row r="623" spans="1:22" x14ac:dyDescent="0.35">
      <c r="A623" s="5">
        <v>55312241000168</v>
      </c>
      <c r="B623" s="7"/>
      <c r="C623" s="4"/>
      <c r="D623" s="6" t="s">
        <v>548</v>
      </c>
      <c r="E623" s="6" t="s">
        <v>125</v>
      </c>
      <c r="F623" s="6" t="s">
        <v>15</v>
      </c>
      <c r="G623" s="11" t="s">
        <v>16</v>
      </c>
      <c r="H623" s="6" t="s">
        <v>17</v>
      </c>
      <c r="I623" s="21" t="s">
        <v>1067</v>
      </c>
      <c r="J623" s="18">
        <f>VLOOKUP(A623,[2]Export!$A:$B,2,0)</f>
        <v>6232.8560013422621</v>
      </c>
      <c r="K623" s="18">
        <f>VLOOKUP(A623,[2]Export!$A:$C,3,0)</f>
        <v>1126.53</v>
      </c>
      <c r="L623" s="19">
        <f t="shared" si="20"/>
        <v>0.18074057859790099</v>
      </c>
      <c r="M623" s="18">
        <f>VLOOKUP(A623,[2]Export!$A:$G,7,0)</f>
        <v>0</v>
      </c>
      <c r="N623" s="19">
        <f t="shared" si="21"/>
        <v>0</v>
      </c>
      <c r="O623" s="17" t="s">
        <v>1029</v>
      </c>
      <c r="P623" s="17" t="s">
        <v>1026</v>
      </c>
      <c r="Q623" s="17" t="s">
        <v>1022</v>
      </c>
      <c r="R623" s="17" t="str">
        <f>VLOOKUP(A623,[1]Export!$A:$I,9,0)</f>
        <v>Não Comprou</v>
      </c>
      <c r="S623" s="17" t="s">
        <v>1023</v>
      </c>
      <c r="T623" s="20"/>
      <c r="U623" s="17"/>
      <c r="V623" s="17"/>
    </row>
    <row r="624" spans="1:22" x14ac:dyDescent="0.35">
      <c r="A624" s="4">
        <v>42411000000124</v>
      </c>
      <c r="B624" s="7"/>
      <c r="C624" s="4"/>
      <c r="D624" s="1" t="s">
        <v>674</v>
      </c>
      <c r="E624" s="1" t="s">
        <v>113</v>
      </c>
      <c r="F624" s="1" t="s">
        <v>8</v>
      </c>
      <c r="G624" s="10" t="s">
        <v>20</v>
      </c>
      <c r="H624" s="1" t="s">
        <v>17</v>
      </c>
      <c r="I624" s="21" t="s">
        <v>1072</v>
      </c>
      <c r="J624" s="18">
        <f>VLOOKUP(A624,[2]Export!$A:$B,2,0)</f>
        <v>3241.4268099944543</v>
      </c>
      <c r="K624" s="18">
        <f>VLOOKUP(A624,[2]Export!$A:$C,3,0)</f>
        <v>2231.1700000000005</v>
      </c>
      <c r="L624" s="19">
        <f t="shared" si="20"/>
        <v>0.68832959396785454</v>
      </c>
      <c r="M624" s="18">
        <f>VLOOKUP(A624,[2]Export!$A:$G,7,0)</f>
        <v>2030.8799999999999</v>
      </c>
      <c r="N624" s="19">
        <f t="shared" si="21"/>
        <v>0.62653890371304555</v>
      </c>
      <c r="O624" s="17" t="s">
        <v>1025</v>
      </c>
      <c r="P624" s="17" t="s">
        <v>1026</v>
      </c>
      <c r="Q624" s="17" t="s">
        <v>1023</v>
      </c>
      <c r="R624" s="17" t="str">
        <f>VLOOKUP(A624,[1]Export!$A:$I,9,0)</f>
        <v>Comprou Marcas</v>
      </c>
      <c r="S624" s="17" t="s">
        <v>1023</v>
      </c>
      <c r="T624" s="20"/>
      <c r="U624" s="17"/>
      <c r="V624" s="17"/>
    </row>
    <row r="625" spans="1:22" x14ac:dyDescent="0.35">
      <c r="A625" s="5">
        <v>35720208000160</v>
      </c>
      <c r="B625" s="7"/>
      <c r="C625" s="4"/>
      <c r="D625" s="6" t="s">
        <v>150</v>
      </c>
      <c r="E625" s="6" t="s">
        <v>61</v>
      </c>
      <c r="F625" s="6" t="s">
        <v>8</v>
      </c>
      <c r="G625" s="11" t="s">
        <v>33</v>
      </c>
      <c r="H625" s="6" t="s">
        <v>17</v>
      </c>
      <c r="I625" s="21" t="s">
        <v>1066</v>
      </c>
      <c r="J625" s="18">
        <f>VLOOKUP(A625,[2]Export!$A:$B,2,0)</f>
        <v>1364.4968462293891</v>
      </c>
      <c r="K625" s="18">
        <f>VLOOKUP(A625,[2]Export!$A:$C,3,0)</f>
        <v>101.81</v>
      </c>
      <c r="L625" s="19">
        <f t="shared" si="20"/>
        <v>7.4613583960519064E-2</v>
      </c>
      <c r="M625" s="18">
        <f>VLOOKUP(A625,[2]Export!$A:$G,7,0)</f>
        <v>0</v>
      </c>
      <c r="N625" s="19">
        <f t="shared" si="21"/>
        <v>0</v>
      </c>
      <c r="O625" s="17" t="s">
        <v>1027</v>
      </c>
      <c r="P625" s="17" t="s">
        <v>1026</v>
      </c>
      <c r="Q625" s="17" t="s">
        <v>1023</v>
      </c>
      <c r="R625" s="17" t="str">
        <f>VLOOKUP(A625,[1]Export!$A:$I,9,0)</f>
        <v>Não Comprou</v>
      </c>
      <c r="S625" s="17" t="s">
        <v>1022</v>
      </c>
      <c r="T625" s="20"/>
      <c r="U625" s="17"/>
      <c r="V625" s="17"/>
    </row>
    <row r="626" spans="1:22" x14ac:dyDescent="0.35">
      <c r="A626" s="4">
        <v>39834323000116</v>
      </c>
      <c r="B626" s="7"/>
      <c r="C626" s="4"/>
      <c r="D626" s="1" t="s">
        <v>675</v>
      </c>
      <c r="E626" s="1" t="s">
        <v>676</v>
      </c>
      <c r="F626" s="1" t="s">
        <v>15</v>
      </c>
      <c r="G626" s="10" t="s">
        <v>677</v>
      </c>
      <c r="H626" s="1" t="s">
        <v>17</v>
      </c>
      <c r="I626" s="21" t="s">
        <v>1073</v>
      </c>
      <c r="J626" s="18">
        <f>VLOOKUP(A626,[2]Export!$A:$B,2,0)</f>
        <v>6265.6825807518126</v>
      </c>
      <c r="K626" s="18">
        <f>VLOOKUP(A626,[2]Export!$A:$C,3,0)</f>
        <v>4854.6200000000008</v>
      </c>
      <c r="L626" s="19">
        <f t="shared" si="20"/>
        <v>0.77479507418926741</v>
      </c>
      <c r="M626" s="18">
        <f>VLOOKUP(A626,[2]Export!$A:$G,7,0)</f>
        <v>0</v>
      </c>
      <c r="N626" s="19">
        <f t="shared" si="21"/>
        <v>0</v>
      </c>
      <c r="O626" s="17" t="s">
        <v>1027</v>
      </c>
      <c r="P626" s="17" t="s">
        <v>1026</v>
      </c>
      <c r="Q626" s="17" t="s">
        <v>1023</v>
      </c>
      <c r="R626" s="17" t="str">
        <f>VLOOKUP(A626,[1]Export!$A:$I,9,0)</f>
        <v>Não Comprou</v>
      </c>
      <c r="S626" s="17" t="s">
        <v>1023</v>
      </c>
      <c r="T626" s="20"/>
      <c r="U626" s="17"/>
      <c r="V626" s="17"/>
    </row>
    <row r="627" spans="1:22" x14ac:dyDescent="0.35">
      <c r="A627" s="5">
        <v>42327542000113</v>
      </c>
      <c r="B627" s="7"/>
      <c r="C627" s="4"/>
      <c r="D627" s="6" t="s">
        <v>658</v>
      </c>
      <c r="E627" s="6" t="s">
        <v>43</v>
      </c>
      <c r="F627" s="6" t="s">
        <v>8</v>
      </c>
      <c r="G627" s="11" t="s">
        <v>20</v>
      </c>
      <c r="H627" s="6" t="s">
        <v>17</v>
      </c>
      <c r="I627" s="21" t="s">
        <v>1068</v>
      </c>
      <c r="J627" s="18">
        <f>VLOOKUP(A627,[2]Export!$A:$B,2,0)</f>
        <v>1953.9215384038471</v>
      </c>
      <c r="K627" s="18">
        <f>VLOOKUP(A627,[2]Export!$A:$C,3,0)</f>
        <v>1231.1699999999998</v>
      </c>
      <c r="L627" s="19">
        <f t="shared" si="20"/>
        <v>0.63010206694673065</v>
      </c>
      <c r="M627" s="18">
        <f>VLOOKUP(A627,[2]Export!$A:$G,7,0)</f>
        <v>0</v>
      </c>
      <c r="N627" s="19">
        <f t="shared" si="21"/>
        <v>0</v>
      </c>
      <c r="O627" s="17" t="s">
        <v>1029</v>
      </c>
      <c r="P627" s="17" t="s">
        <v>1026</v>
      </c>
      <c r="Q627" s="17" t="s">
        <v>1022</v>
      </c>
      <c r="R627" s="17" t="str">
        <f>VLOOKUP(A627,[1]Export!$A:$I,9,0)</f>
        <v>Não Comprou</v>
      </c>
      <c r="S627" s="17" t="s">
        <v>1023</v>
      </c>
      <c r="T627" s="20"/>
      <c r="U627" s="17"/>
      <c r="V627" s="17"/>
    </row>
    <row r="628" spans="1:22" x14ac:dyDescent="0.35">
      <c r="A628" s="4">
        <v>35008629000162</v>
      </c>
      <c r="B628" s="7"/>
      <c r="C628" s="4"/>
      <c r="D628" s="1" t="s">
        <v>678</v>
      </c>
      <c r="E628" s="1" t="s">
        <v>14</v>
      </c>
      <c r="F628" s="1" t="s">
        <v>15</v>
      </c>
      <c r="G628" s="10" t="s">
        <v>16</v>
      </c>
      <c r="H628" s="1" t="s">
        <v>17</v>
      </c>
      <c r="I628" s="21" t="s">
        <v>1067</v>
      </c>
      <c r="J628" s="18">
        <f>VLOOKUP(A628,[2]Export!$A:$B,2,0)</f>
        <v>3518.1780258312774</v>
      </c>
      <c r="K628" s="18">
        <f>VLOOKUP(A628,[2]Export!$A:$C,3,0)</f>
        <v>993.48</v>
      </c>
      <c r="L628" s="19">
        <f t="shared" si="20"/>
        <v>0.28238480051482329</v>
      </c>
      <c r="M628" s="18">
        <f>VLOOKUP(A628,[2]Export!$A:$G,7,0)</f>
        <v>255.14999999999998</v>
      </c>
      <c r="N628" s="19">
        <f t="shared" si="21"/>
        <v>7.2523333988965197E-2</v>
      </c>
      <c r="O628" s="17" t="s">
        <v>1029</v>
      </c>
      <c r="P628" s="17" t="s">
        <v>1026</v>
      </c>
      <c r="Q628" s="17" t="s">
        <v>1022</v>
      </c>
      <c r="R628" s="17" t="str">
        <f>VLOOKUP(A628,[1]Export!$A:$I,9,0)</f>
        <v>Comprou Marcas</v>
      </c>
      <c r="S628" s="17" t="s">
        <v>1023</v>
      </c>
      <c r="T628" s="20"/>
      <c r="U628" s="17"/>
      <c r="V628" s="17"/>
    </row>
    <row r="629" spans="1:22" x14ac:dyDescent="0.35">
      <c r="A629" s="5">
        <v>43000736000172</v>
      </c>
      <c r="B629" s="7"/>
      <c r="C629" s="4"/>
      <c r="D629" s="6" t="s">
        <v>679</v>
      </c>
      <c r="E629" s="6" t="s">
        <v>272</v>
      </c>
      <c r="F629" s="6" t="s">
        <v>48</v>
      </c>
      <c r="G629" s="11" t="s">
        <v>20</v>
      </c>
      <c r="H629" s="6" t="s">
        <v>17</v>
      </c>
      <c r="I629" s="21" t="s">
        <v>1071</v>
      </c>
      <c r="J629" s="18">
        <f>VLOOKUP(A629,[2]Export!$A:$B,2,0)</f>
        <v>5029.3193575847281</v>
      </c>
      <c r="K629" s="18">
        <f>VLOOKUP(A629,[2]Export!$A:$C,3,0)</f>
        <v>5329.01</v>
      </c>
      <c r="L629" s="19">
        <f t="shared" si="20"/>
        <v>1.0595887079557411</v>
      </c>
      <c r="M629" s="18">
        <f>VLOOKUP(A629,[2]Export!$A:$G,7,0)</f>
        <v>1054.18</v>
      </c>
      <c r="N629" s="19">
        <f t="shared" si="21"/>
        <v>0.20960689211556804</v>
      </c>
      <c r="O629" s="17" t="s">
        <v>1025</v>
      </c>
      <c r="P629" s="17" t="s">
        <v>1026</v>
      </c>
      <c r="Q629" s="17" t="s">
        <v>1023</v>
      </c>
      <c r="R629" s="17" t="str">
        <f>VLOOKUP(A629,[1]Export!$A:$I,9,0)</f>
        <v>Comprou Marcas</v>
      </c>
      <c r="S629" s="17" t="s">
        <v>1022</v>
      </c>
      <c r="T629" s="20"/>
      <c r="U629" s="17"/>
      <c r="V629" s="17">
        <v>3</v>
      </c>
    </row>
    <row r="630" spans="1:22" x14ac:dyDescent="0.35">
      <c r="A630" s="4">
        <v>2917723000185</v>
      </c>
      <c r="B630" s="7"/>
      <c r="C630" s="4">
        <v>13683</v>
      </c>
      <c r="D630" s="1" t="s">
        <v>680</v>
      </c>
      <c r="E630" s="1" t="s">
        <v>443</v>
      </c>
      <c r="F630" s="1" t="s">
        <v>15</v>
      </c>
      <c r="G630" s="10" t="s">
        <v>36</v>
      </c>
      <c r="H630" s="1" t="s">
        <v>17</v>
      </c>
      <c r="I630" s="21" t="s">
        <v>1069</v>
      </c>
      <c r="J630" s="18">
        <f>VLOOKUP(A630,[2]Export!$A:$B,2,0)</f>
        <v>21972.539655355053</v>
      </c>
      <c r="K630" s="18">
        <f>VLOOKUP(A630,[2]Export!$A:$C,3,0)</f>
        <v>30754.979999999996</v>
      </c>
      <c r="L630" s="19">
        <f t="shared" si="20"/>
        <v>1.3997007393045948</v>
      </c>
      <c r="M630" s="18">
        <f>VLOOKUP(A630,[2]Export!$A:$G,7,0)</f>
        <v>27991.37</v>
      </c>
      <c r="N630" s="19">
        <f t="shared" si="21"/>
        <v>1.2739251101170757</v>
      </c>
      <c r="O630" s="17" t="s">
        <v>1027</v>
      </c>
      <c r="P630" s="17" t="s">
        <v>1028</v>
      </c>
      <c r="Q630" s="17" t="s">
        <v>1023</v>
      </c>
      <c r="R630" s="17" t="str">
        <f>VLOOKUP(A630,[1]Export!$A:$I,9,0)</f>
        <v>Comprou Marcas e SG</v>
      </c>
      <c r="S630" s="17" t="s">
        <v>1022</v>
      </c>
      <c r="T630" s="20"/>
      <c r="U630" s="17"/>
      <c r="V630" s="17"/>
    </row>
    <row r="631" spans="1:22" x14ac:dyDescent="0.35">
      <c r="A631" s="5">
        <v>3377845000199</v>
      </c>
      <c r="B631" s="7"/>
      <c r="C631" s="4"/>
      <c r="D631" s="6" t="s">
        <v>681</v>
      </c>
      <c r="E631" s="6" t="s">
        <v>71</v>
      </c>
      <c r="F631" s="6" t="s">
        <v>15</v>
      </c>
      <c r="G631" s="11" t="s">
        <v>20</v>
      </c>
      <c r="H631" s="6" t="s">
        <v>17</v>
      </c>
      <c r="I631" s="21" t="s">
        <v>1069</v>
      </c>
      <c r="J631" s="18">
        <f>VLOOKUP(A631,[2]Export!$A:$B,2,0)</f>
        <v>15131.227902875989</v>
      </c>
      <c r="K631" s="18">
        <f>VLOOKUP(A631,[2]Export!$A:$C,3,0)</f>
        <v>7413.49</v>
      </c>
      <c r="L631" s="19">
        <f t="shared" si="20"/>
        <v>0.48994635779631074</v>
      </c>
      <c r="M631" s="18">
        <f>VLOOKUP(A631,[2]Export!$A:$G,7,0)</f>
        <v>518.91000000000008</v>
      </c>
      <c r="N631" s="19">
        <f t="shared" si="21"/>
        <v>3.4293978210543703E-2</v>
      </c>
      <c r="O631" s="17" t="s">
        <v>1025</v>
      </c>
      <c r="P631" s="17" t="s">
        <v>1026</v>
      </c>
      <c r="Q631" s="17" t="s">
        <v>1023</v>
      </c>
      <c r="R631" s="17" t="str">
        <f>VLOOKUP(A631,[1]Export!$A:$I,9,0)</f>
        <v>Comprou Marcas</v>
      </c>
      <c r="S631" s="17" t="s">
        <v>1022</v>
      </c>
      <c r="T631" s="20"/>
      <c r="U631" s="17"/>
      <c r="V631" s="17"/>
    </row>
    <row r="632" spans="1:22" x14ac:dyDescent="0.35">
      <c r="A632" s="4">
        <v>19631038000271</v>
      </c>
      <c r="B632" s="7"/>
      <c r="C632" s="4"/>
      <c r="D632" s="1" t="s">
        <v>682</v>
      </c>
      <c r="E632" s="1" t="s">
        <v>683</v>
      </c>
      <c r="F632" s="1" t="s">
        <v>48</v>
      </c>
      <c r="G632" s="10" t="s">
        <v>87</v>
      </c>
      <c r="H632" s="1" t="s">
        <v>17</v>
      </c>
      <c r="I632" s="21" t="s">
        <v>1071</v>
      </c>
      <c r="J632" s="18">
        <f>VLOOKUP(A632,[2]Export!$A:$B,2,0)</f>
        <v>1643.9902043485924</v>
      </c>
      <c r="K632" s="18">
        <f>VLOOKUP(A632,[2]Export!$A:$C,3,0)</f>
        <v>1694.8900000000003</v>
      </c>
      <c r="L632" s="19">
        <f t="shared" si="20"/>
        <v>1.0309611307395692</v>
      </c>
      <c r="M632" s="18">
        <f>VLOOKUP(A632,[2]Export!$A:$G,7,0)</f>
        <v>97.62</v>
      </c>
      <c r="N632" s="19">
        <f t="shared" si="21"/>
        <v>5.9379915854596309E-2</v>
      </c>
      <c r="O632" s="17"/>
      <c r="P632" s="17"/>
      <c r="Q632" s="17"/>
      <c r="R632" s="17" t="str">
        <f>VLOOKUP(A632,[1]Export!$A:$I,9,0)</f>
        <v>Comprou Marcas</v>
      </c>
      <c r="S632" s="17"/>
      <c r="T632" s="20"/>
      <c r="U632" s="17"/>
      <c r="V632" s="17"/>
    </row>
    <row r="633" spans="1:22" x14ac:dyDescent="0.35">
      <c r="A633" s="5">
        <v>16465328000113</v>
      </c>
      <c r="B633" s="7"/>
      <c r="C633" s="4"/>
      <c r="D633" s="6" t="s">
        <v>684</v>
      </c>
      <c r="E633" s="6" t="s">
        <v>61</v>
      </c>
      <c r="F633" s="6" t="s">
        <v>8</v>
      </c>
      <c r="G633" s="11" t="s">
        <v>36</v>
      </c>
      <c r="H633" s="6" t="s">
        <v>17</v>
      </c>
      <c r="I633" s="21" t="s">
        <v>1066</v>
      </c>
      <c r="J633" s="18">
        <f>VLOOKUP(A633,[2]Export!$A:$B,2,0)</f>
        <v>2136.6694745422456</v>
      </c>
      <c r="K633" s="18">
        <f>VLOOKUP(A633,[2]Export!$A:$C,3,0)</f>
        <v>1111.52</v>
      </c>
      <c r="L633" s="19">
        <f t="shared" si="20"/>
        <v>0.52021148485688418</v>
      </c>
      <c r="M633" s="18">
        <f>VLOOKUP(A633,[2]Export!$A:$G,7,0)</f>
        <v>825.66</v>
      </c>
      <c r="N633" s="19">
        <f t="shared" si="21"/>
        <v>0.38642382915911089</v>
      </c>
      <c r="O633" s="17" t="s">
        <v>1025</v>
      </c>
      <c r="P633" s="17" t="s">
        <v>1026</v>
      </c>
      <c r="Q633" s="17" t="s">
        <v>1023</v>
      </c>
      <c r="R633" s="17" t="str">
        <f>VLOOKUP(A633,[1]Export!$A:$I,9,0)</f>
        <v>Comprou Marcas</v>
      </c>
      <c r="S633" s="17" t="s">
        <v>1023</v>
      </c>
      <c r="T633" s="20"/>
      <c r="U633" s="17"/>
      <c r="V633" s="17"/>
    </row>
    <row r="634" spans="1:22" x14ac:dyDescent="0.35">
      <c r="A634" s="4">
        <v>17710409000102</v>
      </c>
      <c r="B634" s="7"/>
      <c r="C634" s="4"/>
      <c r="D634" s="1" t="s">
        <v>685</v>
      </c>
      <c r="E634" s="1" t="s">
        <v>182</v>
      </c>
      <c r="F634" s="1" t="s">
        <v>8</v>
      </c>
      <c r="G634" s="10" t="s">
        <v>33</v>
      </c>
      <c r="H634" s="1" t="s">
        <v>17</v>
      </c>
      <c r="I634" s="21" t="s">
        <v>1072</v>
      </c>
      <c r="J634" s="18">
        <f>VLOOKUP(A634,[2]Export!$A:$B,2,0)</f>
        <v>5020.8615570718703</v>
      </c>
      <c r="K634" s="18">
        <f>VLOOKUP(A634,[2]Export!$A:$C,3,0)</f>
        <v>13248.619999999997</v>
      </c>
      <c r="L634" s="19">
        <f t="shared" si="20"/>
        <v>2.6387144615328721</v>
      </c>
      <c r="M634" s="18">
        <f>VLOOKUP(A634,[2]Export!$A:$G,7,0)</f>
        <v>12073.67</v>
      </c>
      <c r="N634" s="19">
        <f t="shared" si="21"/>
        <v>2.4047008392402831</v>
      </c>
      <c r="O634" s="17" t="s">
        <v>1025</v>
      </c>
      <c r="P634" s="17" t="s">
        <v>1026</v>
      </c>
      <c r="Q634" s="17" t="s">
        <v>1023</v>
      </c>
      <c r="R634" s="17" t="str">
        <f>VLOOKUP(A634,[1]Export!$A:$I,9,0)</f>
        <v>Comprou Marcas</v>
      </c>
      <c r="S634" s="17" t="s">
        <v>1022</v>
      </c>
      <c r="T634" s="20"/>
      <c r="U634" s="17">
        <v>22</v>
      </c>
      <c r="V634" s="17">
        <v>22</v>
      </c>
    </row>
    <row r="635" spans="1:22" x14ac:dyDescent="0.35">
      <c r="A635" s="5">
        <v>18332251000210</v>
      </c>
      <c r="B635" s="7" t="s">
        <v>998</v>
      </c>
      <c r="C635" s="4"/>
      <c r="D635" s="6" t="s">
        <v>25</v>
      </c>
      <c r="E635" s="6" t="s">
        <v>19</v>
      </c>
      <c r="F635" s="6" t="s">
        <v>15</v>
      </c>
      <c r="G635" s="11" t="s">
        <v>9</v>
      </c>
      <c r="H635" s="6" t="s">
        <v>10</v>
      </c>
      <c r="I635" s="21" t="s">
        <v>1067</v>
      </c>
      <c r="J635" s="18">
        <f>VLOOKUP(A635,[2]Export!$A:$B,2,0)</f>
        <v>16229.818798225615</v>
      </c>
      <c r="K635" s="18">
        <f>VLOOKUP(A635,[2]Export!$A:$C,3,0)</f>
        <v>9023.8099999999959</v>
      </c>
      <c r="L635" s="19">
        <f t="shared" si="20"/>
        <v>0.55600189454897408</v>
      </c>
      <c r="M635" s="18">
        <f>VLOOKUP(A635,[2]Export!$A:$G,7,0)</f>
        <v>5742.5199999999995</v>
      </c>
      <c r="N635" s="19">
        <f t="shared" si="21"/>
        <v>0.35382526887039689</v>
      </c>
      <c r="O635" s="17" t="s">
        <v>1027</v>
      </c>
      <c r="P635" s="17" t="s">
        <v>1028</v>
      </c>
      <c r="Q635" s="17" t="s">
        <v>1023</v>
      </c>
      <c r="R635" s="17" t="str">
        <f>VLOOKUP(A635,[1]Export!$A:$I,9,0)</f>
        <v>Comprou Marcas</v>
      </c>
      <c r="S635" s="17" t="s">
        <v>1022</v>
      </c>
      <c r="T635" s="20"/>
      <c r="U635" s="17"/>
      <c r="V635" s="17"/>
    </row>
    <row r="636" spans="1:22" x14ac:dyDescent="0.35">
      <c r="A636" s="4">
        <v>4114403000112</v>
      </c>
      <c r="B636" s="7" t="s">
        <v>1000</v>
      </c>
      <c r="C636" s="4"/>
      <c r="D636" s="1" t="s">
        <v>104</v>
      </c>
      <c r="E636" s="1" t="s">
        <v>203</v>
      </c>
      <c r="F636" s="1" t="s">
        <v>8</v>
      </c>
      <c r="G636" s="10" t="s">
        <v>9</v>
      </c>
      <c r="H636" s="1" t="s">
        <v>10</v>
      </c>
      <c r="I636" s="21" t="s">
        <v>1072</v>
      </c>
      <c r="J636" s="18">
        <f>VLOOKUP(A636,[2]Export!$A:$B,2,0)</f>
        <v>67104.952149285673</v>
      </c>
      <c r="K636" s="18">
        <f>VLOOKUP(A636,[2]Export!$A:$C,3,0)</f>
        <v>39454.759999999987</v>
      </c>
      <c r="L636" s="19">
        <f t="shared" si="20"/>
        <v>0.58795601123783803</v>
      </c>
      <c r="M636" s="18">
        <f>VLOOKUP(A636,[2]Export!$A:$G,7,0)</f>
        <v>34074.83</v>
      </c>
      <c r="N636" s="19">
        <f t="shared" si="21"/>
        <v>0.50778413378784781</v>
      </c>
      <c r="O636" s="17" t="s">
        <v>1027</v>
      </c>
      <c r="P636" s="17" t="s">
        <v>1028</v>
      </c>
      <c r="Q636" s="17" t="s">
        <v>1023</v>
      </c>
      <c r="R636" s="17" t="str">
        <f>VLOOKUP(A636,[1]Export!$A:$I,9,0)</f>
        <v>Comprou Marcas</v>
      </c>
      <c r="S636" s="17" t="s">
        <v>1022</v>
      </c>
      <c r="T636" s="20"/>
      <c r="U636" s="17"/>
      <c r="V636" s="17"/>
    </row>
    <row r="637" spans="1:22" x14ac:dyDescent="0.35">
      <c r="A637" s="5">
        <v>33792896000148</v>
      </c>
      <c r="B637" s="7"/>
      <c r="C637" s="4"/>
      <c r="D637" s="6" t="s">
        <v>687</v>
      </c>
      <c r="E637" s="6" t="s">
        <v>14</v>
      </c>
      <c r="F637" s="6" t="s">
        <v>15</v>
      </c>
      <c r="G637" s="11" t="s">
        <v>36</v>
      </c>
      <c r="H637" s="6" t="s">
        <v>17</v>
      </c>
      <c r="I637" s="21" t="s">
        <v>1067</v>
      </c>
      <c r="J637" s="18">
        <f>VLOOKUP(A637,[2]Export!$A:$B,2,0)</f>
        <v>5437.3395123134669</v>
      </c>
      <c r="K637" s="18">
        <f>VLOOKUP(A637,[2]Export!$A:$C,3,0)</f>
        <v>2216.79</v>
      </c>
      <c r="L637" s="19">
        <f t="shared" si="20"/>
        <v>0.40769755042513522</v>
      </c>
      <c r="M637" s="18">
        <f>VLOOKUP(A637,[2]Export!$A:$G,7,0)</f>
        <v>430.88</v>
      </c>
      <c r="N637" s="19">
        <f t="shared" si="21"/>
        <v>7.9244637754222219E-2</v>
      </c>
      <c r="O637" s="17" t="s">
        <v>1025</v>
      </c>
      <c r="P637" s="17" t="s">
        <v>1026</v>
      </c>
      <c r="Q637" s="17" t="s">
        <v>1023</v>
      </c>
      <c r="R637" s="17" t="str">
        <f>VLOOKUP(A637,[1]Export!$A:$I,9,0)</f>
        <v>Comprou Marcas</v>
      </c>
      <c r="S637" s="17" t="s">
        <v>1022</v>
      </c>
      <c r="T637" s="20"/>
      <c r="U637" s="17"/>
      <c r="V637" s="17"/>
    </row>
    <row r="638" spans="1:22" x14ac:dyDescent="0.35">
      <c r="A638" s="4">
        <v>37830039000146</v>
      </c>
      <c r="B638" s="7"/>
      <c r="C638" s="4"/>
      <c r="D638" s="1" t="s">
        <v>688</v>
      </c>
      <c r="E638" s="1" t="s">
        <v>50</v>
      </c>
      <c r="F638" s="1" t="s">
        <v>48</v>
      </c>
      <c r="G638" s="10" t="s">
        <v>20</v>
      </c>
      <c r="H638" s="1" t="s">
        <v>17</v>
      </c>
      <c r="I638" s="21" t="s">
        <v>1071</v>
      </c>
      <c r="J638" s="18">
        <f>VLOOKUP(A638,[2]Export!$A:$B,2,0)</f>
        <v>1104.1972939744294</v>
      </c>
      <c r="K638" s="18">
        <f>VLOOKUP(A638,[2]Export!$A:$C,3,0)</f>
        <v>544.79999999999995</v>
      </c>
      <c r="L638" s="19">
        <f t="shared" si="20"/>
        <v>0.49339008796069034</v>
      </c>
      <c r="M638" s="18">
        <f>VLOOKUP(A638,[2]Export!$A:$G,7,0)</f>
        <v>0</v>
      </c>
      <c r="N638" s="19">
        <f t="shared" si="21"/>
        <v>0</v>
      </c>
      <c r="O638" s="17"/>
      <c r="P638" s="17"/>
      <c r="Q638" s="17"/>
      <c r="R638" s="17" t="str">
        <f>VLOOKUP(A638,[1]Export!$A:$I,9,0)</f>
        <v>Não Comprou</v>
      </c>
      <c r="S638" s="17"/>
      <c r="T638" s="20"/>
      <c r="U638" s="17"/>
      <c r="V638" s="17"/>
    </row>
    <row r="639" spans="1:22" x14ac:dyDescent="0.35">
      <c r="A639" s="5">
        <v>41955400000138</v>
      </c>
      <c r="B639" s="7"/>
      <c r="C639" s="4"/>
      <c r="D639" s="6" t="s">
        <v>689</v>
      </c>
      <c r="E639" s="6" t="s">
        <v>443</v>
      </c>
      <c r="F639" s="6" t="s">
        <v>15</v>
      </c>
      <c r="G639" s="11" t="s">
        <v>20</v>
      </c>
      <c r="H639" s="6" t="s">
        <v>17</v>
      </c>
      <c r="I639" s="21" t="s">
        <v>1069</v>
      </c>
      <c r="J639" s="18">
        <f>VLOOKUP(A639,[2]Export!$A:$B,2,0)</f>
        <v>4001.8294435399021</v>
      </c>
      <c r="K639" s="18">
        <f>VLOOKUP(A639,[2]Export!$A:$C,3,0)</f>
        <v>2088.66</v>
      </c>
      <c r="L639" s="19">
        <f t="shared" si="20"/>
        <v>0.52192629132950552</v>
      </c>
      <c r="M639" s="18">
        <f>VLOOKUP(A639,[2]Export!$A:$G,7,0)</f>
        <v>0</v>
      </c>
      <c r="N639" s="19">
        <f t="shared" si="21"/>
        <v>0</v>
      </c>
      <c r="O639" s="17" t="s">
        <v>1025</v>
      </c>
      <c r="P639" s="17" t="s">
        <v>1026</v>
      </c>
      <c r="Q639" s="17" t="s">
        <v>1023</v>
      </c>
      <c r="R639" s="17" t="str">
        <f>VLOOKUP(A639,[1]Export!$A:$I,9,0)</f>
        <v>Não Comprou</v>
      </c>
      <c r="S639" s="17" t="s">
        <v>1022</v>
      </c>
      <c r="T639" s="20"/>
      <c r="U639" s="17"/>
      <c r="V639" s="17"/>
    </row>
    <row r="640" spans="1:22" x14ac:dyDescent="0.35">
      <c r="A640" s="4">
        <v>19713710000278</v>
      </c>
      <c r="B640" s="7" t="s">
        <v>1009</v>
      </c>
      <c r="C640" s="4"/>
      <c r="D640" s="1" t="s">
        <v>59</v>
      </c>
      <c r="E640" s="1" t="s">
        <v>329</v>
      </c>
      <c r="F640" s="1" t="s">
        <v>8</v>
      </c>
      <c r="G640" s="10" t="s">
        <v>9</v>
      </c>
      <c r="H640" s="1" t="s">
        <v>10</v>
      </c>
      <c r="I640" s="21" t="s">
        <v>1070</v>
      </c>
      <c r="J640" s="18">
        <f>VLOOKUP(A640,[2]Export!$A:$B,2,0)</f>
        <v>12822.9704775666</v>
      </c>
      <c r="K640" s="18">
        <f>VLOOKUP(A640,[2]Export!$A:$C,3,0)</f>
        <v>6492.9200000000019</v>
      </c>
      <c r="L640" s="19">
        <f t="shared" si="20"/>
        <v>0.50635069396433297</v>
      </c>
      <c r="M640" s="18">
        <f>VLOOKUP(A640,[2]Export!$A:$G,7,0)</f>
        <v>2817.6099999999992</v>
      </c>
      <c r="N640" s="19">
        <f t="shared" si="21"/>
        <v>0.21973145808370401</v>
      </c>
      <c r="O640" s="17" t="s">
        <v>1027</v>
      </c>
      <c r="P640" s="17" t="s">
        <v>1028</v>
      </c>
      <c r="Q640" s="17" t="s">
        <v>1023</v>
      </c>
      <c r="R640" s="17" t="str">
        <f>VLOOKUP(A640,[1]Export!$A:$I,9,0)</f>
        <v>Comprou Marcas</v>
      </c>
      <c r="S640" s="17" t="s">
        <v>1022</v>
      </c>
      <c r="T640" s="20"/>
      <c r="U640" s="17"/>
      <c r="V640" s="17"/>
    </row>
    <row r="641" spans="1:22" x14ac:dyDescent="0.35">
      <c r="A641" s="5">
        <v>19713710000359</v>
      </c>
      <c r="B641" s="7" t="s">
        <v>1009</v>
      </c>
      <c r="C641" s="4">
        <v>13471</v>
      </c>
      <c r="D641" s="6" t="s">
        <v>59</v>
      </c>
      <c r="E641" s="6" t="s">
        <v>329</v>
      </c>
      <c r="F641" s="6" t="s">
        <v>8</v>
      </c>
      <c r="G641" s="11" t="s">
        <v>9</v>
      </c>
      <c r="H641" s="6" t="s">
        <v>10</v>
      </c>
      <c r="I641" s="21" t="s">
        <v>1070</v>
      </c>
      <c r="J641" s="18">
        <f>VLOOKUP(A641,[2]Export!$A:$B,2,0)</f>
        <v>11943.124296136311</v>
      </c>
      <c r="K641" s="18">
        <f>VLOOKUP(A641,[2]Export!$A:$C,3,0)</f>
        <v>15045.68</v>
      </c>
      <c r="L641" s="19">
        <f t="shared" si="20"/>
        <v>1.2597775612925162</v>
      </c>
      <c r="M641" s="18">
        <f>VLOOKUP(A641,[2]Export!$A:$G,7,0)</f>
        <v>5536.91</v>
      </c>
      <c r="N641" s="19">
        <f t="shared" si="21"/>
        <v>0.46360649547884475</v>
      </c>
      <c r="O641" s="17" t="s">
        <v>1027</v>
      </c>
      <c r="P641" s="17" t="s">
        <v>1028</v>
      </c>
      <c r="Q641" s="17" t="s">
        <v>1023</v>
      </c>
      <c r="R641" s="17" t="str">
        <f>VLOOKUP(A641,[1]Export!$A:$I,9,0)</f>
        <v>Comprou Marcas</v>
      </c>
      <c r="S641" s="17" t="s">
        <v>1022</v>
      </c>
      <c r="T641" s="20"/>
      <c r="U641" s="17"/>
      <c r="V641" s="17">
        <v>5</v>
      </c>
    </row>
    <row r="642" spans="1:22" x14ac:dyDescent="0.35">
      <c r="A642" s="5">
        <v>19713710000197</v>
      </c>
      <c r="B642" s="7" t="s">
        <v>1009</v>
      </c>
      <c r="C642" s="4"/>
      <c r="D642" s="6" t="s">
        <v>59</v>
      </c>
      <c r="E642" s="6" t="s">
        <v>329</v>
      </c>
      <c r="F642" s="6" t="s">
        <v>8</v>
      </c>
      <c r="G642" s="11" t="s">
        <v>9</v>
      </c>
      <c r="H642" s="6" t="s">
        <v>10</v>
      </c>
      <c r="I642" s="21" t="s">
        <v>1070</v>
      </c>
      <c r="J642" s="18">
        <f>VLOOKUP(A642,[2]Export!$A:$B,2,0)</f>
        <v>63199.571668194993</v>
      </c>
      <c r="K642" s="18">
        <f>VLOOKUP(A642,[2]Export!$A:$C,3,0)</f>
        <v>27700.709999999995</v>
      </c>
      <c r="L642" s="19">
        <f t="shared" si="20"/>
        <v>0.43830534398922677</v>
      </c>
      <c r="M642" s="18">
        <f>VLOOKUP(A642,[2]Export!$A:$G,7,0)</f>
        <v>14917.030000000004</v>
      </c>
      <c r="N642" s="19">
        <f t="shared" si="21"/>
        <v>0.23603055537015544</v>
      </c>
      <c r="O642" s="17" t="s">
        <v>1027</v>
      </c>
      <c r="P642" s="17" t="s">
        <v>1028</v>
      </c>
      <c r="Q642" s="17" t="s">
        <v>1023</v>
      </c>
      <c r="R642" s="17" t="str">
        <f>VLOOKUP(A642,[1]Export!$A:$I,9,0)</f>
        <v>Comprou Marcas</v>
      </c>
      <c r="S642" s="17" t="s">
        <v>1022</v>
      </c>
      <c r="T642" s="20"/>
      <c r="U642" s="17"/>
      <c r="V642" s="17">
        <v>1</v>
      </c>
    </row>
    <row r="643" spans="1:22" x14ac:dyDescent="0.35">
      <c r="A643" s="5">
        <v>21013882000280</v>
      </c>
      <c r="B643" s="7" t="s">
        <v>1008</v>
      </c>
      <c r="C643" s="4"/>
      <c r="D643" s="6" t="s">
        <v>90</v>
      </c>
      <c r="E643" s="6" t="s">
        <v>82</v>
      </c>
      <c r="F643" s="6" t="s">
        <v>8</v>
      </c>
      <c r="G643" s="11" t="s">
        <v>64</v>
      </c>
      <c r="H643" s="6" t="s">
        <v>17</v>
      </c>
      <c r="I643" s="21" t="s">
        <v>1070</v>
      </c>
      <c r="J643" s="18">
        <f>VLOOKUP(A643,[2]Export!$A:$B,2,0)</f>
        <v>3849.8733371831945</v>
      </c>
      <c r="K643" s="18">
        <f>VLOOKUP(A643,[2]Export!$A:$C,3,0)</f>
        <v>5054.5800000000008</v>
      </c>
      <c r="L643" s="19">
        <f t="shared" si="20"/>
        <v>1.3129211164381434</v>
      </c>
      <c r="M643" s="18">
        <f>VLOOKUP(A643,[2]Export!$A:$G,7,0)</f>
        <v>4514.3799999999974</v>
      </c>
      <c r="N643" s="19">
        <f t="shared" si="21"/>
        <v>1.1726048117996</v>
      </c>
      <c r="O643" s="17" t="s">
        <v>1029</v>
      </c>
      <c r="P643" s="17" t="s">
        <v>1026</v>
      </c>
      <c r="Q643" s="17" t="s">
        <v>1022</v>
      </c>
      <c r="R643" s="17" t="str">
        <f>VLOOKUP(A643,[1]Export!$A:$I,9,0)</f>
        <v>Comprou Marcas</v>
      </c>
      <c r="S643" s="17" t="s">
        <v>1022</v>
      </c>
      <c r="T643" s="20">
        <v>4</v>
      </c>
      <c r="U643" s="17"/>
      <c r="V643" s="17"/>
    </row>
    <row r="644" spans="1:22" x14ac:dyDescent="0.35">
      <c r="A644" s="4">
        <v>37836714000144</v>
      </c>
      <c r="B644" s="7"/>
      <c r="C644" s="4"/>
      <c r="D644" s="1" t="s">
        <v>670</v>
      </c>
      <c r="E644" s="1" t="s">
        <v>690</v>
      </c>
      <c r="F644" s="1" t="s">
        <v>48</v>
      </c>
      <c r="G644" s="10" t="s">
        <v>20</v>
      </c>
      <c r="H644" s="1" t="s">
        <v>17</v>
      </c>
      <c r="I644" s="21" t="s">
        <v>1071</v>
      </c>
      <c r="J644" s="18">
        <f>VLOOKUP(A644,[2]Export!$A:$B,2,0)</f>
        <v>7131.5040313877262</v>
      </c>
      <c r="K644" s="18">
        <f>VLOOKUP(A644,[2]Export!$A:$C,3,0)</f>
        <v>4012.9000000000005</v>
      </c>
      <c r="L644" s="19">
        <f t="shared" si="20"/>
        <v>0.56270037601298617</v>
      </c>
      <c r="M644" s="18">
        <f>VLOOKUP(A644,[2]Export!$A:$G,7,0)</f>
        <v>712.8</v>
      </c>
      <c r="N644" s="19">
        <f t="shared" si="21"/>
        <v>9.9950865464391456E-2</v>
      </c>
      <c r="O644" s="17" t="s">
        <v>1025</v>
      </c>
      <c r="P644" s="17" t="s">
        <v>1026</v>
      </c>
      <c r="Q644" s="17" t="s">
        <v>1023</v>
      </c>
      <c r="R644" s="17" t="str">
        <f>VLOOKUP(A644,[1]Export!$A:$I,9,0)</f>
        <v>Não Comprou</v>
      </c>
      <c r="S644" s="17" t="s">
        <v>1023</v>
      </c>
      <c r="T644" s="20">
        <v>16</v>
      </c>
      <c r="U644" s="17"/>
      <c r="V644" s="17"/>
    </row>
    <row r="645" spans="1:22" x14ac:dyDescent="0.35">
      <c r="A645" s="5">
        <v>38662089000124</v>
      </c>
      <c r="B645" s="7"/>
      <c r="C645" s="4"/>
      <c r="D645" s="6" t="s">
        <v>550</v>
      </c>
      <c r="E645" s="6" t="s">
        <v>232</v>
      </c>
      <c r="F645" s="6" t="s">
        <v>8</v>
      </c>
      <c r="G645" s="11" t="s">
        <v>550</v>
      </c>
      <c r="H645" s="6" t="s">
        <v>17</v>
      </c>
      <c r="I645" s="21" t="s">
        <v>1068</v>
      </c>
      <c r="J645" s="18">
        <f>VLOOKUP(A645,[2]Export!$A:$B,2,0)</f>
        <v>2297.6050862287948</v>
      </c>
      <c r="K645" s="18">
        <f>VLOOKUP(A645,[2]Export!$A:$C,3,0)</f>
        <v>2357.8000000000002</v>
      </c>
      <c r="L645" s="19">
        <f t="shared" si="20"/>
        <v>1.0261989817710611</v>
      </c>
      <c r="M645" s="18">
        <f>VLOOKUP(A645,[2]Export!$A:$G,7,0)</f>
        <v>2018.6100000000001</v>
      </c>
      <c r="N645" s="19">
        <f t="shared" si="21"/>
        <v>0.87857134896635913</v>
      </c>
      <c r="O645" s="17" t="s">
        <v>1027</v>
      </c>
      <c r="P645" s="17" t="s">
        <v>1026</v>
      </c>
      <c r="Q645" s="17" t="s">
        <v>1023</v>
      </c>
      <c r="R645" s="17" t="str">
        <f>VLOOKUP(A645,[1]Export!$A:$I,9,0)</f>
        <v>Comprou Marcas</v>
      </c>
      <c r="S645" s="17" t="s">
        <v>1022</v>
      </c>
      <c r="T645" s="20"/>
      <c r="U645" s="17"/>
      <c r="V645" s="17"/>
    </row>
    <row r="646" spans="1:22" x14ac:dyDescent="0.35">
      <c r="A646" s="4">
        <v>38872460000344</v>
      </c>
      <c r="B646" s="7" t="s">
        <v>308</v>
      </c>
      <c r="C646" s="4"/>
      <c r="D646" s="1" t="s">
        <v>308</v>
      </c>
      <c r="E646" s="1" t="s">
        <v>166</v>
      </c>
      <c r="F646" s="1" t="s">
        <v>8</v>
      </c>
      <c r="G646" s="10" t="s">
        <v>74</v>
      </c>
      <c r="H646" s="1" t="s">
        <v>17</v>
      </c>
      <c r="I646" s="21" t="s">
        <v>1068</v>
      </c>
      <c r="J646" s="18">
        <f>VLOOKUP(A646,[2]Export!$A:$B,2,0)</f>
        <v>1903.7938782984263</v>
      </c>
      <c r="K646" s="18">
        <f>VLOOKUP(A646,[2]Export!$A:$C,3,0)</f>
        <v>397.19</v>
      </c>
      <c r="L646" s="19">
        <f t="shared" si="20"/>
        <v>0.20863077906049401</v>
      </c>
      <c r="M646" s="18">
        <f>VLOOKUP(A646,[2]Export!$A:$G,7,0)</f>
        <v>529.24</v>
      </c>
      <c r="N646" s="19">
        <f t="shared" si="21"/>
        <v>0.27799227953869898</v>
      </c>
      <c r="O646" s="17" t="s">
        <v>1029</v>
      </c>
      <c r="P646" s="17" t="s">
        <v>1026</v>
      </c>
      <c r="Q646" s="17" t="s">
        <v>1022</v>
      </c>
      <c r="R646" s="17" t="str">
        <f>VLOOKUP(A646,[1]Export!$A:$I,9,0)</f>
        <v>Comprou Marcas e SG</v>
      </c>
      <c r="S646" s="17" t="s">
        <v>1022</v>
      </c>
      <c r="T646" s="20"/>
      <c r="U646" s="17"/>
      <c r="V646" s="17"/>
    </row>
    <row r="647" spans="1:22" x14ac:dyDescent="0.35">
      <c r="A647" s="4">
        <v>19713710000430</v>
      </c>
      <c r="B647" s="7" t="s">
        <v>1009</v>
      </c>
      <c r="C647" s="4"/>
      <c r="D647" s="1" t="s">
        <v>59</v>
      </c>
      <c r="E647" s="1" t="s">
        <v>436</v>
      </c>
      <c r="F647" s="1" t="s">
        <v>8</v>
      </c>
      <c r="G647" s="10" t="s">
        <v>9</v>
      </c>
      <c r="H647" s="1" t="s">
        <v>10</v>
      </c>
      <c r="I647" s="21" t="s">
        <v>1070</v>
      </c>
      <c r="J647" s="18">
        <f>VLOOKUP(A647,[2]Export!$A:$B,2,0)</f>
        <v>8874.6897094542073</v>
      </c>
      <c r="K647" s="18">
        <f>VLOOKUP(A647,[2]Export!$A:$C,3,0)</f>
        <v>7126.3700000000008</v>
      </c>
      <c r="L647" s="19">
        <f t="shared" si="20"/>
        <v>0.80299934232160008</v>
      </c>
      <c r="M647" s="18">
        <f>VLOOKUP(A647,[2]Export!$A:$G,7,0)</f>
        <v>2717.54</v>
      </c>
      <c r="N647" s="19">
        <f t="shared" si="21"/>
        <v>0.30621239603509792</v>
      </c>
      <c r="O647" s="17" t="s">
        <v>1027</v>
      </c>
      <c r="P647" s="17" t="s">
        <v>1028</v>
      </c>
      <c r="Q647" s="17" t="s">
        <v>1023</v>
      </c>
      <c r="R647" s="17" t="str">
        <f>VLOOKUP(A647,[1]Export!$A:$I,9,0)</f>
        <v>Comprou Marcas</v>
      </c>
      <c r="S647" s="17" t="s">
        <v>1022</v>
      </c>
      <c r="T647" s="20"/>
      <c r="U647" s="17"/>
      <c r="V647" s="17"/>
    </row>
    <row r="648" spans="1:22" x14ac:dyDescent="0.35">
      <c r="A648" s="4">
        <v>23019388000178</v>
      </c>
      <c r="B648" s="7"/>
      <c r="C648" s="4"/>
      <c r="D648" s="1" t="s">
        <v>692</v>
      </c>
      <c r="E648" s="1" t="s">
        <v>100</v>
      </c>
      <c r="F648" s="1" t="s">
        <v>15</v>
      </c>
      <c r="G648" s="10" t="s">
        <v>197</v>
      </c>
      <c r="H648" s="1" t="s">
        <v>17</v>
      </c>
      <c r="I648" s="21" t="s">
        <v>1073</v>
      </c>
      <c r="J648" s="18">
        <f>VLOOKUP(A648,[2]Export!$A:$B,2,0)</f>
        <v>5561.2478892780082</v>
      </c>
      <c r="K648" s="18">
        <f>VLOOKUP(A648,[2]Export!$A:$C,3,0)</f>
        <v>3225.5899999999997</v>
      </c>
      <c r="L648" s="19">
        <f t="shared" si="20"/>
        <v>0.58001190815803816</v>
      </c>
      <c r="M648" s="18">
        <f>VLOOKUP(A648,[2]Export!$A:$G,7,0)</f>
        <v>233.3</v>
      </c>
      <c r="N648" s="19">
        <f t="shared" si="21"/>
        <v>4.1951016146897259E-2</v>
      </c>
      <c r="O648" s="17" t="s">
        <v>1025</v>
      </c>
      <c r="P648" s="17" t="s">
        <v>1026</v>
      </c>
      <c r="Q648" s="17" t="s">
        <v>1022</v>
      </c>
      <c r="R648" s="17" t="str">
        <f>VLOOKUP(A648,[1]Export!$A:$I,9,0)</f>
        <v>Comprou Marcas</v>
      </c>
      <c r="S648" s="17" t="s">
        <v>1022</v>
      </c>
      <c r="T648" s="20"/>
      <c r="U648" s="17"/>
      <c r="V648" s="17"/>
    </row>
    <row r="649" spans="1:22" x14ac:dyDescent="0.35">
      <c r="A649" s="5">
        <v>23312338000184</v>
      </c>
      <c r="B649" s="7"/>
      <c r="C649" s="4"/>
      <c r="D649" s="6" t="s">
        <v>693</v>
      </c>
      <c r="E649" s="6" t="s">
        <v>14</v>
      </c>
      <c r="F649" s="6" t="s">
        <v>15</v>
      </c>
      <c r="G649" s="11" t="s">
        <v>694</v>
      </c>
      <c r="H649" s="6" t="s">
        <v>17</v>
      </c>
      <c r="I649" s="21" t="s">
        <v>1067</v>
      </c>
      <c r="J649" s="18">
        <f>VLOOKUP(A649,[2]Export!$A:$B,2,0)</f>
        <v>2432.3726812038117</v>
      </c>
      <c r="K649" s="18">
        <f>VLOOKUP(A649,[2]Export!$A:$C,3,0)</f>
        <v>811.05999999999983</v>
      </c>
      <c r="L649" s="19">
        <f t="shared" si="20"/>
        <v>0.33344396862679615</v>
      </c>
      <c r="M649" s="18">
        <f>VLOOKUP(A649,[2]Export!$A:$G,7,0)</f>
        <v>636.83000000000004</v>
      </c>
      <c r="N649" s="19">
        <f t="shared" si="21"/>
        <v>0.26181432019900214</v>
      </c>
      <c r="O649" s="17" t="s">
        <v>1025</v>
      </c>
      <c r="P649" s="17" t="s">
        <v>1026</v>
      </c>
      <c r="Q649" s="17" t="s">
        <v>1022</v>
      </c>
      <c r="R649" s="17" t="str">
        <f>VLOOKUP(A649,[1]Export!$A:$I,9,0)</f>
        <v>Comprou Marcas</v>
      </c>
      <c r="S649" s="17" t="s">
        <v>1023</v>
      </c>
      <c r="T649" s="20"/>
      <c r="U649" s="17"/>
      <c r="V649" s="17"/>
    </row>
    <row r="650" spans="1:22" x14ac:dyDescent="0.35">
      <c r="A650" s="4">
        <v>55284053000173</v>
      </c>
      <c r="B650" s="7"/>
      <c r="C650" s="4">
        <v>112129</v>
      </c>
      <c r="D650" s="1" t="s">
        <v>695</v>
      </c>
      <c r="E650" s="1" t="s">
        <v>520</v>
      </c>
      <c r="F650" s="1" t="s">
        <v>48</v>
      </c>
      <c r="G650" s="10" t="s">
        <v>20</v>
      </c>
      <c r="H650" s="1" t="s">
        <v>17</v>
      </c>
      <c r="I650" s="21" t="s">
        <v>1071</v>
      </c>
      <c r="J650" s="18">
        <f>VLOOKUP(A650,[2]Export!$A:$B,2,0)</f>
        <v>13628.538399186076</v>
      </c>
      <c r="K650" s="18">
        <f>VLOOKUP(A650,[2]Export!$A:$C,3,0)</f>
        <v>9237.5700000000015</v>
      </c>
      <c r="L650" s="19">
        <f t="shared" si="20"/>
        <v>0.67781076219821834</v>
      </c>
      <c r="M650" s="18">
        <f>VLOOKUP(A650,[2]Export!$A:$G,7,0)</f>
        <v>6088.81</v>
      </c>
      <c r="N650" s="19">
        <f t="shared" si="21"/>
        <v>0.44676911211283205</v>
      </c>
      <c r="O650" s="17" t="s">
        <v>1025</v>
      </c>
      <c r="P650" s="17" t="s">
        <v>1026</v>
      </c>
      <c r="Q650" s="17" t="s">
        <v>1023</v>
      </c>
      <c r="R650" s="17" t="str">
        <f>VLOOKUP(A650,[1]Export!$A:$I,9,0)</f>
        <v>Comprou Marcas</v>
      </c>
      <c r="S650" s="17" t="s">
        <v>1022</v>
      </c>
      <c r="T650" s="20"/>
      <c r="U650" s="17"/>
      <c r="V650" s="17"/>
    </row>
    <row r="651" spans="1:22" x14ac:dyDescent="0.35">
      <c r="A651" s="5">
        <v>57680804000104</v>
      </c>
      <c r="B651" s="7"/>
      <c r="C651" s="4"/>
      <c r="D651" s="6" t="s">
        <v>696</v>
      </c>
      <c r="E651" s="6" t="s">
        <v>329</v>
      </c>
      <c r="F651" s="6" t="s">
        <v>8</v>
      </c>
      <c r="G651" s="11" t="s">
        <v>33</v>
      </c>
      <c r="H651" s="6" t="s">
        <v>17</v>
      </c>
      <c r="I651" s="21" t="s">
        <v>1070</v>
      </c>
      <c r="J651" s="18">
        <f>VLOOKUP(A651,[2]Export!$A:$B,2,0)</f>
        <v>3603.9490685588712</v>
      </c>
      <c r="K651" s="18">
        <f>VLOOKUP(A651,[2]Export!$A:$C,3,0)</f>
        <v>1152.07</v>
      </c>
      <c r="L651" s="19">
        <f t="shared" si="20"/>
        <v>0.31966877946493394</v>
      </c>
      <c r="M651" s="18">
        <f>VLOOKUP(A651,[2]Export!$A:$G,7,0)</f>
        <v>0</v>
      </c>
      <c r="N651" s="19">
        <f t="shared" si="21"/>
        <v>0</v>
      </c>
      <c r="O651" s="17" t="s">
        <v>1025</v>
      </c>
      <c r="P651" s="17" t="s">
        <v>1026</v>
      </c>
      <c r="Q651" s="17" t="s">
        <v>1022</v>
      </c>
      <c r="R651" s="17" t="str">
        <f>VLOOKUP(A651,[1]Export!$A:$I,9,0)</f>
        <v>Não Comprou</v>
      </c>
      <c r="S651" s="17" t="s">
        <v>1023</v>
      </c>
      <c r="T651" s="20"/>
      <c r="U651" s="17"/>
      <c r="V651" s="17"/>
    </row>
    <row r="652" spans="1:22" x14ac:dyDescent="0.35">
      <c r="A652" s="4">
        <v>37203809000120</v>
      </c>
      <c r="B652" s="7"/>
      <c r="C652" s="4"/>
      <c r="D652" s="1" t="s">
        <v>697</v>
      </c>
      <c r="E652" s="1" t="s">
        <v>186</v>
      </c>
      <c r="F652" s="1" t="s">
        <v>15</v>
      </c>
      <c r="G652" s="10" t="s">
        <v>20</v>
      </c>
      <c r="H652" s="1" t="s">
        <v>17</v>
      </c>
      <c r="I652" s="21" t="s">
        <v>1067</v>
      </c>
      <c r="J652" s="18">
        <f>VLOOKUP(A652,[2]Export!$A:$B,2,0)</f>
        <v>755.02905519001763</v>
      </c>
      <c r="K652" s="18">
        <f>VLOOKUP(A652,[2]Export!$A:$C,3,0)</f>
        <v>422.72</v>
      </c>
      <c r="L652" s="19">
        <f t="shared" si="20"/>
        <v>0.55987249377259318</v>
      </c>
      <c r="M652" s="18">
        <f>VLOOKUP(A652,[2]Export!$A:$G,7,0)</f>
        <v>0</v>
      </c>
      <c r="N652" s="19">
        <f t="shared" si="21"/>
        <v>0</v>
      </c>
      <c r="O652" s="17"/>
      <c r="P652" s="17"/>
      <c r="Q652" s="17"/>
      <c r="R652" s="17" t="str">
        <f>VLOOKUP(A652,[1]Export!$A:$I,9,0)</f>
        <v>Não Comprou</v>
      </c>
      <c r="S652" s="17"/>
      <c r="T652" s="20"/>
      <c r="U652" s="17"/>
      <c r="V652" s="17"/>
    </row>
    <row r="653" spans="1:22" x14ac:dyDescent="0.35">
      <c r="A653" s="5">
        <v>38872460000182</v>
      </c>
      <c r="B653" s="7" t="s">
        <v>308</v>
      </c>
      <c r="C653" s="4">
        <v>153614</v>
      </c>
      <c r="D653" s="6" t="s">
        <v>308</v>
      </c>
      <c r="E653" s="6" t="s">
        <v>166</v>
      </c>
      <c r="F653" s="6" t="s">
        <v>8</v>
      </c>
      <c r="G653" s="11" t="s">
        <v>74</v>
      </c>
      <c r="H653" s="6" t="s">
        <v>17</v>
      </c>
      <c r="I653" s="21" t="s">
        <v>1068</v>
      </c>
      <c r="J653" s="18">
        <f>VLOOKUP(A653,[2]Export!$A:$B,2,0)</f>
        <v>6207.4491525196836</v>
      </c>
      <c r="K653" s="18">
        <f>VLOOKUP(A653,[2]Export!$A:$C,3,0)</f>
        <v>12957.52999999999</v>
      </c>
      <c r="L653" s="19">
        <f t="shared" ref="L653:L716" si="22">K653/J653</f>
        <v>2.0874162126225975</v>
      </c>
      <c r="M653" s="18">
        <f>VLOOKUP(A653,[2]Export!$A:$G,7,0)</f>
        <v>16375.689999999999</v>
      </c>
      <c r="N653" s="19">
        <f t="shared" ref="N653:N716" si="23">M653/J653</f>
        <v>2.638070743334707</v>
      </c>
      <c r="O653" s="17" t="s">
        <v>1029</v>
      </c>
      <c r="P653" s="17" t="s">
        <v>1026</v>
      </c>
      <c r="Q653" s="17" t="s">
        <v>1022</v>
      </c>
      <c r="R653" s="17" t="str">
        <f>VLOOKUP(A653,[1]Export!$A:$I,9,0)</f>
        <v>Comprou Marcas e SG</v>
      </c>
      <c r="S653" s="17" t="s">
        <v>1022</v>
      </c>
      <c r="T653" s="20"/>
      <c r="U653" s="17"/>
      <c r="V653" s="17"/>
    </row>
    <row r="654" spans="1:22" x14ac:dyDescent="0.35">
      <c r="A654" s="4">
        <v>41196111000100</v>
      </c>
      <c r="B654" s="7"/>
      <c r="C654" s="4"/>
      <c r="D654" s="1" t="s">
        <v>616</v>
      </c>
      <c r="E654" s="1" t="s">
        <v>19</v>
      </c>
      <c r="F654" s="1" t="s">
        <v>15</v>
      </c>
      <c r="G654" s="10" t="s">
        <v>36</v>
      </c>
      <c r="H654" s="1" t="s">
        <v>17</v>
      </c>
      <c r="I654" s="21" t="s">
        <v>1067</v>
      </c>
      <c r="J654" s="18">
        <f>VLOOKUP(A654,[2]Export!$A:$B,2,0)</f>
        <v>3813.6797737231973</v>
      </c>
      <c r="K654" s="18">
        <f>VLOOKUP(A654,[2]Export!$A:$C,3,0)</f>
        <v>1474.75</v>
      </c>
      <c r="L654" s="19">
        <f t="shared" si="22"/>
        <v>0.38670000826006418</v>
      </c>
      <c r="M654" s="18">
        <f>VLOOKUP(A654,[2]Export!$A:$G,7,0)</f>
        <v>0</v>
      </c>
      <c r="N654" s="19">
        <f t="shared" si="23"/>
        <v>0</v>
      </c>
      <c r="O654" s="17"/>
      <c r="P654" s="17"/>
      <c r="Q654" s="17"/>
      <c r="R654" s="17" t="str">
        <f>VLOOKUP(A654,[1]Export!$A:$I,9,0)</f>
        <v>Não Comprou</v>
      </c>
      <c r="S654" s="17"/>
      <c r="T654" s="20"/>
      <c r="U654" s="17"/>
      <c r="V654" s="17"/>
    </row>
    <row r="655" spans="1:22" x14ac:dyDescent="0.35">
      <c r="A655" s="5">
        <v>55283212000115</v>
      </c>
      <c r="B655" s="7"/>
      <c r="C655" s="4"/>
      <c r="D655" s="6" t="s">
        <v>698</v>
      </c>
      <c r="E655" s="6" t="s">
        <v>699</v>
      </c>
      <c r="F655" s="6" t="s">
        <v>48</v>
      </c>
      <c r="G655" s="11" t="s">
        <v>103</v>
      </c>
      <c r="H655" s="6" t="s">
        <v>17</v>
      </c>
      <c r="I655" s="21" t="s">
        <v>1071</v>
      </c>
      <c r="J655" s="18">
        <f>VLOOKUP(A655,[2]Export!$A:$B,2,0)</f>
        <v>4184.4284808221219</v>
      </c>
      <c r="K655" s="18">
        <f>VLOOKUP(A655,[2]Export!$A:$C,3,0)</f>
        <v>1315.51</v>
      </c>
      <c r="L655" s="19">
        <f t="shared" si="22"/>
        <v>0.31438224025794304</v>
      </c>
      <c r="M655" s="18">
        <f>VLOOKUP(A655,[2]Export!$A:$G,7,0)</f>
        <v>0</v>
      </c>
      <c r="N655" s="19">
        <f t="shared" si="23"/>
        <v>0</v>
      </c>
      <c r="O655" s="17"/>
      <c r="P655" s="17"/>
      <c r="Q655" s="17"/>
      <c r="R655" s="17" t="str">
        <f>VLOOKUP(A655,[1]Export!$A:$I,9,0)</f>
        <v>Não Comprou</v>
      </c>
      <c r="S655" s="17"/>
      <c r="T655" s="20"/>
      <c r="U655" s="17"/>
      <c r="V655" s="17"/>
    </row>
    <row r="656" spans="1:22" x14ac:dyDescent="0.35">
      <c r="A656" s="4">
        <v>8821476000103</v>
      </c>
      <c r="B656" s="7"/>
      <c r="C656" s="4"/>
      <c r="D656" s="1" t="s">
        <v>700</v>
      </c>
      <c r="E656" s="1" t="s">
        <v>14</v>
      </c>
      <c r="F656" s="1" t="s">
        <v>15</v>
      </c>
      <c r="G656" s="10" t="s">
        <v>20</v>
      </c>
      <c r="H656" s="1" t="s">
        <v>17</v>
      </c>
      <c r="I656" s="21" t="s">
        <v>1067</v>
      </c>
      <c r="J656" s="18">
        <f>VLOOKUP(A656,[2]Export!$A:$B,2,0)</f>
        <v>4152.3570436110804</v>
      </c>
      <c r="K656" s="18">
        <f>VLOOKUP(A656,[2]Export!$A:$C,3,0)</f>
        <v>2308.0299999999997</v>
      </c>
      <c r="L656" s="19">
        <f t="shared" si="22"/>
        <v>0.55583611326275328</v>
      </c>
      <c r="M656" s="18">
        <f>VLOOKUP(A656,[2]Export!$A:$G,7,0)</f>
        <v>944.20999999999992</v>
      </c>
      <c r="N656" s="19">
        <f t="shared" si="23"/>
        <v>0.22739133222004232</v>
      </c>
      <c r="O656" s="17" t="s">
        <v>1029</v>
      </c>
      <c r="P656" s="17" t="s">
        <v>1026</v>
      </c>
      <c r="Q656" s="17" t="s">
        <v>1022</v>
      </c>
      <c r="R656" s="17" t="str">
        <f>VLOOKUP(A656,[1]Export!$A:$I,9,0)</f>
        <v>Comprou Marcas</v>
      </c>
      <c r="S656" s="17" t="s">
        <v>1023</v>
      </c>
      <c r="T656" s="20"/>
      <c r="U656" s="17"/>
      <c r="V656" s="17"/>
    </row>
    <row r="657" spans="1:22" x14ac:dyDescent="0.35">
      <c r="A657" s="5">
        <v>9115230000170</v>
      </c>
      <c r="B657" s="7"/>
      <c r="C657" s="4"/>
      <c r="D657" s="6" t="s">
        <v>701</v>
      </c>
      <c r="E657" s="6" t="s">
        <v>354</v>
      </c>
      <c r="F657" s="6" t="s">
        <v>48</v>
      </c>
      <c r="G657" s="11" t="s">
        <v>80</v>
      </c>
      <c r="H657" s="6" t="s">
        <v>17</v>
      </c>
      <c r="I657" s="21" t="s">
        <v>1073</v>
      </c>
      <c r="J657" s="18">
        <f>VLOOKUP(A657,[2]Export!$A:$B,2,0)</f>
        <v>4326.4751219144619</v>
      </c>
      <c r="K657" s="18">
        <f>VLOOKUP(A657,[2]Export!$A:$C,3,0)</f>
        <v>2129.79</v>
      </c>
      <c r="L657" s="19">
        <f t="shared" si="22"/>
        <v>0.49226909666305202</v>
      </c>
      <c r="M657" s="18">
        <f>VLOOKUP(A657,[2]Export!$A:$G,7,0)</f>
        <v>0</v>
      </c>
      <c r="N657" s="19">
        <f t="shared" si="23"/>
        <v>0</v>
      </c>
      <c r="O657" s="17" t="s">
        <v>1025</v>
      </c>
      <c r="P657" s="17" t="s">
        <v>1026</v>
      </c>
      <c r="Q657" s="17" t="s">
        <v>1022</v>
      </c>
      <c r="R657" s="17" t="str">
        <f>VLOOKUP(A657,[1]Export!$A:$I,9,0)</f>
        <v>Não Comprou</v>
      </c>
      <c r="S657" s="17" t="s">
        <v>1023</v>
      </c>
      <c r="T657" s="20"/>
      <c r="U657" s="17"/>
      <c r="V657" s="17"/>
    </row>
    <row r="658" spans="1:22" x14ac:dyDescent="0.35">
      <c r="A658" s="4">
        <v>9496232000319</v>
      </c>
      <c r="B658" s="7"/>
      <c r="C658" s="4"/>
      <c r="D658" s="1" t="s">
        <v>702</v>
      </c>
      <c r="E658" s="1" t="s">
        <v>474</v>
      </c>
      <c r="F658" s="1" t="s">
        <v>8</v>
      </c>
      <c r="G658" s="10" t="s">
        <v>279</v>
      </c>
      <c r="H658" s="1" t="s">
        <v>17</v>
      </c>
      <c r="I658" s="21" t="s">
        <v>1066</v>
      </c>
      <c r="J658" s="18">
        <f>VLOOKUP(A658,[2]Export!$A:$B,2,0)</f>
        <v>5322.3223908754544</v>
      </c>
      <c r="K658" s="18">
        <f>VLOOKUP(A658,[2]Export!$A:$C,3,0)</f>
        <v>455.03000000000003</v>
      </c>
      <c r="L658" s="19">
        <f t="shared" si="22"/>
        <v>8.549463309101675E-2</v>
      </c>
      <c r="M658" s="18">
        <f>VLOOKUP(A658,[2]Export!$A:$G,7,0)</f>
        <v>359</v>
      </c>
      <c r="N658" s="19">
        <f t="shared" si="23"/>
        <v>6.7451757641639035E-2</v>
      </c>
      <c r="O658" s="17" t="s">
        <v>1029</v>
      </c>
      <c r="P658" s="17" t="s">
        <v>1026</v>
      </c>
      <c r="Q658" s="17" t="s">
        <v>1022</v>
      </c>
      <c r="R658" s="17" t="str">
        <f>VLOOKUP(A658,[1]Export!$A:$I,9,0)</f>
        <v>Comprou Marcas</v>
      </c>
      <c r="S658" s="17" t="s">
        <v>1022</v>
      </c>
      <c r="T658" s="20"/>
      <c r="U658" s="17"/>
      <c r="V658" s="17"/>
    </row>
    <row r="659" spans="1:22" x14ac:dyDescent="0.35">
      <c r="A659" s="5">
        <v>9607825000143</v>
      </c>
      <c r="B659" s="7"/>
      <c r="C659" s="4"/>
      <c r="D659" s="6" t="s">
        <v>703</v>
      </c>
      <c r="E659" s="6" t="s">
        <v>152</v>
      </c>
      <c r="F659" s="6" t="s">
        <v>8</v>
      </c>
      <c r="G659" s="11" t="s">
        <v>20</v>
      </c>
      <c r="H659" s="6" t="s">
        <v>17</v>
      </c>
      <c r="I659" s="21" t="s">
        <v>1068</v>
      </c>
      <c r="J659" s="18">
        <f>VLOOKUP(A659,[2]Export!$A:$B,2,0)</f>
        <v>512.20382468211562</v>
      </c>
      <c r="K659" s="18">
        <f>VLOOKUP(A659,[2]Export!$A:$C,3,0)</f>
        <v>287.03000000000003</v>
      </c>
      <c r="L659" s="19">
        <f t="shared" si="22"/>
        <v>0.56038238327903322</v>
      </c>
      <c r="M659" s="18">
        <f>VLOOKUP(A659,[2]Export!$A:$G,7,0)</f>
        <v>0</v>
      </c>
      <c r="N659" s="19">
        <f t="shared" si="23"/>
        <v>0</v>
      </c>
      <c r="O659" s="17" t="s">
        <v>1025</v>
      </c>
      <c r="P659" s="17" t="s">
        <v>1026</v>
      </c>
      <c r="Q659" s="17" t="s">
        <v>1023</v>
      </c>
      <c r="R659" s="17" t="str">
        <f>VLOOKUP(A659,[1]Export!$A:$I,9,0)</f>
        <v>Não Comprou</v>
      </c>
      <c r="S659" s="17" t="s">
        <v>1023</v>
      </c>
      <c r="T659" s="20"/>
      <c r="U659" s="17"/>
      <c r="V659" s="17"/>
    </row>
    <row r="660" spans="1:22" x14ac:dyDescent="0.35">
      <c r="A660" s="4">
        <v>9433797000195</v>
      </c>
      <c r="B660" s="7"/>
      <c r="C660" s="4"/>
      <c r="D660" s="1" t="s">
        <v>704</v>
      </c>
      <c r="E660" s="1" t="s">
        <v>216</v>
      </c>
      <c r="F660" s="1" t="s">
        <v>15</v>
      </c>
      <c r="G660" s="10" t="s">
        <v>103</v>
      </c>
      <c r="H660" s="1" t="s">
        <v>17</v>
      </c>
      <c r="I660" s="21" t="s">
        <v>1073</v>
      </c>
      <c r="J660" s="18">
        <f>VLOOKUP(A660,[2]Export!$A:$B,2,0)</f>
        <v>11081.781940135812</v>
      </c>
      <c r="K660" s="18">
        <f>VLOOKUP(A660,[2]Export!$A:$C,3,0)</f>
        <v>6246.5599999999977</v>
      </c>
      <c r="L660" s="19">
        <f t="shared" si="22"/>
        <v>0.56367829955003101</v>
      </c>
      <c r="M660" s="18">
        <f>VLOOKUP(A660,[2]Export!$A:$G,7,0)</f>
        <v>5730.2300000000005</v>
      </c>
      <c r="N660" s="19">
        <f t="shared" si="23"/>
        <v>0.51708561230990746</v>
      </c>
      <c r="O660" s="17" t="s">
        <v>1025</v>
      </c>
      <c r="P660" s="17" t="s">
        <v>1026</v>
      </c>
      <c r="Q660" s="17" t="s">
        <v>1023</v>
      </c>
      <c r="R660" s="17" t="str">
        <f>VLOOKUP(A660,[1]Export!$A:$I,9,0)</f>
        <v>Comprou Marcas</v>
      </c>
      <c r="S660" s="17" t="s">
        <v>1023</v>
      </c>
      <c r="T660" s="20"/>
      <c r="U660" s="17"/>
      <c r="V660" s="17"/>
    </row>
    <row r="661" spans="1:22" x14ac:dyDescent="0.35">
      <c r="A661" s="5">
        <v>9496232000238</v>
      </c>
      <c r="B661" s="7"/>
      <c r="C661" s="4"/>
      <c r="D661" s="6" t="s">
        <v>702</v>
      </c>
      <c r="E661" s="6" t="s">
        <v>474</v>
      </c>
      <c r="F661" s="6" t="s">
        <v>8</v>
      </c>
      <c r="G661" s="11" t="s">
        <v>279</v>
      </c>
      <c r="H661" s="6" t="s">
        <v>17</v>
      </c>
      <c r="I661" s="21" t="s">
        <v>1066</v>
      </c>
      <c r="J661" s="18">
        <f>VLOOKUP(A661,[2]Export!$A:$B,2,0)</f>
        <v>7204.2443582709902</v>
      </c>
      <c r="K661" s="18">
        <f>VLOOKUP(A661,[2]Export!$A:$C,3,0)</f>
        <v>4265.37</v>
      </c>
      <c r="L661" s="19">
        <f t="shared" si="22"/>
        <v>0.59206348200877568</v>
      </c>
      <c r="M661" s="18">
        <f>VLOOKUP(A661,[2]Export!$A:$G,7,0)</f>
        <v>3508.09</v>
      </c>
      <c r="N661" s="19">
        <f t="shared" si="23"/>
        <v>0.48694766939331546</v>
      </c>
      <c r="O661" s="17" t="s">
        <v>1029</v>
      </c>
      <c r="P661" s="17" t="s">
        <v>1026</v>
      </c>
      <c r="Q661" s="17" t="s">
        <v>1022</v>
      </c>
      <c r="R661" s="17" t="str">
        <f>VLOOKUP(A661,[1]Export!$A:$I,9,0)</f>
        <v>Comprou Marcas</v>
      </c>
      <c r="S661" s="17" t="s">
        <v>1022</v>
      </c>
      <c r="T661" s="20">
        <v>4</v>
      </c>
      <c r="U661" s="17">
        <v>4</v>
      </c>
      <c r="V661" s="17">
        <v>4</v>
      </c>
    </row>
    <row r="662" spans="1:22" x14ac:dyDescent="0.35">
      <c r="A662" s="4">
        <v>1678322000157</v>
      </c>
      <c r="B662" s="7"/>
      <c r="C662" s="4"/>
      <c r="D662" s="1" t="s">
        <v>25</v>
      </c>
      <c r="E662" s="1" t="s">
        <v>26</v>
      </c>
      <c r="F662" s="1" t="s">
        <v>8</v>
      </c>
      <c r="G662" s="10" t="s">
        <v>9</v>
      </c>
      <c r="H662" s="1" t="s">
        <v>10</v>
      </c>
      <c r="I662" s="21" t="s">
        <v>1066</v>
      </c>
      <c r="J662" s="18">
        <f>VLOOKUP(A662,[2]Export!$A:$B,2,0)</f>
        <v>7836.4485258110753</v>
      </c>
      <c r="K662" s="18">
        <f>VLOOKUP(A662,[2]Export!$A:$C,3,0)</f>
        <v>3156.66</v>
      </c>
      <c r="L662" s="19">
        <f t="shared" si="22"/>
        <v>0.40281767813606412</v>
      </c>
      <c r="M662" s="18">
        <f>VLOOKUP(A662,[2]Export!$A:$G,7,0)</f>
        <v>4114.67</v>
      </c>
      <c r="N662" s="19">
        <f t="shared" si="23"/>
        <v>0.52506820997387083</v>
      </c>
      <c r="O662" s="17" t="s">
        <v>1027</v>
      </c>
      <c r="P662" s="17" t="s">
        <v>1028</v>
      </c>
      <c r="Q662" s="17" t="s">
        <v>1023</v>
      </c>
      <c r="R662" s="17" t="str">
        <f>VLOOKUP(A662,[1]Export!$A:$I,9,0)</f>
        <v>Comprou Marcas</v>
      </c>
      <c r="S662" s="17" t="s">
        <v>1022</v>
      </c>
      <c r="T662" s="20"/>
      <c r="U662" s="17"/>
      <c r="V662" s="17"/>
    </row>
    <row r="663" spans="1:22" x14ac:dyDescent="0.35">
      <c r="A663" s="5">
        <v>32162131000161</v>
      </c>
      <c r="B663" s="7"/>
      <c r="C663" s="4"/>
      <c r="D663" s="6" t="s">
        <v>151</v>
      </c>
      <c r="E663" s="6" t="s">
        <v>152</v>
      </c>
      <c r="F663" s="6" t="s">
        <v>8</v>
      </c>
      <c r="G663" s="11" t="s">
        <v>9</v>
      </c>
      <c r="H663" s="6" t="s">
        <v>10</v>
      </c>
      <c r="I663" s="21" t="s">
        <v>1068</v>
      </c>
      <c r="J663" s="18">
        <f>VLOOKUP(A663,[2]Export!$A:$B,2,0)</f>
        <v>12946.150585468898</v>
      </c>
      <c r="K663" s="18">
        <f>VLOOKUP(A663,[2]Export!$A:$C,3,0)</f>
        <v>6981.1999999999989</v>
      </c>
      <c r="L663" s="19">
        <f t="shared" si="22"/>
        <v>0.53924909600818971</v>
      </c>
      <c r="M663" s="18">
        <f>VLOOKUP(A663,[2]Export!$A:$G,7,0)</f>
        <v>4852.3900000000003</v>
      </c>
      <c r="N663" s="19">
        <f t="shared" si="23"/>
        <v>0.3748133445509626</v>
      </c>
      <c r="O663" s="17" t="s">
        <v>1027</v>
      </c>
      <c r="P663" s="17" t="s">
        <v>1028</v>
      </c>
      <c r="Q663" s="17" t="s">
        <v>1023</v>
      </c>
      <c r="R663" s="17" t="str">
        <f>VLOOKUP(A663,[1]Export!$A:$I,9,0)</f>
        <v>Comprou Marcas</v>
      </c>
      <c r="S663" s="17" t="s">
        <v>1022</v>
      </c>
      <c r="T663" s="20"/>
      <c r="U663" s="17"/>
      <c r="V663" s="17"/>
    </row>
    <row r="664" spans="1:22" x14ac:dyDescent="0.35">
      <c r="A664" s="4">
        <v>8856967000343</v>
      </c>
      <c r="B664" s="7"/>
      <c r="C664" s="4"/>
      <c r="D664" s="1" t="s">
        <v>480</v>
      </c>
      <c r="E664" s="1" t="s">
        <v>35</v>
      </c>
      <c r="F664" s="1" t="s">
        <v>8</v>
      </c>
      <c r="G664" s="10" t="s">
        <v>64</v>
      </c>
      <c r="H664" s="1" t="s">
        <v>17</v>
      </c>
      <c r="I664" s="21" t="s">
        <v>1070</v>
      </c>
      <c r="J664" s="18">
        <f>VLOOKUP(A664,[2]Export!$A:$B,2,0)</f>
        <v>7354.8853372779768</v>
      </c>
      <c r="K664" s="18">
        <f>VLOOKUP(A664,[2]Export!$A:$C,3,0)</f>
        <v>4044.6899999999996</v>
      </c>
      <c r="L664" s="19">
        <f t="shared" si="22"/>
        <v>0.54993243463628605</v>
      </c>
      <c r="M664" s="18">
        <f>VLOOKUP(A664,[2]Export!$A:$G,7,0)</f>
        <v>0</v>
      </c>
      <c r="N664" s="19">
        <f t="shared" si="23"/>
        <v>0</v>
      </c>
      <c r="O664" s="17" t="s">
        <v>1025</v>
      </c>
      <c r="P664" s="17" t="s">
        <v>1026</v>
      </c>
      <c r="Q664" s="17" t="s">
        <v>1023</v>
      </c>
      <c r="R664" s="17" t="str">
        <f>VLOOKUP(A664,[1]Export!$A:$I,9,0)</f>
        <v>Não Comprou</v>
      </c>
      <c r="S664" s="17" t="s">
        <v>1022</v>
      </c>
      <c r="T664" s="20"/>
      <c r="U664" s="17"/>
      <c r="V664" s="17"/>
    </row>
    <row r="665" spans="1:22" x14ac:dyDescent="0.35">
      <c r="A665" s="5">
        <v>9272038000198</v>
      </c>
      <c r="B665" s="7"/>
      <c r="C665" s="4"/>
      <c r="D665" s="6" t="s">
        <v>707</v>
      </c>
      <c r="E665" s="6" t="s">
        <v>82</v>
      </c>
      <c r="F665" s="6" t="s">
        <v>8</v>
      </c>
      <c r="G665" s="11" t="s">
        <v>16</v>
      </c>
      <c r="H665" s="6" t="s">
        <v>17</v>
      </c>
      <c r="I665" s="21" t="s">
        <v>1070</v>
      </c>
      <c r="J665" s="18">
        <f>VLOOKUP(A665,[2]Export!$A:$B,2,0)</f>
        <v>5665.5810128856137</v>
      </c>
      <c r="K665" s="18">
        <f>VLOOKUP(A665,[2]Export!$A:$C,3,0)</f>
        <v>3025.09</v>
      </c>
      <c r="L665" s="19">
        <f t="shared" si="22"/>
        <v>0.53394170750004877</v>
      </c>
      <c r="M665" s="18">
        <f>VLOOKUP(A665,[2]Export!$A:$G,7,0)</f>
        <v>2348.0599999999995</v>
      </c>
      <c r="N665" s="19">
        <f t="shared" si="23"/>
        <v>0.41444293085910305</v>
      </c>
      <c r="O665" s="17" t="s">
        <v>1031</v>
      </c>
      <c r="P665" s="17" t="s">
        <v>1026</v>
      </c>
      <c r="Q665" s="17" t="s">
        <v>1023</v>
      </c>
      <c r="R665" s="17" t="str">
        <f>VLOOKUP(A665,[1]Export!$A:$I,9,0)</f>
        <v>Comprou Marcas</v>
      </c>
      <c r="S665" s="17" t="s">
        <v>1022</v>
      </c>
      <c r="T665" s="20"/>
      <c r="U665" s="17"/>
      <c r="V665" s="17"/>
    </row>
    <row r="666" spans="1:22" x14ac:dyDescent="0.35">
      <c r="A666" s="4">
        <v>27769234000154</v>
      </c>
      <c r="B666" s="7"/>
      <c r="C666" s="4"/>
      <c r="D666" s="1" t="s">
        <v>25</v>
      </c>
      <c r="E666" s="1" t="s">
        <v>122</v>
      </c>
      <c r="F666" s="1" t="s">
        <v>8</v>
      </c>
      <c r="G666" s="10" t="s">
        <v>9</v>
      </c>
      <c r="H666" s="1" t="s">
        <v>10</v>
      </c>
      <c r="I666" s="21" t="s">
        <v>1066</v>
      </c>
      <c r="J666" s="18">
        <f>VLOOKUP(A666,[2]Export!$A:$B,2,0)</f>
        <v>10993.015607729561</v>
      </c>
      <c r="K666" s="18">
        <f>VLOOKUP(A666,[2]Export!$A:$C,3,0)</f>
        <v>6530.1099999999988</v>
      </c>
      <c r="L666" s="19">
        <f t="shared" si="22"/>
        <v>0.59402353576287636</v>
      </c>
      <c r="M666" s="18">
        <f>VLOOKUP(A666,[2]Export!$A:$G,7,0)</f>
        <v>5265.3400000000011</v>
      </c>
      <c r="N666" s="19">
        <f t="shared" si="23"/>
        <v>0.47897139309961156</v>
      </c>
      <c r="O666" s="17" t="s">
        <v>1027</v>
      </c>
      <c r="P666" s="17" t="s">
        <v>1028</v>
      </c>
      <c r="Q666" s="17" t="s">
        <v>1023</v>
      </c>
      <c r="R666" s="17" t="str">
        <f>VLOOKUP(A666,[1]Export!$A:$I,9,0)</f>
        <v>Comprou Marcas e SG</v>
      </c>
      <c r="S666" s="17" t="s">
        <v>1022</v>
      </c>
      <c r="T666" s="20"/>
      <c r="U666" s="17"/>
      <c r="V666" s="17"/>
    </row>
    <row r="667" spans="1:22" x14ac:dyDescent="0.35">
      <c r="A667" s="4">
        <v>9492647000152</v>
      </c>
      <c r="B667" s="7"/>
      <c r="C667" s="4"/>
      <c r="D667" s="1" t="s">
        <v>104</v>
      </c>
      <c r="E667" s="1" t="s">
        <v>219</v>
      </c>
      <c r="F667" s="1" t="s">
        <v>8</v>
      </c>
      <c r="G667" s="10" t="s">
        <v>9</v>
      </c>
      <c r="H667" s="1" t="s">
        <v>10</v>
      </c>
      <c r="I667" s="21" t="s">
        <v>1070</v>
      </c>
      <c r="J667" s="18">
        <f>VLOOKUP(A667,[2]Export!$A:$B,2,0)</f>
        <v>23813.550620309437</v>
      </c>
      <c r="K667" s="18">
        <f>VLOOKUP(A667,[2]Export!$A:$C,3,0)</f>
        <v>16229.430000000004</v>
      </c>
      <c r="L667" s="19">
        <f t="shared" si="22"/>
        <v>0.68152079707755553</v>
      </c>
      <c r="M667" s="18">
        <f>VLOOKUP(A667,[2]Export!$A:$G,7,0)</f>
        <v>23193.930000000008</v>
      </c>
      <c r="N667" s="19">
        <f t="shared" si="23"/>
        <v>0.97398033455032174</v>
      </c>
      <c r="O667" s="17" t="s">
        <v>1027</v>
      </c>
      <c r="P667" s="17" t="s">
        <v>1028</v>
      </c>
      <c r="Q667" s="17" t="s">
        <v>1023</v>
      </c>
      <c r="R667" s="17" t="str">
        <f>VLOOKUP(A667,[1]Export!$A:$I,9,0)</f>
        <v>Comprou Marcas</v>
      </c>
      <c r="S667" s="17" t="s">
        <v>1022</v>
      </c>
      <c r="T667" s="20"/>
      <c r="U667" s="17"/>
      <c r="V667" s="17"/>
    </row>
    <row r="668" spans="1:22" x14ac:dyDescent="0.35">
      <c r="A668" s="4">
        <v>11964668000175</v>
      </c>
      <c r="B668" s="7"/>
      <c r="C668" s="4"/>
      <c r="D668" s="1" t="s">
        <v>708</v>
      </c>
      <c r="E668" s="1" t="s">
        <v>544</v>
      </c>
      <c r="F668" s="1" t="s">
        <v>15</v>
      </c>
      <c r="G668" s="10" t="s">
        <v>16</v>
      </c>
      <c r="H668" s="1" t="s">
        <v>17</v>
      </c>
      <c r="I668" s="21" t="s">
        <v>1073</v>
      </c>
      <c r="J668" s="18">
        <f>VLOOKUP(A668,[2]Export!$A:$B,2,0)</f>
        <v>1598.3417616929662</v>
      </c>
      <c r="K668" s="18">
        <f>VLOOKUP(A668,[2]Export!$A:$C,3,0)</f>
        <v>1031.1699999999998</v>
      </c>
      <c r="L668" s="19">
        <f t="shared" si="22"/>
        <v>0.64514988265574869</v>
      </c>
      <c r="M668" s="18">
        <f>VLOOKUP(A668,[2]Export!$A:$G,7,0)</f>
        <v>711.49</v>
      </c>
      <c r="N668" s="19">
        <f t="shared" si="23"/>
        <v>0.44514259531477712</v>
      </c>
      <c r="O668" s="17" t="s">
        <v>1029</v>
      </c>
      <c r="P668" s="17" t="s">
        <v>1026</v>
      </c>
      <c r="Q668" s="17" t="s">
        <v>1022</v>
      </c>
      <c r="R668" s="17" t="str">
        <f>VLOOKUP(A668,[1]Export!$A:$I,9,0)</f>
        <v>Comprou Marcas</v>
      </c>
      <c r="S668" s="17" t="s">
        <v>1023</v>
      </c>
      <c r="T668" s="20"/>
      <c r="U668" s="17"/>
      <c r="V668" s="17"/>
    </row>
    <row r="669" spans="1:22" x14ac:dyDescent="0.35">
      <c r="A669" s="5">
        <v>13938314000262</v>
      </c>
      <c r="B669" s="7" t="s">
        <v>997</v>
      </c>
      <c r="C669" s="4"/>
      <c r="D669" s="6" t="s">
        <v>247</v>
      </c>
      <c r="E669" s="6" t="s">
        <v>14</v>
      </c>
      <c r="F669" s="6" t="s">
        <v>15</v>
      </c>
      <c r="G669" s="11" t="s">
        <v>9</v>
      </c>
      <c r="H669" s="6" t="s">
        <v>10</v>
      </c>
      <c r="I669" s="21" t="s">
        <v>1067</v>
      </c>
      <c r="J669" s="18">
        <f>VLOOKUP(A669,[2]Export!$A:$B,2,0)</f>
        <v>4501.1340202046877</v>
      </c>
      <c r="K669" s="18">
        <f>VLOOKUP(A669,[2]Export!$A:$C,3,0)</f>
        <v>2277.809999999999</v>
      </c>
      <c r="L669" s="19">
        <f t="shared" si="22"/>
        <v>0.50605247250478813</v>
      </c>
      <c r="M669" s="18">
        <f>VLOOKUP(A669,[2]Export!$A:$G,7,0)</f>
        <v>1087.56</v>
      </c>
      <c r="N669" s="19">
        <f t="shared" si="23"/>
        <v>0.24161911089920035</v>
      </c>
      <c r="O669" s="17" t="s">
        <v>1027</v>
      </c>
      <c r="P669" s="17" t="s">
        <v>1028</v>
      </c>
      <c r="Q669" s="17" t="s">
        <v>1023</v>
      </c>
      <c r="R669" s="17" t="str">
        <f>VLOOKUP(A669,[1]Export!$A:$I,9,0)</f>
        <v>Comprou Marcas</v>
      </c>
      <c r="S669" s="17" t="s">
        <v>1022</v>
      </c>
      <c r="T669" s="20"/>
      <c r="U669" s="17"/>
      <c r="V669" s="17"/>
    </row>
    <row r="670" spans="1:22" x14ac:dyDescent="0.35">
      <c r="A670" s="4">
        <v>29710511000189</v>
      </c>
      <c r="B670" s="7"/>
      <c r="C670" s="4"/>
      <c r="D670" s="1" t="s">
        <v>709</v>
      </c>
      <c r="E670" s="1" t="s">
        <v>35</v>
      </c>
      <c r="F670" s="1" t="s">
        <v>8</v>
      </c>
      <c r="G670" s="10" t="s">
        <v>279</v>
      </c>
      <c r="H670" s="1" t="s">
        <v>17</v>
      </c>
      <c r="I670" s="21" t="s">
        <v>1070</v>
      </c>
      <c r="J670" s="18">
        <f>VLOOKUP(A670,[2]Export!$A:$B,2,0)</f>
        <v>4856.2176635139458</v>
      </c>
      <c r="K670" s="18">
        <f>VLOOKUP(A670,[2]Export!$A:$C,3,0)</f>
        <v>495.70000000000005</v>
      </c>
      <c r="L670" s="19">
        <f t="shared" si="22"/>
        <v>0.1020753257672789</v>
      </c>
      <c r="M670" s="18">
        <f>VLOOKUP(A670,[2]Export!$A:$G,7,0)</f>
        <v>0</v>
      </c>
      <c r="N670" s="19">
        <f t="shared" si="23"/>
        <v>0</v>
      </c>
      <c r="O670" s="17" t="s">
        <v>1025</v>
      </c>
      <c r="P670" s="17" t="s">
        <v>1026</v>
      </c>
      <c r="Q670" s="17" t="s">
        <v>1023</v>
      </c>
      <c r="R670" s="17" t="str">
        <f>VLOOKUP(A670,[1]Export!$A:$I,9,0)</f>
        <v>Não Comprou</v>
      </c>
      <c r="S670" s="17" t="s">
        <v>1022</v>
      </c>
      <c r="T670" s="20"/>
      <c r="U670" s="17"/>
      <c r="V670" s="17"/>
    </row>
    <row r="671" spans="1:22" x14ac:dyDescent="0.35">
      <c r="A671" s="5">
        <v>33184266000271</v>
      </c>
      <c r="B671" s="7"/>
      <c r="C671" s="4"/>
      <c r="D671" s="6" t="s">
        <v>471</v>
      </c>
      <c r="E671" s="6" t="s">
        <v>710</v>
      </c>
      <c r="F671" s="6" t="s">
        <v>8</v>
      </c>
      <c r="G671" s="11" t="s">
        <v>20</v>
      </c>
      <c r="H671" s="6" t="s">
        <v>17</v>
      </c>
      <c r="I671" s="21" t="s">
        <v>1070</v>
      </c>
      <c r="J671" s="18">
        <f>VLOOKUP(A671,[2]Export!$A:$B,2,0)</f>
        <v>5147.1140701712256</v>
      </c>
      <c r="K671" s="18">
        <f>VLOOKUP(A671,[2]Export!$A:$C,3,0)</f>
        <v>4941.6000000000022</v>
      </c>
      <c r="L671" s="19">
        <f t="shared" si="22"/>
        <v>0.96007198065373622</v>
      </c>
      <c r="M671" s="18">
        <f>VLOOKUP(A671,[2]Export!$A:$G,7,0)</f>
        <v>4734.9399999999996</v>
      </c>
      <c r="N671" s="19">
        <f t="shared" si="23"/>
        <v>0.91992132590185349</v>
      </c>
      <c r="O671" s="17" t="s">
        <v>1025</v>
      </c>
      <c r="P671" s="17" t="s">
        <v>1026</v>
      </c>
      <c r="Q671" s="17" t="s">
        <v>1023</v>
      </c>
      <c r="R671" s="17" t="str">
        <f>VLOOKUP(A671,[1]Export!$A:$I,9,0)</f>
        <v>Comprou Marcas</v>
      </c>
      <c r="S671" s="17" t="s">
        <v>1022</v>
      </c>
      <c r="T671" s="20"/>
      <c r="U671" s="17"/>
      <c r="V671" s="17"/>
    </row>
    <row r="672" spans="1:22" x14ac:dyDescent="0.35">
      <c r="A672" s="4">
        <v>33964781000193</v>
      </c>
      <c r="B672" s="7"/>
      <c r="C672" s="4"/>
      <c r="D672" s="1" t="s">
        <v>711</v>
      </c>
      <c r="E672" s="1" t="s">
        <v>354</v>
      </c>
      <c r="F672" s="1" t="s">
        <v>48</v>
      </c>
      <c r="G672" s="10" t="s">
        <v>103</v>
      </c>
      <c r="H672" s="1" t="s">
        <v>17</v>
      </c>
      <c r="I672" s="21" t="s">
        <v>1073</v>
      </c>
      <c r="J672" s="18">
        <f>VLOOKUP(A672,[2]Export!$A:$B,2,0)</f>
        <v>7421.1532234245533</v>
      </c>
      <c r="K672" s="18">
        <f>VLOOKUP(A672,[2]Export!$A:$C,3,0)</f>
        <v>5143.5099999999993</v>
      </c>
      <c r="L672" s="19">
        <f t="shared" si="22"/>
        <v>0.69308769744367082</v>
      </c>
      <c r="M672" s="18">
        <f>VLOOKUP(A672,[2]Export!$A:$G,7,0)</f>
        <v>0</v>
      </c>
      <c r="N672" s="19">
        <f t="shared" si="23"/>
        <v>0</v>
      </c>
      <c r="O672" s="17"/>
      <c r="P672" s="17"/>
      <c r="Q672" s="17"/>
      <c r="R672" s="17" t="str">
        <f>VLOOKUP(A672,[1]Export!$A:$I,9,0)</f>
        <v>Comprou SG</v>
      </c>
      <c r="S672" s="17"/>
      <c r="T672" s="20"/>
      <c r="U672" s="17"/>
      <c r="V672" s="17"/>
    </row>
    <row r="673" spans="1:22" x14ac:dyDescent="0.35">
      <c r="A673" s="5">
        <v>35835186000183</v>
      </c>
      <c r="B673" s="7"/>
      <c r="C673" s="4"/>
      <c r="D673" s="6" t="s">
        <v>150</v>
      </c>
      <c r="E673" s="6" t="s">
        <v>71</v>
      </c>
      <c r="F673" s="6" t="s">
        <v>15</v>
      </c>
      <c r="G673" s="11" t="s">
        <v>33</v>
      </c>
      <c r="H673" s="6" t="s">
        <v>17</v>
      </c>
      <c r="I673" s="21" t="s">
        <v>1069</v>
      </c>
      <c r="J673" s="18">
        <f>VLOOKUP(A673,[2]Export!$A:$B,2,0)</f>
        <v>2000.3047455715325</v>
      </c>
      <c r="K673" s="18">
        <f>VLOOKUP(A673,[2]Export!$A:$C,3,0)</f>
        <v>1505</v>
      </c>
      <c r="L673" s="19">
        <f t="shared" si="22"/>
        <v>0.75238535694719222</v>
      </c>
      <c r="M673" s="18">
        <f>VLOOKUP(A673,[2]Export!$A:$G,7,0)</f>
        <v>0</v>
      </c>
      <c r="N673" s="19">
        <f t="shared" si="23"/>
        <v>0</v>
      </c>
      <c r="O673" s="17" t="s">
        <v>1027</v>
      </c>
      <c r="P673" s="17" t="s">
        <v>1026</v>
      </c>
      <c r="Q673" s="17" t="s">
        <v>1023</v>
      </c>
      <c r="R673" s="17" t="str">
        <f>VLOOKUP(A673,[1]Export!$A:$I,9,0)</f>
        <v>Não Comprou</v>
      </c>
      <c r="S673" s="17" t="s">
        <v>1022</v>
      </c>
      <c r="T673" s="20"/>
      <c r="U673" s="17"/>
      <c r="V673" s="17"/>
    </row>
    <row r="674" spans="1:22" x14ac:dyDescent="0.35">
      <c r="A674" s="4">
        <v>36199591000115</v>
      </c>
      <c r="B674" s="7"/>
      <c r="C674" s="4"/>
      <c r="D674" s="1" t="s">
        <v>712</v>
      </c>
      <c r="E674" s="1" t="s">
        <v>14</v>
      </c>
      <c r="F674" s="1" t="s">
        <v>15</v>
      </c>
      <c r="G674" s="10" t="s">
        <v>20</v>
      </c>
      <c r="H674" s="1" t="s">
        <v>17</v>
      </c>
      <c r="I674" s="21" t="s">
        <v>1067</v>
      </c>
      <c r="J674" s="18">
        <f>VLOOKUP(A674,[2]Export!$A:$B,2,0)</f>
        <v>2480.0667032985407</v>
      </c>
      <c r="K674" s="18">
        <f>VLOOKUP(A674,[2]Export!$A:$C,3,0)</f>
        <v>1481.0800000000002</v>
      </c>
      <c r="L674" s="19">
        <f t="shared" si="22"/>
        <v>0.5971936150064564</v>
      </c>
      <c r="M674" s="18">
        <f>VLOOKUP(A674,[2]Export!$A:$G,7,0)</f>
        <v>1109.4100000000001</v>
      </c>
      <c r="N674" s="19">
        <f t="shared" si="23"/>
        <v>0.44733071030890481</v>
      </c>
      <c r="O674" s="17" t="s">
        <v>1025</v>
      </c>
      <c r="P674" s="17" t="s">
        <v>1026</v>
      </c>
      <c r="Q674" s="17" t="s">
        <v>1023</v>
      </c>
      <c r="R674" s="17" t="str">
        <f>VLOOKUP(A674,[1]Export!$A:$I,9,0)</f>
        <v>Comprou Marcas</v>
      </c>
      <c r="S674" s="17" t="s">
        <v>1022</v>
      </c>
      <c r="T674" s="20"/>
      <c r="U674" s="17"/>
      <c r="V674" s="17"/>
    </row>
    <row r="675" spans="1:22" x14ac:dyDescent="0.35">
      <c r="A675" s="5">
        <v>21082444000274</v>
      </c>
      <c r="B675" s="7"/>
      <c r="C675" s="4"/>
      <c r="D675" s="6" t="s">
        <v>713</v>
      </c>
      <c r="E675" s="6" t="s">
        <v>32</v>
      </c>
      <c r="F675" s="6" t="s">
        <v>15</v>
      </c>
      <c r="G675" s="11" t="s">
        <v>36</v>
      </c>
      <c r="H675" s="6" t="s">
        <v>17</v>
      </c>
      <c r="I675" s="21" t="s">
        <v>1067</v>
      </c>
      <c r="J675" s="18">
        <f>VLOOKUP(A675,[2]Export!$A:$B,2,0)</f>
        <v>1446.8688066987622</v>
      </c>
      <c r="K675" s="18">
        <f>VLOOKUP(A675,[2]Export!$A:$C,3,0)</f>
        <v>477.72999999999996</v>
      </c>
      <c r="L675" s="19">
        <f t="shared" si="22"/>
        <v>0.33018197488824791</v>
      </c>
      <c r="M675" s="18">
        <f>VLOOKUP(A675,[2]Export!$A:$G,7,0)</f>
        <v>462.21999999999997</v>
      </c>
      <c r="N675" s="19">
        <f t="shared" si="23"/>
        <v>0.31946227457527465</v>
      </c>
      <c r="O675" s="17" t="s">
        <v>1025</v>
      </c>
      <c r="P675" s="17" t="s">
        <v>1026</v>
      </c>
      <c r="Q675" s="17" t="s">
        <v>1022</v>
      </c>
      <c r="R675" s="17" t="str">
        <f>VLOOKUP(A675,[1]Export!$A:$I,9,0)</f>
        <v>Comprou Marcas</v>
      </c>
      <c r="S675" s="17" t="s">
        <v>1022</v>
      </c>
      <c r="T675" s="20"/>
      <c r="U675" s="17"/>
      <c r="V675" s="17"/>
    </row>
    <row r="676" spans="1:22" x14ac:dyDescent="0.35">
      <c r="A676" s="4">
        <v>21082444000355</v>
      </c>
      <c r="B676" s="7"/>
      <c r="C676" s="4"/>
      <c r="D676" s="1" t="s">
        <v>471</v>
      </c>
      <c r="E676" s="1" t="s">
        <v>32</v>
      </c>
      <c r="F676" s="1" t="s">
        <v>15</v>
      </c>
      <c r="G676" s="10" t="s">
        <v>36</v>
      </c>
      <c r="H676" s="1" t="s">
        <v>17</v>
      </c>
      <c r="I676" s="21" t="s">
        <v>1067</v>
      </c>
      <c r="J676" s="18">
        <f>VLOOKUP(A676,[2]Export!$A:$B,2,0)</f>
        <v>1075.5054574711826</v>
      </c>
      <c r="K676" s="18">
        <f>VLOOKUP(A676,[2]Export!$A:$C,3,0)</f>
        <v>1150.5</v>
      </c>
      <c r="L676" s="19">
        <f t="shared" si="22"/>
        <v>1.0697295787834966</v>
      </c>
      <c r="M676" s="18">
        <f>VLOOKUP(A676,[2]Export!$A:$G,7,0)</f>
        <v>917.29</v>
      </c>
      <c r="N676" s="19">
        <f t="shared" si="23"/>
        <v>0.85289199941096361</v>
      </c>
      <c r="O676" s="17" t="s">
        <v>1025</v>
      </c>
      <c r="P676" s="17" t="s">
        <v>1026</v>
      </c>
      <c r="Q676" s="17" t="s">
        <v>1022</v>
      </c>
      <c r="R676" s="17" t="str">
        <f>VLOOKUP(A676,[1]Export!$A:$I,9,0)</f>
        <v>Comprou Marcas</v>
      </c>
      <c r="S676" s="17" t="s">
        <v>1022</v>
      </c>
      <c r="T676" s="20"/>
      <c r="U676" s="17"/>
      <c r="V676" s="17"/>
    </row>
    <row r="677" spans="1:22" x14ac:dyDescent="0.35">
      <c r="A677" s="5">
        <v>49674943000199</v>
      </c>
      <c r="B677" s="7"/>
      <c r="C677" s="4"/>
      <c r="D677" s="6" t="s">
        <v>714</v>
      </c>
      <c r="E677" s="6" t="s">
        <v>94</v>
      </c>
      <c r="F677" s="6" t="s">
        <v>15</v>
      </c>
      <c r="G677" s="11" t="s">
        <v>20</v>
      </c>
      <c r="H677" s="6" t="s">
        <v>17</v>
      </c>
      <c r="I677" s="21" t="s">
        <v>1069</v>
      </c>
      <c r="J677" s="18">
        <f>VLOOKUP(A677,[2]Export!$A:$B,2,0)</f>
        <v>2373.3354204323905</v>
      </c>
      <c r="K677" s="18">
        <f>VLOOKUP(A677,[2]Export!$A:$C,3,0)</f>
        <v>782.36</v>
      </c>
      <c r="L677" s="19">
        <f t="shared" si="22"/>
        <v>0.32964577752666091</v>
      </c>
      <c r="M677" s="18">
        <f>VLOOKUP(A677,[2]Export!$A:$G,7,0)</f>
        <v>119.08</v>
      </c>
      <c r="N677" s="19">
        <f t="shared" si="23"/>
        <v>5.01741131804729E-2</v>
      </c>
      <c r="O677" s="17" t="s">
        <v>1025</v>
      </c>
      <c r="P677" s="17" t="s">
        <v>1026</v>
      </c>
      <c r="Q677" s="17" t="s">
        <v>1023</v>
      </c>
      <c r="R677" s="17" t="str">
        <f>VLOOKUP(A677,[1]Export!$A:$I,9,0)</f>
        <v>Comprou Marcas</v>
      </c>
      <c r="S677" s="17" t="s">
        <v>1023</v>
      </c>
      <c r="T677" s="20"/>
      <c r="U677" s="17"/>
      <c r="V677" s="17"/>
    </row>
    <row r="678" spans="1:22" x14ac:dyDescent="0.35">
      <c r="A678" s="4">
        <v>65675078000232</v>
      </c>
      <c r="B678" s="7"/>
      <c r="C678" s="4"/>
      <c r="D678" s="1" t="s">
        <v>380</v>
      </c>
      <c r="E678" s="1" t="s">
        <v>14</v>
      </c>
      <c r="F678" s="1" t="s">
        <v>15</v>
      </c>
      <c r="G678" s="10" t="s">
        <v>20</v>
      </c>
      <c r="H678" s="1" t="s">
        <v>17</v>
      </c>
      <c r="I678" s="21" t="s">
        <v>1067</v>
      </c>
      <c r="J678" s="18">
        <f>VLOOKUP(A678,[2]Export!$A:$B,2,0)</f>
        <v>489.35469433829871</v>
      </c>
      <c r="K678" s="18">
        <f>VLOOKUP(A678,[2]Export!$A:$C,3,0)</f>
        <v>1115.8200000000002</v>
      </c>
      <c r="L678" s="19">
        <f t="shared" si="22"/>
        <v>2.2801865659198439</v>
      </c>
      <c r="M678" s="18">
        <f>VLOOKUP(A678,[2]Export!$A:$G,7,0)</f>
        <v>884.57</v>
      </c>
      <c r="N678" s="19">
        <f t="shared" si="23"/>
        <v>1.8076254508932588</v>
      </c>
      <c r="O678" s="17"/>
      <c r="P678" s="17"/>
      <c r="Q678" s="17"/>
      <c r="R678" s="17" t="str">
        <f>VLOOKUP(A678,[1]Export!$A:$I,9,0)</f>
        <v>Comprou Marcas</v>
      </c>
      <c r="S678" s="17"/>
      <c r="T678" s="20"/>
      <c r="U678" s="17"/>
      <c r="V678" s="17"/>
    </row>
    <row r="679" spans="1:22" x14ac:dyDescent="0.35">
      <c r="A679" s="5">
        <v>74413980000190</v>
      </c>
      <c r="B679" s="7"/>
      <c r="C679" s="4"/>
      <c r="D679" s="6" t="s">
        <v>715</v>
      </c>
      <c r="E679" s="6" t="s">
        <v>458</v>
      </c>
      <c r="F679" s="6" t="s">
        <v>48</v>
      </c>
      <c r="G679" s="11" t="s">
        <v>80</v>
      </c>
      <c r="H679" s="6" t="s">
        <v>17</v>
      </c>
      <c r="I679" s="21" t="s">
        <v>1073</v>
      </c>
      <c r="J679" s="18">
        <f>VLOOKUP(A679,[2]Export!$A:$B,2,0)</f>
        <v>7652.5988944354594</v>
      </c>
      <c r="K679" s="18">
        <f>VLOOKUP(A679,[2]Export!$A:$C,3,0)</f>
        <v>847.21999999999991</v>
      </c>
      <c r="L679" s="19">
        <f t="shared" si="22"/>
        <v>0.11071010145534359</v>
      </c>
      <c r="M679" s="18">
        <f>VLOOKUP(A679,[2]Export!$A:$G,7,0)</f>
        <v>0</v>
      </c>
      <c r="N679" s="19">
        <f t="shared" si="23"/>
        <v>0</v>
      </c>
      <c r="O679" s="17" t="s">
        <v>1029</v>
      </c>
      <c r="P679" s="17" t="s">
        <v>1026</v>
      </c>
      <c r="Q679" s="17" t="s">
        <v>1022</v>
      </c>
      <c r="R679" s="17" t="str">
        <f>VLOOKUP(A679,[1]Export!$A:$I,9,0)</f>
        <v>Comprou SG</v>
      </c>
      <c r="S679" s="17" t="s">
        <v>1022</v>
      </c>
      <c r="T679" s="20"/>
      <c r="U679" s="17"/>
      <c r="V679" s="17"/>
    </row>
    <row r="680" spans="1:22" x14ac:dyDescent="0.35">
      <c r="A680" s="4">
        <v>39999923000134</v>
      </c>
      <c r="B680" s="7"/>
      <c r="C680" s="4"/>
      <c r="D680" s="1" t="s">
        <v>716</v>
      </c>
      <c r="E680" s="1" t="s">
        <v>43</v>
      </c>
      <c r="F680" s="1" t="s">
        <v>8</v>
      </c>
      <c r="G680" s="10" t="s">
        <v>16</v>
      </c>
      <c r="H680" s="1" t="s">
        <v>17</v>
      </c>
      <c r="I680" s="21" t="s">
        <v>1068</v>
      </c>
      <c r="J680" s="18">
        <f>VLOOKUP(A680,[2]Export!$A:$B,2,0)</f>
        <v>3849.231116944738</v>
      </c>
      <c r="K680" s="18">
        <f>VLOOKUP(A680,[2]Export!$A:$C,3,0)</f>
        <v>2324.2900000000004</v>
      </c>
      <c r="L680" s="19">
        <f t="shared" si="22"/>
        <v>0.6038322795864921</v>
      </c>
      <c r="M680" s="18">
        <f>VLOOKUP(A680,[2]Export!$A:$G,7,0)</f>
        <v>0</v>
      </c>
      <c r="N680" s="19">
        <f t="shared" si="23"/>
        <v>0</v>
      </c>
      <c r="O680" s="17" t="s">
        <v>1027</v>
      </c>
      <c r="P680" s="17" t="s">
        <v>1026</v>
      </c>
      <c r="Q680" s="17" t="s">
        <v>1023</v>
      </c>
      <c r="R680" s="17" t="str">
        <f>VLOOKUP(A680,[1]Export!$A:$I,9,0)</f>
        <v>Não Comprou</v>
      </c>
      <c r="S680" s="17" t="s">
        <v>1022</v>
      </c>
      <c r="T680" s="20"/>
      <c r="U680" s="17"/>
      <c r="V680" s="17"/>
    </row>
    <row r="681" spans="1:22" x14ac:dyDescent="0.35">
      <c r="A681" s="5">
        <v>41195400000187</v>
      </c>
      <c r="B681" s="7"/>
      <c r="C681" s="4"/>
      <c r="D681" s="6" t="s">
        <v>717</v>
      </c>
      <c r="E681" s="6" t="s">
        <v>100</v>
      </c>
      <c r="F681" s="6" t="s">
        <v>15</v>
      </c>
      <c r="G681" s="11" t="s">
        <v>16</v>
      </c>
      <c r="H681" s="6" t="s">
        <v>17</v>
      </c>
      <c r="I681" s="21" t="s">
        <v>1073</v>
      </c>
      <c r="J681" s="18">
        <f>VLOOKUP(A681,[2]Export!$A:$B,2,0)</f>
        <v>453.68366385390948</v>
      </c>
      <c r="K681" s="18">
        <f>VLOOKUP(A681,[2]Export!$A:$C,3,0)</f>
        <v>1022.5299999999999</v>
      </c>
      <c r="L681" s="19">
        <f t="shared" si="22"/>
        <v>2.2538391427055315</v>
      </c>
      <c r="M681" s="18">
        <f>VLOOKUP(A681,[2]Export!$A:$G,7,0)</f>
        <v>625.78</v>
      </c>
      <c r="N681" s="19">
        <f t="shared" si="23"/>
        <v>1.3793311283994285</v>
      </c>
      <c r="O681" s="17" t="s">
        <v>1029</v>
      </c>
      <c r="P681" s="17" t="s">
        <v>1026</v>
      </c>
      <c r="Q681" s="17" t="s">
        <v>1023</v>
      </c>
      <c r="R681" s="17" t="str">
        <f>VLOOKUP(A681,[1]Export!$A:$I,9,0)</f>
        <v>Não Comprou</v>
      </c>
      <c r="S681" s="17" t="s">
        <v>1023</v>
      </c>
      <c r="T681" s="20"/>
      <c r="U681" s="17"/>
      <c r="V681" s="17"/>
    </row>
    <row r="682" spans="1:22" x14ac:dyDescent="0.35">
      <c r="A682" s="4">
        <v>44692168001071</v>
      </c>
      <c r="B682" s="7" t="s">
        <v>509</v>
      </c>
      <c r="C682" s="4"/>
      <c r="D682" s="1" t="s">
        <v>509</v>
      </c>
      <c r="E682" s="1" t="s">
        <v>458</v>
      </c>
      <c r="F682" s="1" t="s">
        <v>48</v>
      </c>
      <c r="G682" s="10" t="s">
        <v>509</v>
      </c>
      <c r="H682" s="1" t="s">
        <v>17</v>
      </c>
      <c r="I682" s="21" t="s">
        <v>1073</v>
      </c>
      <c r="J682" s="18">
        <f>VLOOKUP(A682,[2]Export!$A:$B,2,0)</f>
        <v>2871.404575178562</v>
      </c>
      <c r="K682" s="18">
        <f>VLOOKUP(A682,[2]Export!$A:$C,3,0)</f>
        <v>1293.69</v>
      </c>
      <c r="L682" s="19">
        <f t="shared" si="22"/>
        <v>0.45054257111070817</v>
      </c>
      <c r="M682" s="18">
        <f>VLOOKUP(A682,[2]Export!$A:$G,7,0)</f>
        <v>692.93999999999994</v>
      </c>
      <c r="N682" s="19">
        <f t="shared" si="23"/>
        <v>0.24132440478434097</v>
      </c>
      <c r="O682" s="17" t="s">
        <v>1025</v>
      </c>
      <c r="P682" s="17" t="s">
        <v>1026</v>
      </c>
      <c r="Q682" s="17" t="s">
        <v>1023</v>
      </c>
      <c r="R682" s="17" t="str">
        <f>VLOOKUP(A682,[1]Export!$A:$I,9,0)</f>
        <v>Comprou Marcas</v>
      </c>
      <c r="S682" s="17" t="s">
        <v>1022</v>
      </c>
      <c r="T682" s="20"/>
      <c r="U682" s="17"/>
      <c r="V682" s="17"/>
    </row>
    <row r="683" spans="1:22" x14ac:dyDescent="0.35">
      <c r="A683" s="5">
        <v>44944266000168</v>
      </c>
      <c r="B683" s="7"/>
      <c r="C683" s="4"/>
      <c r="D683" s="6" t="s">
        <v>77</v>
      </c>
      <c r="E683" s="6" t="s">
        <v>71</v>
      </c>
      <c r="F683" s="6" t="s">
        <v>15</v>
      </c>
      <c r="G683" s="11" t="s">
        <v>74</v>
      </c>
      <c r="H683" s="6" t="s">
        <v>17</v>
      </c>
      <c r="I683" s="21" t="s">
        <v>1069</v>
      </c>
      <c r="J683" s="18">
        <f>VLOOKUP(A683,[2]Export!$A:$B,2,0)</f>
        <v>4203.9350165169089</v>
      </c>
      <c r="K683" s="18">
        <f>VLOOKUP(A683,[2]Export!$A:$C,3,0)</f>
        <v>1609.0199999999998</v>
      </c>
      <c r="L683" s="19">
        <f t="shared" si="22"/>
        <v>0.38274140624873954</v>
      </c>
      <c r="M683" s="18">
        <f>VLOOKUP(A683,[2]Export!$A:$G,7,0)</f>
        <v>0</v>
      </c>
      <c r="N683" s="19">
        <f t="shared" si="23"/>
        <v>0</v>
      </c>
      <c r="O683" s="17" t="s">
        <v>1029</v>
      </c>
      <c r="P683" s="17" t="s">
        <v>1026</v>
      </c>
      <c r="Q683" s="17" t="s">
        <v>1022</v>
      </c>
      <c r="R683" s="17" t="str">
        <f>VLOOKUP(A683,[1]Export!$A:$I,9,0)</f>
        <v>Comprou SG</v>
      </c>
      <c r="S683" s="17" t="s">
        <v>1022</v>
      </c>
      <c r="T683" s="20"/>
      <c r="U683" s="17"/>
      <c r="V683" s="17"/>
    </row>
    <row r="684" spans="1:22" x14ac:dyDescent="0.35">
      <c r="A684" s="4">
        <v>33202736000100</v>
      </c>
      <c r="B684" s="7"/>
      <c r="C684" s="4"/>
      <c r="D684" s="1" t="s">
        <v>718</v>
      </c>
      <c r="E684" s="1" t="s">
        <v>14</v>
      </c>
      <c r="F684" s="1" t="s">
        <v>15</v>
      </c>
      <c r="G684" s="10" t="s">
        <v>20</v>
      </c>
      <c r="H684" s="1" t="s">
        <v>17</v>
      </c>
      <c r="I684" s="21" t="s">
        <v>1067</v>
      </c>
      <c r="J684" s="18">
        <f>VLOOKUP(A684,[2]Export!$A:$B,2,0)</f>
        <v>4346.0036595198662</v>
      </c>
      <c r="K684" s="18">
        <f>VLOOKUP(A684,[2]Export!$A:$C,3,0)</f>
        <v>1024.26</v>
      </c>
      <c r="L684" s="19">
        <f t="shared" si="22"/>
        <v>0.23567858663817998</v>
      </c>
      <c r="M684" s="18">
        <f>VLOOKUP(A684,[2]Export!$A:$G,7,0)</f>
        <v>862.45</v>
      </c>
      <c r="N684" s="19">
        <f t="shared" si="23"/>
        <v>0.19844668057534057</v>
      </c>
      <c r="O684" s="17" t="s">
        <v>1025</v>
      </c>
      <c r="P684" s="17" t="s">
        <v>1026</v>
      </c>
      <c r="Q684" s="17" t="s">
        <v>1023</v>
      </c>
      <c r="R684" s="17" t="str">
        <f>VLOOKUP(A684,[1]Export!$A:$I,9,0)</f>
        <v>Comprou Marcas e SG</v>
      </c>
      <c r="S684" s="17" t="s">
        <v>1023</v>
      </c>
      <c r="T684" s="20"/>
      <c r="U684" s="17"/>
      <c r="V684" s="17"/>
    </row>
    <row r="685" spans="1:22" x14ac:dyDescent="0.35">
      <c r="A685" s="5">
        <v>53494508000150</v>
      </c>
      <c r="B685" s="7" t="s">
        <v>1007</v>
      </c>
      <c r="C685" s="4"/>
      <c r="D685" s="6" t="s">
        <v>537</v>
      </c>
      <c r="E685" s="6" t="s">
        <v>61</v>
      </c>
      <c r="F685" s="6" t="s">
        <v>8</v>
      </c>
      <c r="G685" s="11" t="s">
        <v>36</v>
      </c>
      <c r="H685" s="6" t="s">
        <v>17</v>
      </c>
      <c r="I685" s="21" t="s">
        <v>1066</v>
      </c>
      <c r="J685" s="18">
        <f>VLOOKUP(A685,[2]Export!$A:$B,2,0)</f>
        <v>10835.852884797712</v>
      </c>
      <c r="K685" s="18">
        <f>VLOOKUP(A685,[2]Export!$A:$C,3,0)</f>
        <v>14556.599999999993</v>
      </c>
      <c r="L685" s="19">
        <f t="shared" si="22"/>
        <v>1.3433737200716658</v>
      </c>
      <c r="M685" s="18">
        <f>VLOOKUP(A685,[2]Export!$A:$G,7,0)</f>
        <v>12228.849999999995</v>
      </c>
      <c r="N685" s="19">
        <f t="shared" si="23"/>
        <v>1.1285544506751846</v>
      </c>
      <c r="O685" s="17" t="s">
        <v>1025</v>
      </c>
      <c r="P685" s="17" t="s">
        <v>1026</v>
      </c>
      <c r="Q685" s="17" t="s">
        <v>1023</v>
      </c>
      <c r="R685" s="17" t="str">
        <f>VLOOKUP(A685,[1]Export!$A:$I,9,0)</f>
        <v>Comprou Marcas</v>
      </c>
      <c r="S685" s="17" t="s">
        <v>1022</v>
      </c>
      <c r="T685" s="20">
        <v>4</v>
      </c>
      <c r="U685" s="17"/>
      <c r="V685" s="17">
        <v>2</v>
      </c>
    </row>
    <row r="686" spans="1:22" x14ac:dyDescent="0.35">
      <c r="A686" s="4">
        <v>54172723000105</v>
      </c>
      <c r="B686" s="7"/>
      <c r="C686" s="4"/>
      <c r="D686" s="1" t="s">
        <v>719</v>
      </c>
      <c r="E686" s="1" t="s">
        <v>14</v>
      </c>
      <c r="F686" s="1" t="s">
        <v>15</v>
      </c>
      <c r="G686" s="10" t="s">
        <v>16</v>
      </c>
      <c r="H686" s="1" t="s">
        <v>17</v>
      </c>
      <c r="I686" s="21" t="s">
        <v>1067</v>
      </c>
      <c r="J686" s="18">
        <f>VLOOKUP(A686,[2]Export!$A:$B,2,0)</f>
        <v>1981.2672940028904</v>
      </c>
      <c r="K686" s="18">
        <f>VLOOKUP(A686,[2]Export!$A:$C,3,0)</f>
        <v>1208.31</v>
      </c>
      <c r="L686" s="19">
        <f t="shared" si="22"/>
        <v>0.60986723177505664</v>
      </c>
      <c r="M686" s="18">
        <f>VLOOKUP(A686,[2]Export!$A:$G,7,0)</f>
        <v>1147.1199999999999</v>
      </c>
      <c r="N686" s="19">
        <f t="shared" si="23"/>
        <v>0.57898295877200623</v>
      </c>
      <c r="O686" s="17" t="s">
        <v>1027</v>
      </c>
      <c r="P686" s="17" t="s">
        <v>1028</v>
      </c>
      <c r="Q686" s="17" t="s">
        <v>1023</v>
      </c>
      <c r="R686" s="17" t="str">
        <f>VLOOKUP(A686,[1]Export!$A:$I,9,0)</f>
        <v>Comprou Marcas</v>
      </c>
      <c r="S686" s="17" t="s">
        <v>1023</v>
      </c>
      <c r="T686" s="20">
        <v>4</v>
      </c>
      <c r="U686" s="17"/>
      <c r="V686" s="17"/>
    </row>
    <row r="687" spans="1:22" x14ac:dyDescent="0.35">
      <c r="A687" s="5">
        <v>62343168000157</v>
      </c>
      <c r="B687" s="7"/>
      <c r="C687" s="4"/>
      <c r="D687" s="6" t="s">
        <v>344</v>
      </c>
      <c r="E687" s="6" t="s">
        <v>14</v>
      </c>
      <c r="F687" s="6" t="s">
        <v>15</v>
      </c>
      <c r="G687" s="11" t="s">
        <v>9</v>
      </c>
      <c r="H687" s="6" t="s">
        <v>10</v>
      </c>
      <c r="I687" s="21" t="s">
        <v>1067</v>
      </c>
      <c r="J687" s="18">
        <f>VLOOKUP(A687,[2]Export!$A:$B,2,0)</f>
        <v>5523.2603082210771</v>
      </c>
      <c r="K687" s="18">
        <f>VLOOKUP(A687,[2]Export!$A:$C,3,0)</f>
        <v>4854.0899999999992</v>
      </c>
      <c r="L687" s="19">
        <f t="shared" si="22"/>
        <v>0.87884505330573437</v>
      </c>
      <c r="M687" s="18">
        <f>VLOOKUP(A687,[2]Export!$A:$G,7,0)</f>
        <v>0</v>
      </c>
      <c r="N687" s="19">
        <f t="shared" si="23"/>
        <v>0</v>
      </c>
      <c r="O687" s="17" t="s">
        <v>1029</v>
      </c>
      <c r="P687" s="17" t="s">
        <v>1026</v>
      </c>
      <c r="Q687" s="17" t="s">
        <v>1022</v>
      </c>
      <c r="R687" s="17" t="str">
        <f>VLOOKUP(A687,[1]Export!$A:$I,9,0)</f>
        <v>Não Comprou</v>
      </c>
      <c r="S687" s="17" t="s">
        <v>1022</v>
      </c>
      <c r="T687" s="20"/>
      <c r="U687" s="17"/>
      <c r="V687" s="17"/>
    </row>
    <row r="688" spans="1:22" x14ac:dyDescent="0.35">
      <c r="A688" s="4">
        <v>26437890000197</v>
      </c>
      <c r="B688" s="7"/>
      <c r="C688" s="4"/>
      <c r="D688" s="1" t="s">
        <v>308</v>
      </c>
      <c r="E688" s="1" t="s">
        <v>127</v>
      </c>
      <c r="F688" s="1" t="s">
        <v>8</v>
      </c>
      <c r="G688" s="10" t="s">
        <v>33</v>
      </c>
      <c r="H688" s="1" t="s">
        <v>17</v>
      </c>
      <c r="I688" s="21" t="s">
        <v>1068</v>
      </c>
      <c r="J688" s="18">
        <f>VLOOKUP(A688,[2]Export!$A:$B,2,0)</f>
        <v>4955.906999191001</v>
      </c>
      <c r="K688" s="18">
        <f>VLOOKUP(A688,[2]Export!$A:$C,3,0)</f>
        <v>2777.7099999999996</v>
      </c>
      <c r="L688" s="19">
        <f t="shared" si="22"/>
        <v>0.56048469038128257</v>
      </c>
      <c r="M688" s="18">
        <f>VLOOKUP(A688,[2]Export!$A:$G,7,0)</f>
        <v>0</v>
      </c>
      <c r="N688" s="19">
        <f t="shared" si="23"/>
        <v>0</v>
      </c>
      <c r="O688" s="17" t="s">
        <v>1025</v>
      </c>
      <c r="P688" s="17" t="s">
        <v>1026</v>
      </c>
      <c r="Q688" s="17" t="s">
        <v>1023</v>
      </c>
      <c r="R688" s="17" t="str">
        <f>VLOOKUP(A688,[1]Export!$A:$I,9,0)</f>
        <v>Não Comprou</v>
      </c>
      <c r="S688" s="17" t="s">
        <v>1022</v>
      </c>
      <c r="T688" s="20"/>
      <c r="U688" s="17"/>
      <c r="V688" s="17"/>
    </row>
    <row r="689" spans="1:22" x14ac:dyDescent="0.35">
      <c r="A689" s="5">
        <v>28059864000106</v>
      </c>
      <c r="B689" s="7"/>
      <c r="C689" s="4"/>
      <c r="D689" s="6" t="s">
        <v>720</v>
      </c>
      <c r="E689" s="6" t="s">
        <v>86</v>
      </c>
      <c r="F689" s="6" t="s">
        <v>48</v>
      </c>
      <c r="G689" s="11" t="s">
        <v>9</v>
      </c>
      <c r="H689" s="6" t="s">
        <v>10</v>
      </c>
      <c r="I689" s="21" t="s">
        <v>1073</v>
      </c>
      <c r="J689" s="18">
        <f>VLOOKUP(A689,[2]Export!$A:$B,2,0)</f>
        <v>2197.3178995416538</v>
      </c>
      <c r="K689" s="18">
        <f>VLOOKUP(A689,[2]Export!$A:$C,3,0)</f>
        <v>537.27</v>
      </c>
      <c r="L689" s="19">
        <f t="shared" si="22"/>
        <v>0.24451172955541436</v>
      </c>
      <c r="M689" s="18">
        <f>VLOOKUP(A689,[2]Export!$A:$G,7,0)</f>
        <v>361.69</v>
      </c>
      <c r="N689" s="19">
        <f t="shared" si="23"/>
        <v>0.16460522170025838</v>
      </c>
      <c r="O689" s="17" t="s">
        <v>1027</v>
      </c>
      <c r="P689" s="17" t="s">
        <v>1028</v>
      </c>
      <c r="Q689" s="17" t="s">
        <v>1023</v>
      </c>
      <c r="R689" s="17" t="str">
        <f>VLOOKUP(A689,[1]Export!$A:$I,9,0)</f>
        <v>Comprou Marcas</v>
      </c>
      <c r="S689" s="17" t="s">
        <v>1023</v>
      </c>
      <c r="T689" s="20"/>
      <c r="U689" s="17"/>
      <c r="V689" s="17"/>
    </row>
    <row r="690" spans="1:22" x14ac:dyDescent="0.35">
      <c r="A690" s="4">
        <v>29601304000196</v>
      </c>
      <c r="B690" s="7"/>
      <c r="C690" s="4"/>
      <c r="D690" s="1" t="s">
        <v>282</v>
      </c>
      <c r="E690" s="1" t="s">
        <v>180</v>
      </c>
      <c r="F690" s="1" t="s">
        <v>15</v>
      </c>
      <c r="G690" s="10" t="s">
        <v>36</v>
      </c>
      <c r="H690" s="1" t="s">
        <v>17</v>
      </c>
      <c r="I690" s="21" t="s">
        <v>1069</v>
      </c>
      <c r="J690" s="18">
        <f>VLOOKUP(A690,[2]Export!$A:$B,2,0)</f>
        <v>3706.73101922767</v>
      </c>
      <c r="K690" s="18">
        <f>VLOOKUP(A690,[2]Export!$A:$C,3,0)</f>
        <v>7519.98</v>
      </c>
      <c r="L690" s="19">
        <f t="shared" si="22"/>
        <v>2.0287363612282969</v>
      </c>
      <c r="M690" s="18">
        <f>VLOOKUP(A690,[2]Export!$A:$G,7,0)</f>
        <v>4708.41</v>
      </c>
      <c r="N690" s="19">
        <f t="shared" si="23"/>
        <v>1.2702324435132708</v>
      </c>
      <c r="O690" s="17"/>
      <c r="P690" s="17"/>
      <c r="Q690" s="17"/>
      <c r="R690" s="17" t="str">
        <f>VLOOKUP(A690,[1]Export!$A:$I,9,0)</f>
        <v>Comprou Marcas</v>
      </c>
      <c r="S690" s="17"/>
      <c r="T690" s="20"/>
      <c r="U690" s="17"/>
      <c r="V690" s="17"/>
    </row>
    <row r="691" spans="1:22" x14ac:dyDescent="0.35">
      <c r="A691" s="5">
        <v>32203543000100</v>
      </c>
      <c r="B691" s="7"/>
      <c r="C691" s="4"/>
      <c r="D691" s="6" t="s">
        <v>721</v>
      </c>
      <c r="E691" s="6" t="s">
        <v>259</v>
      </c>
      <c r="F691" s="6" t="s">
        <v>15</v>
      </c>
      <c r="G691" s="11" t="s">
        <v>16</v>
      </c>
      <c r="H691" s="6" t="s">
        <v>17</v>
      </c>
      <c r="I691" s="21" t="s">
        <v>1069</v>
      </c>
      <c r="J691" s="18">
        <f>VLOOKUP(A691,[2]Export!$A:$B,2,0)</f>
        <v>1375.8832666871485</v>
      </c>
      <c r="K691" s="18">
        <f>VLOOKUP(A691,[2]Export!$A:$C,3,0)</f>
        <v>34.659999999999997</v>
      </c>
      <c r="L691" s="19">
        <f t="shared" si="22"/>
        <v>2.5191090581001351E-2</v>
      </c>
      <c r="M691" s="18">
        <f>VLOOKUP(A691,[2]Export!$A:$G,7,0)</f>
        <v>0</v>
      </c>
      <c r="N691" s="19">
        <f t="shared" si="23"/>
        <v>0</v>
      </c>
      <c r="O691" s="17" t="s">
        <v>1025</v>
      </c>
      <c r="P691" s="17" t="s">
        <v>1026</v>
      </c>
      <c r="Q691" s="17" t="s">
        <v>1023</v>
      </c>
      <c r="R691" s="17" t="str">
        <f>VLOOKUP(A691,[1]Export!$A:$I,9,0)</f>
        <v>Não Comprou</v>
      </c>
      <c r="S691" s="17" t="s">
        <v>1023</v>
      </c>
      <c r="T691" s="20"/>
      <c r="U691" s="17"/>
      <c r="V691" s="17"/>
    </row>
    <row r="692" spans="1:22" x14ac:dyDescent="0.35">
      <c r="A692" s="4">
        <v>42038804000120</v>
      </c>
      <c r="B692" s="7"/>
      <c r="C692" s="4"/>
      <c r="D692" s="1" t="s">
        <v>722</v>
      </c>
      <c r="E692" s="1" t="s">
        <v>182</v>
      </c>
      <c r="F692" s="1" t="s">
        <v>8</v>
      </c>
      <c r="G692" s="10" t="s">
        <v>16</v>
      </c>
      <c r="H692" s="1" t="s">
        <v>17</v>
      </c>
      <c r="I692" s="21" t="s">
        <v>1072</v>
      </c>
      <c r="J692" s="18">
        <f>VLOOKUP(A692,[2]Export!$A:$B,2,0)</f>
        <v>3616.9622072327206</v>
      </c>
      <c r="K692" s="18">
        <f>VLOOKUP(A692,[2]Export!$A:$C,3,0)</f>
        <v>1582.82</v>
      </c>
      <c r="L692" s="19">
        <f t="shared" si="22"/>
        <v>0.43761032305919223</v>
      </c>
      <c r="M692" s="18">
        <f>VLOOKUP(A692,[2]Export!$A:$G,7,0)</f>
        <v>0</v>
      </c>
      <c r="N692" s="19">
        <f t="shared" si="23"/>
        <v>0</v>
      </c>
      <c r="O692" s="17" t="s">
        <v>1029</v>
      </c>
      <c r="P692" s="17" t="s">
        <v>1026</v>
      </c>
      <c r="Q692" s="17" t="s">
        <v>1022</v>
      </c>
      <c r="R692" s="17" t="str">
        <f>VLOOKUP(A692,[1]Export!$A:$I,9,0)</f>
        <v>Não Comprou</v>
      </c>
      <c r="S692" s="17" t="s">
        <v>1023</v>
      </c>
      <c r="T692" s="20"/>
      <c r="U692" s="17"/>
      <c r="V692" s="17"/>
    </row>
    <row r="693" spans="1:22" x14ac:dyDescent="0.35">
      <c r="A693" s="5">
        <v>42070773000194</v>
      </c>
      <c r="B693" s="7"/>
      <c r="C693" s="4"/>
      <c r="D693" s="6" t="s">
        <v>283</v>
      </c>
      <c r="E693" s="6" t="s">
        <v>221</v>
      </c>
      <c r="F693" s="6" t="s">
        <v>15</v>
      </c>
      <c r="G693" s="11" t="s">
        <v>190</v>
      </c>
      <c r="H693" s="6" t="s">
        <v>17</v>
      </c>
      <c r="I693" s="21" t="s">
        <v>1073</v>
      </c>
      <c r="J693" s="18">
        <f>VLOOKUP(A693,[2]Export!$A:$B,2,0)</f>
        <v>20810.913353827415</v>
      </c>
      <c r="K693" s="18">
        <f>VLOOKUP(A693,[2]Export!$A:$C,3,0)</f>
        <v>13127.669999999995</v>
      </c>
      <c r="L693" s="19">
        <f t="shared" si="22"/>
        <v>0.63080700864989347</v>
      </c>
      <c r="M693" s="18">
        <f>VLOOKUP(A693,[2]Export!$A:$G,7,0)</f>
        <v>6812.7999999999984</v>
      </c>
      <c r="N693" s="19">
        <f t="shared" si="23"/>
        <v>0.32736669862435569</v>
      </c>
      <c r="O693" s="17" t="s">
        <v>1027</v>
      </c>
      <c r="P693" s="17" t="s">
        <v>1028</v>
      </c>
      <c r="Q693" s="17" t="s">
        <v>1023</v>
      </c>
      <c r="R693" s="17" t="str">
        <f>VLOOKUP(A693,[1]Export!$A:$I,9,0)</f>
        <v>Comprou Marcas</v>
      </c>
      <c r="S693" s="17" t="s">
        <v>1022</v>
      </c>
      <c r="T693" s="20"/>
      <c r="U693" s="17"/>
      <c r="V693" s="17"/>
    </row>
    <row r="694" spans="1:22" x14ac:dyDescent="0.35">
      <c r="A694" s="4">
        <v>42438050000103</v>
      </c>
      <c r="B694" s="7"/>
      <c r="C694" s="4"/>
      <c r="D694" s="1" t="s">
        <v>723</v>
      </c>
      <c r="E694" s="1" t="s">
        <v>270</v>
      </c>
      <c r="F694" s="1" t="s">
        <v>48</v>
      </c>
      <c r="G694" s="10" t="s">
        <v>80</v>
      </c>
      <c r="H694" s="1" t="s">
        <v>17</v>
      </c>
      <c r="I694" s="21" t="s">
        <v>1073</v>
      </c>
      <c r="J694" s="18">
        <f>VLOOKUP(A694,[2]Export!$A:$B,2,0)</f>
        <v>4476.7852247262517</v>
      </c>
      <c r="K694" s="18">
        <f>VLOOKUP(A694,[2]Export!$A:$C,3,0)</f>
        <v>2993.6799999999994</v>
      </c>
      <c r="L694" s="19">
        <f t="shared" si="22"/>
        <v>0.66871199973258899</v>
      </c>
      <c r="M694" s="18">
        <f>VLOOKUP(A694,[2]Export!$A:$G,7,0)</f>
        <v>0</v>
      </c>
      <c r="N694" s="19">
        <f t="shared" si="23"/>
        <v>0</v>
      </c>
      <c r="O694" s="17" t="s">
        <v>1027</v>
      </c>
      <c r="P694" s="17" t="s">
        <v>1028</v>
      </c>
      <c r="Q694" s="17" t="s">
        <v>1023</v>
      </c>
      <c r="R694" s="17" t="str">
        <f>VLOOKUP(A694,[1]Export!$A:$I,9,0)</f>
        <v>Não Comprou</v>
      </c>
      <c r="S694" s="17" t="s">
        <v>1022</v>
      </c>
      <c r="T694" s="20"/>
      <c r="U694" s="17"/>
      <c r="V694" s="17"/>
    </row>
    <row r="695" spans="1:22" x14ac:dyDescent="0.35">
      <c r="A695" s="5">
        <v>46237162000149</v>
      </c>
      <c r="B695" s="7"/>
      <c r="C695" s="4"/>
      <c r="D695" s="6" t="s">
        <v>724</v>
      </c>
      <c r="E695" s="6" t="s">
        <v>14</v>
      </c>
      <c r="F695" s="6" t="s">
        <v>15</v>
      </c>
      <c r="G695" s="11" t="s">
        <v>16</v>
      </c>
      <c r="H695" s="6" t="s">
        <v>17</v>
      </c>
      <c r="I695" s="21" t="s">
        <v>1067</v>
      </c>
      <c r="J695" s="18">
        <f>VLOOKUP(A695,[2]Export!$A:$B,2,0)</f>
        <v>2720.1152433028265</v>
      </c>
      <c r="K695" s="18">
        <f>VLOOKUP(A695,[2]Export!$A:$C,3,0)</f>
        <v>1109.77</v>
      </c>
      <c r="L695" s="19">
        <f t="shared" si="22"/>
        <v>0.4079863905517811</v>
      </c>
      <c r="M695" s="18">
        <f>VLOOKUP(A695,[2]Export!$A:$G,7,0)</f>
        <v>793.83000000000015</v>
      </c>
      <c r="N695" s="19">
        <f t="shared" si="23"/>
        <v>0.29183689990873823</v>
      </c>
      <c r="O695" s="17" t="s">
        <v>1029</v>
      </c>
      <c r="P695" s="17" t="s">
        <v>1026</v>
      </c>
      <c r="Q695" s="17" t="s">
        <v>1023</v>
      </c>
      <c r="R695" s="17" t="str">
        <f>VLOOKUP(A695,[1]Export!$A:$I,9,0)</f>
        <v>Comprou Marcas</v>
      </c>
      <c r="S695" s="17" t="s">
        <v>1023</v>
      </c>
      <c r="T695" s="20"/>
      <c r="U695" s="17"/>
      <c r="V695" s="17"/>
    </row>
    <row r="696" spans="1:22" x14ac:dyDescent="0.35">
      <c r="A696" s="4">
        <v>12804850000121</v>
      </c>
      <c r="B696" s="7"/>
      <c r="C696" s="4"/>
      <c r="D696" s="1" t="s">
        <v>725</v>
      </c>
      <c r="E696" s="1" t="s">
        <v>43</v>
      </c>
      <c r="F696" s="1" t="s">
        <v>8</v>
      </c>
      <c r="G696" s="10" t="s">
        <v>36</v>
      </c>
      <c r="H696" s="1" t="s">
        <v>17</v>
      </c>
      <c r="I696" s="21" t="s">
        <v>1068</v>
      </c>
      <c r="J696" s="18">
        <f>VLOOKUP(A696,[2]Export!$A:$B,2,0)</f>
        <v>2839.354819262101</v>
      </c>
      <c r="K696" s="18">
        <f>VLOOKUP(A696,[2]Export!$A:$C,3,0)</f>
        <v>974.86000000000013</v>
      </c>
      <c r="L696" s="19">
        <f t="shared" si="22"/>
        <v>0.34333856176994088</v>
      </c>
      <c r="M696" s="18">
        <f>VLOOKUP(A696,[2]Export!$A:$G,7,0)</f>
        <v>0</v>
      </c>
      <c r="N696" s="19">
        <f t="shared" si="23"/>
        <v>0</v>
      </c>
      <c r="O696" s="17" t="s">
        <v>1025</v>
      </c>
      <c r="P696" s="17" t="s">
        <v>1026</v>
      </c>
      <c r="Q696" s="17" t="s">
        <v>1023</v>
      </c>
      <c r="R696" s="17" t="str">
        <f>VLOOKUP(A696,[1]Export!$A:$I,9,0)</f>
        <v>Não Comprou</v>
      </c>
      <c r="S696" s="17" t="s">
        <v>1022</v>
      </c>
      <c r="T696" s="20">
        <v>1</v>
      </c>
      <c r="U696" s="17"/>
      <c r="V696" s="17"/>
    </row>
    <row r="697" spans="1:22" x14ac:dyDescent="0.35">
      <c r="A697" s="5">
        <v>12909312000100</v>
      </c>
      <c r="B697" s="7"/>
      <c r="C697" s="4"/>
      <c r="D697" s="6" t="s">
        <v>552</v>
      </c>
      <c r="E697" s="6" t="s">
        <v>260</v>
      </c>
      <c r="F697" s="6" t="s">
        <v>8</v>
      </c>
      <c r="G697" s="11" t="s">
        <v>36</v>
      </c>
      <c r="H697" s="6" t="s">
        <v>17</v>
      </c>
      <c r="I697" s="21" t="s">
        <v>1066</v>
      </c>
      <c r="J697" s="18">
        <f>VLOOKUP(A697,[2]Export!$A:$B,2,0)</f>
        <v>3807.1865818788751</v>
      </c>
      <c r="K697" s="18">
        <f>VLOOKUP(A697,[2]Export!$A:$C,3,0)</f>
        <v>3644.7300000000005</v>
      </c>
      <c r="L697" s="19">
        <f t="shared" si="22"/>
        <v>0.95732896762871522</v>
      </c>
      <c r="M697" s="18">
        <f>VLOOKUP(A697,[2]Export!$A:$G,7,0)</f>
        <v>1446.1299999999997</v>
      </c>
      <c r="N697" s="19">
        <f t="shared" si="23"/>
        <v>0.37984216662329262</v>
      </c>
      <c r="O697" s="17" t="s">
        <v>1025</v>
      </c>
      <c r="P697" s="17" t="s">
        <v>1026</v>
      </c>
      <c r="Q697" s="17" t="s">
        <v>1022</v>
      </c>
      <c r="R697" s="17" t="str">
        <f>VLOOKUP(A697,[1]Export!$A:$I,9,0)</f>
        <v>Comprou Marcas</v>
      </c>
      <c r="S697" s="17" t="s">
        <v>1022</v>
      </c>
      <c r="T697" s="20"/>
      <c r="U697" s="17"/>
      <c r="V697" s="17"/>
    </row>
    <row r="698" spans="1:22" x14ac:dyDescent="0.35">
      <c r="A698" s="4">
        <v>13234023000102</v>
      </c>
      <c r="B698" s="7"/>
      <c r="C698" s="4"/>
      <c r="D698" s="1" t="s">
        <v>632</v>
      </c>
      <c r="E698" s="1" t="s">
        <v>52</v>
      </c>
      <c r="F698" s="1" t="s">
        <v>8</v>
      </c>
      <c r="G698" s="10" t="s">
        <v>33</v>
      </c>
      <c r="H698" s="1" t="s">
        <v>17</v>
      </c>
      <c r="I698" s="21" t="s">
        <v>1072</v>
      </c>
      <c r="J698" s="18">
        <f>VLOOKUP(A698,[2]Export!$A:$B,2,0)</f>
        <v>5214.8995321757593</v>
      </c>
      <c r="K698" s="18">
        <f>VLOOKUP(A698,[2]Export!$A:$C,3,0)</f>
        <v>4122.24</v>
      </c>
      <c r="L698" s="19">
        <f t="shared" si="22"/>
        <v>0.79047352198559417</v>
      </c>
      <c r="M698" s="18">
        <f>VLOOKUP(A698,[2]Export!$A:$G,7,0)</f>
        <v>3586.1300000000006</v>
      </c>
      <c r="N698" s="19">
        <f t="shared" si="23"/>
        <v>0.68767000742271178</v>
      </c>
      <c r="O698" s="17" t="s">
        <v>1025</v>
      </c>
      <c r="P698" s="17" t="s">
        <v>1026</v>
      </c>
      <c r="Q698" s="17" t="s">
        <v>1023</v>
      </c>
      <c r="R698" s="17" t="str">
        <f>VLOOKUP(A698,[1]Export!$A:$I,9,0)</f>
        <v>Comprou Marcas</v>
      </c>
      <c r="S698" s="17" t="s">
        <v>1023</v>
      </c>
      <c r="T698" s="20"/>
      <c r="U698" s="17"/>
      <c r="V698" s="17"/>
    </row>
    <row r="699" spans="1:22" x14ac:dyDescent="0.35">
      <c r="A699" s="5">
        <v>13938314000181</v>
      </c>
      <c r="B699" s="7" t="s">
        <v>997</v>
      </c>
      <c r="C699" s="4"/>
      <c r="D699" s="6" t="s">
        <v>559</v>
      </c>
      <c r="E699" s="6" t="s">
        <v>14</v>
      </c>
      <c r="F699" s="6" t="s">
        <v>15</v>
      </c>
      <c r="G699" s="11" t="s">
        <v>9</v>
      </c>
      <c r="H699" s="6" t="s">
        <v>10</v>
      </c>
      <c r="I699" s="21" t="s">
        <v>1067</v>
      </c>
      <c r="J699" s="18">
        <f>VLOOKUP(A699,[2]Export!$A:$B,2,0)</f>
        <v>5734.4490425187641</v>
      </c>
      <c r="K699" s="18">
        <f>VLOOKUP(A699,[2]Export!$A:$C,3,0)</f>
        <v>2903.1400000000003</v>
      </c>
      <c r="L699" s="19">
        <f t="shared" si="22"/>
        <v>0.50626310888357684</v>
      </c>
      <c r="M699" s="18">
        <f>VLOOKUP(A699,[2]Export!$A:$G,7,0)</f>
        <v>1056.74</v>
      </c>
      <c r="N699" s="19">
        <f t="shared" si="23"/>
        <v>0.18427925545500079</v>
      </c>
      <c r="O699" s="17" t="s">
        <v>1027</v>
      </c>
      <c r="P699" s="17" t="s">
        <v>1028</v>
      </c>
      <c r="Q699" s="17" t="s">
        <v>1023</v>
      </c>
      <c r="R699" s="17" t="str">
        <f>VLOOKUP(A699,[1]Export!$A:$I,9,0)</f>
        <v>Comprou Marcas</v>
      </c>
      <c r="S699" s="17" t="s">
        <v>1022</v>
      </c>
      <c r="T699" s="20"/>
      <c r="U699" s="17"/>
      <c r="V699" s="17"/>
    </row>
    <row r="700" spans="1:22" x14ac:dyDescent="0.35">
      <c r="A700" s="4">
        <v>38335229000150</v>
      </c>
      <c r="B700" s="7"/>
      <c r="C700" s="4"/>
      <c r="D700" s="1" t="s">
        <v>726</v>
      </c>
      <c r="E700" s="1" t="s">
        <v>316</v>
      </c>
      <c r="F700" s="1" t="s">
        <v>48</v>
      </c>
      <c r="G700" s="10" t="s">
        <v>486</v>
      </c>
      <c r="H700" s="1" t="s">
        <v>17</v>
      </c>
      <c r="I700" s="21" t="s">
        <v>1071</v>
      </c>
      <c r="J700" s="18">
        <f>VLOOKUP(A700,[2]Export!$A:$B,2,0)</f>
        <v>2607.1299808243411</v>
      </c>
      <c r="K700" s="18">
        <f>VLOOKUP(A700,[2]Export!$A:$C,3,0)</f>
        <v>1692.2700000000004</v>
      </c>
      <c r="L700" s="19">
        <f t="shared" si="22"/>
        <v>0.64909306879472362</v>
      </c>
      <c r="M700" s="18">
        <f>VLOOKUP(A700,[2]Export!$A:$G,7,0)</f>
        <v>705.46999999999991</v>
      </c>
      <c r="N700" s="19">
        <f t="shared" si="23"/>
        <v>0.27059256929604231</v>
      </c>
      <c r="O700" s="17" t="s">
        <v>1027</v>
      </c>
      <c r="P700" s="17" t="s">
        <v>1028</v>
      </c>
      <c r="Q700" s="17" t="s">
        <v>1023</v>
      </c>
      <c r="R700" s="17" t="str">
        <f>VLOOKUP(A700,[1]Export!$A:$I,9,0)</f>
        <v>Comprou Marcas e SG</v>
      </c>
      <c r="S700" s="17" t="s">
        <v>1023</v>
      </c>
      <c r="T700" s="20"/>
      <c r="U700" s="17"/>
      <c r="V700" s="17"/>
    </row>
    <row r="701" spans="1:22" x14ac:dyDescent="0.35">
      <c r="A701" s="5">
        <v>41140364000154</v>
      </c>
      <c r="B701" s="7"/>
      <c r="C701" s="4"/>
      <c r="D701" s="6" t="s">
        <v>727</v>
      </c>
      <c r="E701" s="6" t="s">
        <v>193</v>
      </c>
      <c r="F701" s="6" t="s">
        <v>194</v>
      </c>
      <c r="G701" s="11" t="s">
        <v>20</v>
      </c>
      <c r="H701" s="6" t="s">
        <v>17</v>
      </c>
      <c r="I701" s="21" t="s">
        <v>1068</v>
      </c>
      <c r="J701" s="18">
        <f>VLOOKUP(A701,[2]Export!$A:$B,2,0)</f>
        <v>1910.037112839673</v>
      </c>
      <c r="K701" s="18">
        <f>VLOOKUP(A701,[2]Export!$A:$C,3,0)</f>
        <v>144.47999999999999</v>
      </c>
      <c r="L701" s="19">
        <f t="shared" si="22"/>
        <v>7.5642509262660348E-2</v>
      </c>
      <c r="M701" s="18">
        <f>VLOOKUP(A701,[2]Export!$A:$G,7,0)</f>
        <v>0</v>
      </c>
      <c r="N701" s="19">
        <f t="shared" si="23"/>
        <v>0</v>
      </c>
      <c r="O701" s="17" t="s">
        <v>1025</v>
      </c>
      <c r="P701" s="17" t="s">
        <v>1026</v>
      </c>
      <c r="Q701" s="17" t="s">
        <v>1023</v>
      </c>
      <c r="R701" s="17" t="str">
        <f>VLOOKUP(A701,[1]Export!$A:$I,9,0)</f>
        <v>Não Comprou</v>
      </c>
      <c r="S701" s="17" t="s">
        <v>1023</v>
      </c>
      <c r="T701" s="20"/>
      <c r="U701" s="17"/>
      <c r="V701" s="17"/>
    </row>
    <row r="702" spans="1:22" x14ac:dyDescent="0.35">
      <c r="A702" s="4">
        <v>55557060000100</v>
      </c>
      <c r="B702" s="7"/>
      <c r="C702" s="4"/>
      <c r="D702" s="1" t="s">
        <v>728</v>
      </c>
      <c r="E702" s="1" t="s">
        <v>377</v>
      </c>
      <c r="F702" s="1" t="s">
        <v>48</v>
      </c>
      <c r="G702" s="10" t="s">
        <v>20</v>
      </c>
      <c r="H702" s="1" t="s">
        <v>17</v>
      </c>
      <c r="I702" s="21" t="s">
        <v>1071</v>
      </c>
      <c r="J702" s="18">
        <f>VLOOKUP(A702,[2]Export!$A:$B,2,0)</f>
        <v>9160.8874009266783</v>
      </c>
      <c r="K702" s="18">
        <f>VLOOKUP(A702,[2]Export!$A:$C,3,0)</f>
        <v>4448.2199999999993</v>
      </c>
      <c r="L702" s="19">
        <f t="shared" si="22"/>
        <v>0.4855664964891977</v>
      </c>
      <c r="M702" s="18">
        <f>VLOOKUP(A702,[2]Export!$A:$G,7,0)</f>
        <v>2283.5700000000002</v>
      </c>
      <c r="N702" s="19">
        <f t="shared" si="23"/>
        <v>0.24927388582125826</v>
      </c>
      <c r="O702" s="17" t="s">
        <v>1025</v>
      </c>
      <c r="P702" s="17" t="s">
        <v>1026</v>
      </c>
      <c r="Q702" s="17" t="s">
        <v>1023</v>
      </c>
      <c r="R702" s="17" t="str">
        <f>VLOOKUP(A702,[1]Export!$A:$I,9,0)</f>
        <v>Comprou Marcas e SG</v>
      </c>
      <c r="S702" s="17" t="s">
        <v>1022</v>
      </c>
      <c r="T702" s="20"/>
      <c r="U702" s="17"/>
      <c r="V702" s="17"/>
    </row>
    <row r="703" spans="1:22" x14ac:dyDescent="0.35">
      <c r="A703" s="5">
        <v>56129324000189</v>
      </c>
      <c r="B703" s="7"/>
      <c r="C703" s="4"/>
      <c r="D703" s="6" t="s">
        <v>729</v>
      </c>
      <c r="E703" s="6" t="s">
        <v>14</v>
      </c>
      <c r="F703" s="6" t="s">
        <v>15</v>
      </c>
      <c r="G703" s="11" t="s">
        <v>20</v>
      </c>
      <c r="H703" s="6" t="s">
        <v>17</v>
      </c>
      <c r="I703" s="21" t="s">
        <v>1067</v>
      </c>
      <c r="J703" s="18">
        <f>VLOOKUP(A703,[2]Export!$A:$B,2,0)</f>
        <v>2928.0320810963517</v>
      </c>
      <c r="K703" s="18">
        <f>VLOOKUP(A703,[2]Export!$A:$C,3,0)</f>
        <v>253.66000000000003</v>
      </c>
      <c r="L703" s="19">
        <f t="shared" si="22"/>
        <v>8.663156446872719E-2</v>
      </c>
      <c r="M703" s="18">
        <f>VLOOKUP(A703,[2]Export!$A:$G,7,0)</f>
        <v>0</v>
      </c>
      <c r="N703" s="19">
        <f t="shared" si="23"/>
        <v>0</v>
      </c>
      <c r="O703" s="17" t="s">
        <v>1025</v>
      </c>
      <c r="P703" s="17" t="s">
        <v>1026</v>
      </c>
      <c r="Q703" s="17" t="s">
        <v>1023</v>
      </c>
      <c r="R703" s="17" t="str">
        <f>VLOOKUP(A703,[1]Export!$A:$I,9,0)</f>
        <v>Não Comprou</v>
      </c>
      <c r="S703" s="17" t="s">
        <v>1023</v>
      </c>
      <c r="T703" s="20"/>
      <c r="U703" s="17"/>
      <c r="V703" s="17"/>
    </row>
    <row r="704" spans="1:22" x14ac:dyDescent="0.35">
      <c r="A704" s="4">
        <v>49672071000120</v>
      </c>
      <c r="B704" s="7"/>
      <c r="C704" s="4"/>
      <c r="D704" s="1" t="s">
        <v>548</v>
      </c>
      <c r="E704" s="1" t="s">
        <v>730</v>
      </c>
      <c r="F704" s="1" t="s">
        <v>15</v>
      </c>
      <c r="G704" s="10" t="s">
        <v>16</v>
      </c>
      <c r="H704" s="1" t="s">
        <v>17</v>
      </c>
      <c r="I704" s="21" t="s">
        <v>1069</v>
      </c>
      <c r="J704" s="18">
        <f>VLOOKUP(A704,[2]Export!$A:$B,2,0)</f>
        <v>6654.2047058566623</v>
      </c>
      <c r="K704" s="18">
        <f>VLOOKUP(A704,[2]Export!$A:$C,3,0)</f>
        <v>3360.8599999999997</v>
      </c>
      <c r="L704" s="19">
        <f t="shared" si="22"/>
        <v>0.50507313023327294</v>
      </c>
      <c r="M704" s="18">
        <f>VLOOKUP(A704,[2]Export!$A:$G,7,0)</f>
        <v>0</v>
      </c>
      <c r="N704" s="19">
        <f t="shared" si="23"/>
        <v>0</v>
      </c>
      <c r="O704" s="17" t="s">
        <v>1029</v>
      </c>
      <c r="P704" s="17" t="s">
        <v>1026</v>
      </c>
      <c r="Q704" s="17" t="s">
        <v>1022</v>
      </c>
      <c r="R704" s="17" t="str">
        <f>VLOOKUP(A704,[1]Export!$A:$I,9,0)</f>
        <v>Não Comprou</v>
      </c>
      <c r="S704" s="17" t="s">
        <v>1022</v>
      </c>
      <c r="T704" s="20"/>
      <c r="U704" s="17"/>
      <c r="V704" s="17"/>
    </row>
    <row r="705" spans="1:22" x14ac:dyDescent="0.35">
      <c r="A705" s="5">
        <v>51601157000103</v>
      </c>
      <c r="B705" s="7"/>
      <c r="C705" s="4"/>
      <c r="D705" s="6" t="s">
        <v>731</v>
      </c>
      <c r="E705" s="6" t="s">
        <v>52</v>
      </c>
      <c r="F705" s="6" t="s">
        <v>8</v>
      </c>
      <c r="G705" s="11" t="s">
        <v>33</v>
      </c>
      <c r="H705" s="6" t="s">
        <v>17</v>
      </c>
      <c r="I705" s="21" t="s">
        <v>1072</v>
      </c>
      <c r="J705" s="18">
        <f>VLOOKUP(A705,[2]Export!$A:$B,2,0)</f>
        <v>6715.2608042558431</v>
      </c>
      <c r="K705" s="18">
        <f>VLOOKUP(A705,[2]Export!$A:$C,3,0)</f>
        <v>1158.27</v>
      </c>
      <c r="L705" s="19">
        <f t="shared" si="22"/>
        <v>0.17248324879145993</v>
      </c>
      <c r="M705" s="18">
        <f>VLOOKUP(A705,[2]Export!$A:$G,7,0)</f>
        <v>0</v>
      </c>
      <c r="N705" s="19">
        <f t="shared" si="23"/>
        <v>0</v>
      </c>
      <c r="O705" s="17" t="s">
        <v>1029</v>
      </c>
      <c r="P705" s="17" t="s">
        <v>1026</v>
      </c>
      <c r="Q705" s="17" t="s">
        <v>1023</v>
      </c>
      <c r="R705" s="17" t="str">
        <f>VLOOKUP(A705,[1]Export!$A:$I,9,0)</f>
        <v>Não Comprou</v>
      </c>
      <c r="S705" s="17" t="s">
        <v>1023</v>
      </c>
      <c r="T705" s="20"/>
      <c r="U705" s="17"/>
      <c r="V705" s="17"/>
    </row>
    <row r="706" spans="1:22" x14ac:dyDescent="0.35">
      <c r="A706" s="4">
        <v>52286494000116</v>
      </c>
      <c r="B706" s="7"/>
      <c r="C706" s="4"/>
      <c r="D706" s="1" t="s">
        <v>732</v>
      </c>
      <c r="E706" s="1" t="s">
        <v>330</v>
      </c>
      <c r="F706" s="1" t="s">
        <v>15</v>
      </c>
      <c r="G706" s="10" t="s">
        <v>33</v>
      </c>
      <c r="H706" s="1" t="s">
        <v>17</v>
      </c>
      <c r="I706" s="21" t="s">
        <v>1069</v>
      </c>
      <c r="J706" s="18">
        <f>VLOOKUP(A706,[2]Export!$A:$B,2,0)</f>
        <v>4828.3343698852959</v>
      </c>
      <c r="K706" s="18">
        <f>VLOOKUP(A706,[2]Export!$A:$C,3,0)</f>
        <v>2339.0699999999997</v>
      </c>
      <c r="L706" s="19">
        <f t="shared" si="22"/>
        <v>0.48444656496637117</v>
      </c>
      <c r="M706" s="18">
        <f>VLOOKUP(A706,[2]Export!$A:$G,7,0)</f>
        <v>1111.74</v>
      </c>
      <c r="N706" s="19">
        <f t="shared" si="23"/>
        <v>0.23025331611953193</v>
      </c>
      <c r="O706" s="17" t="s">
        <v>1027</v>
      </c>
      <c r="P706" s="17" t="s">
        <v>1026</v>
      </c>
      <c r="Q706" s="17" t="s">
        <v>1023</v>
      </c>
      <c r="R706" s="17" t="str">
        <f>VLOOKUP(A706,[1]Export!$A:$I,9,0)</f>
        <v>Comprou Marcas</v>
      </c>
      <c r="S706" s="17" t="s">
        <v>1022</v>
      </c>
      <c r="T706" s="20"/>
      <c r="U706" s="17"/>
      <c r="V706" s="17"/>
    </row>
    <row r="707" spans="1:22" x14ac:dyDescent="0.35">
      <c r="A707" s="5">
        <v>54806695000122</v>
      </c>
      <c r="B707" s="7"/>
      <c r="C707" s="4"/>
      <c r="D707" s="6" t="s">
        <v>77</v>
      </c>
      <c r="E707" s="6" t="s">
        <v>35</v>
      </c>
      <c r="F707" s="6" t="s">
        <v>8</v>
      </c>
      <c r="G707" s="11" t="s">
        <v>74</v>
      </c>
      <c r="H707" s="6" t="s">
        <v>17</v>
      </c>
      <c r="I707" s="21" t="s">
        <v>1070</v>
      </c>
      <c r="J707" s="18">
        <f>VLOOKUP(A707,[2]Export!$A:$B,2,0)</f>
        <v>788.48511890421298</v>
      </c>
      <c r="K707" s="18">
        <f>VLOOKUP(A707,[2]Export!$A:$C,3,0)</f>
        <v>58.45</v>
      </c>
      <c r="L707" s="19">
        <f t="shared" si="22"/>
        <v>7.4129490333603429E-2</v>
      </c>
      <c r="M707" s="18">
        <f>VLOOKUP(A707,[2]Export!$A:$G,7,0)</f>
        <v>0</v>
      </c>
      <c r="N707" s="19">
        <f t="shared" si="23"/>
        <v>0</v>
      </c>
      <c r="O707" s="17" t="s">
        <v>1029</v>
      </c>
      <c r="P707" s="17" t="s">
        <v>1026</v>
      </c>
      <c r="Q707" s="17" t="s">
        <v>1022</v>
      </c>
      <c r="R707" s="17" t="str">
        <f>VLOOKUP(A707,[1]Export!$A:$I,9,0)</f>
        <v>Não Comprou</v>
      </c>
      <c r="S707" s="17" t="s">
        <v>1023</v>
      </c>
      <c r="T707" s="20"/>
      <c r="U707" s="17"/>
      <c r="V707" s="17"/>
    </row>
    <row r="708" spans="1:22" x14ac:dyDescent="0.35">
      <c r="A708" s="4">
        <v>779082000114</v>
      </c>
      <c r="B708" s="7"/>
      <c r="C708" s="4"/>
      <c r="D708" s="1" t="s">
        <v>733</v>
      </c>
      <c r="E708" s="1" t="s">
        <v>30</v>
      </c>
      <c r="F708" s="1" t="s">
        <v>15</v>
      </c>
      <c r="G708" s="10" t="s">
        <v>16</v>
      </c>
      <c r="H708" s="1" t="s">
        <v>17</v>
      </c>
      <c r="I708" s="21" t="s">
        <v>1069</v>
      </c>
      <c r="J708" s="18">
        <f>VLOOKUP(A708,[2]Export!$A:$B,2,0)</f>
        <v>8021.2298793451855</v>
      </c>
      <c r="K708" s="18">
        <f>VLOOKUP(A708,[2]Export!$A:$C,3,0)</f>
        <v>2752.65</v>
      </c>
      <c r="L708" s="19">
        <f t="shared" si="22"/>
        <v>0.34317056628536785</v>
      </c>
      <c r="M708" s="18">
        <f>VLOOKUP(A708,[2]Export!$A:$G,7,0)</f>
        <v>0</v>
      </c>
      <c r="N708" s="19">
        <f t="shared" si="23"/>
        <v>0</v>
      </c>
      <c r="O708" s="17" t="s">
        <v>1027</v>
      </c>
      <c r="P708" s="17" t="s">
        <v>1026</v>
      </c>
      <c r="Q708" s="17" t="s">
        <v>1023</v>
      </c>
      <c r="R708" s="17" t="str">
        <f>VLOOKUP(A708,[1]Export!$A:$I,9,0)</f>
        <v>Não Comprou</v>
      </c>
      <c r="S708" s="17" t="s">
        <v>1022</v>
      </c>
      <c r="T708" s="20"/>
      <c r="U708" s="17"/>
      <c r="V708" s="17"/>
    </row>
    <row r="709" spans="1:22" x14ac:dyDescent="0.35">
      <c r="A709" s="5">
        <v>2351409000188</v>
      </c>
      <c r="B709" s="7"/>
      <c r="C709" s="4"/>
      <c r="D709" s="6" t="s">
        <v>734</v>
      </c>
      <c r="E709" s="6" t="s">
        <v>374</v>
      </c>
      <c r="F709" s="6" t="s">
        <v>48</v>
      </c>
      <c r="G709" s="11" t="s">
        <v>80</v>
      </c>
      <c r="H709" s="6" t="s">
        <v>17</v>
      </c>
      <c r="I709" s="21" t="s">
        <v>1071</v>
      </c>
      <c r="J709" s="18">
        <f>VLOOKUP(A709,[2]Export!$A:$B,2,0)</f>
        <v>5965.0356958507109</v>
      </c>
      <c r="K709" s="18">
        <f>VLOOKUP(A709,[2]Export!$A:$C,3,0)</f>
        <v>3825.3899999999994</v>
      </c>
      <c r="L709" s="19">
        <f t="shared" si="22"/>
        <v>0.64130211369245405</v>
      </c>
      <c r="M709" s="18">
        <f>VLOOKUP(A709,[2]Export!$A:$G,7,0)</f>
        <v>3262.95</v>
      </c>
      <c r="N709" s="19">
        <f t="shared" si="23"/>
        <v>0.54701265279430156</v>
      </c>
      <c r="O709" s="17" t="s">
        <v>1027</v>
      </c>
      <c r="P709" s="17" t="s">
        <v>1028</v>
      </c>
      <c r="Q709" s="17" t="s">
        <v>1023</v>
      </c>
      <c r="R709" s="17" t="str">
        <f>VLOOKUP(A709,[1]Export!$A:$I,9,0)</f>
        <v>Comprou Marcas</v>
      </c>
      <c r="S709" s="17" t="s">
        <v>1022</v>
      </c>
      <c r="T709" s="20"/>
      <c r="U709" s="17"/>
      <c r="V709" s="17"/>
    </row>
    <row r="710" spans="1:22" x14ac:dyDescent="0.35">
      <c r="A710" s="4">
        <v>2703345000137</v>
      </c>
      <c r="B710" s="7"/>
      <c r="C710" s="4"/>
      <c r="D710" s="1" t="s">
        <v>66</v>
      </c>
      <c r="E710" s="1" t="s">
        <v>35</v>
      </c>
      <c r="F710" s="1" t="s">
        <v>8</v>
      </c>
      <c r="G710" s="10" t="s">
        <v>20</v>
      </c>
      <c r="H710" s="1" t="s">
        <v>17</v>
      </c>
      <c r="I710" s="21" t="s">
        <v>1070</v>
      </c>
      <c r="J710" s="18">
        <f>VLOOKUP(A710,[2]Export!$A:$B,2,0)</f>
        <v>5038.3400169693577</v>
      </c>
      <c r="K710" s="18">
        <f>VLOOKUP(A710,[2]Export!$A:$C,3,0)</f>
        <v>291.60000000000002</v>
      </c>
      <c r="L710" s="19">
        <f t="shared" si="22"/>
        <v>5.7876205063151352E-2</v>
      </c>
      <c r="M710" s="18">
        <f>VLOOKUP(A710,[2]Export!$A:$G,7,0)</f>
        <v>0</v>
      </c>
      <c r="N710" s="19">
        <f t="shared" si="23"/>
        <v>0</v>
      </c>
      <c r="O710" s="17" t="s">
        <v>1027</v>
      </c>
      <c r="P710" s="17" t="s">
        <v>1028</v>
      </c>
      <c r="Q710" s="17" t="s">
        <v>1023</v>
      </c>
      <c r="R710" s="17" t="str">
        <f>VLOOKUP(A710,[1]Export!$A:$I,9,0)</f>
        <v>Não Comprou</v>
      </c>
      <c r="S710" s="17" t="s">
        <v>1022</v>
      </c>
      <c r="T710" s="20">
        <v>1</v>
      </c>
      <c r="U710" s="17"/>
      <c r="V710" s="17"/>
    </row>
    <row r="711" spans="1:22" x14ac:dyDescent="0.35">
      <c r="A711" s="5">
        <v>3484949000100</v>
      </c>
      <c r="B711" s="7"/>
      <c r="C711" s="4"/>
      <c r="D711" s="6" t="s">
        <v>735</v>
      </c>
      <c r="E711" s="6" t="s">
        <v>178</v>
      </c>
      <c r="F711" s="6" t="s">
        <v>15</v>
      </c>
      <c r="G711" s="11" t="s">
        <v>20</v>
      </c>
      <c r="H711" s="6" t="s">
        <v>17</v>
      </c>
      <c r="I711" s="21" t="s">
        <v>1073</v>
      </c>
      <c r="J711" s="18">
        <f>VLOOKUP(A711,[2]Export!$A:$B,2,0)</f>
        <v>6071.8245729347054</v>
      </c>
      <c r="K711" s="18">
        <f>VLOOKUP(A711,[2]Export!$A:$C,3,0)</f>
        <v>5171.37</v>
      </c>
      <c r="L711" s="19">
        <f t="shared" si="22"/>
        <v>0.85169950776435444</v>
      </c>
      <c r="M711" s="18">
        <f>VLOOKUP(A711,[2]Export!$A:$G,7,0)</f>
        <v>1491.27</v>
      </c>
      <c r="N711" s="19">
        <f t="shared" si="23"/>
        <v>0.24560492189569666</v>
      </c>
      <c r="O711" s="17" t="s">
        <v>1027</v>
      </c>
      <c r="P711" s="17" t="s">
        <v>1028</v>
      </c>
      <c r="Q711" s="17" t="s">
        <v>1023</v>
      </c>
      <c r="R711" s="17" t="str">
        <f>VLOOKUP(A711,[1]Export!$A:$I,9,0)</f>
        <v>Comprou Marcas</v>
      </c>
      <c r="S711" s="17" t="s">
        <v>1022</v>
      </c>
      <c r="T711" s="20">
        <v>4</v>
      </c>
      <c r="U711" s="17"/>
      <c r="V711" s="17">
        <v>6</v>
      </c>
    </row>
    <row r="712" spans="1:22" x14ac:dyDescent="0.35">
      <c r="A712" s="4">
        <v>4050862000260</v>
      </c>
      <c r="B712" s="7" t="s">
        <v>997</v>
      </c>
      <c r="C712" s="4"/>
      <c r="D712" s="1" t="s">
        <v>247</v>
      </c>
      <c r="E712" s="1" t="s">
        <v>14</v>
      </c>
      <c r="F712" s="1" t="s">
        <v>15</v>
      </c>
      <c r="G712" s="10" t="s">
        <v>9</v>
      </c>
      <c r="H712" s="1" t="s">
        <v>10</v>
      </c>
      <c r="I712" s="21" t="s">
        <v>1067</v>
      </c>
      <c r="J712" s="18">
        <f>VLOOKUP(A712,[2]Export!$A:$B,2,0)</f>
        <v>9696.8797485826071</v>
      </c>
      <c r="K712" s="18">
        <f>VLOOKUP(A712,[2]Export!$A:$C,3,0)</f>
        <v>5443.22</v>
      </c>
      <c r="L712" s="19">
        <f t="shared" si="22"/>
        <v>0.5613372694237686</v>
      </c>
      <c r="M712" s="18">
        <f>VLOOKUP(A712,[2]Export!$A:$G,7,0)</f>
        <v>1324.7800000000002</v>
      </c>
      <c r="N712" s="19">
        <f t="shared" si="23"/>
        <v>0.13661920476982745</v>
      </c>
      <c r="O712" s="17" t="s">
        <v>1027</v>
      </c>
      <c r="P712" s="17" t="s">
        <v>1028</v>
      </c>
      <c r="Q712" s="17" t="s">
        <v>1023</v>
      </c>
      <c r="R712" s="17" t="str">
        <f>VLOOKUP(A712,[1]Export!$A:$I,9,0)</f>
        <v>Comprou Marcas</v>
      </c>
      <c r="S712" s="17" t="s">
        <v>1022</v>
      </c>
      <c r="T712" s="20"/>
      <c r="U712" s="17"/>
      <c r="V712" s="17">
        <v>1</v>
      </c>
    </row>
    <row r="713" spans="1:22" x14ac:dyDescent="0.35">
      <c r="A713" s="5">
        <v>4248248000127</v>
      </c>
      <c r="B713" s="7" t="s">
        <v>1006</v>
      </c>
      <c r="C713" s="4">
        <v>11583</v>
      </c>
      <c r="D713" s="6" t="s">
        <v>736</v>
      </c>
      <c r="E713" s="6" t="s">
        <v>379</v>
      </c>
      <c r="F713" s="6" t="s">
        <v>15</v>
      </c>
      <c r="G713" s="11" t="s">
        <v>87</v>
      </c>
      <c r="H713" s="6" t="s">
        <v>17</v>
      </c>
      <c r="I713" s="21" t="s">
        <v>1073</v>
      </c>
      <c r="J713" s="18">
        <f>VLOOKUP(A713,[2]Export!$A:$B,2,0)</f>
        <v>35859.292894229722</v>
      </c>
      <c r="K713" s="18">
        <f>VLOOKUP(A713,[2]Export!$A:$C,3,0)</f>
        <v>24698.090000000004</v>
      </c>
      <c r="L713" s="19">
        <f t="shared" si="22"/>
        <v>0.68875005630616559</v>
      </c>
      <c r="M713" s="18">
        <f>VLOOKUP(A713,[2]Export!$A:$G,7,0)</f>
        <v>24120.170000000006</v>
      </c>
      <c r="N713" s="19">
        <f t="shared" si="23"/>
        <v>0.67263373182356556</v>
      </c>
      <c r="O713" s="17" t="s">
        <v>1027</v>
      </c>
      <c r="P713" s="17" t="s">
        <v>1028</v>
      </c>
      <c r="Q713" s="17" t="s">
        <v>1023</v>
      </c>
      <c r="R713" s="17" t="str">
        <f>VLOOKUP(A713,[1]Export!$A:$I,9,0)</f>
        <v>Comprou Marcas e SG</v>
      </c>
      <c r="S713" s="17" t="s">
        <v>1022</v>
      </c>
      <c r="T713" s="20">
        <v>7</v>
      </c>
      <c r="U713" s="17"/>
      <c r="V713" s="17">
        <v>1</v>
      </c>
    </row>
    <row r="714" spans="1:22" x14ac:dyDescent="0.35">
      <c r="A714" s="4">
        <v>2608021000110</v>
      </c>
      <c r="B714" s="7" t="s">
        <v>1003</v>
      </c>
      <c r="C714" s="4"/>
      <c r="D714" s="1" t="s">
        <v>737</v>
      </c>
      <c r="E714" s="1" t="s">
        <v>146</v>
      </c>
      <c r="F714" s="1" t="s">
        <v>8</v>
      </c>
      <c r="G714" s="10" t="s">
        <v>36</v>
      </c>
      <c r="H714" s="1" t="s">
        <v>17</v>
      </c>
      <c r="I714" s="21" t="s">
        <v>1072</v>
      </c>
      <c r="J714" s="18">
        <f>VLOOKUP(A714,[2]Export!$A:$B,2,0)</f>
        <v>4180.2552141041706</v>
      </c>
      <c r="K714" s="18">
        <f>VLOOKUP(A714,[2]Export!$A:$C,3,0)</f>
        <v>1565.22</v>
      </c>
      <c r="L714" s="19">
        <f t="shared" si="22"/>
        <v>0.37443168415147277</v>
      </c>
      <c r="M714" s="18">
        <f>VLOOKUP(A714,[2]Export!$A:$G,7,0)</f>
        <v>137.85</v>
      </c>
      <c r="N714" s="19">
        <f t="shared" si="23"/>
        <v>3.297645548886452E-2</v>
      </c>
      <c r="O714" s="17" t="s">
        <v>1025</v>
      </c>
      <c r="P714" s="17" t="s">
        <v>1026</v>
      </c>
      <c r="Q714" s="17" t="s">
        <v>1023</v>
      </c>
      <c r="R714" s="17" t="str">
        <f>VLOOKUP(A714,[1]Export!$A:$I,9,0)</f>
        <v>Comprou Marcas</v>
      </c>
      <c r="S714" s="17" t="s">
        <v>1023</v>
      </c>
      <c r="T714" s="20"/>
      <c r="U714" s="17"/>
      <c r="V714" s="17"/>
    </row>
    <row r="715" spans="1:22" x14ac:dyDescent="0.35">
      <c r="A715" s="5">
        <v>3577994000100</v>
      </c>
      <c r="B715" s="7"/>
      <c r="C715" s="4"/>
      <c r="D715" s="6" t="s">
        <v>738</v>
      </c>
      <c r="E715" s="6" t="s">
        <v>642</v>
      </c>
      <c r="F715" s="6" t="s">
        <v>8</v>
      </c>
      <c r="G715" s="11" t="s">
        <v>16</v>
      </c>
      <c r="H715" s="6" t="s">
        <v>17</v>
      </c>
      <c r="I715" s="21" t="s">
        <v>1070</v>
      </c>
      <c r="J715" s="18">
        <f>VLOOKUP(A715,[2]Export!$A:$B,2,0)</f>
        <v>4559.649433259111</v>
      </c>
      <c r="K715" s="18">
        <f>VLOOKUP(A715,[2]Export!$A:$C,3,0)</f>
        <v>2959.18</v>
      </c>
      <c r="L715" s="19">
        <f t="shared" si="22"/>
        <v>0.64899287616610912</v>
      </c>
      <c r="M715" s="18">
        <f>VLOOKUP(A715,[2]Export!$A:$G,7,0)</f>
        <v>2144.44</v>
      </c>
      <c r="N715" s="19">
        <f t="shared" si="23"/>
        <v>0.4703080864853274</v>
      </c>
      <c r="O715" s="17" t="s">
        <v>1027</v>
      </c>
      <c r="P715" s="17" t="s">
        <v>1028</v>
      </c>
      <c r="Q715" s="17" t="s">
        <v>1023</v>
      </c>
      <c r="R715" s="17" t="str">
        <f>VLOOKUP(A715,[1]Export!$A:$I,9,0)</f>
        <v>Comprou Marcas</v>
      </c>
      <c r="S715" s="17" t="s">
        <v>1022</v>
      </c>
      <c r="T715" s="20"/>
      <c r="U715" s="17"/>
      <c r="V715" s="17"/>
    </row>
    <row r="716" spans="1:22" x14ac:dyDescent="0.35">
      <c r="A716" s="4">
        <v>62145174000108</v>
      </c>
      <c r="B716" s="7"/>
      <c r="C716" s="4"/>
      <c r="D716" s="1" t="s">
        <v>739</v>
      </c>
      <c r="E716" s="1" t="s">
        <v>166</v>
      </c>
      <c r="F716" s="1" t="s">
        <v>8</v>
      </c>
      <c r="G716" s="10" t="s">
        <v>20</v>
      </c>
      <c r="H716" s="1" t="s">
        <v>17</v>
      </c>
      <c r="I716" s="21" t="s">
        <v>1068</v>
      </c>
      <c r="J716" s="18">
        <f>VLOOKUP(A716,[2]Export!$A:$B,2,0)</f>
        <v>2067.7488709561685</v>
      </c>
      <c r="K716" s="18">
        <f>VLOOKUP(A716,[2]Export!$A:$C,3,0)</f>
        <v>1912.0900000000001</v>
      </c>
      <c r="L716" s="19">
        <f t="shared" si="22"/>
        <v>0.92472061131669792</v>
      </c>
      <c r="M716" s="18">
        <f>VLOOKUP(A716,[2]Export!$A:$G,7,0)</f>
        <v>0</v>
      </c>
      <c r="N716" s="19">
        <f t="shared" si="23"/>
        <v>0</v>
      </c>
      <c r="O716" s="17" t="s">
        <v>1025</v>
      </c>
      <c r="P716" s="17" t="s">
        <v>1026</v>
      </c>
      <c r="Q716" s="17" t="s">
        <v>1023</v>
      </c>
      <c r="R716" s="17" t="str">
        <f>VLOOKUP(A716,[1]Export!$A:$I,9,0)</f>
        <v>Não Comprou</v>
      </c>
      <c r="S716" s="17" t="s">
        <v>1023</v>
      </c>
      <c r="T716" s="20"/>
      <c r="U716" s="17"/>
      <c r="V716" s="17"/>
    </row>
    <row r="717" spans="1:22" x14ac:dyDescent="0.35">
      <c r="A717" s="4">
        <v>4383728000109</v>
      </c>
      <c r="B717" s="7"/>
      <c r="C717" s="4"/>
      <c r="D717" s="1" t="s">
        <v>355</v>
      </c>
      <c r="E717" s="1" t="s">
        <v>356</v>
      </c>
      <c r="F717" s="1" t="s">
        <v>48</v>
      </c>
      <c r="G717" s="10" t="s">
        <v>38</v>
      </c>
      <c r="H717" s="1" t="s">
        <v>17</v>
      </c>
      <c r="I717" s="21" t="s">
        <v>1073</v>
      </c>
      <c r="J717" s="18">
        <f>VLOOKUP(A717,[2]Export!$A:$B,2,0)</f>
        <v>7699.421640208484</v>
      </c>
      <c r="K717" s="18">
        <f>VLOOKUP(A717,[2]Export!$A:$C,3,0)</f>
        <v>3465.1099999999997</v>
      </c>
      <c r="L717" s="19">
        <f t="shared" ref="L717:L780" si="24">K717/J717</f>
        <v>0.45004808957392961</v>
      </c>
      <c r="M717" s="18">
        <f>VLOOKUP(A717,[2]Export!$A:$G,7,0)</f>
        <v>3329.9600000000005</v>
      </c>
      <c r="N717" s="19">
        <f t="shared" ref="N717:N780" si="25">M717/J717</f>
        <v>0.43249482306697418</v>
      </c>
      <c r="O717" s="17" t="s">
        <v>1027</v>
      </c>
      <c r="P717" s="17" t="s">
        <v>1028</v>
      </c>
      <c r="Q717" s="17" t="s">
        <v>1023</v>
      </c>
      <c r="R717" s="17" t="str">
        <f>VLOOKUP(A717,[1]Export!$A:$I,9,0)</f>
        <v>Comprou Marcas e SG</v>
      </c>
      <c r="S717" s="17" t="s">
        <v>1022</v>
      </c>
      <c r="T717" s="20"/>
      <c r="U717" s="17"/>
      <c r="V717" s="17"/>
    </row>
    <row r="718" spans="1:22" x14ac:dyDescent="0.35">
      <c r="A718" s="4">
        <v>55497176000192</v>
      </c>
      <c r="B718" s="7"/>
      <c r="C718" s="4"/>
      <c r="D718" s="1" t="s">
        <v>740</v>
      </c>
      <c r="E718" s="1" t="s">
        <v>422</v>
      </c>
      <c r="F718" s="1" t="s">
        <v>48</v>
      </c>
      <c r="G718" s="10" t="s">
        <v>87</v>
      </c>
      <c r="H718" s="1" t="s">
        <v>17</v>
      </c>
      <c r="I718" s="21" t="s">
        <v>1071</v>
      </c>
      <c r="J718" s="18">
        <f>VLOOKUP(A718,[2]Export!$A:$B,2,0)</f>
        <v>3173.1513959558215</v>
      </c>
      <c r="K718" s="18">
        <f>VLOOKUP(A718,[2]Export!$A:$C,3,0)</f>
        <v>2188.77</v>
      </c>
      <c r="L718" s="19">
        <f t="shared" si="24"/>
        <v>0.68977799256272021</v>
      </c>
      <c r="M718" s="18">
        <f>VLOOKUP(A718,[2]Export!$A:$G,7,0)</f>
        <v>2129.12</v>
      </c>
      <c r="N718" s="19">
        <f t="shared" si="25"/>
        <v>0.67097964588565218</v>
      </c>
      <c r="O718" s="17" t="s">
        <v>1027</v>
      </c>
      <c r="P718" s="17" t="s">
        <v>1026</v>
      </c>
      <c r="Q718" s="17" t="s">
        <v>1023</v>
      </c>
      <c r="R718" s="17" t="str">
        <f>VLOOKUP(A718,[1]Export!$A:$I,9,0)</f>
        <v>Comprou Marcas</v>
      </c>
      <c r="S718" s="17" t="s">
        <v>1022</v>
      </c>
      <c r="T718" s="20"/>
      <c r="U718" s="17"/>
      <c r="V718" s="17"/>
    </row>
    <row r="719" spans="1:22" x14ac:dyDescent="0.35">
      <c r="A719" s="5">
        <v>9492647000829</v>
      </c>
      <c r="B719" s="7"/>
      <c r="C719" s="4"/>
      <c r="D719" s="6" t="s">
        <v>104</v>
      </c>
      <c r="E719" s="6" t="s">
        <v>290</v>
      </c>
      <c r="F719" s="6" t="s">
        <v>8</v>
      </c>
      <c r="G719" s="11" t="s">
        <v>9</v>
      </c>
      <c r="H719" s="6" t="s">
        <v>10</v>
      </c>
      <c r="I719" s="21" t="s">
        <v>1070</v>
      </c>
      <c r="J719" s="18">
        <f>VLOOKUP(A719,[2]Export!$A:$B,2,0)</f>
        <v>15368.611101298697</v>
      </c>
      <c r="K719" s="18">
        <f>VLOOKUP(A719,[2]Export!$A:$C,3,0)</f>
        <v>9032.6400000000012</v>
      </c>
      <c r="L719" s="19">
        <f t="shared" si="24"/>
        <v>0.58773300596022726</v>
      </c>
      <c r="M719" s="18">
        <f>VLOOKUP(A719,[2]Export!$A:$G,7,0)</f>
        <v>12938.199999999997</v>
      </c>
      <c r="N719" s="19">
        <f t="shared" si="25"/>
        <v>0.84185876750480582</v>
      </c>
      <c r="O719" s="17" t="s">
        <v>1027</v>
      </c>
      <c r="P719" s="17" t="s">
        <v>1028</v>
      </c>
      <c r="Q719" s="17" t="s">
        <v>1023</v>
      </c>
      <c r="R719" s="17" t="str">
        <f>VLOOKUP(A719,[1]Export!$A:$I,9,0)</f>
        <v>Comprou Marcas</v>
      </c>
      <c r="S719" s="17" t="s">
        <v>1022</v>
      </c>
      <c r="T719" s="20"/>
      <c r="U719" s="17"/>
      <c r="V719" s="17"/>
    </row>
    <row r="720" spans="1:22" x14ac:dyDescent="0.35">
      <c r="A720" s="4">
        <v>9571632000180</v>
      </c>
      <c r="B720" s="7"/>
      <c r="C720" s="4"/>
      <c r="D720" s="1" t="s">
        <v>104</v>
      </c>
      <c r="E720" s="1" t="s">
        <v>291</v>
      </c>
      <c r="F720" s="1" t="s">
        <v>8</v>
      </c>
      <c r="G720" s="10" t="s">
        <v>9</v>
      </c>
      <c r="H720" s="1" t="s">
        <v>10</v>
      </c>
      <c r="I720" s="21" t="s">
        <v>1066</v>
      </c>
      <c r="J720" s="18">
        <f>VLOOKUP(A720,[2]Export!$A:$B,2,0)</f>
        <v>9110.9575967773198</v>
      </c>
      <c r="K720" s="18">
        <f>VLOOKUP(A720,[2]Export!$A:$C,3,0)</f>
        <v>5705.3100000000013</v>
      </c>
      <c r="L720" s="19">
        <f t="shared" si="24"/>
        <v>0.62620311195587752</v>
      </c>
      <c r="M720" s="18">
        <f>VLOOKUP(A720,[2]Export!$A:$G,7,0)</f>
        <v>4741.24</v>
      </c>
      <c r="N720" s="19">
        <f t="shared" si="25"/>
        <v>0.52038876810018808</v>
      </c>
      <c r="O720" s="17" t="s">
        <v>1029</v>
      </c>
      <c r="P720" s="17" t="s">
        <v>1026</v>
      </c>
      <c r="Q720" s="17" t="s">
        <v>1022</v>
      </c>
      <c r="R720" s="17" t="str">
        <f>VLOOKUP(A720,[1]Export!$A:$I,9,0)</f>
        <v>Comprou Marcas</v>
      </c>
      <c r="S720" s="17" t="s">
        <v>1022</v>
      </c>
      <c r="T720" s="20"/>
      <c r="U720" s="17"/>
      <c r="V720" s="17"/>
    </row>
    <row r="721" spans="1:22" x14ac:dyDescent="0.35">
      <c r="A721" s="5">
        <v>62569939000129</v>
      </c>
      <c r="B721" s="7"/>
      <c r="C721" s="4"/>
      <c r="D721" s="6" t="s">
        <v>741</v>
      </c>
      <c r="E721" s="6" t="s">
        <v>166</v>
      </c>
      <c r="F721" s="6" t="s">
        <v>8</v>
      </c>
      <c r="G721" s="11" t="s">
        <v>486</v>
      </c>
      <c r="H721" s="6" t="s">
        <v>17</v>
      </c>
      <c r="I721" s="21" t="s">
        <v>1068</v>
      </c>
      <c r="J721" s="18">
        <f>VLOOKUP(A721,[2]Export!$A:$B,2,0)</f>
        <v>701.75541114768964</v>
      </c>
      <c r="K721" s="18">
        <f>VLOOKUP(A721,[2]Export!$A:$C,3,0)</f>
        <v>182.99</v>
      </c>
      <c r="L721" s="19">
        <f t="shared" si="24"/>
        <v>0.26076036905896888</v>
      </c>
      <c r="M721" s="18">
        <f>VLOOKUP(A721,[2]Export!$A:$G,7,0)</f>
        <v>0</v>
      </c>
      <c r="N721" s="19">
        <f t="shared" si="25"/>
        <v>0</v>
      </c>
      <c r="O721" s="17"/>
      <c r="P721" s="17"/>
      <c r="Q721" s="17"/>
      <c r="R721" s="17" t="str">
        <f>VLOOKUP(A721,[1]Export!$A:$I,9,0)</f>
        <v>Não Comprou</v>
      </c>
      <c r="S721" s="17"/>
      <c r="T721" s="20"/>
      <c r="U721" s="17"/>
      <c r="V721" s="17"/>
    </row>
    <row r="722" spans="1:22" x14ac:dyDescent="0.35">
      <c r="A722" s="4">
        <v>49340554000127</v>
      </c>
      <c r="B722" s="7"/>
      <c r="C722" s="4"/>
      <c r="D722" s="1" t="s">
        <v>742</v>
      </c>
      <c r="E722" s="1" t="s">
        <v>588</v>
      </c>
      <c r="F722" s="1" t="s">
        <v>8</v>
      </c>
      <c r="G722" s="10" t="s">
        <v>33</v>
      </c>
      <c r="H722" s="1" t="s">
        <v>17</v>
      </c>
      <c r="I722" s="21" t="s">
        <v>1066</v>
      </c>
      <c r="J722" s="18">
        <f>VLOOKUP(A722,[2]Export!$A:$B,2,0)</f>
        <v>7047.6976686977341</v>
      </c>
      <c r="K722" s="18">
        <f>VLOOKUP(A722,[2]Export!$A:$C,3,0)</f>
        <v>4090.7700000000009</v>
      </c>
      <c r="L722" s="19">
        <f t="shared" si="24"/>
        <v>0.58044061937689351</v>
      </c>
      <c r="M722" s="18">
        <f>VLOOKUP(A722,[2]Export!$A:$G,7,0)</f>
        <v>3446.29</v>
      </c>
      <c r="N722" s="19">
        <f t="shared" si="25"/>
        <v>0.48899515302801033</v>
      </c>
      <c r="O722" s="17" t="s">
        <v>1027</v>
      </c>
      <c r="P722" s="17" t="s">
        <v>1026</v>
      </c>
      <c r="Q722" s="17" t="s">
        <v>1023</v>
      </c>
      <c r="R722" s="17" t="str">
        <f>VLOOKUP(A722,[1]Export!$A:$I,9,0)</f>
        <v>Comprou Marcas</v>
      </c>
      <c r="S722" s="17" t="s">
        <v>1022</v>
      </c>
      <c r="T722" s="20"/>
      <c r="U722" s="17"/>
      <c r="V722" s="17"/>
    </row>
    <row r="723" spans="1:22" x14ac:dyDescent="0.35">
      <c r="A723" s="5">
        <v>49560389000208</v>
      </c>
      <c r="B723" s="7"/>
      <c r="C723" s="4"/>
      <c r="D723" s="6" t="s">
        <v>743</v>
      </c>
      <c r="E723" s="6" t="s">
        <v>14</v>
      </c>
      <c r="F723" s="6" t="s">
        <v>15</v>
      </c>
      <c r="G723" s="11" t="s">
        <v>36</v>
      </c>
      <c r="H723" s="6" t="s">
        <v>17</v>
      </c>
      <c r="I723" s="21" t="s">
        <v>1067</v>
      </c>
      <c r="J723" s="18">
        <f>VLOOKUP(A723,[2]Export!$A:$B,2,0)</f>
        <v>2067.1661373761171</v>
      </c>
      <c r="K723" s="18">
        <f>VLOOKUP(A723,[2]Export!$A:$C,3,0)</f>
        <v>580.12999999999988</v>
      </c>
      <c r="L723" s="19">
        <f t="shared" si="24"/>
        <v>0.28064023955828099</v>
      </c>
      <c r="M723" s="18">
        <f>VLOOKUP(A723,[2]Export!$A:$G,7,0)</f>
        <v>0</v>
      </c>
      <c r="N723" s="19">
        <f t="shared" si="25"/>
        <v>0</v>
      </c>
      <c r="O723" s="17" t="s">
        <v>1025</v>
      </c>
      <c r="P723" s="17" t="s">
        <v>1026</v>
      </c>
      <c r="Q723" s="17" t="s">
        <v>1022</v>
      </c>
      <c r="R723" s="17" t="str">
        <f>VLOOKUP(A723,[1]Export!$A:$I,9,0)</f>
        <v>Não Comprou</v>
      </c>
      <c r="S723" s="17" t="s">
        <v>1023</v>
      </c>
      <c r="T723" s="20"/>
      <c r="U723" s="17"/>
      <c r="V723" s="17"/>
    </row>
    <row r="724" spans="1:22" x14ac:dyDescent="0.35">
      <c r="A724" s="4">
        <v>52852354000168</v>
      </c>
      <c r="B724" s="7"/>
      <c r="C724" s="4"/>
      <c r="D724" s="1" t="s">
        <v>597</v>
      </c>
      <c r="E724" s="1" t="s">
        <v>379</v>
      </c>
      <c r="F724" s="1" t="s">
        <v>15</v>
      </c>
      <c r="G724" s="10" t="s">
        <v>36</v>
      </c>
      <c r="H724" s="1" t="s">
        <v>17</v>
      </c>
      <c r="I724" s="21" t="s">
        <v>1073</v>
      </c>
      <c r="J724" s="18">
        <f>VLOOKUP(A724,[2]Export!$A:$B,2,0)</f>
        <v>6412.0350027199138</v>
      </c>
      <c r="K724" s="18">
        <f>VLOOKUP(A724,[2]Export!$A:$C,3,0)</f>
        <v>3463.19</v>
      </c>
      <c r="L724" s="19">
        <f t="shared" si="24"/>
        <v>0.5401077814657832</v>
      </c>
      <c r="M724" s="18">
        <f>VLOOKUP(A724,[2]Export!$A:$G,7,0)</f>
        <v>2148.46</v>
      </c>
      <c r="N724" s="19">
        <f t="shared" si="25"/>
        <v>0.33506679222565805</v>
      </c>
      <c r="O724" s="17" t="s">
        <v>1025</v>
      </c>
      <c r="P724" s="17" t="s">
        <v>1026</v>
      </c>
      <c r="Q724" s="17" t="s">
        <v>1022</v>
      </c>
      <c r="R724" s="17" t="str">
        <f>VLOOKUP(A724,[1]Export!$A:$I,9,0)</f>
        <v>Comprou Marcas</v>
      </c>
      <c r="S724" s="17" t="s">
        <v>1023</v>
      </c>
      <c r="T724" s="20"/>
      <c r="U724" s="17"/>
      <c r="V724" s="17">
        <v>1</v>
      </c>
    </row>
    <row r="725" spans="1:22" x14ac:dyDescent="0.35">
      <c r="A725" s="5">
        <v>50357285000190</v>
      </c>
      <c r="B725" s="7"/>
      <c r="C725" s="4"/>
      <c r="D725" s="6" t="s">
        <v>69</v>
      </c>
      <c r="E725" s="6" t="s">
        <v>14</v>
      </c>
      <c r="F725" s="6" t="s">
        <v>15</v>
      </c>
      <c r="G725" s="11" t="s">
        <v>64</v>
      </c>
      <c r="H725" s="6" t="s">
        <v>17</v>
      </c>
      <c r="I725" s="21" t="s">
        <v>1067</v>
      </c>
      <c r="J725" s="18">
        <f>VLOOKUP(A725,[2]Export!$A:$B,2,0)</f>
        <v>15557.601534356534</v>
      </c>
      <c r="K725" s="18">
        <f>VLOOKUP(A725,[2]Export!$A:$C,3,0)</f>
        <v>6942.2799999999988</v>
      </c>
      <c r="L725" s="19">
        <f t="shared" si="24"/>
        <v>0.44623073708817246</v>
      </c>
      <c r="M725" s="18">
        <f>VLOOKUP(A725,[2]Export!$A:$G,7,0)</f>
        <v>0</v>
      </c>
      <c r="N725" s="19">
        <f t="shared" si="25"/>
        <v>0</v>
      </c>
      <c r="O725" s="17" t="s">
        <v>1025</v>
      </c>
      <c r="P725" s="17" t="s">
        <v>1026</v>
      </c>
      <c r="Q725" s="17" t="s">
        <v>1022</v>
      </c>
      <c r="R725" s="17" t="str">
        <f>VLOOKUP(A725,[1]Export!$A:$I,9,0)</f>
        <v>Não Comprou</v>
      </c>
      <c r="S725" s="17" t="s">
        <v>1023</v>
      </c>
      <c r="T725" s="20"/>
      <c r="U725" s="17"/>
      <c r="V725" s="17"/>
    </row>
    <row r="726" spans="1:22" x14ac:dyDescent="0.35">
      <c r="A726" s="4">
        <v>50963555000107</v>
      </c>
      <c r="B726" s="7"/>
      <c r="C726" s="4"/>
      <c r="D726" s="1" t="s">
        <v>744</v>
      </c>
      <c r="E726" s="1" t="s">
        <v>388</v>
      </c>
      <c r="F726" s="1" t="s">
        <v>8</v>
      </c>
      <c r="G726" s="10" t="s">
        <v>20</v>
      </c>
      <c r="H726" s="1" t="s">
        <v>17</v>
      </c>
      <c r="I726" s="21" t="s">
        <v>1070</v>
      </c>
      <c r="J726" s="18">
        <f>VLOOKUP(A726,[2]Export!$A:$B,2,0)</f>
        <v>9994.728787519427</v>
      </c>
      <c r="K726" s="18">
        <f>VLOOKUP(A726,[2]Export!$A:$C,3,0)</f>
        <v>6935.94</v>
      </c>
      <c r="L726" s="19">
        <f t="shared" si="24"/>
        <v>0.69395980095638166</v>
      </c>
      <c r="M726" s="18">
        <f>VLOOKUP(A726,[2]Export!$A:$G,7,0)</f>
        <v>3669.14</v>
      </c>
      <c r="N726" s="19">
        <f t="shared" si="25"/>
        <v>0.36710751016893145</v>
      </c>
      <c r="O726" s="17" t="s">
        <v>1025</v>
      </c>
      <c r="P726" s="17" t="s">
        <v>1026</v>
      </c>
      <c r="Q726" s="17" t="s">
        <v>1023</v>
      </c>
      <c r="R726" s="17" t="str">
        <f>VLOOKUP(A726,[1]Export!$A:$I,9,0)</f>
        <v>Comprou Marcas</v>
      </c>
      <c r="S726" s="17" t="s">
        <v>1022</v>
      </c>
      <c r="T726" s="20"/>
      <c r="U726" s="17"/>
      <c r="V726" s="17"/>
    </row>
    <row r="727" spans="1:22" x14ac:dyDescent="0.35">
      <c r="A727" s="5">
        <v>52834325000173</v>
      </c>
      <c r="B727" s="7"/>
      <c r="C727" s="4"/>
      <c r="D727" s="6" t="s">
        <v>745</v>
      </c>
      <c r="E727" s="6" t="s">
        <v>127</v>
      </c>
      <c r="F727" s="6" t="s">
        <v>8</v>
      </c>
      <c r="G727" s="11" t="s">
        <v>74</v>
      </c>
      <c r="H727" s="6" t="s">
        <v>17</v>
      </c>
      <c r="I727" s="21" t="s">
        <v>1068</v>
      </c>
      <c r="J727" s="18">
        <f>VLOOKUP(A727,[2]Export!$A:$B,2,0)</f>
        <v>4776.9568039854239</v>
      </c>
      <c r="K727" s="18">
        <f>VLOOKUP(A727,[2]Export!$A:$C,3,0)</f>
        <v>2548.1499999999996</v>
      </c>
      <c r="L727" s="19">
        <f t="shared" si="24"/>
        <v>0.53342538033295028</v>
      </c>
      <c r="M727" s="18">
        <f>VLOOKUP(A727,[2]Export!$A:$G,7,0)</f>
        <v>0</v>
      </c>
      <c r="N727" s="19">
        <f t="shared" si="25"/>
        <v>0</v>
      </c>
      <c r="O727" s="17" t="s">
        <v>1027</v>
      </c>
      <c r="P727" s="17" t="s">
        <v>1026</v>
      </c>
      <c r="Q727" s="17" t="s">
        <v>1023</v>
      </c>
      <c r="R727" s="17" t="str">
        <f>VLOOKUP(A727,[1]Export!$A:$I,9,0)</f>
        <v>Não Comprou</v>
      </c>
      <c r="S727" s="17" t="s">
        <v>1022</v>
      </c>
      <c r="T727" s="20">
        <v>4</v>
      </c>
      <c r="U727" s="17"/>
      <c r="V727" s="17"/>
    </row>
    <row r="728" spans="1:22" x14ac:dyDescent="0.35">
      <c r="A728" s="4">
        <v>56193995000109</v>
      </c>
      <c r="B728" s="7"/>
      <c r="C728" s="4"/>
      <c r="D728" s="1" t="s">
        <v>746</v>
      </c>
      <c r="E728" s="1" t="s">
        <v>186</v>
      </c>
      <c r="F728" s="1" t="s">
        <v>15</v>
      </c>
      <c r="G728" s="10" t="s">
        <v>20</v>
      </c>
      <c r="H728" s="1" t="s">
        <v>17</v>
      </c>
      <c r="I728" s="21" t="s">
        <v>1067</v>
      </c>
      <c r="J728" s="18">
        <f>VLOOKUP(A728,[2]Export!$A:$B,2,0)</f>
        <v>2202.0601050805026</v>
      </c>
      <c r="K728" s="18">
        <f>VLOOKUP(A728,[2]Export!$A:$C,3,0)</f>
        <v>980.11</v>
      </c>
      <c r="L728" s="19">
        <f t="shared" si="24"/>
        <v>0.44508776020179036</v>
      </c>
      <c r="M728" s="18">
        <f>VLOOKUP(A728,[2]Export!$A:$G,7,0)</f>
        <v>0</v>
      </c>
      <c r="N728" s="19">
        <f t="shared" si="25"/>
        <v>0</v>
      </c>
      <c r="O728" s="17"/>
      <c r="P728" s="17"/>
      <c r="Q728" s="17"/>
      <c r="R728" s="17" t="str">
        <f>VLOOKUP(A728,[1]Export!$A:$I,9,0)</f>
        <v>Não Comprou</v>
      </c>
      <c r="S728" s="17"/>
      <c r="T728" s="20"/>
      <c r="U728" s="17"/>
      <c r="V728" s="17"/>
    </row>
    <row r="729" spans="1:22" x14ac:dyDescent="0.35">
      <c r="A729" s="5">
        <v>73706830000102</v>
      </c>
      <c r="B729" s="7"/>
      <c r="C729" s="4">
        <v>1372</v>
      </c>
      <c r="D729" s="6" t="s">
        <v>747</v>
      </c>
      <c r="E729" s="6" t="s">
        <v>293</v>
      </c>
      <c r="F729" s="6" t="s">
        <v>15</v>
      </c>
      <c r="G729" s="11" t="s">
        <v>20</v>
      </c>
      <c r="H729" s="6" t="s">
        <v>17</v>
      </c>
      <c r="I729" s="21" t="s">
        <v>1067</v>
      </c>
      <c r="J729" s="18">
        <f>VLOOKUP(A729,[2]Export!$A:$B,2,0)</f>
        <v>24891.470686369972</v>
      </c>
      <c r="K729" s="18">
        <f>VLOOKUP(A729,[2]Export!$A:$C,3,0)</f>
        <v>13015.46</v>
      </c>
      <c r="L729" s="19">
        <f t="shared" si="24"/>
        <v>0.52288834854290001</v>
      </c>
      <c r="M729" s="18">
        <f>VLOOKUP(A729,[2]Export!$A:$G,7,0)</f>
        <v>10215.18</v>
      </c>
      <c r="N729" s="19">
        <f t="shared" si="25"/>
        <v>0.41038876845447347</v>
      </c>
      <c r="O729" s="17" t="s">
        <v>1025</v>
      </c>
      <c r="P729" s="17" t="s">
        <v>1026</v>
      </c>
      <c r="Q729" s="17" t="s">
        <v>1023</v>
      </c>
      <c r="R729" s="17" t="str">
        <f>VLOOKUP(A729,[1]Export!$A:$I,9,0)</f>
        <v>Comprou Marcas e SG</v>
      </c>
      <c r="S729" s="17" t="s">
        <v>1022</v>
      </c>
      <c r="T729" s="20"/>
      <c r="U729" s="17"/>
      <c r="V729" s="17"/>
    </row>
    <row r="730" spans="1:22" x14ac:dyDescent="0.35">
      <c r="A730" s="4">
        <v>7542034000157</v>
      </c>
      <c r="B730" s="7"/>
      <c r="C730" s="4"/>
      <c r="D730" s="1" t="s">
        <v>142</v>
      </c>
      <c r="E730" s="1" t="s">
        <v>377</v>
      </c>
      <c r="F730" s="1" t="s">
        <v>48</v>
      </c>
      <c r="G730" s="10" t="s">
        <v>352</v>
      </c>
      <c r="H730" s="1" t="s">
        <v>17</v>
      </c>
      <c r="I730" s="21" t="s">
        <v>1071</v>
      </c>
      <c r="J730" s="18">
        <f>VLOOKUP(A730,[2]Export!$A:$B,2,0)</f>
        <v>10514.823674811154</v>
      </c>
      <c r="K730" s="18">
        <f>VLOOKUP(A730,[2]Export!$A:$C,3,0)</f>
        <v>6587.68</v>
      </c>
      <c r="L730" s="19">
        <f t="shared" si="24"/>
        <v>0.62651359677872254</v>
      </c>
      <c r="M730" s="18">
        <f>VLOOKUP(A730,[2]Export!$A:$G,7,0)</f>
        <v>919.55</v>
      </c>
      <c r="N730" s="19">
        <f t="shared" si="25"/>
        <v>8.7452726592347263E-2</v>
      </c>
      <c r="O730" s="17" t="s">
        <v>1025</v>
      </c>
      <c r="P730" s="17" t="s">
        <v>1026</v>
      </c>
      <c r="Q730" s="17" t="s">
        <v>1022</v>
      </c>
      <c r="R730" s="17" t="str">
        <f>VLOOKUP(A730,[1]Export!$A:$I,9,0)</f>
        <v>Comprou Marcas e SG</v>
      </c>
      <c r="S730" s="17" t="s">
        <v>1022</v>
      </c>
      <c r="T730" s="20"/>
      <c r="U730" s="17"/>
      <c r="V730" s="17"/>
    </row>
    <row r="731" spans="1:22" x14ac:dyDescent="0.35">
      <c r="A731" s="5">
        <v>7863592000114</v>
      </c>
      <c r="B731" s="7"/>
      <c r="C731" s="4"/>
      <c r="D731" s="6" t="s">
        <v>748</v>
      </c>
      <c r="E731" s="6" t="s">
        <v>50</v>
      </c>
      <c r="F731" s="6" t="s">
        <v>48</v>
      </c>
      <c r="G731" s="11" t="s">
        <v>20</v>
      </c>
      <c r="H731" s="6" t="s">
        <v>17</v>
      </c>
      <c r="I731" s="21" t="s">
        <v>1071</v>
      </c>
      <c r="J731" s="18">
        <f>VLOOKUP(A731,[2]Export!$A:$B,2,0)</f>
        <v>3440.700983933461</v>
      </c>
      <c r="K731" s="18">
        <f>VLOOKUP(A731,[2]Export!$A:$C,3,0)</f>
        <v>1466.3600000000001</v>
      </c>
      <c r="L731" s="19">
        <f t="shared" si="24"/>
        <v>0.42618059716530071</v>
      </c>
      <c r="M731" s="18">
        <f>VLOOKUP(A731,[2]Export!$A:$G,7,0)</f>
        <v>0</v>
      </c>
      <c r="N731" s="19">
        <f t="shared" si="25"/>
        <v>0</v>
      </c>
      <c r="O731" s="17" t="s">
        <v>1025</v>
      </c>
      <c r="P731" s="17" t="s">
        <v>1026</v>
      </c>
      <c r="Q731" s="17" t="s">
        <v>1023</v>
      </c>
      <c r="R731" s="17" t="str">
        <f>VLOOKUP(A731,[1]Export!$A:$I,9,0)</f>
        <v>Não Comprou</v>
      </c>
      <c r="S731" s="17" t="s">
        <v>1023</v>
      </c>
      <c r="T731" s="20"/>
      <c r="U731" s="17"/>
      <c r="V731" s="17"/>
    </row>
    <row r="732" spans="1:22" x14ac:dyDescent="0.35">
      <c r="A732" s="4">
        <v>8986750000358</v>
      </c>
      <c r="B732" s="7"/>
      <c r="C732" s="4"/>
      <c r="D732" s="1" t="s">
        <v>289</v>
      </c>
      <c r="E732" s="1" t="s">
        <v>14</v>
      </c>
      <c r="F732" s="1" t="s">
        <v>15</v>
      </c>
      <c r="G732" s="10" t="s">
        <v>36</v>
      </c>
      <c r="H732" s="1" t="s">
        <v>17</v>
      </c>
      <c r="I732" s="21" t="s">
        <v>1067</v>
      </c>
      <c r="J732" s="18">
        <f>VLOOKUP(A732,[2]Export!$A:$B,2,0)</f>
        <v>2338.3007894439406</v>
      </c>
      <c r="K732" s="18">
        <f>VLOOKUP(A732,[2]Export!$A:$C,3,0)</f>
        <v>1075.94</v>
      </c>
      <c r="L732" s="19">
        <f t="shared" si="24"/>
        <v>0.46013755153196689</v>
      </c>
      <c r="M732" s="18">
        <f>VLOOKUP(A732,[2]Export!$A:$G,7,0)</f>
        <v>0</v>
      </c>
      <c r="N732" s="19">
        <f t="shared" si="25"/>
        <v>0</v>
      </c>
      <c r="O732" s="17" t="s">
        <v>1025</v>
      </c>
      <c r="P732" s="17" t="s">
        <v>1026</v>
      </c>
      <c r="Q732" s="17" t="s">
        <v>1022</v>
      </c>
      <c r="R732" s="17" t="str">
        <f>VLOOKUP(A732,[1]Export!$A:$I,9,0)</f>
        <v>Não Comprou</v>
      </c>
      <c r="S732" s="17" t="s">
        <v>1023</v>
      </c>
      <c r="T732" s="20"/>
      <c r="U732" s="17"/>
      <c r="V732" s="17"/>
    </row>
    <row r="733" spans="1:22" x14ac:dyDescent="0.35">
      <c r="A733" s="5">
        <v>9267822000108</v>
      </c>
      <c r="B733" s="7"/>
      <c r="C733" s="4"/>
      <c r="D733" s="6" t="s">
        <v>749</v>
      </c>
      <c r="E733" s="6" t="s">
        <v>52</v>
      </c>
      <c r="F733" s="6" t="s">
        <v>8</v>
      </c>
      <c r="G733" s="11" t="s">
        <v>16</v>
      </c>
      <c r="H733" s="6" t="s">
        <v>17</v>
      </c>
      <c r="I733" s="21" t="s">
        <v>1072</v>
      </c>
      <c r="J733" s="18">
        <f>VLOOKUP(A733,[2]Export!$A:$B,2,0)</f>
        <v>3512.7989134551322</v>
      </c>
      <c r="K733" s="18">
        <f>VLOOKUP(A733,[2]Export!$A:$C,3,0)</f>
        <v>1566.1400000000003</v>
      </c>
      <c r="L733" s="19">
        <f t="shared" si="24"/>
        <v>0.44583821578889365</v>
      </c>
      <c r="M733" s="18">
        <f>VLOOKUP(A733,[2]Export!$A:$G,7,0)</f>
        <v>0</v>
      </c>
      <c r="N733" s="19">
        <f t="shared" si="25"/>
        <v>0</v>
      </c>
      <c r="O733" s="17"/>
      <c r="P733" s="17"/>
      <c r="Q733" s="17"/>
      <c r="R733" s="17" t="str">
        <f>VLOOKUP(A733,[1]Export!$A:$I,9,0)</f>
        <v>Não Comprou</v>
      </c>
      <c r="S733" s="17"/>
      <c r="T733" s="20"/>
      <c r="U733" s="17"/>
      <c r="V733" s="17"/>
    </row>
    <row r="734" spans="1:22" x14ac:dyDescent="0.35">
      <c r="A734" s="4">
        <v>10272710000124</v>
      </c>
      <c r="B734" s="7"/>
      <c r="C734" s="4"/>
      <c r="D734" s="1" t="s">
        <v>750</v>
      </c>
      <c r="E734" s="1" t="s">
        <v>327</v>
      </c>
      <c r="F734" s="1" t="s">
        <v>15</v>
      </c>
      <c r="G734" s="10" t="s">
        <v>20</v>
      </c>
      <c r="H734" s="1" t="s">
        <v>17</v>
      </c>
      <c r="I734" s="21" t="s">
        <v>1069</v>
      </c>
      <c r="J734" s="18">
        <f>VLOOKUP(A734,[2]Export!$A:$B,2,0)</f>
        <v>2327.5496009490444</v>
      </c>
      <c r="K734" s="18">
        <f>VLOOKUP(A734,[2]Export!$A:$C,3,0)</f>
        <v>1221.08</v>
      </c>
      <c r="L734" s="19">
        <f t="shared" si="24"/>
        <v>0.52462039885298761</v>
      </c>
      <c r="M734" s="18">
        <f>VLOOKUP(A734,[2]Export!$A:$G,7,0)</f>
        <v>557.9</v>
      </c>
      <c r="N734" s="19">
        <f t="shared" si="25"/>
        <v>0.23969414004003162</v>
      </c>
      <c r="O734" s="17" t="s">
        <v>1027</v>
      </c>
      <c r="P734" s="17" t="s">
        <v>1026</v>
      </c>
      <c r="Q734" s="17" t="s">
        <v>1023</v>
      </c>
      <c r="R734" s="17" t="str">
        <f>VLOOKUP(A734,[1]Export!$A:$I,9,0)</f>
        <v>Comprou Marcas</v>
      </c>
      <c r="S734" s="17" t="s">
        <v>1023</v>
      </c>
      <c r="T734" s="20"/>
      <c r="U734" s="17"/>
      <c r="V734" s="17"/>
    </row>
    <row r="735" spans="1:22" x14ac:dyDescent="0.35">
      <c r="A735" s="5">
        <v>48798235000105</v>
      </c>
      <c r="B735" s="7"/>
      <c r="C735" s="4"/>
      <c r="D735" s="6" t="s">
        <v>751</v>
      </c>
      <c r="E735" s="6" t="s">
        <v>50</v>
      </c>
      <c r="F735" s="6" t="s">
        <v>48</v>
      </c>
      <c r="G735" s="11" t="s">
        <v>87</v>
      </c>
      <c r="H735" s="6" t="s">
        <v>17</v>
      </c>
      <c r="I735" s="21" t="s">
        <v>1071</v>
      </c>
      <c r="J735" s="18">
        <f>VLOOKUP(A735,[2]Export!$A:$B,2,0)</f>
        <v>9864.7310076469003</v>
      </c>
      <c r="K735" s="18">
        <f>VLOOKUP(A735,[2]Export!$A:$C,3,0)</f>
        <v>4158.09</v>
      </c>
      <c r="L735" s="19">
        <f t="shared" si="24"/>
        <v>0.42151073321479821</v>
      </c>
      <c r="M735" s="18">
        <f>VLOOKUP(A735,[2]Export!$A:$G,7,0)</f>
        <v>0</v>
      </c>
      <c r="N735" s="19">
        <f t="shared" si="25"/>
        <v>0</v>
      </c>
      <c r="O735" s="17" t="s">
        <v>1025</v>
      </c>
      <c r="P735" s="17" t="s">
        <v>1026</v>
      </c>
      <c r="Q735" s="17" t="s">
        <v>1023</v>
      </c>
      <c r="R735" s="17" t="str">
        <f>VLOOKUP(A735,[1]Export!$A:$I,9,0)</f>
        <v>Não Comprou</v>
      </c>
      <c r="S735" s="17" t="s">
        <v>1023</v>
      </c>
      <c r="T735" s="20"/>
      <c r="U735" s="17"/>
      <c r="V735" s="17"/>
    </row>
    <row r="736" spans="1:22" x14ac:dyDescent="0.35">
      <c r="A736" s="4">
        <v>49581378000115</v>
      </c>
      <c r="B736" s="7"/>
      <c r="C736" s="4"/>
      <c r="D736" s="1" t="s">
        <v>752</v>
      </c>
      <c r="E736" s="1" t="s">
        <v>52</v>
      </c>
      <c r="F736" s="1" t="s">
        <v>8</v>
      </c>
      <c r="G736" s="10" t="s">
        <v>20</v>
      </c>
      <c r="H736" s="1" t="s">
        <v>17</v>
      </c>
      <c r="I736" s="21" t="s">
        <v>1072</v>
      </c>
      <c r="J736" s="18">
        <f>VLOOKUP(A736,[2]Export!$A:$B,2,0)</f>
        <v>782.59317317021282</v>
      </c>
      <c r="K736" s="18">
        <f>VLOOKUP(A736,[2]Export!$A:$C,3,0)</f>
        <v>1002.12</v>
      </c>
      <c r="L736" s="19">
        <f t="shared" si="24"/>
        <v>1.2805120647047101</v>
      </c>
      <c r="M736" s="18">
        <f>VLOOKUP(A736,[2]Export!$A:$G,7,0)</f>
        <v>0</v>
      </c>
      <c r="N736" s="19">
        <f t="shared" si="25"/>
        <v>0</v>
      </c>
      <c r="O736" s="17" t="s">
        <v>1027</v>
      </c>
      <c r="P736" s="17" t="s">
        <v>1028</v>
      </c>
      <c r="Q736" s="17" t="s">
        <v>1023</v>
      </c>
      <c r="R736" s="17" t="str">
        <f>VLOOKUP(A736,[1]Export!$A:$I,9,0)</f>
        <v>Não Comprou</v>
      </c>
      <c r="S736" s="17" t="s">
        <v>1023</v>
      </c>
      <c r="T736" s="20"/>
      <c r="U736" s="17"/>
      <c r="V736" s="17"/>
    </row>
    <row r="737" spans="1:22" x14ac:dyDescent="0.35">
      <c r="A737" s="5">
        <v>52330020000124</v>
      </c>
      <c r="B737" s="7"/>
      <c r="C737" s="4"/>
      <c r="D737" s="6" t="s">
        <v>150</v>
      </c>
      <c r="E737" s="6" t="s">
        <v>182</v>
      </c>
      <c r="F737" s="6" t="s">
        <v>8</v>
      </c>
      <c r="G737" s="11" t="s">
        <v>33</v>
      </c>
      <c r="H737" s="6" t="s">
        <v>17</v>
      </c>
      <c r="I737" s="21" t="s">
        <v>1072</v>
      </c>
      <c r="J737" s="18">
        <f>VLOOKUP(A737,[2]Export!$A:$B,2,0)</f>
        <v>4948.2955009265588</v>
      </c>
      <c r="K737" s="18">
        <f>VLOOKUP(A737,[2]Export!$A:$C,3,0)</f>
        <v>5002.0299999999988</v>
      </c>
      <c r="L737" s="19">
        <f t="shared" si="24"/>
        <v>1.0108591936482731</v>
      </c>
      <c r="M737" s="18">
        <f>VLOOKUP(A737,[2]Export!$A:$G,7,0)</f>
        <v>4516.9799999999996</v>
      </c>
      <c r="N737" s="19">
        <f t="shared" si="25"/>
        <v>0.91283554087548002</v>
      </c>
      <c r="O737" s="17" t="s">
        <v>1027</v>
      </c>
      <c r="P737" s="17" t="s">
        <v>1026</v>
      </c>
      <c r="Q737" s="17" t="s">
        <v>1023</v>
      </c>
      <c r="R737" s="17" t="str">
        <f>VLOOKUP(A737,[1]Export!$A:$I,9,0)</f>
        <v>Comprou Marcas</v>
      </c>
      <c r="S737" s="17" t="s">
        <v>1022</v>
      </c>
      <c r="T737" s="20"/>
      <c r="U737" s="17">
        <v>4</v>
      </c>
      <c r="V737" s="17">
        <v>4</v>
      </c>
    </row>
    <row r="738" spans="1:22" x14ac:dyDescent="0.35">
      <c r="A738" s="4">
        <v>52331882000171</v>
      </c>
      <c r="B738" s="7" t="s">
        <v>346</v>
      </c>
      <c r="C738" s="4"/>
      <c r="D738" s="1" t="s">
        <v>346</v>
      </c>
      <c r="E738" s="1" t="s">
        <v>52</v>
      </c>
      <c r="F738" s="1" t="s">
        <v>8</v>
      </c>
      <c r="G738" s="10" t="s">
        <v>36</v>
      </c>
      <c r="H738" s="1" t="s">
        <v>17</v>
      </c>
      <c r="I738" s="21" t="s">
        <v>1072</v>
      </c>
      <c r="J738" s="18">
        <f>VLOOKUP(A738,[2]Export!$A:$B,2,0)</f>
        <v>1506.2253021473475</v>
      </c>
      <c r="K738" s="18">
        <f>VLOOKUP(A738,[2]Export!$A:$C,3,0)</f>
        <v>1754.46</v>
      </c>
      <c r="L738" s="19">
        <f t="shared" si="24"/>
        <v>1.1648058212133052</v>
      </c>
      <c r="M738" s="18">
        <f>VLOOKUP(A738,[2]Export!$A:$G,7,0)</f>
        <v>137.85</v>
      </c>
      <c r="N738" s="19">
        <f t="shared" si="25"/>
        <v>9.1520172847630685E-2</v>
      </c>
      <c r="O738" s="17" t="s">
        <v>1025</v>
      </c>
      <c r="P738" s="17" t="s">
        <v>1026</v>
      </c>
      <c r="Q738" s="17" t="s">
        <v>1023</v>
      </c>
      <c r="R738" s="17" t="str">
        <f>VLOOKUP(A738,[1]Export!$A:$I,9,0)</f>
        <v>Comprou Marcas</v>
      </c>
      <c r="S738" s="17" t="s">
        <v>1023</v>
      </c>
      <c r="T738" s="20"/>
      <c r="U738" s="17"/>
      <c r="V738" s="17"/>
    </row>
    <row r="739" spans="1:22" x14ac:dyDescent="0.35">
      <c r="A739" s="5">
        <v>7033833000106</v>
      </c>
      <c r="B739" s="7"/>
      <c r="C739" s="4"/>
      <c r="D739" s="6" t="s">
        <v>753</v>
      </c>
      <c r="E739" s="6" t="s">
        <v>14</v>
      </c>
      <c r="F739" s="6" t="s">
        <v>15</v>
      </c>
      <c r="G739" s="11" t="s">
        <v>20</v>
      </c>
      <c r="H739" s="6" t="s">
        <v>17</v>
      </c>
      <c r="I739" s="21" t="s">
        <v>1067</v>
      </c>
      <c r="J739" s="18">
        <f>VLOOKUP(A739,[2]Export!$A:$B,2,0)</f>
        <v>3666.5582426664973</v>
      </c>
      <c r="K739" s="18">
        <f>VLOOKUP(A739,[2]Export!$A:$C,3,0)</f>
        <v>800.53</v>
      </c>
      <c r="L739" s="19">
        <f t="shared" si="24"/>
        <v>0.21833281977755142</v>
      </c>
      <c r="M739" s="18">
        <f>VLOOKUP(A739,[2]Export!$A:$G,7,0)</f>
        <v>0</v>
      </c>
      <c r="N739" s="19">
        <f t="shared" si="25"/>
        <v>0</v>
      </c>
      <c r="O739" s="17" t="s">
        <v>1025</v>
      </c>
      <c r="P739" s="17" t="s">
        <v>1026</v>
      </c>
      <c r="Q739" s="17" t="s">
        <v>1023</v>
      </c>
      <c r="R739" s="17" t="str">
        <f>VLOOKUP(A739,[1]Export!$A:$I,9,0)</f>
        <v>Não Comprou</v>
      </c>
      <c r="S739" s="17" t="s">
        <v>1023</v>
      </c>
      <c r="T739" s="20"/>
      <c r="U739" s="17"/>
      <c r="V739" s="17"/>
    </row>
    <row r="740" spans="1:22" x14ac:dyDescent="0.35">
      <c r="A740" s="4">
        <v>7311428000102</v>
      </c>
      <c r="B740" s="7"/>
      <c r="C740" s="4"/>
      <c r="D740" s="1" t="s">
        <v>754</v>
      </c>
      <c r="E740" s="1" t="s">
        <v>94</v>
      </c>
      <c r="F740" s="1" t="s">
        <v>15</v>
      </c>
      <c r="G740" s="10" t="s">
        <v>36</v>
      </c>
      <c r="H740" s="1" t="s">
        <v>17</v>
      </c>
      <c r="I740" s="21" t="s">
        <v>1069</v>
      </c>
      <c r="J740" s="18">
        <f>VLOOKUP(A740,[2]Export!$A:$B,2,0)</f>
        <v>1981.6285802143368</v>
      </c>
      <c r="K740" s="18">
        <f>VLOOKUP(A740,[2]Export!$A:$C,3,0)</f>
        <v>1438.29</v>
      </c>
      <c r="L740" s="19">
        <f t="shared" si="24"/>
        <v>0.72581209938162661</v>
      </c>
      <c r="M740" s="18">
        <f>VLOOKUP(A740,[2]Export!$A:$G,7,0)</f>
        <v>683.71</v>
      </c>
      <c r="N740" s="19">
        <f t="shared" si="25"/>
        <v>0.34502429306204729</v>
      </c>
      <c r="O740" s="17" t="s">
        <v>1025</v>
      </c>
      <c r="P740" s="17" t="s">
        <v>1026</v>
      </c>
      <c r="Q740" s="17" t="s">
        <v>1022</v>
      </c>
      <c r="R740" s="17" t="str">
        <f>VLOOKUP(A740,[1]Export!$A:$I,9,0)</f>
        <v>Comprou Marcas</v>
      </c>
      <c r="S740" s="17" t="s">
        <v>1022</v>
      </c>
      <c r="T740" s="20"/>
      <c r="U740" s="17"/>
      <c r="V740" s="17"/>
    </row>
    <row r="741" spans="1:22" x14ac:dyDescent="0.35">
      <c r="A741" s="5">
        <v>7460103000183</v>
      </c>
      <c r="B741" s="7"/>
      <c r="C741" s="4"/>
      <c r="D741" s="6" t="s">
        <v>755</v>
      </c>
      <c r="E741" s="6" t="s">
        <v>14</v>
      </c>
      <c r="F741" s="6" t="s">
        <v>15</v>
      </c>
      <c r="G741" s="11" t="s">
        <v>16</v>
      </c>
      <c r="H741" s="6" t="s">
        <v>17</v>
      </c>
      <c r="I741" s="21" t="s">
        <v>1067</v>
      </c>
      <c r="J741" s="18">
        <f>VLOOKUP(A741,[2]Export!$A:$B,2,0)</f>
        <v>2248.9830118032014</v>
      </c>
      <c r="K741" s="18">
        <f>VLOOKUP(A741,[2]Export!$A:$C,3,0)</f>
        <v>1493.8300000000002</v>
      </c>
      <c r="L741" s="19">
        <f t="shared" si="24"/>
        <v>0.66422467051108103</v>
      </c>
      <c r="M741" s="18">
        <f>VLOOKUP(A741,[2]Export!$A:$G,7,0)</f>
        <v>0</v>
      </c>
      <c r="N741" s="19">
        <f t="shared" si="25"/>
        <v>0</v>
      </c>
      <c r="O741" s="17" t="s">
        <v>1027</v>
      </c>
      <c r="P741" s="17" t="s">
        <v>1028</v>
      </c>
      <c r="Q741" s="17" t="s">
        <v>1023</v>
      </c>
      <c r="R741" s="17" t="str">
        <f>VLOOKUP(A741,[1]Export!$A:$I,9,0)</f>
        <v>Não Comprou</v>
      </c>
      <c r="S741" s="17" t="s">
        <v>1023</v>
      </c>
      <c r="T741" s="20"/>
      <c r="U741" s="17"/>
      <c r="V741" s="17"/>
    </row>
    <row r="742" spans="1:22" x14ac:dyDescent="0.35">
      <c r="A742" s="4">
        <v>7865786000159</v>
      </c>
      <c r="B742" s="7"/>
      <c r="C742" s="4"/>
      <c r="D742" s="1" t="s">
        <v>179</v>
      </c>
      <c r="E742" s="1" t="s">
        <v>293</v>
      </c>
      <c r="F742" s="1" t="s">
        <v>15</v>
      </c>
      <c r="G742" s="10" t="s">
        <v>20</v>
      </c>
      <c r="H742" s="1" t="s">
        <v>17</v>
      </c>
      <c r="I742" s="21" t="s">
        <v>1067</v>
      </c>
      <c r="J742" s="18">
        <f>VLOOKUP(A742,[2]Export!$A:$B,2,0)</f>
        <v>8022.5215159045001</v>
      </c>
      <c r="K742" s="18">
        <f>VLOOKUP(A742,[2]Export!$A:$C,3,0)</f>
        <v>4439.59</v>
      </c>
      <c r="L742" s="19">
        <f t="shared" si="24"/>
        <v>0.55339084989658116</v>
      </c>
      <c r="M742" s="18">
        <f>VLOOKUP(A742,[2]Export!$A:$G,7,0)</f>
        <v>2760.01</v>
      </c>
      <c r="N742" s="19">
        <f t="shared" si="25"/>
        <v>0.34403273266744522</v>
      </c>
      <c r="O742" s="17" t="s">
        <v>1025</v>
      </c>
      <c r="P742" s="17" t="s">
        <v>1026</v>
      </c>
      <c r="Q742" s="17" t="s">
        <v>1023</v>
      </c>
      <c r="R742" s="17" t="str">
        <f>VLOOKUP(A742,[1]Export!$A:$I,9,0)</f>
        <v>Comprou Marcas</v>
      </c>
      <c r="S742" s="17" t="s">
        <v>1023</v>
      </c>
      <c r="T742" s="20"/>
      <c r="U742" s="17"/>
      <c r="V742" s="17"/>
    </row>
    <row r="743" spans="1:22" x14ac:dyDescent="0.35">
      <c r="A743" s="5">
        <v>8107186000194</v>
      </c>
      <c r="B743" s="7" t="s">
        <v>996</v>
      </c>
      <c r="C743" s="4">
        <v>1433</v>
      </c>
      <c r="D743" s="6" t="s">
        <v>59</v>
      </c>
      <c r="E743" s="6" t="s">
        <v>71</v>
      </c>
      <c r="F743" s="6" t="s">
        <v>15</v>
      </c>
      <c r="G743" s="11" t="s">
        <v>9</v>
      </c>
      <c r="H743" s="6" t="s">
        <v>10</v>
      </c>
      <c r="I743" s="21" t="s">
        <v>1069</v>
      </c>
      <c r="J743" s="18">
        <f>VLOOKUP(A743,[2]Export!$A:$B,2,0)</f>
        <v>30501.846608770356</v>
      </c>
      <c r="K743" s="18">
        <f>VLOOKUP(A743,[2]Export!$A:$C,3,0)</f>
        <v>20349.150000000005</v>
      </c>
      <c r="L743" s="19">
        <f t="shared" si="24"/>
        <v>0.66714485391677592</v>
      </c>
      <c r="M743" s="18">
        <f>VLOOKUP(A743,[2]Export!$A:$G,7,0)</f>
        <v>16946.659999999996</v>
      </c>
      <c r="N743" s="19">
        <f t="shared" si="25"/>
        <v>0.55559455849886918</v>
      </c>
      <c r="O743" s="17" t="s">
        <v>1027</v>
      </c>
      <c r="P743" s="17" t="s">
        <v>1028</v>
      </c>
      <c r="Q743" s="17" t="s">
        <v>1023</v>
      </c>
      <c r="R743" s="17" t="str">
        <f>VLOOKUP(A743,[1]Export!$A:$I,9,0)</f>
        <v>Comprou Marcas e SG</v>
      </c>
      <c r="S743" s="17" t="s">
        <v>1022</v>
      </c>
      <c r="T743" s="20"/>
      <c r="U743" s="17"/>
      <c r="V743" s="17"/>
    </row>
    <row r="744" spans="1:22" x14ac:dyDescent="0.35">
      <c r="A744" s="4">
        <v>8617745000106</v>
      </c>
      <c r="B744" s="7"/>
      <c r="C744" s="4">
        <v>11997</v>
      </c>
      <c r="D744" s="1" t="s">
        <v>756</v>
      </c>
      <c r="E744" s="1" t="s">
        <v>206</v>
      </c>
      <c r="F744" s="1" t="s">
        <v>48</v>
      </c>
      <c r="G744" s="10" t="s">
        <v>80</v>
      </c>
      <c r="H744" s="1" t="s">
        <v>17</v>
      </c>
      <c r="I744" s="21" t="s">
        <v>1073</v>
      </c>
      <c r="J744" s="18">
        <f>VLOOKUP(A744,[2]Export!$A:$B,2,0)</f>
        <v>8515.6646234475684</v>
      </c>
      <c r="K744" s="18">
        <f>VLOOKUP(A744,[2]Export!$A:$C,3,0)</f>
        <v>11655.91</v>
      </c>
      <c r="L744" s="19">
        <f t="shared" si="24"/>
        <v>1.3687610439596085</v>
      </c>
      <c r="M744" s="18">
        <f>VLOOKUP(A744,[2]Export!$A:$G,7,0)</f>
        <v>8185.38</v>
      </c>
      <c r="N744" s="19">
        <f t="shared" si="25"/>
        <v>0.9612144632213272</v>
      </c>
      <c r="O744" s="17" t="s">
        <v>1027</v>
      </c>
      <c r="P744" s="17" t="s">
        <v>1028</v>
      </c>
      <c r="Q744" s="17" t="s">
        <v>1023</v>
      </c>
      <c r="R744" s="17" t="str">
        <f>VLOOKUP(A744,[1]Export!$A:$I,9,0)</f>
        <v>Comprou Marcas</v>
      </c>
      <c r="S744" s="17" t="s">
        <v>1022</v>
      </c>
      <c r="T744" s="20"/>
      <c r="U744" s="17"/>
      <c r="V744" s="17"/>
    </row>
    <row r="745" spans="1:22" x14ac:dyDescent="0.35">
      <c r="A745" s="5">
        <v>8776885000127</v>
      </c>
      <c r="B745" s="7"/>
      <c r="C745" s="4"/>
      <c r="D745" s="6" t="s">
        <v>716</v>
      </c>
      <c r="E745" s="6" t="s">
        <v>219</v>
      </c>
      <c r="F745" s="6" t="s">
        <v>8</v>
      </c>
      <c r="G745" s="11" t="s">
        <v>33</v>
      </c>
      <c r="H745" s="6" t="s">
        <v>17</v>
      </c>
      <c r="I745" s="21" t="s">
        <v>1070</v>
      </c>
      <c r="J745" s="18">
        <f>VLOOKUP(A745,[2]Export!$A:$B,2,0)</f>
        <v>4442.0777107483073</v>
      </c>
      <c r="K745" s="18">
        <f>VLOOKUP(A745,[2]Export!$A:$C,3,0)</f>
        <v>2177.52</v>
      </c>
      <c r="L745" s="19">
        <f t="shared" si="24"/>
        <v>0.49020304051213404</v>
      </c>
      <c r="M745" s="18">
        <f>VLOOKUP(A745,[2]Export!$A:$G,7,0)</f>
        <v>607.07000000000005</v>
      </c>
      <c r="N745" s="19">
        <f t="shared" si="25"/>
        <v>0.13666352538837817</v>
      </c>
      <c r="O745" s="17" t="s">
        <v>1027</v>
      </c>
      <c r="P745" s="17" t="s">
        <v>1026</v>
      </c>
      <c r="Q745" s="17" t="s">
        <v>1023</v>
      </c>
      <c r="R745" s="17" t="str">
        <f>VLOOKUP(A745,[1]Export!$A:$I,9,0)</f>
        <v>Comprou Marcas e SG</v>
      </c>
      <c r="S745" s="17" t="s">
        <v>1022</v>
      </c>
      <c r="T745" s="20"/>
      <c r="U745" s="17"/>
      <c r="V745" s="17"/>
    </row>
    <row r="746" spans="1:22" x14ac:dyDescent="0.35">
      <c r="A746" s="4">
        <v>9039622000289</v>
      </c>
      <c r="B746" s="7" t="s">
        <v>1004</v>
      </c>
      <c r="C746" s="4"/>
      <c r="D746" s="1" t="s">
        <v>757</v>
      </c>
      <c r="E746" s="1" t="s">
        <v>40</v>
      </c>
      <c r="F746" s="1" t="s">
        <v>8</v>
      </c>
      <c r="G746" s="10" t="s">
        <v>33</v>
      </c>
      <c r="H746" s="1" t="s">
        <v>17</v>
      </c>
      <c r="I746" s="21" t="s">
        <v>1070</v>
      </c>
      <c r="J746" s="18">
        <f>VLOOKUP(A746,[2]Export!$A:$B,2,0)</f>
        <v>112437.07453859654</v>
      </c>
      <c r="K746" s="18">
        <f>VLOOKUP(A746,[2]Export!$A:$C,3,0)</f>
        <v>40684.41000000004</v>
      </c>
      <c r="L746" s="19">
        <f t="shared" si="24"/>
        <v>0.36184159154758339</v>
      </c>
      <c r="M746" s="18">
        <f>VLOOKUP(A746,[2]Export!$A:$G,7,0)</f>
        <v>65710.530000000013</v>
      </c>
      <c r="N746" s="19">
        <f t="shared" si="25"/>
        <v>0.58442048825668624</v>
      </c>
      <c r="O746" s="17" t="s">
        <v>1027</v>
      </c>
      <c r="P746" s="17" t="s">
        <v>1026</v>
      </c>
      <c r="Q746" s="17" t="s">
        <v>1023</v>
      </c>
      <c r="R746" s="17" t="str">
        <f>VLOOKUP(A746,[1]Export!$A:$I,9,0)</f>
        <v>Comprou Marcas e SG</v>
      </c>
      <c r="S746" s="17" t="s">
        <v>1022</v>
      </c>
      <c r="T746" s="20">
        <v>4</v>
      </c>
      <c r="U746" s="17"/>
      <c r="V746" s="17"/>
    </row>
    <row r="747" spans="1:22" x14ac:dyDescent="0.35">
      <c r="A747" s="5">
        <v>63882511000102</v>
      </c>
      <c r="B747" s="7"/>
      <c r="C747" s="4"/>
      <c r="D747" s="6" t="s">
        <v>758</v>
      </c>
      <c r="E747" s="6" t="s">
        <v>61</v>
      </c>
      <c r="F747" s="6" t="s">
        <v>8</v>
      </c>
      <c r="G747" s="11" t="s">
        <v>20</v>
      </c>
      <c r="H747" s="6" t="s">
        <v>17</v>
      </c>
      <c r="I747" s="21" t="s">
        <v>1066</v>
      </c>
      <c r="J747" s="18">
        <f>VLOOKUP(A747,[2]Export!$A:$B,2,0)</f>
        <v>593.9738062236944</v>
      </c>
      <c r="K747" s="18">
        <f>VLOOKUP(A747,[2]Export!$A:$C,3,0)</f>
        <v>0</v>
      </c>
      <c r="L747" s="19">
        <f t="shared" si="24"/>
        <v>0</v>
      </c>
      <c r="M747" s="18">
        <f>VLOOKUP(A747,[2]Export!$A:$G,7,0)</f>
        <v>0</v>
      </c>
      <c r="N747" s="19">
        <f t="shared" si="25"/>
        <v>0</v>
      </c>
      <c r="O747" s="17" t="s">
        <v>1025</v>
      </c>
      <c r="P747" s="17" t="s">
        <v>1026</v>
      </c>
      <c r="Q747" s="17" t="s">
        <v>1023</v>
      </c>
      <c r="R747" s="17" t="str">
        <f>VLOOKUP(A747,[1]Export!$A:$I,9,0)</f>
        <v>Não Comprou</v>
      </c>
      <c r="S747" s="17" t="s">
        <v>1023</v>
      </c>
      <c r="T747" s="20"/>
      <c r="U747" s="17"/>
      <c r="V747" s="17"/>
    </row>
    <row r="748" spans="1:22" x14ac:dyDescent="0.35">
      <c r="A748" s="4">
        <v>32844150000178</v>
      </c>
      <c r="B748" s="7"/>
      <c r="C748" s="4"/>
      <c r="D748" s="1" t="s">
        <v>457</v>
      </c>
      <c r="E748" s="1" t="s">
        <v>458</v>
      </c>
      <c r="F748" s="1" t="s">
        <v>48</v>
      </c>
      <c r="G748" s="10" t="s">
        <v>38</v>
      </c>
      <c r="H748" s="1" t="s">
        <v>17</v>
      </c>
      <c r="I748" s="21" t="s">
        <v>1073</v>
      </c>
      <c r="J748" s="18">
        <f>VLOOKUP(A748,[2]Export!$A:$B,2,0)</f>
        <v>1192.9270984790221</v>
      </c>
      <c r="K748" s="18">
        <f>VLOOKUP(A748,[2]Export!$A:$C,3,0)</f>
        <v>259.38</v>
      </c>
      <c r="L748" s="19">
        <f t="shared" si="24"/>
        <v>0.21743156000958364</v>
      </c>
      <c r="M748" s="18">
        <f>VLOOKUP(A748,[2]Export!$A:$G,7,0)</f>
        <v>0</v>
      </c>
      <c r="N748" s="19">
        <f t="shared" si="25"/>
        <v>0</v>
      </c>
      <c r="O748" s="17" t="s">
        <v>1029</v>
      </c>
      <c r="P748" s="17" t="s">
        <v>1026</v>
      </c>
      <c r="Q748" s="17" t="s">
        <v>1022</v>
      </c>
      <c r="R748" s="17" t="str">
        <f>VLOOKUP(A748,[1]Export!$A:$I,9,0)</f>
        <v>Comprou SG</v>
      </c>
      <c r="S748" s="17" t="s">
        <v>1023</v>
      </c>
      <c r="T748" s="20"/>
      <c r="U748" s="17"/>
      <c r="V748" s="17"/>
    </row>
    <row r="749" spans="1:22" x14ac:dyDescent="0.35">
      <c r="A749" s="5">
        <v>65675078000151</v>
      </c>
      <c r="B749" s="7"/>
      <c r="C749" s="4"/>
      <c r="D749" s="6" t="s">
        <v>380</v>
      </c>
      <c r="E749" s="6" t="s">
        <v>14</v>
      </c>
      <c r="F749" s="6" t="s">
        <v>15</v>
      </c>
      <c r="G749" s="11" t="s">
        <v>20</v>
      </c>
      <c r="H749" s="6" t="s">
        <v>17</v>
      </c>
      <c r="I749" s="21" t="s">
        <v>1067</v>
      </c>
      <c r="J749" s="18">
        <f>VLOOKUP(A749,[2]Export!$A:$B,2,0)</f>
        <v>791.31348744278432</v>
      </c>
      <c r="K749" s="18">
        <f>VLOOKUP(A749,[2]Export!$A:$C,3,0)</f>
        <v>3340.3399999999992</v>
      </c>
      <c r="L749" s="19">
        <f t="shared" si="24"/>
        <v>4.2212600353807588</v>
      </c>
      <c r="M749" s="18">
        <f>VLOOKUP(A749,[2]Export!$A:$G,7,0)</f>
        <v>3248.4699999999993</v>
      </c>
      <c r="N749" s="19">
        <f t="shared" si="25"/>
        <v>4.1051619257720269</v>
      </c>
      <c r="O749" s="17" t="s">
        <v>1025</v>
      </c>
      <c r="P749" s="17" t="s">
        <v>1026</v>
      </c>
      <c r="Q749" s="17" t="s">
        <v>1023</v>
      </c>
      <c r="R749" s="17" t="str">
        <f>VLOOKUP(A749,[1]Export!$A:$I,9,0)</f>
        <v>Comprou Marcas</v>
      </c>
      <c r="S749" s="17" t="s">
        <v>1023</v>
      </c>
      <c r="T749" s="20"/>
      <c r="U749" s="17"/>
      <c r="V749" s="17"/>
    </row>
    <row r="750" spans="1:22" x14ac:dyDescent="0.35">
      <c r="A750" s="4">
        <v>66807884000107</v>
      </c>
      <c r="B750" s="7"/>
      <c r="C750" s="4"/>
      <c r="D750" s="1" t="s">
        <v>761</v>
      </c>
      <c r="E750" s="1" t="s">
        <v>635</v>
      </c>
      <c r="F750" s="1" t="s">
        <v>48</v>
      </c>
      <c r="G750" s="10" t="s">
        <v>20</v>
      </c>
      <c r="H750" s="1" t="s">
        <v>17</v>
      </c>
      <c r="I750" s="21" t="s">
        <v>1071</v>
      </c>
      <c r="J750" s="18">
        <f>VLOOKUP(A750,[2]Export!$A:$B,2,0)</f>
        <v>2475.0204759213184</v>
      </c>
      <c r="K750" s="18">
        <f>VLOOKUP(A750,[2]Export!$A:$C,3,0)</f>
        <v>1637.21</v>
      </c>
      <c r="L750" s="19">
        <f t="shared" si="24"/>
        <v>0.66149351729728778</v>
      </c>
      <c r="M750" s="18">
        <f>VLOOKUP(A750,[2]Export!$A:$G,7,0)</f>
        <v>0</v>
      </c>
      <c r="N750" s="19">
        <f t="shared" si="25"/>
        <v>0</v>
      </c>
      <c r="O750" s="17" t="s">
        <v>1025</v>
      </c>
      <c r="P750" s="17" t="s">
        <v>1026</v>
      </c>
      <c r="Q750" s="17" t="s">
        <v>1023</v>
      </c>
      <c r="R750" s="17" t="str">
        <f>VLOOKUP(A750,[1]Export!$A:$I,9,0)</f>
        <v>Não Comprou</v>
      </c>
      <c r="S750" s="17" t="s">
        <v>1023</v>
      </c>
      <c r="T750" s="20"/>
      <c r="U750" s="17"/>
      <c r="V750" s="17"/>
    </row>
    <row r="751" spans="1:22" x14ac:dyDescent="0.35">
      <c r="A751" s="5">
        <v>67778728000110</v>
      </c>
      <c r="B751" s="7"/>
      <c r="C751" s="4"/>
      <c r="D751" s="6" t="s">
        <v>762</v>
      </c>
      <c r="E751" s="6" t="s">
        <v>122</v>
      </c>
      <c r="F751" s="6" t="s">
        <v>8</v>
      </c>
      <c r="G751" s="11" t="s">
        <v>16</v>
      </c>
      <c r="H751" s="6" t="s">
        <v>17</v>
      </c>
      <c r="I751" s="21" t="s">
        <v>1066</v>
      </c>
      <c r="J751" s="18">
        <f>VLOOKUP(A751,[2]Export!$A:$B,2,0)</f>
        <v>56.958510199256573</v>
      </c>
      <c r="K751" s="18">
        <f>VLOOKUP(A751,[2]Export!$A:$C,3,0)</f>
        <v>310.23999999999995</v>
      </c>
      <c r="L751" s="19">
        <f t="shared" si="24"/>
        <v>5.4467716749383879</v>
      </c>
      <c r="M751" s="18">
        <f>VLOOKUP(A751,[2]Export!$A:$G,7,0)</f>
        <v>304.85000000000002</v>
      </c>
      <c r="N751" s="19">
        <f t="shared" si="25"/>
        <v>5.3521413908747029</v>
      </c>
      <c r="O751" s="17"/>
      <c r="P751" s="17"/>
      <c r="Q751" s="17"/>
      <c r="R751" s="17" t="str">
        <f>VLOOKUP(A751,[1]Export!$A:$I,9,0)</f>
        <v>Comprou Marcas</v>
      </c>
      <c r="S751" s="17"/>
      <c r="T751" s="20"/>
      <c r="U751" s="17"/>
      <c r="V751" s="17"/>
    </row>
    <row r="752" spans="1:22" x14ac:dyDescent="0.35">
      <c r="A752" s="4">
        <v>4641689000194</v>
      </c>
      <c r="B752" s="7"/>
      <c r="C752" s="4"/>
      <c r="D752" s="1" t="s">
        <v>763</v>
      </c>
      <c r="E752" s="1" t="s">
        <v>285</v>
      </c>
      <c r="F752" s="1" t="s">
        <v>8</v>
      </c>
      <c r="G752" s="10" t="s">
        <v>16</v>
      </c>
      <c r="H752" s="1" t="s">
        <v>17</v>
      </c>
      <c r="I752" s="21" t="s">
        <v>1066</v>
      </c>
      <c r="J752" s="18">
        <f>VLOOKUP(A752,[2]Export!$A:$B,2,0)</f>
        <v>3578.3567679215903</v>
      </c>
      <c r="K752" s="18">
        <f>VLOOKUP(A752,[2]Export!$A:$C,3,0)</f>
        <v>636.4</v>
      </c>
      <c r="L752" s="19">
        <f t="shared" si="24"/>
        <v>0.17784699549945629</v>
      </c>
      <c r="M752" s="18">
        <f>VLOOKUP(A752,[2]Export!$A:$G,7,0)</f>
        <v>0</v>
      </c>
      <c r="N752" s="19">
        <f t="shared" si="25"/>
        <v>0</v>
      </c>
      <c r="O752" s="17" t="s">
        <v>1029</v>
      </c>
      <c r="P752" s="17" t="s">
        <v>1026</v>
      </c>
      <c r="Q752" s="17" t="s">
        <v>1022</v>
      </c>
      <c r="R752" s="17" t="str">
        <f>VLOOKUP(A752,[1]Export!$A:$I,9,0)</f>
        <v>Não Comprou</v>
      </c>
      <c r="S752" s="17" t="s">
        <v>1023</v>
      </c>
      <c r="T752" s="20"/>
      <c r="U752" s="17"/>
      <c r="V752" s="17"/>
    </row>
    <row r="753" spans="1:22" x14ac:dyDescent="0.35">
      <c r="A753" s="5">
        <v>4834843002864</v>
      </c>
      <c r="B753" s="7" t="s">
        <v>994</v>
      </c>
      <c r="C753" s="4"/>
      <c r="D753" s="6" t="s">
        <v>764</v>
      </c>
      <c r="E753" s="6" t="s">
        <v>606</v>
      </c>
      <c r="F753" s="6" t="s">
        <v>48</v>
      </c>
      <c r="G753" s="11" t="s">
        <v>92</v>
      </c>
      <c r="H753" s="6" t="s">
        <v>17</v>
      </c>
      <c r="I753" s="21" t="s">
        <v>1071</v>
      </c>
      <c r="J753" s="18">
        <f>VLOOKUP(A753,[2]Export!$A:$B,2,0)</f>
        <v>6079.3335109697273</v>
      </c>
      <c r="K753" s="18">
        <f>VLOOKUP(A753,[2]Export!$A:$C,3,0)</f>
        <v>2614.0300000000007</v>
      </c>
      <c r="L753" s="19">
        <f t="shared" si="24"/>
        <v>0.42998627979254117</v>
      </c>
      <c r="M753" s="18">
        <f>VLOOKUP(A753,[2]Export!$A:$G,7,0)</f>
        <v>3139.4000000000005</v>
      </c>
      <c r="N753" s="19">
        <f t="shared" si="25"/>
        <v>0.51640529251030154</v>
      </c>
      <c r="O753" s="17" t="s">
        <v>1027</v>
      </c>
      <c r="P753" s="17" t="s">
        <v>1028</v>
      </c>
      <c r="Q753" s="17" t="s">
        <v>1023</v>
      </c>
      <c r="R753" s="17" t="str">
        <f>VLOOKUP(A753,[1]Export!$A:$I,9,0)</f>
        <v>Comprou Marcas</v>
      </c>
      <c r="S753" s="17" t="s">
        <v>1022</v>
      </c>
      <c r="T753" s="20"/>
      <c r="U753" s="17"/>
      <c r="V753" s="17"/>
    </row>
    <row r="754" spans="1:22" x14ac:dyDescent="0.35">
      <c r="A754" s="4">
        <v>4994525000140</v>
      </c>
      <c r="B754" s="7"/>
      <c r="C754" s="4"/>
      <c r="D754" s="1" t="s">
        <v>765</v>
      </c>
      <c r="E754" s="1" t="s">
        <v>766</v>
      </c>
      <c r="F754" s="1" t="s">
        <v>15</v>
      </c>
      <c r="G754" s="10" t="s">
        <v>20</v>
      </c>
      <c r="H754" s="1" t="s">
        <v>17</v>
      </c>
      <c r="I754" s="21" t="s">
        <v>1069</v>
      </c>
      <c r="J754" s="18">
        <f>VLOOKUP(A754,[2]Export!$A:$B,2,0)</f>
        <v>4569.02498835809</v>
      </c>
      <c r="K754" s="18">
        <f>VLOOKUP(A754,[2]Export!$A:$C,3,0)</f>
        <v>2068.6799999999998</v>
      </c>
      <c r="L754" s="19">
        <f t="shared" si="24"/>
        <v>0.45276180482072476</v>
      </c>
      <c r="M754" s="18">
        <f>VLOOKUP(A754,[2]Export!$A:$G,7,0)</f>
        <v>0</v>
      </c>
      <c r="N754" s="19">
        <f t="shared" si="25"/>
        <v>0</v>
      </c>
      <c r="O754" s="17" t="s">
        <v>1025</v>
      </c>
      <c r="P754" s="17" t="s">
        <v>1026</v>
      </c>
      <c r="Q754" s="17" t="s">
        <v>1023</v>
      </c>
      <c r="R754" s="17" t="str">
        <f>VLOOKUP(A754,[1]Export!$A:$I,9,0)</f>
        <v>Não Comprou</v>
      </c>
      <c r="S754" s="17" t="s">
        <v>1022</v>
      </c>
      <c r="T754" s="20"/>
      <c r="U754" s="17"/>
      <c r="V754" s="17"/>
    </row>
    <row r="755" spans="1:22" x14ac:dyDescent="0.35">
      <c r="A755" s="5">
        <v>5328012000163</v>
      </c>
      <c r="B755" s="7"/>
      <c r="C755" s="4"/>
      <c r="D755" s="6" t="s">
        <v>767</v>
      </c>
      <c r="E755" s="6" t="s">
        <v>61</v>
      </c>
      <c r="F755" s="6" t="s">
        <v>8</v>
      </c>
      <c r="G755" s="11" t="s">
        <v>16</v>
      </c>
      <c r="H755" s="6" t="s">
        <v>17</v>
      </c>
      <c r="I755" s="21" t="s">
        <v>1066</v>
      </c>
      <c r="J755" s="18">
        <f>VLOOKUP(A755,[2]Export!$A:$B,2,0)</f>
        <v>3941.3471058333976</v>
      </c>
      <c r="K755" s="18">
        <f>VLOOKUP(A755,[2]Export!$A:$C,3,0)</f>
        <v>4273.59</v>
      </c>
      <c r="L755" s="19">
        <f t="shared" si="24"/>
        <v>1.0842967861609718</v>
      </c>
      <c r="M755" s="18">
        <f>VLOOKUP(A755,[2]Export!$A:$G,7,0)</f>
        <v>3387.92</v>
      </c>
      <c r="N755" s="19">
        <f t="shared" si="25"/>
        <v>0.85958427639770763</v>
      </c>
      <c r="O755" s="17" t="s">
        <v>1029</v>
      </c>
      <c r="P755" s="17" t="s">
        <v>1026</v>
      </c>
      <c r="Q755" s="17" t="s">
        <v>1022</v>
      </c>
      <c r="R755" s="17" t="str">
        <f>VLOOKUP(A755,[1]Export!$A:$I,9,0)</f>
        <v>Comprou Marcas</v>
      </c>
      <c r="S755" s="17" t="s">
        <v>1022</v>
      </c>
      <c r="T755" s="20"/>
      <c r="U755" s="17"/>
      <c r="V755" s="17"/>
    </row>
    <row r="756" spans="1:22" x14ac:dyDescent="0.35">
      <c r="A756" s="4">
        <v>5558461000106</v>
      </c>
      <c r="B756" s="7"/>
      <c r="C756" s="4"/>
      <c r="D756" s="1" t="s">
        <v>768</v>
      </c>
      <c r="E756" s="1" t="s">
        <v>35</v>
      </c>
      <c r="F756" s="1" t="s">
        <v>8</v>
      </c>
      <c r="G756" s="10" t="s">
        <v>20</v>
      </c>
      <c r="H756" s="1" t="s">
        <v>17</v>
      </c>
      <c r="I756" s="21" t="s">
        <v>1070</v>
      </c>
      <c r="J756" s="18">
        <f>VLOOKUP(A756,[2]Export!$A:$B,2,0)</f>
        <v>596.41617281977778</v>
      </c>
      <c r="K756" s="18">
        <f>VLOOKUP(A756,[2]Export!$A:$C,3,0)</f>
        <v>318</v>
      </c>
      <c r="L756" s="19">
        <f t="shared" si="24"/>
        <v>0.5331847365850888</v>
      </c>
      <c r="M756" s="18">
        <f>VLOOKUP(A756,[2]Export!$A:$G,7,0)</f>
        <v>0</v>
      </c>
      <c r="N756" s="19">
        <f t="shared" si="25"/>
        <v>0</v>
      </c>
      <c r="O756" s="17" t="s">
        <v>1025</v>
      </c>
      <c r="P756" s="17" t="s">
        <v>1026</v>
      </c>
      <c r="Q756" s="17" t="s">
        <v>1023</v>
      </c>
      <c r="R756" s="17" t="str">
        <f>VLOOKUP(A756,[1]Export!$A:$I,9,0)</f>
        <v>Não Comprou</v>
      </c>
      <c r="S756" s="17" t="s">
        <v>1023</v>
      </c>
      <c r="T756" s="20"/>
      <c r="U756" s="17"/>
      <c r="V756" s="17"/>
    </row>
    <row r="757" spans="1:22" x14ac:dyDescent="0.35">
      <c r="A757" s="5">
        <v>50031125000157</v>
      </c>
      <c r="B757" s="7"/>
      <c r="C757" s="4"/>
      <c r="D757" s="6" t="s">
        <v>769</v>
      </c>
      <c r="E757" s="6" t="s">
        <v>61</v>
      </c>
      <c r="F757" s="6" t="s">
        <v>8</v>
      </c>
      <c r="G757" s="11" t="s">
        <v>20</v>
      </c>
      <c r="H757" s="6" t="s">
        <v>17</v>
      </c>
      <c r="I757" s="21" t="s">
        <v>1066</v>
      </c>
      <c r="J757" s="18">
        <f>VLOOKUP(A757,[2]Export!$A:$B,2,0)</f>
        <v>770.04282987026397</v>
      </c>
      <c r="K757" s="18">
        <f>VLOOKUP(A757,[2]Export!$A:$C,3,0)</f>
        <v>699.70999999999992</v>
      </c>
      <c r="L757" s="19">
        <f t="shared" si="24"/>
        <v>0.90866374292178831</v>
      </c>
      <c r="M757" s="18">
        <f>VLOOKUP(A757,[2]Export!$A:$G,7,0)</f>
        <v>653.06999999999994</v>
      </c>
      <c r="N757" s="19">
        <f t="shared" si="25"/>
        <v>0.84809568334014418</v>
      </c>
      <c r="O757" s="17" t="s">
        <v>1025</v>
      </c>
      <c r="P757" s="17" t="s">
        <v>1026</v>
      </c>
      <c r="Q757" s="17" t="s">
        <v>1023</v>
      </c>
      <c r="R757" s="17" t="str">
        <f>VLOOKUP(A757,[1]Export!$A:$I,9,0)</f>
        <v>Comprou Marcas</v>
      </c>
      <c r="S757" s="17" t="s">
        <v>1023</v>
      </c>
      <c r="T757" s="20"/>
      <c r="U757" s="17"/>
      <c r="V757" s="17"/>
    </row>
    <row r="758" spans="1:22" x14ac:dyDescent="0.35">
      <c r="A758" s="4">
        <v>47614350000101</v>
      </c>
      <c r="B758" s="7"/>
      <c r="C758" s="4"/>
      <c r="D758" s="1" t="s">
        <v>665</v>
      </c>
      <c r="E758" s="1" t="s">
        <v>43</v>
      </c>
      <c r="F758" s="1" t="s">
        <v>8</v>
      </c>
      <c r="G758" s="10" t="s">
        <v>20</v>
      </c>
      <c r="H758" s="1" t="s">
        <v>17</v>
      </c>
      <c r="I758" s="21" t="s">
        <v>1068</v>
      </c>
      <c r="J758" s="18">
        <f>VLOOKUP(A758,[2]Export!$A:$B,2,0)</f>
        <v>612.81022770656102</v>
      </c>
      <c r="K758" s="18">
        <f>VLOOKUP(A758,[2]Export!$A:$C,3,0)</f>
        <v>0</v>
      </c>
      <c r="L758" s="19">
        <f t="shared" si="24"/>
        <v>0</v>
      </c>
      <c r="M758" s="18">
        <f>VLOOKUP(A758,[2]Export!$A:$G,7,0)</f>
        <v>0</v>
      </c>
      <c r="N758" s="19">
        <f t="shared" si="25"/>
        <v>0</v>
      </c>
      <c r="O758" s="17" t="s">
        <v>1025</v>
      </c>
      <c r="P758" s="17" t="s">
        <v>1026</v>
      </c>
      <c r="Q758" s="17" t="s">
        <v>1023</v>
      </c>
      <c r="R758" s="17" t="str">
        <f>VLOOKUP(A758,[1]Export!$A:$I,9,0)</f>
        <v>Não Comprou</v>
      </c>
      <c r="S758" s="17" t="s">
        <v>1023</v>
      </c>
      <c r="T758" s="20"/>
      <c r="U758" s="17"/>
      <c r="V758" s="17"/>
    </row>
    <row r="759" spans="1:22" x14ac:dyDescent="0.35">
      <c r="A759" s="5">
        <v>49845019000128</v>
      </c>
      <c r="B759" s="7"/>
      <c r="C759" s="4"/>
      <c r="D759" s="6" t="s">
        <v>770</v>
      </c>
      <c r="E759" s="6" t="s">
        <v>303</v>
      </c>
      <c r="F759" s="6" t="s">
        <v>48</v>
      </c>
      <c r="G759" s="11" t="s">
        <v>16</v>
      </c>
      <c r="H759" s="6" t="s">
        <v>17</v>
      </c>
      <c r="I759" s="21" t="s">
        <v>1071</v>
      </c>
      <c r="J759" s="18">
        <f>VLOOKUP(A759,[2]Export!$A:$B,2,0)</f>
        <v>6583.1210521893072</v>
      </c>
      <c r="K759" s="18">
        <f>VLOOKUP(A759,[2]Export!$A:$C,3,0)</f>
        <v>4988.5600000000004</v>
      </c>
      <c r="L759" s="19">
        <f t="shared" si="24"/>
        <v>0.75778038417522131</v>
      </c>
      <c r="M759" s="18">
        <f>VLOOKUP(A759,[2]Export!$A:$G,7,0)</f>
        <v>7782.0300000000007</v>
      </c>
      <c r="N759" s="19">
        <f t="shared" si="25"/>
        <v>1.1821186240243873</v>
      </c>
      <c r="O759" s="17" t="s">
        <v>1027</v>
      </c>
      <c r="P759" s="17" t="s">
        <v>1028</v>
      </c>
      <c r="Q759" s="17" t="s">
        <v>1023</v>
      </c>
      <c r="R759" s="17" t="str">
        <f>VLOOKUP(A759,[1]Export!$A:$I,9,0)</f>
        <v>Comprou Marcas</v>
      </c>
      <c r="S759" s="17" t="s">
        <v>1022</v>
      </c>
      <c r="T759" s="20"/>
      <c r="U759" s="17"/>
      <c r="V759" s="17">
        <v>3</v>
      </c>
    </row>
    <row r="760" spans="1:22" x14ac:dyDescent="0.35">
      <c r="A760" s="4">
        <v>50970969000163</v>
      </c>
      <c r="B760" s="7"/>
      <c r="C760" s="4"/>
      <c r="D760" s="1" t="s">
        <v>771</v>
      </c>
      <c r="E760" s="1" t="s">
        <v>131</v>
      </c>
      <c r="F760" s="1" t="s">
        <v>8</v>
      </c>
      <c r="G760" s="10" t="s">
        <v>20</v>
      </c>
      <c r="H760" s="1" t="s">
        <v>17</v>
      </c>
      <c r="I760" s="21" t="s">
        <v>1066</v>
      </c>
      <c r="J760" s="18">
        <f>VLOOKUP(A760,[2]Export!$A:$B,2,0)</f>
        <v>1888.8266988044186</v>
      </c>
      <c r="K760" s="18">
        <f>VLOOKUP(A760,[2]Export!$A:$C,3,0)</f>
        <v>1357.6499999999999</v>
      </c>
      <c r="L760" s="19">
        <f t="shared" si="24"/>
        <v>0.71877954756747098</v>
      </c>
      <c r="M760" s="18">
        <f>VLOOKUP(A760,[2]Export!$A:$G,7,0)</f>
        <v>977.21</v>
      </c>
      <c r="N760" s="19">
        <f t="shared" si="25"/>
        <v>0.51736350434825507</v>
      </c>
      <c r="O760" s="17" t="s">
        <v>1025</v>
      </c>
      <c r="P760" s="17" t="s">
        <v>1026</v>
      </c>
      <c r="Q760" s="17" t="s">
        <v>1023</v>
      </c>
      <c r="R760" s="17" t="str">
        <f>VLOOKUP(A760,[1]Export!$A:$I,9,0)</f>
        <v>Comprou Marcas</v>
      </c>
      <c r="S760" s="17" t="s">
        <v>1023</v>
      </c>
      <c r="T760" s="20"/>
      <c r="U760" s="17"/>
      <c r="V760" s="17"/>
    </row>
    <row r="761" spans="1:22" x14ac:dyDescent="0.35">
      <c r="A761" s="5">
        <v>15059340000165</v>
      </c>
      <c r="B761" s="7"/>
      <c r="C761" s="4"/>
      <c r="D761" s="6" t="s">
        <v>772</v>
      </c>
      <c r="E761" s="6" t="s">
        <v>127</v>
      </c>
      <c r="F761" s="6" t="s">
        <v>8</v>
      </c>
      <c r="G761" s="11" t="s">
        <v>16</v>
      </c>
      <c r="H761" s="6" t="s">
        <v>17</v>
      </c>
      <c r="I761" s="21" t="s">
        <v>1068</v>
      </c>
      <c r="J761" s="18">
        <f>VLOOKUP(A761,[2]Export!$A:$B,2,0)</f>
        <v>4077.8921164164449</v>
      </c>
      <c r="K761" s="18">
        <f>VLOOKUP(A761,[2]Export!$A:$C,3,0)</f>
        <v>2220.8000000000006</v>
      </c>
      <c r="L761" s="19">
        <f t="shared" si="24"/>
        <v>0.54459508407779733</v>
      </c>
      <c r="M761" s="18">
        <f>VLOOKUP(A761,[2]Export!$A:$G,7,0)</f>
        <v>0</v>
      </c>
      <c r="N761" s="19">
        <f t="shared" si="25"/>
        <v>0</v>
      </c>
      <c r="O761" s="17" t="s">
        <v>1029</v>
      </c>
      <c r="P761" s="17" t="s">
        <v>1026</v>
      </c>
      <c r="Q761" s="17" t="s">
        <v>1022</v>
      </c>
      <c r="R761" s="17" t="str">
        <f>VLOOKUP(A761,[1]Export!$A:$I,9,0)</f>
        <v>Não Comprou</v>
      </c>
      <c r="S761" s="17" t="s">
        <v>1023</v>
      </c>
      <c r="T761" s="20"/>
      <c r="U761" s="17"/>
      <c r="V761" s="17"/>
    </row>
    <row r="762" spans="1:22" x14ac:dyDescent="0.35">
      <c r="A762" s="4">
        <v>17176661000256</v>
      </c>
      <c r="B762" s="7"/>
      <c r="C762" s="4"/>
      <c r="D762" s="1" t="s">
        <v>773</v>
      </c>
      <c r="E762" s="1" t="s">
        <v>110</v>
      </c>
      <c r="F762" s="1" t="s">
        <v>15</v>
      </c>
      <c r="G762" s="10" t="s">
        <v>36</v>
      </c>
      <c r="H762" s="1" t="s">
        <v>17</v>
      </c>
      <c r="I762" s="21" t="s">
        <v>1069</v>
      </c>
      <c r="J762" s="18">
        <f>VLOOKUP(A762,[2]Export!$A:$B,2,0)</f>
        <v>1052.0197137956823</v>
      </c>
      <c r="K762" s="18">
        <f>VLOOKUP(A762,[2]Export!$A:$C,3,0)</f>
        <v>944.1099999999999</v>
      </c>
      <c r="L762" s="19">
        <f t="shared" si="24"/>
        <v>0.89742614859721148</v>
      </c>
      <c r="M762" s="18">
        <f>VLOOKUP(A762,[2]Export!$A:$G,7,0)</f>
        <v>0</v>
      </c>
      <c r="N762" s="19">
        <f t="shared" si="25"/>
        <v>0</v>
      </c>
      <c r="O762" s="17" t="s">
        <v>1027</v>
      </c>
      <c r="P762" s="17" t="s">
        <v>1028</v>
      </c>
      <c r="Q762" s="17" t="s">
        <v>1023</v>
      </c>
      <c r="R762" s="17" t="str">
        <f>VLOOKUP(A762,[1]Export!$A:$I,9,0)</f>
        <v>Não Comprou</v>
      </c>
      <c r="S762" s="17" t="s">
        <v>1022</v>
      </c>
      <c r="T762" s="20"/>
      <c r="U762" s="17"/>
      <c r="V762" s="17"/>
    </row>
    <row r="763" spans="1:22" x14ac:dyDescent="0.35">
      <c r="A763" s="5">
        <v>18429327000149</v>
      </c>
      <c r="B763" s="7"/>
      <c r="C763" s="4"/>
      <c r="D763" s="6" t="s">
        <v>774</v>
      </c>
      <c r="E763" s="6" t="s">
        <v>14</v>
      </c>
      <c r="F763" s="6" t="s">
        <v>15</v>
      </c>
      <c r="G763" s="11" t="s">
        <v>20</v>
      </c>
      <c r="H763" s="6" t="s">
        <v>17</v>
      </c>
      <c r="I763" s="21" t="s">
        <v>1067</v>
      </c>
      <c r="J763" s="18">
        <f>VLOOKUP(A763,[2]Export!$A:$B,2,0)</f>
        <v>2703.3489830113981</v>
      </c>
      <c r="K763" s="18">
        <f>VLOOKUP(A763,[2]Export!$A:$C,3,0)</f>
        <v>851.83999999999992</v>
      </c>
      <c r="L763" s="19">
        <f t="shared" si="24"/>
        <v>0.31510545081423114</v>
      </c>
      <c r="M763" s="18">
        <f>VLOOKUP(A763,[2]Export!$A:$G,7,0)</f>
        <v>454.46000000000004</v>
      </c>
      <c r="N763" s="19">
        <f t="shared" si="25"/>
        <v>0.16811000091218481</v>
      </c>
      <c r="O763" s="17" t="s">
        <v>1025</v>
      </c>
      <c r="P763" s="17" t="s">
        <v>1026</v>
      </c>
      <c r="Q763" s="17" t="s">
        <v>1023</v>
      </c>
      <c r="R763" s="17" t="str">
        <f>VLOOKUP(A763,[1]Export!$A:$I,9,0)</f>
        <v>Comprou Marcas e SG</v>
      </c>
      <c r="S763" s="17" t="s">
        <v>1023</v>
      </c>
      <c r="T763" s="20"/>
      <c r="U763" s="17"/>
      <c r="V763" s="17"/>
    </row>
    <row r="764" spans="1:22" x14ac:dyDescent="0.35">
      <c r="A764" s="4">
        <v>5244921000113</v>
      </c>
      <c r="B764" s="7"/>
      <c r="C764" s="4"/>
      <c r="D764" s="1" t="s">
        <v>583</v>
      </c>
      <c r="E764" s="1" t="s">
        <v>584</v>
      </c>
      <c r="F764" s="1" t="s">
        <v>48</v>
      </c>
      <c r="G764" s="10" t="s">
        <v>38</v>
      </c>
      <c r="H764" s="1" t="s">
        <v>17</v>
      </c>
      <c r="I764" s="21" t="s">
        <v>1073</v>
      </c>
      <c r="J764" s="18">
        <f>VLOOKUP(A764,[2]Export!$A:$B,2,0)</f>
        <v>4086.8118753025301</v>
      </c>
      <c r="K764" s="18">
        <f>VLOOKUP(A764,[2]Export!$A:$C,3,0)</f>
        <v>746.09</v>
      </c>
      <c r="L764" s="19">
        <f t="shared" si="24"/>
        <v>0.18256039738672092</v>
      </c>
      <c r="M764" s="18">
        <f>VLOOKUP(A764,[2]Export!$A:$G,7,0)</f>
        <v>0</v>
      </c>
      <c r="N764" s="19">
        <f t="shared" si="25"/>
        <v>0</v>
      </c>
      <c r="O764" s="17" t="s">
        <v>1029</v>
      </c>
      <c r="P764" s="17" t="s">
        <v>1026</v>
      </c>
      <c r="Q764" s="17" t="s">
        <v>1022</v>
      </c>
      <c r="R764" s="17" t="str">
        <f>VLOOKUP(A764,[1]Export!$A:$I,9,0)</f>
        <v>Não Comprou</v>
      </c>
      <c r="S764" s="17" t="s">
        <v>1023</v>
      </c>
      <c r="T764" s="20"/>
      <c r="U764" s="17"/>
      <c r="V764" s="17"/>
    </row>
    <row r="765" spans="1:22" x14ac:dyDescent="0.35">
      <c r="A765" s="5">
        <v>22166562000223</v>
      </c>
      <c r="B765" s="7"/>
      <c r="C765" s="4"/>
      <c r="D765" s="6" t="s">
        <v>59</v>
      </c>
      <c r="E765" s="6" t="s">
        <v>52</v>
      </c>
      <c r="F765" s="6" t="s">
        <v>8</v>
      </c>
      <c r="G765" s="11" t="s">
        <v>9</v>
      </c>
      <c r="H765" s="6" t="s">
        <v>10</v>
      </c>
      <c r="I765" s="21" t="s">
        <v>1072</v>
      </c>
      <c r="J765" s="18">
        <f>VLOOKUP(A765,[2]Export!$A:$B,2,0)</f>
        <v>9926.3852037543365</v>
      </c>
      <c r="K765" s="18">
        <f>VLOOKUP(A765,[2]Export!$A:$C,3,0)</f>
        <v>4663.170000000001</v>
      </c>
      <c r="L765" s="19">
        <f t="shared" si="24"/>
        <v>0.46977524086374428</v>
      </c>
      <c r="M765" s="18">
        <f>VLOOKUP(A765,[2]Export!$A:$G,7,0)</f>
        <v>2774.5800000000004</v>
      </c>
      <c r="N765" s="19">
        <f t="shared" si="25"/>
        <v>0.27951564875304302</v>
      </c>
      <c r="O765" s="17"/>
      <c r="P765" s="17"/>
      <c r="Q765" s="17"/>
      <c r="R765" s="17" t="str">
        <f>VLOOKUP(A765,[1]Export!$A:$I,9,0)</f>
        <v>Comprou Marcas</v>
      </c>
      <c r="S765" s="17" t="s">
        <v>1022</v>
      </c>
      <c r="T765" s="20"/>
      <c r="U765" s="17"/>
      <c r="V765" s="17"/>
    </row>
    <row r="766" spans="1:22" x14ac:dyDescent="0.35">
      <c r="A766" s="4">
        <v>18919955000102</v>
      </c>
      <c r="B766" s="7"/>
      <c r="C766" s="4">
        <v>155489</v>
      </c>
      <c r="D766" s="1" t="s">
        <v>650</v>
      </c>
      <c r="E766" s="1" t="s">
        <v>203</v>
      </c>
      <c r="F766" s="1" t="s">
        <v>8</v>
      </c>
      <c r="G766" s="10" t="s">
        <v>20</v>
      </c>
      <c r="H766" s="1" t="s">
        <v>17</v>
      </c>
      <c r="I766" s="21" t="s">
        <v>1072</v>
      </c>
      <c r="J766" s="18">
        <f>VLOOKUP(A766,[2]Export!$A:$B,2,0)</f>
        <v>23533.860781039039</v>
      </c>
      <c r="K766" s="18">
        <f>VLOOKUP(A766,[2]Export!$A:$C,3,0)</f>
        <v>11902.380000000001</v>
      </c>
      <c r="L766" s="19">
        <f t="shared" si="24"/>
        <v>0.50575552013079006</v>
      </c>
      <c r="M766" s="18">
        <f>VLOOKUP(A766,[2]Export!$A:$G,7,0)</f>
        <v>4401.51</v>
      </c>
      <c r="N766" s="19">
        <f t="shared" si="25"/>
        <v>0.18702881099501728</v>
      </c>
      <c r="O766" s="17" t="s">
        <v>1030</v>
      </c>
      <c r="P766" s="17" t="s">
        <v>1026</v>
      </c>
      <c r="Q766" s="17" t="s">
        <v>1023</v>
      </c>
      <c r="R766" s="17" t="str">
        <f>VLOOKUP(A766,[1]Export!$A:$I,9,0)</f>
        <v>Comprou Marcas</v>
      </c>
      <c r="S766" s="17" t="s">
        <v>1022</v>
      </c>
      <c r="T766" s="20">
        <v>4</v>
      </c>
      <c r="U766" s="17"/>
      <c r="V766" s="17"/>
    </row>
    <row r="767" spans="1:22" x14ac:dyDescent="0.35">
      <c r="A767" s="5">
        <v>35282298000154</v>
      </c>
      <c r="B767" s="7"/>
      <c r="C767" s="4"/>
      <c r="D767" s="6" t="s">
        <v>344</v>
      </c>
      <c r="E767" s="6" t="s">
        <v>182</v>
      </c>
      <c r="F767" s="6" t="s">
        <v>8</v>
      </c>
      <c r="G767" s="11" t="s">
        <v>9</v>
      </c>
      <c r="H767" s="6" t="s">
        <v>10</v>
      </c>
      <c r="I767" s="21" t="s">
        <v>1072</v>
      </c>
      <c r="J767" s="18">
        <f>VLOOKUP(A767,[2]Export!$A:$B,2,0)</f>
        <v>17628.221795035613</v>
      </c>
      <c r="K767" s="18">
        <f>VLOOKUP(A767,[2]Export!$A:$C,3,0)</f>
        <v>10069.08</v>
      </c>
      <c r="L767" s="19">
        <f t="shared" si="24"/>
        <v>0.57119090723237964</v>
      </c>
      <c r="M767" s="18">
        <f>VLOOKUP(A767,[2]Export!$A:$G,7,0)</f>
        <v>6137.0899999999983</v>
      </c>
      <c r="N767" s="19">
        <f t="shared" si="25"/>
        <v>0.34814004902799101</v>
      </c>
      <c r="O767" s="17" t="s">
        <v>1027</v>
      </c>
      <c r="P767" s="17" t="s">
        <v>1028</v>
      </c>
      <c r="Q767" s="17" t="s">
        <v>1023</v>
      </c>
      <c r="R767" s="17" t="str">
        <f>VLOOKUP(A767,[1]Export!$A:$I,9,0)</f>
        <v>Comprou Marcas</v>
      </c>
      <c r="S767" s="17" t="s">
        <v>1022</v>
      </c>
      <c r="T767" s="20"/>
      <c r="U767" s="17"/>
      <c r="V767" s="17"/>
    </row>
    <row r="768" spans="1:22" x14ac:dyDescent="0.35">
      <c r="A768" s="4">
        <v>21769166000309</v>
      </c>
      <c r="B768" s="7"/>
      <c r="C768" s="4"/>
      <c r="D768" s="1" t="s">
        <v>220</v>
      </c>
      <c r="E768" s="1" t="s">
        <v>285</v>
      </c>
      <c r="F768" s="1" t="s">
        <v>8</v>
      </c>
      <c r="G768" s="10" t="s">
        <v>16</v>
      </c>
      <c r="H768" s="1" t="s">
        <v>17</v>
      </c>
      <c r="I768" s="21" t="s">
        <v>1066</v>
      </c>
      <c r="J768" s="18">
        <f>VLOOKUP(A768,[2]Export!$A:$B,2,0)</f>
        <v>1908.1128348930476</v>
      </c>
      <c r="K768" s="18">
        <f>VLOOKUP(A768,[2]Export!$A:$C,3,0)</f>
        <v>909.64</v>
      </c>
      <c r="L768" s="19">
        <f t="shared" si="24"/>
        <v>0.47672233180643458</v>
      </c>
      <c r="M768" s="18">
        <f>VLOOKUP(A768,[2]Export!$A:$G,7,0)</f>
        <v>0</v>
      </c>
      <c r="N768" s="19">
        <f t="shared" si="25"/>
        <v>0</v>
      </c>
      <c r="O768" s="17" t="s">
        <v>1029</v>
      </c>
      <c r="P768" s="17" t="s">
        <v>1026</v>
      </c>
      <c r="Q768" s="17" t="s">
        <v>1022</v>
      </c>
      <c r="R768" s="17" t="str">
        <f>VLOOKUP(A768,[1]Export!$A:$I,9,0)</f>
        <v>Não Comprou</v>
      </c>
      <c r="S768" s="17" t="s">
        <v>1023</v>
      </c>
      <c r="T768" s="20"/>
      <c r="U768" s="17"/>
      <c r="V768" s="17"/>
    </row>
    <row r="769" spans="1:22" x14ac:dyDescent="0.35">
      <c r="A769" s="5">
        <v>55913843000170</v>
      </c>
      <c r="B769" s="7"/>
      <c r="C769" s="4"/>
      <c r="D769" s="6" t="s">
        <v>776</v>
      </c>
      <c r="E769" s="6" t="s">
        <v>52</v>
      </c>
      <c r="F769" s="6" t="s">
        <v>8</v>
      </c>
      <c r="G769" s="11" t="s">
        <v>64</v>
      </c>
      <c r="H769" s="6" t="s">
        <v>17</v>
      </c>
      <c r="I769" s="21" t="s">
        <v>1072</v>
      </c>
      <c r="J769" s="18">
        <f>VLOOKUP(A769,[2]Export!$A:$B,2,0)</f>
        <v>1210.2403337558164</v>
      </c>
      <c r="K769" s="18">
        <f>VLOOKUP(A769,[2]Export!$A:$C,3,0)</f>
        <v>104.39</v>
      </c>
      <c r="L769" s="19">
        <f t="shared" si="24"/>
        <v>8.6255594932983126E-2</v>
      </c>
      <c r="M769" s="18">
        <f>VLOOKUP(A769,[2]Export!$A:$G,7,0)</f>
        <v>0</v>
      </c>
      <c r="N769" s="19">
        <f t="shared" si="25"/>
        <v>0</v>
      </c>
      <c r="O769" s="17" t="s">
        <v>1025</v>
      </c>
      <c r="P769" s="17" t="s">
        <v>1026</v>
      </c>
      <c r="Q769" s="17" t="s">
        <v>1022</v>
      </c>
      <c r="R769" s="17" t="str">
        <f>VLOOKUP(A769,[1]Export!$A:$I,9,0)</f>
        <v>Não Comprou</v>
      </c>
      <c r="S769" s="17" t="s">
        <v>1023</v>
      </c>
      <c r="T769" s="20"/>
      <c r="U769" s="17"/>
      <c r="V769" s="17"/>
    </row>
    <row r="770" spans="1:22" x14ac:dyDescent="0.35">
      <c r="A770" s="4">
        <v>60706953000100</v>
      </c>
      <c r="B770" s="7"/>
      <c r="C770" s="4"/>
      <c r="D770" s="1" t="s">
        <v>777</v>
      </c>
      <c r="E770" s="1" t="s">
        <v>379</v>
      </c>
      <c r="F770" s="1" t="s">
        <v>15</v>
      </c>
      <c r="G770" s="10" t="s">
        <v>16</v>
      </c>
      <c r="H770" s="1" t="s">
        <v>17</v>
      </c>
      <c r="I770" s="21" t="s">
        <v>1073</v>
      </c>
      <c r="J770" s="18">
        <f>VLOOKUP(A770,[2]Export!$A:$B,2,0)</f>
        <v>1087.5907056473905</v>
      </c>
      <c r="K770" s="18">
        <f>VLOOKUP(A770,[2]Export!$A:$C,3,0)</f>
        <v>1427.92</v>
      </c>
      <c r="L770" s="19">
        <f t="shared" si="24"/>
        <v>1.3129203776617675</v>
      </c>
      <c r="M770" s="18">
        <f>VLOOKUP(A770,[2]Export!$A:$G,7,0)</f>
        <v>0</v>
      </c>
      <c r="N770" s="19">
        <f t="shared" si="25"/>
        <v>0</v>
      </c>
      <c r="O770" s="17" t="s">
        <v>1029</v>
      </c>
      <c r="P770" s="17" t="s">
        <v>1026</v>
      </c>
      <c r="Q770" s="17" t="s">
        <v>1022</v>
      </c>
      <c r="R770" s="17" t="str">
        <f>VLOOKUP(A770,[1]Export!$A:$I,9,0)</f>
        <v>Não Comprou</v>
      </c>
      <c r="S770" s="17" t="s">
        <v>1023</v>
      </c>
      <c r="T770" s="20"/>
      <c r="U770" s="17"/>
      <c r="V770" s="17"/>
    </row>
    <row r="771" spans="1:22" x14ac:dyDescent="0.35">
      <c r="A771" s="5">
        <v>4336468000102</v>
      </c>
      <c r="B771" s="7"/>
      <c r="C771" s="4"/>
      <c r="D771" s="6" t="s">
        <v>778</v>
      </c>
      <c r="E771" s="6" t="s">
        <v>52</v>
      </c>
      <c r="F771" s="6" t="s">
        <v>8</v>
      </c>
      <c r="G771" s="11" t="s">
        <v>20</v>
      </c>
      <c r="H771" s="6" t="s">
        <v>17</v>
      </c>
      <c r="I771" s="21" t="s">
        <v>1072</v>
      </c>
      <c r="J771" s="18">
        <f>VLOOKUP(A771,[2]Export!$A:$B,2,0)</f>
        <v>3881.6137178240961</v>
      </c>
      <c r="K771" s="18">
        <f>VLOOKUP(A771,[2]Export!$A:$C,3,0)</f>
        <v>1649.6700000000003</v>
      </c>
      <c r="L771" s="19">
        <f t="shared" si="24"/>
        <v>0.42499592177985979</v>
      </c>
      <c r="M771" s="18">
        <f>VLOOKUP(A771,[2]Export!$A:$G,7,0)</f>
        <v>968.1400000000001</v>
      </c>
      <c r="N771" s="19">
        <f t="shared" si="25"/>
        <v>0.24941688441443041</v>
      </c>
      <c r="O771" s="17" t="s">
        <v>1029</v>
      </c>
      <c r="P771" s="17" t="s">
        <v>1026</v>
      </c>
      <c r="Q771" s="17" t="s">
        <v>1022</v>
      </c>
      <c r="R771" s="17" t="str">
        <f>VLOOKUP(A771,[1]Export!$A:$I,9,0)</f>
        <v>Comprou Marcas</v>
      </c>
      <c r="S771" s="17" t="s">
        <v>1022</v>
      </c>
      <c r="T771" s="20"/>
      <c r="U771" s="17">
        <v>2</v>
      </c>
      <c r="V771" s="17">
        <v>2</v>
      </c>
    </row>
    <row r="772" spans="1:22" x14ac:dyDescent="0.35">
      <c r="A772" s="4">
        <v>4834843000306</v>
      </c>
      <c r="B772" s="7" t="s">
        <v>994</v>
      </c>
      <c r="C772" s="4"/>
      <c r="D772" s="1" t="s">
        <v>91</v>
      </c>
      <c r="E772" s="1" t="s">
        <v>599</v>
      </c>
      <c r="F772" s="1" t="s">
        <v>48</v>
      </c>
      <c r="G772" s="10" t="s">
        <v>92</v>
      </c>
      <c r="H772" s="1" t="s">
        <v>17</v>
      </c>
      <c r="I772" s="21" t="s">
        <v>1071</v>
      </c>
      <c r="J772" s="18">
        <f>VLOOKUP(A772,[2]Export!$A:$B,2,0)</f>
        <v>22293.434257244946</v>
      </c>
      <c r="K772" s="18">
        <f>VLOOKUP(A772,[2]Export!$A:$C,3,0)</f>
        <v>12811.279999999995</v>
      </c>
      <c r="L772" s="19">
        <f t="shared" si="24"/>
        <v>0.57466605872249454</v>
      </c>
      <c r="M772" s="18">
        <f>VLOOKUP(A772,[2]Export!$A:$G,7,0)</f>
        <v>11643.099999999999</v>
      </c>
      <c r="N772" s="19">
        <f t="shared" si="25"/>
        <v>0.52226587728251028</v>
      </c>
      <c r="O772" s="17" t="s">
        <v>1027</v>
      </c>
      <c r="P772" s="17" t="s">
        <v>1028</v>
      </c>
      <c r="Q772" s="17" t="s">
        <v>1023</v>
      </c>
      <c r="R772" s="17" t="str">
        <f>VLOOKUP(A772,[1]Export!$A:$I,9,0)</f>
        <v>Comprou Marcas e SG</v>
      </c>
      <c r="S772" s="17" t="s">
        <v>1022</v>
      </c>
      <c r="T772" s="20">
        <v>7</v>
      </c>
      <c r="U772" s="17"/>
      <c r="V772" s="17">
        <v>1</v>
      </c>
    </row>
    <row r="773" spans="1:22" x14ac:dyDescent="0.35">
      <c r="A773" s="5">
        <v>5072221000199</v>
      </c>
      <c r="B773" s="7"/>
      <c r="C773" s="4"/>
      <c r="D773" s="6" t="s">
        <v>779</v>
      </c>
      <c r="E773" s="6" t="s">
        <v>329</v>
      </c>
      <c r="F773" s="6" t="s">
        <v>8</v>
      </c>
      <c r="G773" s="11" t="s">
        <v>16</v>
      </c>
      <c r="H773" s="6" t="s">
        <v>17</v>
      </c>
      <c r="I773" s="21" t="s">
        <v>1070</v>
      </c>
      <c r="J773" s="18">
        <f>VLOOKUP(A773,[2]Export!$A:$B,2,0)</f>
        <v>3210.843129144841</v>
      </c>
      <c r="K773" s="18">
        <f>VLOOKUP(A773,[2]Export!$A:$C,3,0)</f>
        <v>747.43999999999994</v>
      </c>
      <c r="L773" s="19">
        <f t="shared" si="24"/>
        <v>0.23278620908492317</v>
      </c>
      <c r="M773" s="18">
        <f>VLOOKUP(A773,[2]Export!$A:$G,7,0)</f>
        <v>96.67</v>
      </c>
      <c r="N773" s="19">
        <f t="shared" si="25"/>
        <v>3.0107356887829825E-2</v>
      </c>
      <c r="O773" s="17" t="s">
        <v>1029</v>
      </c>
      <c r="P773" s="17" t="s">
        <v>1026</v>
      </c>
      <c r="Q773" s="17" t="s">
        <v>1023</v>
      </c>
      <c r="R773" s="17" t="str">
        <f>VLOOKUP(A773,[1]Export!$A:$I,9,0)</f>
        <v>Comprou Marcas</v>
      </c>
      <c r="S773" s="17" t="s">
        <v>1022</v>
      </c>
      <c r="T773" s="20"/>
      <c r="U773" s="17"/>
      <c r="V773" s="17"/>
    </row>
    <row r="774" spans="1:22" x14ac:dyDescent="0.35">
      <c r="A774" s="4">
        <v>5592488000107</v>
      </c>
      <c r="B774" s="7"/>
      <c r="C774" s="4"/>
      <c r="D774" s="1" t="s">
        <v>780</v>
      </c>
      <c r="E774" s="1" t="s">
        <v>458</v>
      </c>
      <c r="F774" s="1" t="s">
        <v>48</v>
      </c>
      <c r="G774" s="10" t="s">
        <v>16</v>
      </c>
      <c r="H774" s="1" t="s">
        <v>17</v>
      </c>
      <c r="I774" s="21" t="s">
        <v>1073</v>
      </c>
      <c r="J774" s="18">
        <f>VLOOKUP(A774,[2]Export!$A:$B,2,0)</f>
        <v>5127.0548245799519</v>
      </c>
      <c r="K774" s="18">
        <f>VLOOKUP(A774,[2]Export!$A:$C,3,0)</f>
        <v>599.41999999999985</v>
      </c>
      <c r="L774" s="19">
        <f t="shared" si="24"/>
        <v>0.11691312469027654</v>
      </c>
      <c r="M774" s="18">
        <f>VLOOKUP(A774,[2]Export!$A:$G,7,0)</f>
        <v>321.03999999999996</v>
      </c>
      <c r="N774" s="19">
        <f t="shared" si="25"/>
        <v>6.2616845534961108E-2</v>
      </c>
      <c r="O774" s="17" t="s">
        <v>1029</v>
      </c>
      <c r="P774" s="17" t="s">
        <v>1026</v>
      </c>
      <c r="Q774" s="17" t="s">
        <v>1022</v>
      </c>
      <c r="R774" s="17" t="str">
        <f>VLOOKUP(A774,[1]Export!$A:$I,9,0)</f>
        <v>Comprou Marcas e SG</v>
      </c>
      <c r="S774" s="17" t="s">
        <v>1023</v>
      </c>
      <c r="T774" s="20"/>
      <c r="U774" s="17"/>
      <c r="V774" s="17"/>
    </row>
    <row r="775" spans="1:22" x14ac:dyDescent="0.35">
      <c r="A775" s="5">
        <v>260180000140</v>
      </c>
      <c r="B775" s="7"/>
      <c r="C775" s="4"/>
      <c r="D775" s="6" t="s">
        <v>198</v>
      </c>
      <c r="E775" s="6" t="s">
        <v>115</v>
      </c>
      <c r="F775" s="6" t="s">
        <v>8</v>
      </c>
      <c r="G775" s="11" t="s">
        <v>36</v>
      </c>
      <c r="H775" s="6" t="s">
        <v>17</v>
      </c>
      <c r="I775" s="21" t="s">
        <v>1066</v>
      </c>
      <c r="J775" s="18">
        <f>VLOOKUP(A775,[2]Export!$A:$B,2,0)</f>
        <v>5234.2294909505381</v>
      </c>
      <c r="K775" s="18">
        <f>VLOOKUP(A775,[2]Export!$A:$C,3,0)</f>
        <v>2770.67</v>
      </c>
      <c r="L775" s="19">
        <f t="shared" si="24"/>
        <v>0.52933674474728565</v>
      </c>
      <c r="M775" s="18">
        <f>VLOOKUP(A775,[2]Export!$A:$G,7,0)</f>
        <v>2745.21</v>
      </c>
      <c r="N775" s="19">
        <f t="shared" si="25"/>
        <v>0.52447260953043706</v>
      </c>
      <c r="O775" s="17" t="s">
        <v>1025</v>
      </c>
      <c r="P775" s="17" t="s">
        <v>1026</v>
      </c>
      <c r="Q775" s="17" t="s">
        <v>1023</v>
      </c>
      <c r="R775" s="17" t="str">
        <f>VLOOKUP(A775,[1]Export!$A:$I,9,0)</f>
        <v>Comprou Marcas</v>
      </c>
      <c r="S775" s="17" t="s">
        <v>1022</v>
      </c>
      <c r="T775" s="20"/>
      <c r="U775" s="17"/>
      <c r="V775" s="17"/>
    </row>
    <row r="776" spans="1:22" x14ac:dyDescent="0.35">
      <c r="A776" s="4">
        <v>531367000212</v>
      </c>
      <c r="B776" s="7"/>
      <c r="C776" s="4"/>
      <c r="D776" s="1" t="s">
        <v>179</v>
      </c>
      <c r="E776" s="1" t="s">
        <v>180</v>
      </c>
      <c r="F776" s="1" t="s">
        <v>15</v>
      </c>
      <c r="G776" s="10" t="s">
        <v>9</v>
      </c>
      <c r="H776" s="1" t="s">
        <v>10</v>
      </c>
      <c r="I776" s="21" t="s">
        <v>1069</v>
      </c>
      <c r="J776" s="18">
        <f>VLOOKUP(A776,[2]Export!$A:$B,2,0)</f>
        <v>5180.7091991741681</v>
      </c>
      <c r="K776" s="18">
        <f>VLOOKUP(A776,[2]Export!$A:$C,3,0)</f>
        <v>3704.6699999999987</v>
      </c>
      <c r="L776" s="19">
        <f t="shared" si="24"/>
        <v>0.71508935506176308</v>
      </c>
      <c r="M776" s="18">
        <f>VLOOKUP(A776,[2]Export!$A:$G,7,0)</f>
        <v>3726.400000000001</v>
      </c>
      <c r="N776" s="19">
        <f t="shared" si="25"/>
        <v>0.71928376149620754</v>
      </c>
      <c r="O776" s="17" t="s">
        <v>1027</v>
      </c>
      <c r="P776" s="17" t="s">
        <v>1028</v>
      </c>
      <c r="Q776" s="17" t="s">
        <v>1023</v>
      </c>
      <c r="R776" s="17" t="str">
        <f>VLOOKUP(A776,[1]Export!$A:$I,9,0)</f>
        <v>Comprou Marcas</v>
      </c>
      <c r="S776" s="17" t="s">
        <v>1022</v>
      </c>
      <c r="T776" s="20"/>
      <c r="U776" s="17"/>
      <c r="V776" s="17"/>
    </row>
    <row r="777" spans="1:22" x14ac:dyDescent="0.35">
      <c r="A777" s="5">
        <v>4050862000775</v>
      </c>
      <c r="B777" s="7" t="s">
        <v>997</v>
      </c>
      <c r="C777" s="4"/>
      <c r="D777" s="6" t="s">
        <v>559</v>
      </c>
      <c r="E777" s="6" t="s">
        <v>89</v>
      </c>
      <c r="F777" s="6" t="s">
        <v>15</v>
      </c>
      <c r="G777" s="11" t="s">
        <v>9</v>
      </c>
      <c r="H777" s="6" t="s">
        <v>10</v>
      </c>
      <c r="I777" s="21" t="s">
        <v>1067</v>
      </c>
      <c r="J777" s="18">
        <f>VLOOKUP(A777,[2]Export!$A:$B,2,0)</f>
        <v>8209.556809482212</v>
      </c>
      <c r="K777" s="18">
        <f>VLOOKUP(A777,[2]Export!$A:$C,3,0)</f>
        <v>6557.0600000000013</v>
      </c>
      <c r="L777" s="19">
        <f t="shared" si="24"/>
        <v>0.79871059451424442</v>
      </c>
      <c r="M777" s="18">
        <f>VLOOKUP(A777,[2]Export!$A:$G,7,0)</f>
        <v>2379.7600000000002</v>
      </c>
      <c r="N777" s="19">
        <f t="shared" si="25"/>
        <v>0.289876793014128</v>
      </c>
      <c r="O777" s="17" t="s">
        <v>1029</v>
      </c>
      <c r="P777" s="17" t="s">
        <v>1026</v>
      </c>
      <c r="Q777" s="17" t="s">
        <v>1022</v>
      </c>
      <c r="R777" s="17" t="str">
        <f>VLOOKUP(A777,[1]Export!$A:$I,9,0)</f>
        <v>Comprou Marcas</v>
      </c>
      <c r="S777" s="17" t="s">
        <v>1022</v>
      </c>
      <c r="T777" s="20">
        <v>1</v>
      </c>
      <c r="U777" s="17"/>
      <c r="V777" s="17"/>
    </row>
    <row r="778" spans="1:22" x14ac:dyDescent="0.35">
      <c r="A778" s="4">
        <v>7625132000158</v>
      </c>
      <c r="B778" s="7" t="s">
        <v>346</v>
      </c>
      <c r="C778" s="4">
        <v>12834</v>
      </c>
      <c r="D778" s="1" t="s">
        <v>781</v>
      </c>
      <c r="E778" s="1" t="s">
        <v>52</v>
      </c>
      <c r="F778" s="1" t="s">
        <v>8</v>
      </c>
      <c r="G778" s="10" t="s">
        <v>36</v>
      </c>
      <c r="H778" s="1" t="s">
        <v>17</v>
      </c>
      <c r="I778" s="21" t="s">
        <v>1072</v>
      </c>
      <c r="J778" s="18">
        <f>VLOOKUP(A778,[2]Export!$A:$B,2,0)</f>
        <v>12019.260241419184</v>
      </c>
      <c r="K778" s="18">
        <f>VLOOKUP(A778,[2]Export!$A:$C,3,0)</f>
        <v>5523.7800000000007</v>
      </c>
      <c r="L778" s="19">
        <f t="shared" si="24"/>
        <v>0.45957736907673241</v>
      </c>
      <c r="M778" s="18">
        <f>VLOOKUP(A778,[2]Export!$A:$G,7,0)</f>
        <v>137.85</v>
      </c>
      <c r="N778" s="19">
        <f t="shared" si="25"/>
        <v>1.1469091876799502E-2</v>
      </c>
      <c r="O778" s="17" t="s">
        <v>1025</v>
      </c>
      <c r="P778" s="17" t="s">
        <v>1026</v>
      </c>
      <c r="Q778" s="17" t="s">
        <v>1023</v>
      </c>
      <c r="R778" s="17" t="str">
        <f>VLOOKUP(A778,[1]Export!$A:$I,9,0)</f>
        <v>Comprou Marcas</v>
      </c>
      <c r="S778" s="17" t="s">
        <v>1022</v>
      </c>
      <c r="T778" s="20"/>
      <c r="U778" s="17"/>
      <c r="V778" s="17"/>
    </row>
    <row r="779" spans="1:22" x14ac:dyDescent="0.35">
      <c r="A779" s="5">
        <v>8856967000181</v>
      </c>
      <c r="B779" s="7"/>
      <c r="C779" s="4"/>
      <c r="D779" s="6" t="s">
        <v>480</v>
      </c>
      <c r="E779" s="6" t="s">
        <v>35</v>
      </c>
      <c r="F779" s="6" t="s">
        <v>8</v>
      </c>
      <c r="G779" s="11" t="s">
        <v>64</v>
      </c>
      <c r="H779" s="6" t="s">
        <v>17</v>
      </c>
      <c r="I779" s="21" t="s">
        <v>1070</v>
      </c>
      <c r="J779" s="18">
        <f>VLOOKUP(A779,[2]Export!$A:$B,2,0)</f>
        <v>14840.927581630733</v>
      </c>
      <c r="K779" s="18">
        <f>VLOOKUP(A779,[2]Export!$A:$C,3,0)</f>
        <v>6974.7299999999968</v>
      </c>
      <c r="L779" s="19">
        <f t="shared" si="24"/>
        <v>0.46996590756449252</v>
      </c>
      <c r="M779" s="18">
        <f>VLOOKUP(A779,[2]Export!$A:$G,7,0)</f>
        <v>3718.26</v>
      </c>
      <c r="N779" s="19">
        <f t="shared" si="25"/>
        <v>0.2505409435864544</v>
      </c>
      <c r="O779" s="17" t="s">
        <v>1025</v>
      </c>
      <c r="P779" s="17" t="s">
        <v>1026</v>
      </c>
      <c r="Q779" s="17" t="s">
        <v>1022</v>
      </c>
      <c r="R779" s="17" t="str">
        <f>VLOOKUP(A779,[1]Export!$A:$I,9,0)</f>
        <v>Comprou Marcas</v>
      </c>
      <c r="S779" s="17" t="s">
        <v>1022</v>
      </c>
      <c r="T779" s="20"/>
      <c r="U779" s="17"/>
      <c r="V779" s="17"/>
    </row>
    <row r="780" spans="1:22" x14ac:dyDescent="0.35">
      <c r="A780" s="4">
        <v>10673419000168</v>
      </c>
      <c r="B780" s="7"/>
      <c r="C780" s="4"/>
      <c r="D780" s="1" t="s">
        <v>782</v>
      </c>
      <c r="E780" s="1" t="s">
        <v>35</v>
      </c>
      <c r="F780" s="1" t="s">
        <v>8</v>
      </c>
      <c r="G780" s="10" t="s">
        <v>20</v>
      </c>
      <c r="H780" s="1" t="s">
        <v>17</v>
      </c>
      <c r="I780" s="21" t="s">
        <v>1070</v>
      </c>
      <c r="J780" s="18">
        <f>VLOOKUP(A780,[2]Export!$A:$B,2,0)</f>
        <v>841.43957390655248</v>
      </c>
      <c r="K780" s="18">
        <f>VLOOKUP(A780,[2]Export!$A:$C,3,0)</f>
        <v>797.32</v>
      </c>
      <c r="L780" s="19">
        <f t="shared" si="24"/>
        <v>0.94756655703544057</v>
      </c>
      <c r="M780" s="18">
        <f>VLOOKUP(A780,[2]Export!$A:$G,7,0)</f>
        <v>0</v>
      </c>
      <c r="N780" s="19">
        <f t="shared" si="25"/>
        <v>0</v>
      </c>
      <c r="O780" s="17" t="s">
        <v>1025</v>
      </c>
      <c r="P780" s="17" t="s">
        <v>1026</v>
      </c>
      <c r="Q780" s="17" t="s">
        <v>1023</v>
      </c>
      <c r="R780" s="17" t="str">
        <f>VLOOKUP(A780,[1]Export!$A:$I,9,0)</f>
        <v>Não Comprou</v>
      </c>
      <c r="S780" s="17" t="s">
        <v>1023</v>
      </c>
      <c r="T780" s="20"/>
      <c r="U780" s="17"/>
      <c r="V780" s="17">
        <v>1</v>
      </c>
    </row>
    <row r="781" spans="1:22" x14ac:dyDescent="0.35">
      <c r="A781" s="5">
        <v>10680159000158</v>
      </c>
      <c r="B781" s="7"/>
      <c r="C781" s="4"/>
      <c r="D781" s="6" t="s">
        <v>783</v>
      </c>
      <c r="E781" s="6" t="s">
        <v>129</v>
      </c>
      <c r="F781" s="6" t="s">
        <v>15</v>
      </c>
      <c r="G781" s="11" t="s">
        <v>36</v>
      </c>
      <c r="H781" s="6" t="s">
        <v>17</v>
      </c>
      <c r="I781" s="21" t="s">
        <v>1069</v>
      </c>
      <c r="J781" s="18">
        <f>VLOOKUP(A781,[2]Export!$A:$B,2,0)</f>
        <v>4384.7422492381857</v>
      </c>
      <c r="K781" s="18">
        <f>VLOOKUP(A781,[2]Export!$A:$C,3,0)</f>
        <v>7513.3100000000013</v>
      </c>
      <c r="L781" s="19">
        <f t="shared" ref="L781:L844" si="26">K781/J781</f>
        <v>1.7135123509951764</v>
      </c>
      <c r="M781" s="18">
        <f>VLOOKUP(A781,[2]Export!$A:$G,7,0)</f>
        <v>6413.170000000001</v>
      </c>
      <c r="N781" s="19">
        <f t="shared" ref="N781:N844" si="27">M781/J781</f>
        <v>1.4626104877918966</v>
      </c>
      <c r="O781" s="17" t="s">
        <v>1025</v>
      </c>
      <c r="P781" s="17" t="s">
        <v>1026</v>
      </c>
      <c r="Q781" s="17" t="s">
        <v>1022</v>
      </c>
      <c r="R781" s="17" t="str">
        <f>VLOOKUP(A781,[1]Export!$A:$I,9,0)</f>
        <v>Comprou Marcas</v>
      </c>
      <c r="S781" s="17" t="s">
        <v>1022</v>
      </c>
      <c r="T781" s="20"/>
      <c r="U781" s="17"/>
      <c r="V781" s="17"/>
    </row>
    <row r="782" spans="1:22" x14ac:dyDescent="0.35">
      <c r="A782" s="4">
        <v>13090874000129</v>
      </c>
      <c r="B782" s="7"/>
      <c r="C782" s="4"/>
      <c r="D782" s="1" t="s">
        <v>636</v>
      </c>
      <c r="E782" s="1" t="s">
        <v>699</v>
      </c>
      <c r="F782" s="1" t="s">
        <v>48</v>
      </c>
      <c r="G782" s="10" t="s">
        <v>87</v>
      </c>
      <c r="H782" s="1" t="s">
        <v>17</v>
      </c>
      <c r="I782" s="21" t="s">
        <v>1071</v>
      </c>
      <c r="J782" s="18">
        <f>VLOOKUP(A782,[2]Export!$A:$B,2,0)</f>
        <v>1861.7092243436334</v>
      </c>
      <c r="K782" s="18">
        <f>VLOOKUP(A782,[2]Export!$A:$C,3,0)</f>
        <v>1136.5200000000002</v>
      </c>
      <c r="L782" s="19">
        <f t="shared" si="26"/>
        <v>0.61047127292431669</v>
      </c>
      <c r="M782" s="18">
        <f>VLOOKUP(A782,[2]Export!$A:$G,7,0)</f>
        <v>0</v>
      </c>
      <c r="N782" s="19">
        <f t="shared" si="27"/>
        <v>0</v>
      </c>
      <c r="O782" s="17"/>
      <c r="P782" s="17"/>
      <c r="Q782" s="17"/>
      <c r="R782" s="17" t="str">
        <f>VLOOKUP(A782,[1]Export!$A:$I,9,0)</f>
        <v>Não Comprou</v>
      </c>
      <c r="S782" s="17"/>
      <c r="T782" s="20"/>
      <c r="U782" s="17"/>
      <c r="V782" s="17"/>
    </row>
    <row r="783" spans="1:22" x14ac:dyDescent="0.35">
      <c r="A783" s="5">
        <v>13470278000174</v>
      </c>
      <c r="B783" s="7"/>
      <c r="C783" s="4"/>
      <c r="D783" s="6" t="s">
        <v>784</v>
      </c>
      <c r="E783" s="6" t="s">
        <v>193</v>
      </c>
      <c r="F783" s="6" t="s">
        <v>194</v>
      </c>
      <c r="G783" s="11" t="s">
        <v>20</v>
      </c>
      <c r="H783" s="6" t="s">
        <v>17</v>
      </c>
      <c r="I783" s="21" t="s">
        <v>1068</v>
      </c>
      <c r="J783" s="18">
        <f>VLOOKUP(A783,[2]Export!$A:$B,2,0)</f>
        <v>2595.5836172091535</v>
      </c>
      <c r="K783" s="18">
        <f>VLOOKUP(A783,[2]Export!$A:$C,3,0)</f>
        <v>482.30999999999995</v>
      </c>
      <c r="L783" s="19">
        <f t="shared" si="26"/>
        <v>0.18581948075269236</v>
      </c>
      <c r="M783" s="18">
        <f>VLOOKUP(A783,[2]Export!$A:$G,7,0)</f>
        <v>0</v>
      </c>
      <c r="N783" s="19">
        <f t="shared" si="27"/>
        <v>0</v>
      </c>
      <c r="O783" s="17" t="s">
        <v>1025</v>
      </c>
      <c r="P783" s="17" t="s">
        <v>1026</v>
      </c>
      <c r="Q783" s="17" t="s">
        <v>1023</v>
      </c>
      <c r="R783" s="17" t="str">
        <f>VLOOKUP(A783,[1]Export!$A:$I,9,0)</f>
        <v>Não Comprou</v>
      </c>
      <c r="S783" s="17" t="s">
        <v>1023</v>
      </c>
      <c r="T783" s="20"/>
      <c r="U783" s="17"/>
      <c r="V783" s="17"/>
    </row>
    <row r="784" spans="1:22" x14ac:dyDescent="0.35">
      <c r="A784" s="5">
        <v>22166562000142</v>
      </c>
      <c r="B784" s="7"/>
      <c r="C784" s="4"/>
      <c r="D784" s="6" t="s">
        <v>59</v>
      </c>
      <c r="E784" s="6" t="s">
        <v>394</v>
      </c>
      <c r="F784" s="6" t="s">
        <v>8</v>
      </c>
      <c r="G784" s="11" t="s">
        <v>9</v>
      </c>
      <c r="H784" s="6" t="s">
        <v>10</v>
      </c>
      <c r="I784" s="21" t="s">
        <v>1072</v>
      </c>
      <c r="J784" s="18">
        <f>VLOOKUP(A784,[2]Export!$A:$B,2,0)</f>
        <v>27886.609508138969</v>
      </c>
      <c r="K784" s="18">
        <f>VLOOKUP(A784,[2]Export!$A:$C,3,0)</f>
        <v>18163.129999999994</v>
      </c>
      <c r="L784" s="19">
        <f t="shared" si="26"/>
        <v>0.65132084252475775</v>
      </c>
      <c r="M784" s="18">
        <f>VLOOKUP(A784,[2]Export!$A:$G,7,0)</f>
        <v>12182.469999999994</v>
      </c>
      <c r="N784" s="19">
        <f t="shared" si="27"/>
        <v>0.43685733815881866</v>
      </c>
      <c r="O784" s="17"/>
      <c r="P784" s="17"/>
      <c r="Q784" s="17"/>
      <c r="R784" s="17" t="str">
        <f>VLOOKUP(A784,[1]Export!$A:$I,9,0)</f>
        <v>Comprou Marcas</v>
      </c>
      <c r="S784" s="17" t="s">
        <v>1022</v>
      </c>
      <c r="T784" s="20"/>
      <c r="U784" s="17"/>
      <c r="V784" s="17"/>
    </row>
    <row r="785" spans="1:22" x14ac:dyDescent="0.35">
      <c r="A785" s="5">
        <v>19436506000176</v>
      </c>
      <c r="B785" s="7"/>
      <c r="C785" s="4"/>
      <c r="D785" s="6" t="s">
        <v>785</v>
      </c>
      <c r="E785" s="6" t="s">
        <v>786</v>
      </c>
      <c r="F785" s="6" t="s">
        <v>48</v>
      </c>
      <c r="G785" s="11" t="s">
        <v>80</v>
      </c>
      <c r="H785" s="6" t="s">
        <v>17</v>
      </c>
      <c r="I785" s="21" t="s">
        <v>1073</v>
      </c>
      <c r="J785" s="18">
        <f>VLOOKUP(A785,[2]Export!$A:$B,2,0)</f>
        <v>4391.2552098207098</v>
      </c>
      <c r="K785" s="18">
        <f>VLOOKUP(A785,[2]Export!$A:$C,3,0)</f>
        <v>2425.579999999999</v>
      </c>
      <c r="L785" s="19">
        <f t="shared" si="26"/>
        <v>0.55236598286871896</v>
      </c>
      <c r="M785" s="18">
        <f>VLOOKUP(A785,[2]Export!$A:$G,7,0)</f>
        <v>3004.0899999999997</v>
      </c>
      <c r="N785" s="19">
        <f t="shared" si="27"/>
        <v>0.6841073580240975</v>
      </c>
      <c r="O785" s="17" t="s">
        <v>1029</v>
      </c>
      <c r="P785" s="17" t="s">
        <v>1026</v>
      </c>
      <c r="Q785" s="17" t="s">
        <v>1022</v>
      </c>
      <c r="R785" s="17" t="str">
        <f>VLOOKUP(A785,[1]Export!$A:$I,9,0)</f>
        <v>Comprou Marcas</v>
      </c>
      <c r="S785" s="17" t="s">
        <v>1022</v>
      </c>
      <c r="T785" s="20"/>
      <c r="U785" s="17"/>
      <c r="V785" s="17"/>
    </row>
    <row r="786" spans="1:22" x14ac:dyDescent="0.35">
      <c r="A786" s="4">
        <v>62392356000175</v>
      </c>
      <c r="B786" s="7"/>
      <c r="C786" s="4"/>
      <c r="D786" s="1" t="s">
        <v>787</v>
      </c>
      <c r="E786" s="1" t="s">
        <v>94</v>
      </c>
      <c r="F786" s="1" t="s">
        <v>15</v>
      </c>
      <c r="G786" s="10" t="s">
        <v>36</v>
      </c>
      <c r="H786" s="1" t="s">
        <v>17</v>
      </c>
      <c r="I786" s="21" t="s">
        <v>1069</v>
      </c>
      <c r="J786" s="18">
        <f>VLOOKUP(A786,[2]Export!$A:$B,2,0)</f>
        <v>4422.0704063328385</v>
      </c>
      <c r="K786" s="18">
        <f>VLOOKUP(A786,[2]Export!$A:$C,3,0)</f>
        <v>8023.8000000000011</v>
      </c>
      <c r="L786" s="19">
        <f t="shared" si="26"/>
        <v>1.8144894275109533</v>
      </c>
      <c r="M786" s="18">
        <f>VLOOKUP(A786,[2]Export!$A:$G,7,0)</f>
        <v>6530.1100000000015</v>
      </c>
      <c r="N786" s="19">
        <f t="shared" si="27"/>
        <v>1.4767087359460047</v>
      </c>
      <c r="O786" s="17" t="s">
        <v>1029</v>
      </c>
      <c r="P786" s="17" t="s">
        <v>1026</v>
      </c>
      <c r="Q786" s="17" t="s">
        <v>1023</v>
      </c>
      <c r="R786" s="17" t="str">
        <f>VLOOKUP(A786,[1]Export!$A:$I,9,0)</f>
        <v>Comprou Marcas</v>
      </c>
      <c r="S786" s="17" t="s">
        <v>1022</v>
      </c>
      <c r="T786" s="20"/>
      <c r="U786" s="17"/>
      <c r="V786" s="17"/>
    </row>
    <row r="787" spans="1:22" x14ac:dyDescent="0.35">
      <c r="A787" s="5">
        <v>24248641000128</v>
      </c>
      <c r="B787" s="7"/>
      <c r="C787" s="4"/>
      <c r="D787" s="6" t="s">
        <v>788</v>
      </c>
      <c r="E787" s="6" t="s">
        <v>379</v>
      </c>
      <c r="F787" s="6" t="s">
        <v>15</v>
      </c>
      <c r="G787" s="11" t="s">
        <v>20</v>
      </c>
      <c r="H787" s="6" t="s">
        <v>17</v>
      </c>
      <c r="I787" s="21" t="s">
        <v>1073</v>
      </c>
      <c r="J787" s="18">
        <f>VLOOKUP(A787,[2]Export!$A:$B,2,0)</f>
        <v>6079.9058437088743</v>
      </c>
      <c r="K787" s="18">
        <f>VLOOKUP(A787,[2]Export!$A:$C,3,0)</f>
        <v>2513.96</v>
      </c>
      <c r="L787" s="19">
        <f t="shared" si="26"/>
        <v>0.41348666650837967</v>
      </c>
      <c r="M787" s="18">
        <f>VLOOKUP(A787,[2]Export!$A:$G,7,0)</f>
        <v>745.04</v>
      </c>
      <c r="N787" s="19">
        <f t="shared" si="27"/>
        <v>0.12254137138832884</v>
      </c>
      <c r="O787" s="17" t="s">
        <v>1025</v>
      </c>
      <c r="P787" s="17" t="s">
        <v>1026</v>
      </c>
      <c r="Q787" s="17" t="s">
        <v>1023</v>
      </c>
      <c r="R787" s="17" t="str">
        <f>VLOOKUP(A787,[1]Export!$A:$I,9,0)</f>
        <v>Comprou Marcas</v>
      </c>
      <c r="S787" s="17" t="s">
        <v>1023</v>
      </c>
      <c r="T787" s="20"/>
      <c r="U787" s="17"/>
      <c r="V787" s="17"/>
    </row>
    <row r="788" spans="1:22" x14ac:dyDescent="0.35">
      <c r="A788" s="4">
        <v>24415425000200</v>
      </c>
      <c r="B788" s="7"/>
      <c r="C788" s="4"/>
      <c r="D788" s="1" t="s">
        <v>789</v>
      </c>
      <c r="E788" s="1" t="s">
        <v>94</v>
      </c>
      <c r="F788" s="1" t="s">
        <v>15</v>
      </c>
      <c r="G788" s="10" t="s">
        <v>16</v>
      </c>
      <c r="H788" s="1" t="s">
        <v>17</v>
      </c>
      <c r="I788" s="21" t="s">
        <v>1069</v>
      </c>
      <c r="J788" s="18">
        <f>VLOOKUP(A788,[2]Export!$A:$B,2,0)</f>
        <v>2297.1540031019208</v>
      </c>
      <c r="K788" s="18">
        <f>VLOOKUP(A788,[2]Export!$A:$C,3,0)</f>
        <v>1447.63</v>
      </c>
      <c r="L788" s="19">
        <f t="shared" si="26"/>
        <v>0.63018413134044071</v>
      </c>
      <c r="M788" s="18">
        <f>VLOOKUP(A788,[2]Export!$A:$G,7,0)</f>
        <v>0</v>
      </c>
      <c r="N788" s="19">
        <f t="shared" si="27"/>
        <v>0</v>
      </c>
      <c r="O788" s="17" t="s">
        <v>1025</v>
      </c>
      <c r="P788" s="17" t="s">
        <v>1026</v>
      </c>
      <c r="Q788" s="17" t="s">
        <v>1023</v>
      </c>
      <c r="R788" s="17" t="str">
        <f>VLOOKUP(A788,[1]Export!$A:$I,9,0)</f>
        <v>Não Comprou</v>
      </c>
      <c r="S788" s="17" t="s">
        <v>1023</v>
      </c>
      <c r="T788" s="20"/>
      <c r="U788" s="17"/>
      <c r="V788" s="17"/>
    </row>
    <row r="789" spans="1:22" x14ac:dyDescent="0.35">
      <c r="A789" s="5">
        <v>9492647000900</v>
      </c>
      <c r="B789" s="7"/>
      <c r="C789" s="4"/>
      <c r="D789" s="6" t="s">
        <v>104</v>
      </c>
      <c r="E789" s="6" t="s">
        <v>481</v>
      </c>
      <c r="F789" s="6" t="s">
        <v>8</v>
      </c>
      <c r="G789" s="11" t="s">
        <v>9</v>
      </c>
      <c r="H789" s="6" t="s">
        <v>10</v>
      </c>
      <c r="I789" s="21" t="s">
        <v>1070</v>
      </c>
      <c r="J789" s="18">
        <f>VLOOKUP(A789,[2]Export!$A:$B,2,0)</f>
        <v>10775.493731341578</v>
      </c>
      <c r="K789" s="18">
        <f>VLOOKUP(A789,[2]Export!$A:$C,3,0)</f>
        <v>6080.1799999999994</v>
      </c>
      <c r="L789" s="19">
        <f t="shared" si="26"/>
        <v>0.56425999138352256</v>
      </c>
      <c r="M789" s="18">
        <f>VLOOKUP(A789,[2]Export!$A:$G,7,0)</f>
        <v>8327.14</v>
      </c>
      <c r="N789" s="19">
        <f t="shared" si="27"/>
        <v>0.77278500712962206</v>
      </c>
      <c r="O789" s="17" t="s">
        <v>1027</v>
      </c>
      <c r="P789" s="17" t="s">
        <v>1028</v>
      </c>
      <c r="Q789" s="17" t="s">
        <v>1023</v>
      </c>
      <c r="R789" s="17" t="str">
        <f>VLOOKUP(A789,[1]Export!$A:$I,9,0)</f>
        <v>Comprou Marcas</v>
      </c>
      <c r="S789" s="17" t="s">
        <v>1022</v>
      </c>
      <c r="T789" s="20"/>
      <c r="U789" s="17"/>
      <c r="V789" s="17"/>
    </row>
    <row r="790" spans="1:22" x14ac:dyDescent="0.35">
      <c r="A790" s="5">
        <v>9492647001205</v>
      </c>
      <c r="B790" s="7"/>
      <c r="C790" s="4"/>
      <c r="D790" s="6" t="s">
        <v>104</v>
      </c>
      <c r="E790" s="6" t="s">
        <v>219</v>
      </c>
      <c r="F790" s="6" t="s">
        <v>8</v>
      </c>
      <c r="G790" s="11" t="s">
        <v>9</v>
      </c>
      <c r="H790" s="6" t="s">
        <v>10</v>
      </c>
      <c r="I790" s="21" t="s">
        <v>1070</v>
      </c>
      <c r="J790" s="18">
        <f>VLOOKUP(A790,[2]Export!$A:$B,2,0)</f>
        <v>9108.1684646652229</v>
      </c>
      <c r="K790" s="18">
        <f>VLOOKUP(A790,[2]Export!$A:$C,3,0)</f>
        <v>4961.7299999999996</v>
      </c>
      <c r="L790" s="19">
        <f t="shared" si="26"/>
        <v>0.54475606366404328</v>
      </c>
      <c r="M790" s="18">
        <f>VLOOKUP(A790,[2]Export!$A:$G,7,0)</f>
        <v>6608.83</v>
      </c>
      <c r="N790" s="19">
        <f t="shared" si="27"/>
        <v>0.7255937377134265</v>
      </c>
      <c r="O790" s="17" t="s">
        <v>1027</v>
      </c>
      <c r="P790" s="17" t="s">
        <v>1028</v>
      </c>
      <c r="Q790" s="17" t="s">
        <v>1023</v>
      </c>
      <c r="R790" s="17" t="str">
        <f>VLOOKUP(A790,[1]Export!$A:$I,9,0)</f>
        <v>Comprou Marcas</v>
      </c>
      <c r="S790" s="17" t="s">
        <v>1022</v>
      </c>
      <c r="T790" s="20">
        <v>3</v>
      </c>
      <c r="U790" s="17"/>
      <c r="V790" s="17"/>
    </row>
    <row r="791" spans="1:22" x14ac:dyDescent="0.35">
      <c r="A791" s="5">
        <v>48143588000169</v>
      </c>
      <c r="B791" s="7"/>
      <c r="C791" s="4"/>
      <c r="D791" s="6" t="s">
        <v>792</v>
      </c>
      <c r="E791" s="6" t="s">
        <v>146</v>
      </c>
      <c r="F791" s="6" t="s">
        <v>8</v>
      </c>
      <c r="G791" s="11" t="s">
        <v>33</v>
      </c>
      <c r="H791" s="6" t="s">
        <v>17</v>
      </c>
      <c r="I791" s="21" t="s">
        <v>1072</v>
      </c>
      <c r="J791" s="18">
        <f>VLOOKUP(A791,[2]Export!$A:$B,2,0)</f>
        <v>8391.275913640764</v>
      </c>
      <c r="K791" s="18">
        <f>VLOOKUP(A791,[2]Export!$A:$C,3,0)</f>
        <v>5225.7500000000009</v>
      </c>
      <c r="L791" s="19">
        <f t="shared" si="26"/>
        <v>0.6227598822611804</v>
      </c>
      <c r="M791" s="18">
        <f>VLOOKUP(A791,[2]Export!$A:$G,7,0)</f>
        <v>3881.48</v>
      </c>
      <c r="N791" s="19">
        <f t="shared" si="27"/>
        <v>0.4625613601490936</v>
      </c>
      <c r="O791" s="17" t="s">
        <v>1027</v>
      </c>
      <c r="P791" s="17" t="s">
        <v>1026</v>
      </c>
      <c r="Q791" s="17" t="s">
        <v>1023</v>
      </c>
      <c r="R791" s="17" t="str">
        <f>VLOOKUP(A791,[1]Export!$A:$I,9,0)</f>
        <v>Comprou Marcas e SG</v>
      </c>
      <c r="S791" s="17" t="s">
        <v>1022</v>
      </c>
      <c r="T791" s="20"/>
      <c r="U791" s="17"/>
      <c r="V791" s="17"/>
    </row>
    <row r="792" spans="1:22" x14ac:dyDescent="0.35">
      <c r="A792" s="4">
        <v>52950355000145</v>
      </c>
      <c r="B792" s="7"/>
      <c r="C792" s="4"/>
      <c r="D792" s="1" t="s">
        <v>568</v>
      </c>
      <c r="E792" s="1" t="s">
        <v>40</v>
      </c>
      <c r="F792" s="1" t="s">
        <v>8</v>
      </c>
      <c r="G792" s="10" t="s">
        <v>74</v>
      </c>
      <c r="H792" s="1" t="s">
        <v>17</v>
      </c>
      <c r="I792" s="21" t="s">
        <v>1070</v>
      </c>
      <c r="J792" s="18">
        <f>VLOOKUP(A792,[2]Export!$A:$B,2,0)</f>
        <v>11909.250423435176</v>
      </c>
      <c r="K792" s="18">
        <f>VLOOKUP(A792,[2]Export!$A:$C,3,0)</f>
        <v>3357.9799999999996</v>
      </c>
      <c r="L792" s="19">
        <f t="shared" si="26"/>
        <v>0.2819640095393513</v>
      </c>
      <c r="M792" s="18">
        <f>VLOOKUP(A792,[2]Export!$A:$G,7,0)</f>
        <v>439.1</v>
      </c>
      <c r="N792" s="19">
        <f t="shared" si="27"/>
        <v>3.687049851063115E-2</v>
      </c>
      <c r="O792" s="17" t="s">
        <v>1029</v>
      </c>
      <c r="P792" s="17" t="s">
        <v>1026</v>
      </c>
      <c r="Q792" s="17" t="s">
        <v>1023</v>
      </c>
      <c r="R792" s="17" t="str">
        <f>VLOOKUP(A792,[1]Export!$A:$I,9,0)</f>
        <v>Comprou Marcas</v>
      </c>
      <c r="S792" s="17" t="s">
        <v>1022</v>
      </c>
      <c r="T792" s="20">
        <v>4</v>
      </c>
      <c r="U792" s="17"/>
      <c r="V792" s="17"/>
    </row>
    <row r="793" spans="1:22" x14ac:dyDescent="0.35">
      <c r="A793" s="5">
        <v>34700354000160</v>
      </c>
      <c r="B793" s="7"/>
      <c r="C793" s="4"/>
      <c r="D793" s="6" t="s">
        <v>793</v>
      </c>
      <c r="E793" s="6" t="s">
        <v>52</v>
      </c>
      <c r="F793" s="6" t="s">
        <v>8</v>
      </c>
      <c r="G793" s="11" t="s">
        <v>20</v>
      </c>
      <c r="H793" s="6" t="s">
        <v>17</v>
      </c>
      <c r="I793" s="21" t="s">
        <v>1072</v>
      </c>
      <c r="J793" s="18">
        <f>VLOOKUP(A793,[2]Export!$A:$B,2,0)</f>
        <v>1753.7679817751271</v>
      </c>
      <c r="K793" s="18">
        <f>VLOOKUP(A793,[2]Export!$A:$C,3,0)</f>
        <v>0</v>
      </c>
      <c r="L793" s="19">
        <f t="shared" si="26"/>
        <v>0</v>
      </c>
      <c r="M793" s="18">
        <f>VLOOKUP(A793,[2]Export!$A:$G,7,0)</f>
        <v>0</v>
      </c>
      <c r="N793" s="19">
        <f t="shared" si="27"/>
        <v>0</v>
      </c>
      <c r="O793" s="17" t="s">
        <v>1025</v>
      </c>
      <c r="P793" s="17" t="s">
        <v>1026</v>
      </c>
      <c r="Q793" s="17" t="s">
        <v>1023</v>
      </c>
      <c r="R793" s="17" t="str">
        <f>VLOOKUP(A793,[1]Export!$A:$I,9,0)</f>
        <v>Não Comprou</v>
      </c>
      <c r="S793" s="17" t="s">
        <v>1023</v>
      </c>
      <c r="T793" s="20"/>
      <c r="U793" s="17"/>
      <c r="V793" s="17"/>
    </row>
    <row r="794" spans="1:22" x14ac:dyDescent="0.35">
      <c r="A794" s="4">
        <v>3838252000182</v>
      </c>
      <c r="B794" s="7"/>
      <c r="C794" s="4"/>
      <c r="D794" s="1" t="s">
        <v>590</v>
      </c>
      <c r="E794" s="1" t="s">
        <v>458</v>
      </c>
      <c r="F794" s="1" t="s">
        <v>48</v>
      </c>
      <c r="G794" s="10" t="s">
        <v>38</v>
      </c>
      <c r="H794" s="1" t="s">
        <v>17</v>
      </c>
      <c r="I794" s="21" t="s">
        <v>1073</v>
      </c>
      <c r="J794" s="18">
        <f>VLOOKUP(A794,[2]Export!$A:$B,2,0)</f>
        <v>2311.3478912497453</v>
      </c>
      <c r="K794" s="18">
        <f>VLOOKUP(A794,[2]Export!$A:$C,3,0)</f>
        <v>1422.4600000000003</v>
      </c>
      <c r="L794" s="19">
        <f t="shared" si="26"/>
        <v>0.61542444795312767</v>
      </c>
      <c r="M794" s="18">
        <f>VLOOKUP(A794,[2]Export!$A:$G,7,0)</f>
        <v>1383.7000000000003</v>
      </c>
      <c r="N794" s="19">
        <f t="shared" si="27"/>
        <v>0.59865501218504757</v>
      </c>
      <c r="O794" s="17" t="s">
        <v>1027</v>
      </c>
      <c r="P794" s="17" t="s">
        <v>1028</v>
      </c>
      <c r="Q794" s="17" t="s">
        <v>1023</v>
      </c>
      <c r="R794" s="17" t="str">
        <f>VLOOKUP(A794,[1]Export!$A:$I,9,0)</f>
        <v>Comprou Marcas</v>
      </c>
      <c r="S794" s="17" t="s">
        <v>1023</v>
      </c>
      <c r="T794" s="20"/>
      <c r="U794" s="17">
        <v>1</v>
      </c>
      <c r="V794" s="17"/>
    </row>
    <row r="795" spans="1:22" x14ac:dyDescent="0.35">
      <c r="A795" s="5">
        <v>35633493000181</v>
      </c>
      <c r="B795" s="7"/>
      <c r="C795" s="4"/>
      <c r="D795" s="6" t="s">
        <v>794</v>
      </c>
      <c r="E795" s="6" t="s">
        <v>174</v>
      </c>
      <c r="F795" s="6" t="s">
        <v>48</v>
      </c>
      <c r="G795" s="11" t="s">
        <v>33</v>
      </c>
      <c r="H795" s="6" t="s">
        <v>17</v>
      </c>
      <c r="I795" s="21" t="s">
        <v>1073</v>
      </c>
      <c r="J795" s="18">
        <f>VLOOKUP(A795,[2]Export!$A:$B,2,0)</f>
        <v>1143.6638754053124</v>
      </c>
      <c r="K795" s="18">
        <f>VLOOKUP(A795,[2]Export!$A:$C,3,0)</f>
        <v>704.81000000000006</v>
      </c>
      <c r="L795" s="19">
        <f t="shared" si="26"/>
        <v>0.61627372793445689</v>
      </c>
      <c r="M795" s="18">
        <f>VLOOKUP(A795,[2]Export!$A:$G,7,0)</f>
        <v>484.19</v>
      </c>
      <c r="N795" s="19">
        <f t="shared" si="27"/>
        <v>0.42336739877212959</v>
      </c>
      <c r="O795" s="17"/>
      <c r="P795" s="17"/>
      <c r="Q795" s="17"/>
      <c r="R795" s="17" t="str">
        <f>VLOOKUP(A795,[1]Export!$A:$I,9,0)</f>
        <v>Comprou Marcas</v>
      </c>
      <c r="S795" s="17"/>
      <c r="T795" s="20"/>
      <c r="U795" s="17"/>
      <c r="V795" s="17"/>
    </row>
    <row r="796" spans="1:22" x14ac:dyDescent="0.35">
      <c r="A796" s="4">
        <v>40627707000147</v>
      </c>
      <c r="B796" s="7"/>
      <c r="C796" s="4"/>
      <c r="D796" s="1" t="s">
        <v>795</v>
      </c>
      <c r="E796" s="1" t="s">
        <v>259</v>
      </c>
      <c r="F796" s="1" t="s">
        <v>15</v>
      </c>
      <c r="G796" s="10" t="s">
        <v>16</v>
      </c>
      <c r="H796" s="1" t="s">
        <v>17</v>
      </c>
      <c r="I796" s="21" t="s">
        <v>1069</v>
      </c>
      <c r="J796" s="18">
        <f>VLOOKUP(A796,[2]Export!$A:$B,2,0)</f>
        <v>2253.3845207413415</v>
      </c>
      <c r="K796" s="18">
        <f>VLOOKUP(A796,[2]Export!$A:$C,3,0)</f>
        <v>1464.1100000000004</v>
      </c>
      <c r="L796" s="19">
        <f t="shared" si="26"/>
        <v>0.64973819892857099</v>
      </c>
      <c r="M796" s="18">
        <f>VLOOKUP(A796,[2]Export!$A:$G,7,0)</f>
        <v>0</v>
      </c>
      <c r="N796" s="19">
        <f t="shared" si="27"/>
        <v>0</v>
      </c>
      <c r="O796" s="17" t="s">
        <v>1025</v>
      </c>
      <c r="P796" s="17" t="s">
        <v>1026</v>
      </c>
      <c r="Q796" s="17" t="s">
        <v>1023</v>
      </c>
      <c r="R796" s="17" t="str">
        <f>VLOOKUP(A796,[1]Export!$A:$I,9,0)</f>
        <v>Não Comprou</v>
      </c>
      <c r="S796" s="17" t="s">
        <v>1023</v>
      </c>
      <c r="T796" s="20"/>
      <c r="U796" s="17"/>
      <c r="V796" s="17"/>
    </row>
    <row r="797" spans="1:22" x14ac:dyDescent="0.35">
      <c r="A797" s="5">
        <v>40883240000104</v>
      </c>
      <c r="B797" s="7"/>
      <c r="C797" s="4"/>
      <c r="D797" s="6" t="s">
        <v>796</v>
      </c>
      <c r="E797" s="6" t="s">
        <v>35</v>
      </c>
      <c r="F797" s="6" t="s">
        <v>8</v>
      </c>
      <c r="G797" s="11" t="s">
        <v>20</v>
      </c>
      <c r="H797" s="6" t="s">
        <v>17</v>
      </c>
      <c r="I797" s="21" t="s">
        <v>1070</v>
      </c>
      <c r="J797" s="18">
        <f>VLOOKUP(A797,[2]Export!$A:$B,2,0)</f>
        <v>4113.0457582437821</v>
      </c>
      <c r="K797" s="18">
        <f>VLOOKUP(A797,[2]Export!$A:$C,3,0)</f>
        <v>2216.64</v>
      </c>
      <c r="L797" s="19">
        <f t="shared" si="26"/>
        <v>0.53892908814767881</v>
      </c>
      <c r="M797" s="18">
        <f>VLOOKUP(A797,[2]Export!$A:$G,7,0)</f>
        <v>0</v>
      </c>
      <c r="N797" s="19">
        <f t="shared" si="27"/>
        <v>0</v>
      </c>
      <c r="O797" s="17" t="s">
        <v>1025</v>
      </c>
      <c r="P797" s="17" t="s">
        <v>1026</v>
      </c>
      <c r="Q797" s="17" t="s">
        <v>1023</v>
      </c>
      <c r="R797" s="17" t="str">
        <f>VLOOKUP(A797,[1]Export!$A:$I,9,0)</f>
        <v>Não Comprou</v>
      </c>
      <c r="S797" s="17" t="s">
        <v>1022</v>
      </c>
      <c r="T797" s="20"/>
      <c r="U797" s="17"/>
      <c r="V797" s="17"/>
    </row>
    <row r="798" spans="1:22" x14ac:dyDescent="0.35">
      <c r="A798" s="4">
        <v>4344448000183</v>
      </c>
      <c r="B798" s="7"/>
      <c r="C798" s="4"/>
      <c r="D798" s="1" t="s">
        <v>797</v>
      </c>
      <c r="E798" s="1" t="s">
        <v>379</v>
      </c>
      <c r="F798" s="1" t="s">
        <v>15</v>
      </c>
      <c r="G798" s="10" t="s">
        <v>20</v>
      </c>
      <c r="H798" s="1" t="s">
        <v>17</v>
      </c>
      <c r="I798" s="21" t="s">
        <v>1073</v>
      </c>
      <c r="J798" s="18">
        <f>VLOOKUP(A798,[2]Export!$A:$B,2,0)</f>
        <v>11528.186705701577</v>
      </c>
      <c r="K798" s="18">
        <f>VLOOKUP(A798,[2]Export!$A:$C,3,0)</f>
        <v>4193.0600000000004</v>
      </c>
      <c r="L798" s="19">
        <f t="shared" si="26"/>
        <v>0.36372242287906464</v>
      </c>
      <c r="M798" s="18">
        <f>VLOOKUP(A798,[2]Export!$A:$G,7,0)</f>
        <v>0</v>
      </c>
      <c r="N798" s="19">
        <f t="shared" si="27"/>
        <v>0</v>
      </c>
      <c r="O798" s="17" t="s">
        <v>1025</v>
      </c>
      <c r="P798" s="17" t="s">
        <v>1026</v>
      </c>
      <c r="Q798" s="17" t="s">
        <v>1023</v>
      </c>
      <c r="R798" s="17" t="str">
        <f>VLOOKUP(A798,[1]Export!$A:$I,9,0)</f>
        <v>Não Comprou</v>
      </c>
      <c r="S798" s="17" t="s">
        <v>1023</v>
      </c>
      <c r="T798" s="20"/>
      <c r="U798" s="17"/>
      <c r="V798" s="17">
        <v>1</v>
      </c>
    </row>
    <row r="799" spans="1:22" x14ac:dyDescent="0.35">
      <c r="A799" s="5">
        <v>4834843001540</v>
      </c>
      <c r="B799" s="7" t="s">
        <v>994</v>
      </c>
      <c r="C799" s="4"/>
      <c r="D799" s="6" t="s">
        <v>764</v>
      </c>
      <c r="E799" s="6" t="s">
        <v>798</v>
      </c>
      <c r="F799" s="6" t="s">
        <v>48</v>
      </c>
      <c r="G799" s="11" t="s">
        <v>92</v>
      </c>
      <c r="H799" s="6" t="s">
        <v>17</v>
      </c>
      <c r="I799" s="21" t="s">
        <v>1071</v>
      </c>
      <c r="J799" s="18">
        <f>VLOOKUP(A799,[2]Export!$A:$B,2,0)</f>
        <v>14599.658423313305</v>
      </c>
      <c r="K799" s="18">
        <f>VLOOKUP(A799,[2]Export!$A:$C,3,0)</f>
        <v>12079.769999999997</v>
      </c>
      <c r="L799" s="19">
        <f t="shared" si="26"/>
        <v>0.82740086444149596</v>
      </c>
      <c r="M799" s="18">
        <f>VLOOKUP(A799,[2]Export!$A:$G,7,0)</f>
        <v>10215.370000000001</v>
      </c>
      <c r="N799" s="19">
        <f t="shared" si="27"/>
        <v>0.69969924664043504</v>
      </c>
      <c r="O799" s="17" t="s">
        <v>1027</v>
      </c>
      <c r="P799" s="17" t="s">
        <v>1028</v>
      </c>
      <c r="Q799" s="17" t="s">
        <v>1023</v>
      </c>
      <c r="R799" s="17" t="str">
        <f>VLOOKUP(A799,[1]Export!$A:$I,9,0)</f>
        <v>Comprou Marcas e SG</v>
      </c>
      <c r="S799" s="17" t="s">
        <v>1022</v>
      </c>
      <c r="T799" s="20">
        <v>4</v>
      </c>
      <c r="U799" s="17"/>
      <c r="V799" s="17"/>
    </row>
    <row r="800" spans="1:22" x14ac:dyDescent="0.35">
      <c r="A800" s="4">
        <v>6935814000102</v>
      </c>
      <c r="B800" s="7"/>
      <c r="C800" s="4"/>
      <c r="D800" s="1" t="s">
        <v>799</v>
      </c>
      <c r="E800" s="1" t="s">
        <v>330</v>
      </c>
      <c r="F800" s="1" t="s">
        <v>15</v>
      </c>
      <c r="G800" s="10" t="s">
        <v>36</v>
      </c>
      <c r="H800" s="1" t="s">
        <v>17</v>
      </c>
      <c r="I800" s="21" t="s">
        <v>1069</v>
      </c>
      <c r="J800" s="18">
        <f>VLOOKUP(A800,[2]Export!$A:$B,2,0)</f>
        <v>3607.008723838881</v>
      </c>
      <c r="K800" s="18">
        <f>VLOOKUP(A800,[2]Export!$A:$C,3,0)</f>
        <v>2412.58</v>
      </c>
      <c r="L800" s="19">
        <f t="shared" si="26"/>
        <v>0.66885893123993612</v>
      </c>
      <c r="M800" s="18">
        <f>VLOOKUP(A800,[2]Export!$A:$G,7,0)</f>
        <v>1969.3599999999997</v>
      </c>
      <c r="N800" s="19">
        <f t="shared" si="27"/>
        <v>0.54598149069737811</v>
      </c>
      <c r="O800" s="17" t="s">
        <v>1025</v>
      </c>
      <c r="P800" s="17" t="s">
        <v>1026</v>
      </c>
      <c r="Q800" s="17" t="s">
        <v>1023</v>
      </c>
      <c r="R800" s="17" t="str">
        <f>VLOOKUP(A800,[1]Export!$A:$I,9,0)</f>
        <v>Comprou Marcas</v>
      </c>
      <c r="S800" s="17" t="s">
        <v>1023</v>
      </c>
      <c r="T800" s="20"/>
      <c r="U800" s="17"/>
      <c r="V800" s="17"/>
    </row>
    <row r="801" spans="1:22" x14ac:dyDescent="0.35">
      <c r="A801" s="5">
        <v>7434377000106</v>
      </c>
      <c r="B801" s="7"/>
      <c r="C801" s="4"/>
      <c r="D801" s="6" t="s">
        <v>800</v>
      </c>
      <c r="E801" s="6" t="s">
        <v>801</v>
      </c>
      <c r="F801" s="6" t="s">
        <v>48</v>
      </c>
      <c r="G801" s="11" t="s">
        <v>20</v>
      </c>
      <c r="H801" s="6" t="s">
        <v>17</v>
      </c>
      <c r="I801" s="21" t="s">
        <v>1071</v>
      </c>
      <c r="J801" s="18">
        <f>VLOOKUP(A801,[2]Export!$A:$B,2,0)</f>
        <v>8112.6960349424635</v>
      </c>
      <c r="K801" s="18">
        <f>VLOOKUP(A801,[2]Export!$A:$C,3,0)</f>
        <v>3536.2599999999998</v>
      </c>
      <c r="L801" s="19">
        <f t="shared" si="26"/>
        <v>0.43589208627672682</v>
      </c>
      <c r="M801" s="18">
        <f>VLOOKUP(A801,[2]Export!$A:$G,7,0)</f>
        <v>2365.4899999999993</v>
      </c>
      <c r="N801" s="19">
        <f t="shared" si="27"/>
        <v>0.29157877847407548</v>
      </c>
      <c r="O801" s="17" t="s">
        <v>1030</v>
      </c>
      <c r="P801" s="17" t="s">
        <v>1026</v>
      </c>
      <c r="Q801" s="17" t="s">
        <v>1022</v>
      </c>
      <c r="R801" s="17" t="str">
        <f>VLOOKUP(A801,[1]Export!$A:$I,9,0)</f>
        <v>Comprou Marcas</v>
      </c>
      <c r="S801" s="17" t="s">
        <v>1023</v>
      </c>
      <c r="T801" s="20">
        <v>4</v>
      </c>
      <c r="U801" s="17"/>
      <c r="V801" s="17"/>
    </row>
    <row r="802" spans="1:22" x14ac:dyDescent="0.35">
      <c r="A802" s="4">
        <v>3480787000124</v>
      </c>
      <c r="B802" s="7"/>
      <c r="C802" s="4">
        <v>13684</v>
      </c>
      <c r="D802" s="1" t="s">
        <v>802</v>
      </c>
      <c r="E802" s="1" t="s">
        <v>221</v>
      </c>
      <c r="F802" s="1" t="s">
        <v>15</v>
      </c>
      <c r="G802" s="10" t="s">
        <v>20</v>
      </c>
      <c r="H802" s="1" t="s">
        <v>17</v>
      </c>
      <c r="I802" s="21" t="s">
        <v>1073</v>
      </c>
      <c r="J802" s="18">
        <f>VLOOKUP(A802,[2]Export!$A:$B,2,0)</f>
        <v>19260.196953381143</v>
      </c>
      <c r="K802" s="18">
        <f>VLOOKUP(A802,[2]Export!$A:$C,3,0)</f>
        <v>7050.2300000000005</v>
      </c>
      <c r="L802" s="19">
        <f t="shared" si="26"/>
        <v>0.36605181229791772</v>
      </c>
      <c r="M802" s="18">
        <f>VLOOKUP(A802,[2]Export!$A:$G,7,0)</f>
        <v>3538.64</v>
      </c>
      <c r="N802" s="19">
        <f t="shared" si="27"/>
        <v>0.1837281315744172</v>
      </c>
      <c r="O802" s="17" t="s">
        <v>1029</v>
      </c>
      <c r="P802" s="17" t="s">
        <v>1026</v>
      </c>
      <c r="Q802" s="17" t="s">
        <v>1023</v>
      </c>
      <c r="R802" s="17" t="str">
        <f>VLOOKUP(A802,[1]Export!$A:$I,9,0)</f>
        <v>Não Comprou</v>
      </c>
      <c r="S802" s="17" t="s">
        <v>1022</v>
      </c>
      <c r="T802" s="20"/>
      <c r="U802" s="17"/>
      <c r="V802" s="17"/>
    </row>
    <row r="803" spans="1:22" x14ac:dyDescent="0.35">
      <c r="A803" s="5">
        <v>4050862000341</v>
      </c>
      <c r="B803" s="7" t="s">
        <v>997</v>
      </c>
      <c r="C803" s="4"/>
      <c r="D803" s="6" t="s">
        <v>247</v>
      </c>
      <c r="E803" s="6" t="s">
        <v>14</v>
      </c>
      <c r="F803" s="6" t="s">
        <v>15</v>
      </c>
      <c r="G803" s="11" t="s">
        <v>9</v>
      </c>
      <c r="H803" s="6" t="s">
        <v>10</v>
      </c>
      <c r="I803" s="21" t="s">
        <v>1067</v>
      </c>
      <c r="J803" s="18">
        <f>VLOOKUP(A803,[2]Export!$A:$B,2,0)</f>
        <v>8197.8690569270912</v>
      </c>
      <c r="K803" s="18">
        <f>VLOOKUP(A803,[2]Export!$A:$C,3,0)</f>
        <v>4509.7</v>
      </c>
      <c r="L803" s="19">
        <f t="shared" si="26"/>
        <v>0.55010637138554475</v>
      </c>
      <c r="M803" s="18">
        <f>VLOOKUP(A803,[2]Export!$A:$G,7,0)</f>
        <v>2756.5499999999997</v>
      </c>
      <c r="N803" s="19">
        <f t="shared" si="27"/>
        <v>0.33625201632987189</v>
      </c>
      <c r="O803" s="17" t="s">
        <v>1027</v>
      </c>
      <c r="P803" s="17" t="s">
        <v>1028</v>
      </c>
      <c r="Q803" s="17" t="s">
        <v>1023</v>
      </c>
      <c r="R803" s="17" t="str">
        <f>VLOOKUP(A803,[1]Export!$A:$I,9,0)</f>
        <v>Comprou Marcas</v>
      </c>
      <c r="S803" s="17" t="s">
        <v>1022</v>
      </c>
      <c r="T803" s="20"/>
      <c r="U803" s="17"/>
      <c r="V803" s="17"/>
    </row>
    <row r="804" spans="1:22" x14ac:dyDescent="0.35">
      <c r="A804" s="4">
        <v>4834843000730</v>
      </c>
      <c r="B804" s="7" t="s">
        <v>994</v>
      </c>
      <c r="C804" s="4"/>
      <c r="D804" s="1" t="s">
        <v>91</v>
      </c>
      <c r="E804" s="1" t="s">
        <v>500</v>
      </c>
      <c r="F804" s="1" t="s">
        <v>48</v>
      </c>
      <c r="G804" s="10" t="s">
        <v>92</v>
      </c>
      <c r="H804" s="1" t="s">
        <v>17</v>
      </c>
      <c r="I804" s="21" t="s">
        <v>1071</v>
      </c>
      <c r="J804" s="18">
        <f>VLOOKUP(A804,[2]Export!$A:$B,2,0)</f>
        <v>10907.616514440379</v>
      </c>
      <c r="K804" s="18">
        <f>VLOOKUP(A804,[2]Export!$A:$C,3,0)</f>
        <v>6850.340000000002</v>
      </c>
      <c r="L804" s="19">
        <f t="shared" si="26"/>
        <v>0.62803271374007075</v>
      </c>
      <c r="M804" s="18">
        <f>VLOOKUP(A804,[2]Export!$A:$G,7,0)</f>
        <v>6250.3500000000013</v>
      </c>
      <c r="N804" s="19">
        <f t="shared" si="27"/>
        <v>0.57302619611949923</v>
      </c>
      <c r="O804" s="17" t="s">
        <v>1027</v>
      </c>
      <c r="P804" s="17" t="s">
        <v>1028</v>
      </c>
      <c r="Q804" s="17" t="s">
        <v>1023</v>
      </c>
      <c r="R804" s="17" t="str">
        <f>VLOOKUP(A804,[1]Export!$A:$I,9,0)</f>
        <v>Comprou Marcas e SG</v>
      </c>
      <c r="S804" s="17" t="s">
        <v>1022</v>
      </c>
      <c r="T804" s="20"/>
      <c r="U804" s="17"/>
      <c r="V804" s="17"/>
    </row>
    <row r="805" spans="1:22" x14ac:dyDescent="0.35">
      <c r="A805" s="5">
        <v>5233140000123</v>
      </c>
      <c r="B805" s="7"/>
      <c r="C805" s="4"/>
      <c r="D805" s="6" t="s">
        <v>803</v>
      </c>
      <c r="E805" s="6" t="s">
        <v>149</v>
      </c>
      <c r="F805" s="6" t="s">
        <v>8</v>
      </c>
      <c r="G805" s="11" t="s">
        <v>20</v>
      </c>
      <c r="H805" s="6" t="s">
        <v>17</v>
      </c>
      <c r="I805" s="21" t="s">
        <v>1072</v>
      </c>
      <c r="J805" s="18">
        <f>VLOOKUP(A805,[2]Export!$A:$B,2,0)</f>
        <v>4857.7798578892225</v>
      </c>
      <c r="K805" s="18">
        <f>VLOOKUP(A805,[2]Export!$A:$C,3,0)</f>
        <v>597.16000000000008</v>
      </c>
      <c r="L805" s="19">
        <f t="shared" si="26"/>
        <v>0.12292858414120787</v>
      </c>
      <c r="M805" s="18">
        <f>VLOOKUP(A805,[2]Export!$A:$G,7,0)</f>
        <v>0</v>
      </c>
      <c r="N805" s="19">
        <f t="shared" si="27"/>
        <v>0</v>
      </c>
      <c r="O805" s="17" t="s">
        <v>1029</v>
      </c>
      <c r="P805" s="17" t="s">
        <v>1026</v>
      </c>
      <c r="Q805" s="17" t="s">
        <v>1022</v>
      </c>
      <c r="R805" s="17" t="str">
        <f>VLOOKUP(A805,[1]Export!$A:$I,9,0)</f>
        <v>Não Comprou</v>
      </c>
      <c r="S805" s="17" t="s">
        <v>1022</v>
      </c>
      <c r="T805" s="20"/>
      <c r="U805" s="17"/>
      <c r="V805" s="17"/>
    </row>
    <row r="806" spans="1:22" x14ac:dyDescent="0.35">
      <c r="A806" s="5">
        <v>9492647000403</v>
      </c>
      <c r="B806" s="7"/>
      <c r="C806" s="4"/>
      <c r="D806" s="6" t="s">
        <v>104</v>
      </c>
      <c r="E806" s="6" t="s">
        <v>219</v>
      </c>
      <c r="F806" s="6" t="s">
        <v>8</v>
      </c>
      <c r="G806" s="11" t="s">
        <v>9</v>
      </c>
      <c r="H806" s="6" t="s">
        <v>10</v>
      </c>
      <c r="I806" s="21" t="s">
        <v>1070</v>
      </c>
      <c r="J806" s="18">
        <f>VLOOKUP(A806,[2]Export!$A:$B,2,0)</f>
        <v>10171.660730105721</v>
      </c>
      <c r="K806" s="18">
        <f>VLOOKUP(A806,[2]Export!$A:$C,3,0)</f>
        <v>6139.1500000000005</v>
      </c>
      <c r="L806" s="19">
        <f t="shared" si="26"/>
        <v>0.60355434209770309</v>
      </c>
      <c r="M806" s="18">
        <f>VLOOKUP(A806,[2]Export!$A:$G,7,0)</f>
        <v>10350.869999999995</v>
      </c>
      <c r="N806" s="19">
        <f t="shared" si="27"/>
        <v>1.01761848675938</v>
      </c>
      <c r="O806" s="17" t="s">
        <v>1027</v>
      </c>
      <c r="P806" s="17" t="s">
        <v>1028</v>
      </c>
      <c r="Q806" s="17" t="s">
        <v>1023</v>
      </c>
      <c r="R806" s="17" t="str">
        <f>VLOOKUP(A806,[1]Export!$A:$I,9,0)</f>
        <v>Comprou Marcas</v>
      </c>
      <c r="S806" s="17" t="s">
        <v>1022</v>
      </c>
      <c r="T806" s="20"/>
      <c r="U806" s="17"/>
      <c r="V806" s="17"/>
    </row>
    <row r="807" spans="1:22" x14ac:dyDescent="0.35">
      <c r="A807" s="5">
        <v>26291944000159</v>
      </c>
      <c r="B807" s="7"/>
      <c r="C807" s="4"/>
      <c r="D807" s="6" t="s">
        <v>59</v>
      </c>
      <c r="E807" s="6" t="s">
        <v>339</v>
      </c>
      <c r="F807" s="6" t="s">
        <v>8</v>
      </c>
      <c r="G807" s="11" t="s">
        <v>9</v>
      </c>
      <c r="H807" s="6" t="s">
        <v>10</v>
      </c>
      <c r="I807" s="21" t="s">
        <v>1072</v>
      </c>
      <c r="J807" s="18">
        <f>VLOOKUP(A807,[2]Export!$A:$B,2,0)</f>
        <v>7088.5555835718314</v>
      </c>
      <c r="K807" s="18">
        <f>VLOOKUP(A807,[2]Export!$A:$C,3,0)</f>
        <v>3985.35</v>
      </c>
      <c r="L807" s="19">
        <f t="shared" si="26"/>
        <v>0.56222314306687482</v>
      </c>
      <c r="M807" s="18">
        <f>VLOOKUP(A807,[2]Export!$A:$G,7,0)</f>
        <v>450.46999999999997</v>
      </c>
      <c r="N807" s="19">
        <f t="shared" si="27"/>
        <v>6.3548912707123609E-2</v>
      </c>
      <c r="O807" s="17"/>
      <c r="P807" s="17"/>
      <c r="Q807" s="17"/>
      <c r="R807" s="17" t="str">
        <f>VLOOKUP(A807,[1]Export!$A:$I,9,0)</f>
        <v>Comprou Marcas e SG</v>
      </c>
      <c r="S807" s="17" t="s">
        <v>1022</v>
      </c>
      <c r="T807" s="20"/>
      <c r="U807" s="17"/>
      <c r="V807" s="17"/>
    </row>
    <row r="808" spans="1:22" x14ac:dyDescent="0.35">
      <c r="A808" s="4">
        <v>12026397000170</v>
      </c>
      <c r="B808" s="7"/>
      <c r="C808" s="4"/>
      <c r="D808" s="1" t="s">
        <v>804</v>
      </c>
      <c r="E808" s="1" t="s">
        <v>14</v>
      </c>
      <c r="F808" s="1" t="s">
        <v>15</v>
      </c>
      <c r="G808" s="10" t="s">
        <v>36</v>
      </c>
      <c r="H808" s="1" t="s">
        <v>17</v>
      </c>
      <c r="I808" s="21" t="s">
        <v>1067</v>
      </c>
      <c r="J808" s="18">
        <f>VLOOKUP(A808,[2]Export!$A:$B,2,0)</f>
        <v>414.52835469912793</v>
      </c>
      <c r="K808" s="18">
        <f>VLOOKUP(A808,[2]Export!$A:$C,3,0)</f>
        <v>0</v>
      </c>
      <c r="L808" s="19">
        <f t="shared" si="26"/>
        <v>0</v>
      </c>
      <c r="M808" s="18">
        <f>VLOOKUP(A808,[2]Export!$A:$G,7,0)</f>
        <v>0</v>
      </c>
      <c r="N808" s="19">
        <f t="shared" si="27"/>
        <v>0</v>
      </c>
      <c r="O808" s="17" t="s">
        <v>1025</v>
      </c>
      <c r="P808" s="17" t="s">
        <v>1026</v>
      </c>
      <c r="Q808" s="17" t="s">
        <v>1022</v>
      </c>
      <c r="R808" s="17" t="str">
        <f>VLOOKUP(A808,[1]Export!$A:$I,9,0)</f>
        <v>Não Comprou</v>
      </c>
      <c r="S808" s="17" t="s">
        <v>1023</v>
      </c>
      <c r="T808" s="20"/>
      <c r="U808" s="17"/>
      <c r="V808" s="17"/>
    </row>
    <row r="809" spans="1:22" x14ac:dyDescent="0.35">
      <c r="A809" s="5">
        <v>18110799000134</v>
      </c>
      <c r="B809" s="7"/>
      <c r="C809" s="4"/>
      <c r="D809" s="6" t="s">
        <v>309</v>
      </c>
      <c r="E809" s="6" t="s">
        <v>50</v>
      </c>
      <c r="F809" s="6" t="s">
        <v>48</v>
      </c>
      <c r="G809" s="11" t="s">
        <v>20</v>
      </c>
      <c r="H809" s="6" t="s">
        <v>17</v>
      </c>
      <c r="I809" s="21" t="s">
        <v>1071</v>
      </c>
      <c r="J809" s="18">
        <f>VLOOKUP(A809,[2]Export!$A:$B,2,0)</f>
        <v>6162.9651646907023</v>
      </c>
      <c r="K809" s="18">
        <f>VLOOKUP(A809,[2]Export!$A:$C,3,0)</f>
        <v>2894.0499999999997</v>
      </c>
      <c r="L809" s="19">
        <f t="shared" si="26"/>
        <v>0.46958727214309054</v>
      </c>
      <c r="M809" s="18">
        <f>VLOOKUP(A809,[2]Export!$A:$G,7,0)</f>
        <v>2625.5100000000007</v>
      </c>
      <c r="N809" s="19">
        <f t="shared" si="27"/>
        <v>0.42601409059429041</v>
      </c>
      <c r="O809" s="17" t="s">
        <v>1025</v>
      </c>
      <c r="P809" s="17" t="s">
        <v>1026</v>
      </c>
      <c r="Q809" s="17" t="s">
        <v>1023</v>
      </c>
      <c r="R809" s="17" t="str">
        <f>VLOOKUP(A809,[1]Export!$A:$I,9,0)</f>
        <v>Comprou Marcas e SG</v>
      </c>
      <c r="S809" s="17" t="s">
        <v>1023</v>
      </c>
      <c r="T809" s="20"/>
      <c r="U809" s="17"/>
      <c r="V809" s="17"/>
    </row>
    <row r="810" spans="1:22" x14ac:dyDescent="0.35">
      <c r="A810" s="4">
        <v>26476385000151</v>
      </c>
      <c r="B810" s="7"/>
      <c r="C810" s="4"/>
      <c r="D810" s="1" t="s">
        <v>158</v>
      </c>
      <c r="E810" s="1" t="s">
        <v>546</v>
      </c>
      <c r="F810" s="1" t="s">
        <v>8</v>
      </c>
      <c r="G810" s="10" t="s">
        <v>9</v>
      </c>
      <c r="H810" s="1" t="s">
        <v>10</v>
      </c>
      <c r="I810" s="21" t="s">
        <v>1070</v>
      </c>
      <c r="J810" s="18">
        <f>VLOOKUP(A810,[2]Export!$A:$B,2,0)</f>
        <v>9814.8148371923489</v>
      </c>
      <c r="K810" s="18">
        <f>VLOOKUP(A810,[2]Export!$A:$C,3,0)</f>
        <v>5023.7099999999991</v>
      </c>
      <c r="L810" s="19">
        <f t="shared" si="26"/>
        <v>0.51184969694620286</v>
      </c>
      <c r="M810" s="18">
        <f>VLOOKUP(A810,[2]Export!$A:$G,7,0)</f>
        <v>2995.5400000000004</v>
      </c>
      <c r="N810" s="19">
        <f t="shared" si="27"/>
        <v>0.305205961568289</v>
      </c>
      <c r="O810" s="17" t="s">
        <v>1027</v>
      </c>
      <c r="P810" s="17" t="s">
        <v>1028</v>
      </c>
      <c r="Q810" s="17" t="s">
        <v>1023</v>
      </c>
      <c r="R810" s="17" t="str">
        <f>VLOOKUP(A810,[1]Export!$A:$I,9,0)</f>
        <v>Comprou Marcas</v>
      </c>
      <c r="S810" s="17" t="s">
        <v>1022</v>
      </c>
      <c r="T810" s="20"/>
      <c r="U810" s="17"/>
      <c r="V810" s="17"/>
    </row>
    <row r="811" spans="1:22" x14ac:dyDescent="0.35">
      <c r="A811" s="4">
        <v>11051538000141</v>
      </c>
      <c r="B811" s="7"/>
      <c r="C811" s="4"/>
      <c r="D811" s="1" t="s">
        <v>559</v>
      </c>
      <c r="E811" s="1" t="s">
        <v>22</v>
      </c>
      <c r="F811" s="1" t="s">
        <v>8</v>
      </c>
      <c r="G811" s="10" t="s">
        <v>9</v>
      </c>
      <c r="H811" s="1" t="s">
        <v>10</v>
      </c>
      <c r="I811" s="21" t="s">
        <v>1068</v>
      </c>
      <c r="J811" s="18">
        <f>VLOOKUP(A811,[2]Export!$A:$B,2,0)</f>
        <v>11881.141380625259</v>
      </c>
      <c r="K811" s="18">
        <f>VLOOKUP(A811,[2]Export!$A:$C,3,0)</f>
        <v>6944.4599999999973</v>
      </c>
      <c r="L811" s="19">
        <f t="shared" si="26"/>
        <v>0.58449434928233612</v>
      </c>
      <c r="M811" s="18">
        <f>VLOOKUP(A811,[2]Export!$A:$G,7,0)</f>
        <v>6721.93</v>
      </c>
      <c r="N811" s="19">
        <f t="shared" si="27"/>
        <v>0.56576466727022912</v>
      </c>
      <c r="O811" s="17" t="s">
        <v>1027</v>
      </c>
      <c r="P811" s="17" t="s">
        <v>1028</v>
      </c>
      <c r="Q811" s="17" t="s">
        <v>1023</v>
      </c>
      <c r="R811" s="17" t="str">
        <f>VLOOKUP(A811,[1]Export!$A:$I,9,0)</f>
        <v>Comprou Marcas</v>
      </c>
      <c r="S811" s="17" t="s">
        <v>1022</v>
      </c>
      <c r="T811" s="20"/>
      <c r="U811" s="17"/>
      <c r="V811" s="17"/>
    </row>
    <row r="812" spans="1:22" x14ac:dyDescent="0.35">
      <c r="A812" s="4">
        <v>3142759000105</v>
      </c>
      <c r="B812" s="7"/>
      <c r="C812" s="4"/>
      <c r="D812" s="1" t="s">
        <v>59</v>
      </c>
      <c r="E812" s="1" t="s">
        <v>171</v>
      </c>
      <c r="F812" s="1" t="s">
        <v>8</v>
      </c>
      <c r="G812" s="10" t="s">
        <v>9</v>
      </c>
      <c r="H812" s="1" t="s">
        <v>10</v>
      </c>
      <c r="I812" s="21" t="s">
        <v>1070</v>
      </c>
      <c r="J812" s="18">
        <f>VLOOKUP(A812,[2]Export!$A:$B,2,0)</f>
        <v>25965.561052598852</v>
      </c>
      <c r="K812" s="18">
        <f>VLOOKUP(A812,[2]Export!$A:$C,3,0)</f>
        <v>17542.249999999993</v>
      </c>
      <c r="L812" s="19">
        <f t="shared" si="26"/>
        <v>0.67559680164292912</v>
      </c>
      <c r="M812" s="18">
        <f>VLOOKUP(A812,[2]Export!$A:$G,7,0)</f>
        <v>17507.429999999997</v>
      </c>
      <c r="N812" s="19">
        <f t="shared" si="27"/>
        <v>0.67425579460944118</v>
      </c>
      <c r="O812" s="17" t="s">
        <v>1027</v>
      </c>
      <c r="P812" s="17" t="s">
        <v>1028</v>
      </c>
      <c r="Q812" s="17" t="s">
        <v>1023</v>
      </c>
      <c r="R812" s="17" t="str">
        <f>VLOOKUP(A812,[1]Export!$A:$I,9,0)</f>
        <v>Comprou Marcas</v>
      </c>
      <c r="S812" s="17" t="s">
        <v>1022</v>
      </c>
      <c r="T812" s="20"/>
      <c r="U812" s="17"/>
      <c r="V812" s="17">
        <v>2</v>
      </c>
    </row>
    <row r="813" spans="1:22" x14ac:dyDescent="0.35">
      <c r="A813" s="5">
        <v>20119949000201</v>
      </c>
      <c r="B813" s="7"/>
      <c r="C813" s="4"/>
      <c r="D813" s="6" t="s">
        <v>158</v>
      </c>
      <c r="E813" s="6" t="s">
        <v>14</v>
      </c>
      <c r="F813" s="6" t="s">
        <v>15</v>
      </c>
      <c r="G813" s="11" t="s">
        <v>36</v>
      </c>
      <c r="H813" s="6" t="s">
        <v>17</v>
      </c>
      <c r="I813" s="21" t="s">
        <v>1067</v>
      </c>
      <c r="J813" s="18">
        <f>VLOOKUP(A813,[2]Export!$A:$B,2,0)</f>
        <v>9423.1254584489707</v>
      </c>
      <c r="K813" s="18">
        <f>VLOOKUP(A813,[2]Export!$A:$C,3,0)</f>
        <v>7067.8000000000011</v>
      </c>
      <c r="L813" s="19">
        <f t="shared" si="26"/>
        <v>0.7500483816293525</v>
      </c>
      <c r="M813" s="18">
        <f>VLOOKUP(A813,[2]Export!$A:$G,7,0)</f>
        <v>4754.4500000000007</v>
      </c>
      <c r="N813" s="19">
        <f t="shared" si="27"/>
        <v>0.50455127876251094</v>
      </c>
      <c r="O813" s="17" t="s">
        <v>1029</v>
      </c>
      <c r="P813" s="17" t="s">
        <v>1026</v>
      </c>
      <c r="Q813" s="17" t="s">
        <v>1022</v>
      </c>
      <c r="R813" s="17" t="str">
        <f>VLOOKUP(A813,[1]Export!$A:$I,9,0)</f>
        <v>Comprou Marcas e SG</v>
      </c>
      <c r="S813" s="17" t="s">
        <v>1022</v>
      </c>
      <c r="T813" s="20"/>
      <c r="U813" s="17"/>
      <c r="V813" s="17"/>
    </row>
    <row r="814" spans="1:22" x14ac:dyDescent="0.35">
      <c r="A814" s="4">
        <v>23952661000112</v>
      </c>
      <c r="B814" s="7"/>
      <c r="C814" s="4"/>
      <c r="D814" s="1" t="s">
        <v>224</v>
      </c>
      <c r="E814" s="1" t="s">
        <v>35</v>
      </c>
      <c r="F814" s="1" t="s">
        <v>8</v>
      </c>
      <c r="G814" s="10" t="s">
        <v>20</v>
      </c>
      <c r="H814" s="1" t="s">
        <v>17</v>
      </c>
      <c r="I814" s="21" t="s">
        <v>1070</v>
      </c>
      <c r="J814" s="18">
        <f>VLOOKUP(A814,[2]Export!$A:$B,2,0)</f>
        <v>5483.9753735528429</v>
      </c>
      <c r="K814" s="18">
        <f>VLOOKUP(A814,[2]Export!$A:$C,3,0)</f>
        <v>1141.2399999999998</v>
      </c>
      <c r="L814" s="19">
        <f t="shared" si="26"/>
        <v>0.20810450854753512</v>
      </c>
      <c r="M814" s="18">
        <f>VLOOKUP(A814,[2]Export!$A:$G,7,0)</f>
        <v>1099.26</v>
      </c>
      <c r="N814" s="19">
        <f t="shared" si="27"/>
        <v>0.20044947781883171</v>
      </c>
      <c r="O814" s="17" t="s">
        <v>1029</v>
      </c>
      <c r="P814" s="17" t="s">
        <v>1026</v>
      </c>
      <c r="Q814" s="17" t="s">
        <v>1022</v>
      </c>
      <c r="R814" s="17" t="str">
        <f>VLOOKUP(A814,[1]Export!$A:$I,9,0)</f>
        <v>Comprou Marcas</v>
      </c>
      <c r="S814" s="17" t="s">
        <v>1023</v>
      </c>
      <c r="T814" s="20"/>
      <c r="U814" s="17"/>
      <c r="V814" s="17"/>
    </row>
    <row r="815" spans="1:22" x14ac:dyDescent="0.35">
      <c r="A815" s="5">
        <v>24437271000177</v>
      </c>
      <c r="B815" s="7"/>
      <c r="C815" s="4"/>
      <c r="D815" s="6" t="s">
        <v>25</v>
      </c>
      <c r="E815" s="6" t="s">
        <v>358</v>
      </c>
      <c r="F815" s="6" t="s">
        <v>15</v>
      </c>
      <c r="G815" s="11" t="s">
        <v>9</v>
      </c>
      <c r="H815" s="6" t="s">
        <v>10</v>
      </c>
      <c r="I815" s="21" t="s">
        <v>1069</v>
      </c>
      <c r="J815" s="18">
        <f>VLOOKUP(A815,[2]Export!$A:$B,2,0)</f>
        <v>13342.556361536537</v>
      </c>
      <c r="K815" s="18">
        <f>VLOOKUP(A815,[2]Export!$A:$C,3,0)</f>
        <v>6720.090000000002</v>
      </c>
      <c r="L815" s="19">
        <f t="shared" si="26"/>
        <v>0.50365835585843555</v>
      </c>
      <c r="M815" s="18">
        <f>VLOOKUP(A815,[2]Export!$A:$G,7,0)</f>
        <v>3559.4500000000003</v>
      </c>
      <c r="N815" s="19">
        <f t="shared" si="27"/>
        <v>0.26677421504180865</v>
      </c>
      <c r="O815" s="17" t="s">
        <v>1027</v>
      </c>
      <c r="P815" s="17" t="s">
        <v>1028</v>
      </c>
      <c r="Q815" s="17" t="s">
        <v>1023</v>
      </c>
      <c r="R815" s="17" t="str">
        <f>VLOOKUP(A815,[1]Export!$A:$I,9,0)</f>
        <v>Comprou Marcas</v>
      </c>
      <c r="S815" s="17" t="s">
        <v>1022</v>
      </c>
      <c r="T815" s="20"/>
      <c r="U815" s="17"/>
      <c r="V815" s="17"/>
    </row>
    <row r="816" spans="1:22" x14ac:dyDescent="0.35">
      <c r="A816" s="4">
        <v>27785214000410</v>
      </c>
      <c r="B816" s="7" t="s">
        <v>1010</v>
      </c>
      <c r="C816" s="4"/>
      <c r="D816" s="1" t="s">
        <v>670</v>
      </c>
      <c r="E816" s="1" t="s">
        <v>24</v>
      </c>
      <c r="F816" s="1" t="s">
        <v>15</v>
      </c>
      <c r="G816" s="10" t="s">
        <v>36</v>
      </c>
      <c r="H816" s="1" t="s">
        <v>17</v>
      </c>
      <c r="I816" s="21" t="s">
        <v>1069</v>
      </c>
      <c r="J816" s="18">
        <f>VLOOKUP(A816,[2]Export!$A:$B,2,0)</f>
        <v>9415.044518852379</v>
      </c>
      <c r="K816" s="18">
        <f>VLOOKUP(A816,[2]Export!$A:$C,3,0)</f>
        <v>9860.7099999999973</v>
      </c>
      <c r="L816" s="19">
        <f t="shared" si="26"/>
        <v>1.047335461904108</v>
      </c>
      <c r="M816" s="18">
        <f>VLOOKUP(A816,[2]Export!$A:$G,7,0)</f>
        <v>9026.42</v>
      </c>
      <c r="N816" s="19">
        <f t="shared" si="27"/>
        <v>0.95872302907604845</v>
      </c>
      <c r="O816" s="17" t="s">
        <v>1027</v>
      </c>
      <c r="P816" s="17" t="s">
        <v>1028</v>
      </c>
      <c r="Q816" s="17" t="s">
        <v>1023</v>
      </c>
      <c r="R816" s="17" t="str">
        <f>VLOOKUP(A816,[1]Export!$A:$I,9,0)</f>
        <v>Comprou Marcas</v>
      </c>
      <c r="S816" s="17" t="s">
        <v>1022</v>
      </c>
      <c r="T816" s="20">
        <v>1</v>
      </c>
      <c r="U816" s="17"/>
      <c r="V816" s="17"/>
    </row>
    <row r="817" spans="1:22" x14ac:dyDescent="0.35">
      <c r="A817" s="5">
        <v>28032369000103</v>
      </c>
      <c r="B817" s="7"/>
      <c r="C817" s="4"/>
      <c r="D817" s="6" t="s">
        <v>805</v>
      </c>
      <c r="E817" s="6" t="s">
        <v>588</v>
      </c>
      <c r="F817" s="6" t="s">
        <v>8</v>
      </c>
      <c r="G817" s="11" t="s">
        <v>74</v>
      </c>
      <c r="H817" s="6" t="s">
        <v>17</v>
      </c>
      <c r="I817" s="21" t="s">
        <v>1066</v>
      </c>
      <c r="J817" s="18">
        <f>VLOOKUP(A817,[2]Export!$A:$B,2,0)</f>
        <v>13542.419104018967</v>
      </c>
      <c r="K817" s="18">
        <f>VLOOKUP(A817,[2]Export!$A:$C,3,0)</f>
        <v>7888.1899999999978</v>
      </c>
      <c r="L817" s="19">
        <f t="shared" si="26"/>
        <v>0.58248012702981766</v>
      </c>
      <c r="M817" s="18">
        <f>VLOOKUP(A817,[2]Export!$A:$G,7,0)</f>
        <v>7116.0700000000024</v>
      </c>
      <c r="N817" s="19">
        <f t="shared" si="27"/>
        <v>0.52546520273384356</v>
      </c>
      <c r="O817" s="17" t="s">
        <v>1027</v>
      </c>
      <c r="P817" s="17" t="s">
        <v>1028</v>
      </c>
      <c r="Q817" s="17" t="s">
        <v>1023</v>
      </c>
      <c r="R817" s="17" t="str">
        <f>VLOOKUP(A817,[1]Export!$A:$I,9,0)</f>
        <v>Comprou Marcas</v>
      </c>
      <c r="S817" s="17" t="s">
        <v>1022</v>
      </c>
      <c r="T817" s="20"/>
      <c r="U817" s="17"/>
      <c r="V817" s="17"/>
    </row>
    <row r="818" spans="1:22" x14ac:dyDescent="0.35">
      <c r="A818" s="4">
        <v>34959930000199</v>
      </c>
      <c r="B818" s="7"/>
      <c r="C818" s="4"/>
      <c r="D818" s="1" t="s">
        <v>806</v>
      </c>
      <c r="E818" s="1" t="s">
        <v>542</v>
      </c>
      <c r="F818" s="1" t="s">
        <v>15</v>
      </c>
      <c r="G818" s="10" t="s">
        <v>33</v>
      </c>
      <c r="H818" s="1" t="s">
        <v>17</v>
      </c>
      <c r="I818" s="21" t="s">
        <v>1073</v>
      </c>
      <c r="J818" s="18">
        <f>VLOOKUP(A818,[2]Export!$A:$B,2,0)</f>
        <v>4639.0762711353173</v>
      </c>
      <c r="K818" s="18">
        <f>VLOOKUP(A818,[2]Export!$A:$C,3,0)</f>
        <v>2689.9700000000003</v>
      </c>
      <c r="L818" s="19">
        <f t="shared" si="26"/>
        <v>0.57985035010896391</v>
      </c>
      <c r="M818" s="18">
        <f>VLOOKUP(A818,[2]Export!$A:$G,7,0)</f>
        <v>1600.14</v>
      </c>
      <c r="N818" s="19">
        <f t="shared" si="27"/>
        <v>0.34492642640005555</v>
      </c>
      <c r="O818" s="17" t="s">
        <v>1029</v>
      </c>
      <c r="P818" s="17" t="s">
        <v>1026</v>
      </c>
      <c r="Q818" s="17" t="s">
        <v>1023</v>
      </c>
      <c r="R818" s="17" t="str">
        <f>VLOOKUP(A818,[1]Export!$A:$I,9,0)</f>
        <v>Comprou Marcas</v>
      </c>
      <c r="S818" s="17" t="s">
        <v>1022</v>
      </c>
      <c r="T818" s="20"/>
      <c r="U818" s="17"/>
      <c r="V818" s="17"/>
    </row>
    <row r="819" spans="1:22" x14ac:dyDescent="0.35">
      <c r="A819" s="5">
        <v>36004691000149</v>
      </c>
      <c r="B819" s="7"/>
      <c r="C819" s="4"/>
      <c r="D819" s="6" t="s">
        <v>807</v>
      </c>
      <c r="E819" s="6" t="s">
        <v>390</v>
      </c>
      <c r="F819" s="6" t="s">
        <v>8</v>
      </c>
      <c r="G819" s="11" t="s">
        <v>33</v>
      </c>
      <c r="H819" s="6" t="s">
        <v>17</v>
      </c>
      <c r="I819" s="21" t="s">
        <v>1068</v>
      </c>
      <c r="J819" s="18">
        <f>VLOOKUP(A819,[2]Export!$A:$B,2,0)</f>
        <v>6047.4291948764439</v>
      </c>
      <c r="K819" s="18">
        <f>VLOOKUP(A819,[2]Export!$A:$C,3,0)</f>
        <v>4251.21</v>
      </c>
      <c r="L819" s="19">
        <f t="shared" si="26"/>
        <v>0.70297805282313142</v>
      </c>
      <c r="M819" s="18">
        <f>VLOOKUP(A819,[2]Export!$A:$G,7,0)</f>
        <v>0</v>
      </c>
      <c r="N819" s="19">
        <f t="shared" si="27"/>
        <v>0</v>
      </c>
      <c r="O819" s="17"/>
      <c r="P819" s="17"/>
      <c r="Q819" s="17"/>
      <c r="R819" s="17" t="str">
        <f>VLOOKUP(A819,[1]Export!$A:$I,9,0)</f>
        <v>Não Comprou</v>
      </c>
      <c r="S819" s="17"/>
      <c r="T819" s="20"/>
      <c r="U819" s="17"/>
      <c r="V819" s="17"/>
    </row>
    <row r="820" spans="1:22" x14ac:dyDescent="0.35">
      <c r="A820" s="4">
        <v>36259468000142</v>
      </c>
      <c r="B820" s="7"/>
      <c r="C820" s="4"/>
      <c r="D820" s="1" t="s">
        <v>753</v>
      </c>
      <c r="E820" s="1" t="s">
        <v>14</v>
      </c>
      <c r="F820" s="1" t="s">
        <v>15</v>
      </c>
      <c r="G820" s="10" t="s">
        <v>20</v>
      </c>
      <c r="H820" s="1" t="s">
        <v>17</v>
      </c>
      <c r="I820" s="21" t="s">
        <v>1067</v>
      </c>
      <c r="J820" s="18">
        <f>VLOOKUP(A820,[2]Export!$A:$B,2,0)</f>
        <v>2606.6251740330617</v>
      </c>
      <c r="K820" s="18">
        <f>VLOOKUP(A820,[2]Export!$A:$C,3,0)</f>
        <v>1172.3400000000001</v>
      </c>
      <c r="L820" s="19">
        <f t="shared" si="26"/>
        <v>0.44975396220320957</v>
      </c>
      <c r="M820" s="18">
        <f>VLOOKUP(A820,[2]Export!$A:$G,7,0)</f>
        <v>0</v>
      </c>
      <c r="N820" s="19">
        <f t="shared" si="27"/>
        <v>0</v>
      </c>
      <c r="O820" s="17" t="s">
        <v>1025</v>
      </c>
      <c r="P820" s="17" t="s">
        <v>1026</v>
      </c>
      <c r="Q820" s="17" t="s">
        <v>1023</v>
      </c>
      <c r="R820" s="17" t="str">
        <f>VLOOKUP(A820,[1]Export!$A:$I,9,0)</f>
        <v>Não Comprou</v>
      </c>
      <c r="S820" s="17" t="s">
        <v>1023</v>
      </c>
      <c r="T820" s="20"/>
      <c r="U820" s="17"/>
      <c r="V820" s="17"/>
    </row>
    <row r="821" spans="1:22" x14ac:dyDescent="0.35">
      <c r="A821" s="5">
        <v>61144743000120</v>
      </c>
      <c r="B821" s="7"/>
      <c r="C821" s="4"/>
      <c r="D821" s="6" t="s">
        <v>597</v>
      </c>
      <c r="E821" s="6" t="s">
        <v>379</v>
      </c>
      <c r="F821" s="6" t="s">
        <v>15</v>
      </c>
      <c r="G821" s="11" t="s">
        <v>16</v>
      </c>
      <c r="H821" s="6" t="s">
        <v>17</v>
      </c>
      <c r="I821" s="21" t="s">
        <v>1073</v>
      </c>
      <c r="J821" s="18">
        <f>VLOOKUP(A821,[2]Export!$A:$B,2,0)</f>
        <v>6734.0141180477258</v>
      </c>
      <c r="K821" s="18">
        <f>VLOOKUP(A821,[2]Export!$A:$C,3,0)</f>
        <v>2403.08</v>
      </c>
      <c r="L821" s="19">
        <f t="shared" si="26"/>
        <v>0.35685698869557503</v>
      </c>
      <c r="M821" s="18">
        <f>VLOOKUP(A821,[2]Export!$A:$G,7,0)</f>
        <v>568.84</v>
      </c>
      <c r="N821" s="19">
        <f t="shared" si="27"/>
        <v>8.4472647373200607E-2</v>
      </c>
      <c r="O821" s="17" t="s">
        <v>1025</v>
      </c>
      <c r="P821" s="17" t="s">
        <v>1026</v>
      </c>
      <c r="Q821" s="17" t="s">
        <v>1023</v>
      </c>
      <c r="R821" s="17" t="str">
        <f>VLOOKUP(A821,[1]Export!$A:$I,9,0)</f>
        <v>Comprou Marcas</v>
      </c>
      <c r="S821" s="17" t="s">
        <v>1022</v>
      </c>
      <c r="T821" s="20">
        <v>4</v>
      </c>
      <c r="U821" s="17"/>
      <c r="V821" s="17"/>
    </row>
    <row r="822" spans="1:22" x14ac:dyDescent="0.35">
      <c r="A822" s="4">
        <v>52464336000109</v>
      </c>
      <c r="B822" s="7"/>
      <c r="C822" s="4">
        <v>147</v>
      </c>
      <c r="D822" s="1" t="s">
        <v>808</v>
      </c>
      <c r="E822" s="1" t="s">
        <v>270</v>
      </c>
      <c r="F822" s="1" t="s">
        <v>48</v>
      </c>
      <c r="G822" s="10" t="s">
        <v>20</v>
      </c>
      <c r="H822" s="1" t="s">
        <v>17</v>
      </c>
      <c r="I822" s="21" t="s">
        <v>1073</v>
      </c>
      <c r="J822" s="18">
        <f>VLOOKUP(A822,[2]Export!$A:$B,2,0)</f>
        <v>7331.6638023028245</v>
      </c>
      <c r="K822" s="18">
        <f>VLOOKUP(A822,[2]Export!$A:$C,3,0)</f>
        <v>2936.82</v>
      </c>
      <c r="L822" s="19">
        <f t="shared" si="26"/>
        <v>0.40056664887955795</v>
      </c>
      <c r="M822" s="18">
        <f>VLOOKUP(A822,[2]Export!$A:$G,7,0)</f>
        <v>0</v>
      </c>
      <c r="N822" s="19">
        <f t="shared" si="27"/>
        <v>0</v>
      </c>
      <c r="O822" s="17" t="s">
        <v>1030</v>
      </c>
      <c r="P822" s="17" t="s">
        <v>1026</v>
      </c>
      <c r="Q822" s="17" t="s">
        <v>1023</v>
      </c>
      <c r="R822" s="17" t="str">
        <f>VLOOKUP(A822,[1]Export!$A:$I,9,0)</f>
        <v>Comprou SG</v>
      </c>
      <c r="S822" s="17" t="s">
        <v>1022</v>
      </c>
      <c r="T822" s="20">
        <v>1</v>
      </c>
      <c r="U822" s="17"/>
      <c r="V822" s="17"/>
    </row>
    <row r="823" spans="1:22" x14ac:dyDescent="0.35">
      <c r="A823" s="5">
        <v>53062463000144</v>
      </c>
      <c r="B823" s="7"/>
      <c r="C823" s="4"/>
      <c r="D823" s="6" t="s">
        <v>90</v>
      </c>
      <c r="E823" s="6" t="s">
        <v>203</v>
      </c>
      <c r="F823" s="6" t="s">
        <v>8</v>
      </c>
      <c r="G823" s="11" t="s">
        <v>64</v>
      </c>
      <c r="H823" s="6" t="s">
        <v>17</v>
      </c>
      <c r="I823" s="21" t="s">
        <v>1072</v>
      </c>
      <c r="J823" s="18">
        <f>VLOOKUP(A823,[2]Export!$A:$B,2,0)</f>
        <v>6268.254825592473</v>
      </c>
      <c r="K823" s="18">
        <f>VLOOKUP(A823,[2]Export!$A:$C,3,0)</f>
        <v>3050.7499999999995</v>
      </c>
      <c r="L823" s="19">
        <f t="shared" si="26"/>
        <v>0.4866984647057076</v>
      </c>
      <c r="M823" s="18">
        <f>VLOOKUP(A823,[2]Export!$A:$G,7,0)</f>
        <v>0</v>
      </c>
      <c r="N823" s="19">
        <f t="shared" si="27"/>
        <v>0</v>
      </c>
      <c r="O823" s="17" t="s">
        <v>1025</v>
      </c>
      <c r="P823" s="17" t="s">
        <v>1026</v>
      </c>
      <c r="Q823" s="17" t="s">
        <v>1022</v>
      </c>
      <c r="R823" s="17" t="str">
        <f>VLOOKUP(A823,[1]Export!$A:$I,9,0)</f>
        <v>Não Comprou</v>
      </c>
      <c r="S823" s="17" t="s">
        <v>1022</v>
      </c>
      <c r="T823" s="20">
        <v>4</v>
      </c>
      <c r="U823" s="17"/>
      <c r="V823" s="17"/>
    </row>
    <row r="824" spans="1:22" x14ac:dyDescent="0.35">
      <c r="A824" s="4">
        <v>5006001000167</v>
      </c>
      <c r="B824" s="7"/>
      <c r="C824" s="4"/>
      <c r="D824" s="1" t="s">
        <v>767</v>
      </c>
      <c r="E824" s="1" t="s">
        <v>22</v>
      </c>
      <c r="F824" s="1" t="s">
        <v>8</v>
      </c>
      <c r="G824" s="10" t="s">
        <v>20</v>
      </c>
      <c r="H824" s="1" t="s">
        <v>17</v>
      </c>
      <c r="I824" s="21" t="s">
        <v>1068</v>
      </c>
      <c r="J824" s="18">
        <f>VLOOKUP(A824,[2]Export!$A:$B,2,0)</f>
        <v>9881.7755677287405</v>
      </c>
      <c r="K824" s="18">
        <f>VLOOKUP(A824,[2]Export!$A:$C,3,0)</f>
        <v>5676.27</v>
      </c>
      <c r="L824" s="19">
        <f t="shared" si="26"/>
        <v>0.57441802448308921</v>
      </c>
      <c r="M824" s="18">
        <f>VLOOKUP(A824,[2]Export!$A:$G,7,0)</f>
        <v>0</v>
      </c>
      <c r="N824" s="19">
        <f t="shared" si="27"/>
        <v>0</v>
      </c>
      <c r="O824" s="17" t="s">
        <v>1025</v>
      </c>
      <c r="P824" s="17" t="s">
        <v>1026</v>
      </c>
      <c r="Q824" s="17" t="s">
        <v>1022</v>
      </c>
      <c r="R824" s="17" t="str">
        <f>VLOOKUP(A824,[1]Export!$A:$I,9,0)</f>
        <v>Não Comprou</v>
      </c>
      <c r="S824" s="17" t="s">
        <v>1022</v>
      </c>
      <c r="T824" s="20"/>
      <c r="U824" s="17"/>
      <c r="V824" s="17"/>
    </row>
    <row r="825" spans="1:22" x14ac:dyDescent="0.35">
      <c r="A825" s="5">
        <v>5344624000492</v>
      </c>
      <c r="B825" s="7" t="s">
        <v>1011</v>
      </c>
      <c r="C825" s="4"/>
      <c r="D825" s="6" t="s">
        <v>809</v>
      </c>
      <c r="E825" s="6" t="s">
        <v>259</v>
      </c>
      <c r="F825" s="6" t="s">
        <v>15</v>
      </c>
      <c r="G825" s="11" t="s">
        <v>9</v>
      </c>
      <c r="H825" s="6" t="s">
        <v>10</v>
      </c>
      <c r="I825" s="21" t="s">
        <v>1069</v>
      </c>
      <c r="J825" s="18">
        <f>VLOOKUP(A825,[2]Export!$A:$B,2,0)</f>
        <v>7073.62541264025</v>
      </c>
      <c r="K825" s="18">
        <f>VLOOKUP(A825,[2]Export!$A:$C,3,0)</f>
        <v>3268.0200000000004</v>
      </c>
      <c r="L825" s="19">
        <f t="shared" si="26"/>
        <v>0.462000715242879</v>
      </c>
      <c r="M825" s="18">
        <f>VLOOKUP(A825,[2]Export!$A:$G,7,0)</f>
        <v>1696.6100000000001</v>
      </c>
      <c r="N825" s="19">
        <f t="shared" si="27"/>
        <v>0.23985013356350968</v>
      </c>
      <c r="O825" s="17" t="s">
        <v>1027</v>
      </c>
      <c r="P825" s="17" t="s">
        <v>1028</v>
      </c>
      <c r="Q825" s="17" t="s">
        <v>1023</v>
      </c>
      <c r="R825" s="17" t="str">
        <f>VLOOKUP(A825,[1]Export!$A:$I,9,0)</f>
        <v>Comprou Marcas</v>
      </c>
      <c r="S825" s="17" t="s">
        <v>1022</v>
      </c>
      <c r="T825" s="20"/>
      <c r="U825" s="17"/>
      <c r="V825" s="17"/>
    </row>
    <row r="826" spans="1:22" x14ac:dyDescent="0.35">
      <c r="A826" s="4">
        <v>5465757000174</v>
      </c>
      <c r="B826" s="7"/>
      <c r="C826" s="4"/>
      <c r="D826" s="1" t="s">
        <v>810</v>
      </c>
      <c r="E826" s="1" t="s">
        <v>61</v>
      </c>
      <c r="F826" s="1" t="s">
        <v>8</v>
      </c>
      <c r="G826" s="10" t="s">
        <v>36</v>
      </c>
      <c r="H826" s="1" t="s">
        <v>17</v>
      </c>
      <c r="I826" s="21" t="s">
        <v>1066</v>
      </c>
      <c r="J826" s="18">
        <f>VLOOKUP(A826,[2]Export!$A:$B,2,0)</f>
        <v>2270.7764072739442</v>
      </c>
      <c r="K826" s="18">
        <f>VLOOKUP(A826,[2]Export!$A:$C,3,0)</f>
        <v>1431.2599999999998</v>
      </c>
      <c r="L826" s="19">
        <f t="shared" si="26"/>
        <v>0.63029543349810491</v>
      </c>
      <c r="M826" s="18">
        <f>VLOOKUP(A826,[2]Export!$A:$G,7,0)</f>
        <v>1135.0299999999997</v>
      </c>
      <c r="N826" s="19">
        <f t="shared" si="27"/>
        <v>0.49984225499444818</v>
      </c>
      <c r="O826" s="17" t="s">
        <v>1025</v>
      </c>
      <c r="P826" s="17" t="s">
        <v>1026</v>
      </c>
      <c r="Q826" s="17" t="s">
        <v>1022</v>
      </c>
      <c r="R826" s="17" t="str">
        <f>VLOOKUP(A826,[1]Export!$A:$I,9,0)</f>
        <v>Comprou Marcas</v>
      </c>
      <c r="S826" s="17" t="s">
        <v>1022</v>
      </c>
      <c r="T826" s="20"/>
      <c r="U826" s="17"/>
      <c r="V826" s="17"/>
    </row>
    <row r="827" spans="1:22" x14ac:dyDescent="0.35">
      <c r="A827" s="5">
        <v>193631000174</v>
      </c>
      <c r="B827" s="7"/>
      <c r="C827" s="4"/>
      <c r="D827" s="6" t="s">
        <v>811</v>
      </c>
      <c r="E827" s="6" t="s">
        <v>155</v>
      </c>
      <c r="F827" s="6" t="s">
        <v>15</v>
      </c>
      <c r="G827" s="11" t="s">
        <v>20</v>
      </c>
      <c r="H827" s="6" t="s">
        <v>17</v>
      </c>
      <c r="I827" s="21" t="s">
        <v>1069</v>
      </c>
      <c r="J827" s="18">
        <f>VLOOKUP(A827,[2]Export!$A:$B,2,0)</f>
        <v>6308.8527134109536</v>
      </c>
      <c r="K827" s="18">
        <f>VLOOKUP(A827,[2]Export!$A:$C,3,0)</f>
        <v>1699.99</v>
      </c>
      <c r="L827" s="19">
        <f t="shared" si="26"/>
        <v>0.26946103788193859</v>
      </c>
      <c r="M827" s="18">
        <f>VLOOKUP(A827,[2]Export!$A:$G,7,0)</f>
        <v>0</v>
      </c>
      <c r="N827" s="19">
        <f t="shared" si="27"/>
        <v>0</v>
      </c>
      <c r="O827" s="17" t="s">
        <v>1025</v>
      </c>
      <c r="P827" s="17" t="s">
        <v>1026</v>
      </c>
      <c r="Q827" s="17" t="s">
        <v>1023</v>
      </c>
      <c r="R827" s="17" t="str">
        <f>VLOOKUP(A827,[1]Export!$A:$I,9,0)</f>
        <v>Não Comprou</v>
      </c>
      <c r="S827" s="17" t="s">
        <v>1023</v>
      </c>
      <c r="T827" s="20"/>
      <c r="U827" s="17"/>
      <c r="V827" s="17"/>
    </row>
    <row r="828" spans="1:22" x14ac:dyDescent="0.35">
      <c r="A828" s="4">
        <v>1394350000142</v>
      </c>
      <c r="B828" s="7" t="s">
        <v>1010</v>
      </c>
      <c r="C828" s="4"/>
      <c r="D828" s="1" t="s">
        <v>670</v>
      </c>
      <c r="E828" s="1" t="s">
        <v>24</v>
      </c>
      <c r="F828" s="1" t="s">
        <v>15</v>
      </c>
      <c r="G828" s="10" t="s">
        <v>36</v>
      </c>
      <c r="H828" s="1" t="s">
        <v>17</v>
      </c>
      <c r="I828" s="21" t="s">
        <v>1069</v>
      </c>
      <c r="J828" s="18">
        <f>VLOOKUP(A828,[2]Export!$A:$B,2,0)</f>
        <v>7456.2914726377157</v>
      </c>
      <c r="K828" s="18">
        <f>VLOOKUP(A828,[2]Export!$A:$C,3,0)</f>
        <v>5967.52</v>
      </c>
      <c r="L828" s="19">
        <f t="shared" si="26"/>
        <v>0.80033351994070423</v>
      </c>
      <c r="M828" s="18">
        <f>VLOOKUP(A828,[2]Export!$A:$G,7,0)</f>
        <v>4517.8200000000015</v>
      </c>
      <c r="N828" s="19">
        <f t="shared" si="27"/>
        <v>0.60590710765251121</v>
      </c>
      <c r="O828" s="17" t="s">
        <v>1027</v>
      </c>
      <c r="P828" s="17" t="s">
        <v>1028</v>
      </c>
      <c r="Q828" s="17" t="s">
        <v>1023</v>
      </c>
      <c r="R828" s="17" t="str">
        <f>VLOOKUP(A828,[1]Export!$A:$I,9,0)</f>
        <v>Comprou Marcas</v>
      </c>
      <c r="S828" s="17" t="s">
        <v>1022</v>
      </c>
      <c r="T828" s="20"/>
      <c r="U828" s="17"/>
      <c r="V828" s="17"/>
    </row>
    <row r="829" spans="1:22" x14ac:dyDescent="0.35">
      <c r="A829" s="5">
        <v>3328971000153</v>
      </c>
      <c r="B829" s="7"/>
      <c r="C829" s="4"/>
      <c r="D829" s="6" t="s">
        <v>812</v>
      </c>
      <c r="E829" s="6" t="s">
        <v>813</v>
      </c>
      <c r="F829" s="6" t="s">
        <v>48</v>
      </c>
      <c r="G829" s="11" t="s">
        <v>87</v>
      </c>
      <c r="H829" s="6" t="s">
        <v>17</v>
      </c>
      <c r="I829" s="21" t="s">
        <v>1071</v>
      </c>
      <c r="J829" s="18">
        <f>VLOOKUP(A829,[2]Export!$A:$B,2,0)</f>
        <v>6843.1437652396608</v>
      </c>
      <c r="K829" s="18">
        <f>VLOOKUP(A829,[2]Export!$A:$C,3,0)</f>
        <v>4762.4699999999993</v>
      </c>
      <c r="L829" s="19">
        <f t="shared" si="26"/>
        <v>0.69594767600695118</v>
      </c>
      <c r="M829" s="18">
        <f>VLOOKUP(A829,[2]Export!$A:$G,7,0)</f>
        <v>1191.02</v>
      </c>
      <c r="N829" s="19">
        <f t="shared" si="27"/>
        <v>0.17404573699735623</v>
      </c>
      <c r="O829" s="17" t="s">
        <v>1025</v>
      </c>
      <c r="P829" s="17" t="s">
        <v>1026</v>
      </c>
      <c r="Q829" s="17" t="s">
        <v>1023</v>
      </c>
      <c r="R829" s="17" t="str">
        <f>VLOOKUP(A829,[1]Export!$A:$I,9,0)</f>
        <v>Comprou Marcas</v>
      </c>
      <c r="S829" s="17" t="s">
        <v>1022</v>
      </c>
      <c r="T829" s="20"/>
      <c r="U829" s="17"/>
      <c r="V829" s="17"/>
    </row>
    <row r="830" spans="1:22" x14ac:dyDescent="0.35">
      <c r="A830" s="4">
        <v>1134776000167</v>
      </c>
      <c r="B830" s="7"/>
      <c r="C830" s="4"/>
      <c r="D830" s="1" t="s">
        <v>814</v>
      </c>
      <c r="E830" s="1" t="s">
        <v>329</v>
      </c>
      <c r="F830" s="1" t="s">
        <v>8</v>
      </c>
      <c r="G830" s="10" t="s">
        <v>36</v>
      </c>
      <c r="H830" s="1" t="s">
        <v>17</v>
      </c>
      <c r="I830" s="21" t="s">
        <v>1070</v>
      </c>
      <c r="J830" s="18">
        <f>VLOOKUP(A830,[2]Export!$A:$B,2,0)</f>
        <v>13232.185600931924</v>
      </c>
      <c r="K830" s="18">
        <f>VLOOKUP(A830,[2]Export!$A:$C,3,0)</f>
        <v>16227.510000000011</v>
      </c>
      <c r="L830" s="19">
        <f t="shared" si="26"/>
        <v>1.226366564784062</v>
      </c>
      <c r="M830" s="18">
        <f>VLOOKUP(A830,[2]Export!$A:$G,7,0)</f>
        <v>6287.79</v>
      </c>
      <c r="N830" s="19">
        <f t="shared" si="27"/>
        <v>0.47518907228426122</v>
      </c>
      <c r="O830" s="17" t="s">
        <v>1025</v>
      </c>
      <c r="P830" s="17" t="s">
        <v>1026</v>
      </c>
      <c r="Q830" s="17" t="s">
        <v>1023</v>
      </c>
      <c r="R830" s="17" t="str">
        <f>VLOOKUP(A830,[1]Export!$A:$I,9,0)</f>
        <v>Comprou Marcas</v>
      </c>
      <c r="S830" s="17" t="s">
        <v>1022</v>
      </c>
      <c r="T830" s="20">
        <v>3</v>
      </c>
      <c r="U830" s="17"/>
      <c r="V830" s="17">
        <v>6</v>
      </c>
    </row>
    <row r="831" spans="1:22" x14ac:dyDescent="0.35">
      <c r="A831" s="5">
        <v>1478274000153</v>
      </c>
      <c r="B831" s="7"/>
      <c r="C831" s="4"/>
      <c r="D831" s="6" t="s">
        <v>738</v>
      </c>
      <c r="E831" s="6" t="s">
        <v>178</v>
      </c>
      <c r="F831" s="6" t="s">
        <v>15</v>
      </c>
      <c r="G831" s="11" t="s">
        <v>16</v>
      </c>
      <c r="H831" s="6" t="s">
        <v>17</v>
      </c>
      <c r="I831" s="21" t="s">
        <v>1073</v>
      </c>
      <c r="J831" s="18">
        <f>VLOOKUP(A831,[2]Export!$A:$B,2,0)</f>
        <v>2474.3808554077286</v>
      </c>
      <c r="K831" s="18">
        <f>VLOOKUP(A831,[2]Export!$A:$C,3,0)</f>
        <v>1557.7299999999996</v>
      </c>
      <c r="L831" s="19">
        <f t="shared" si="26"/>
        <v>0.62954334479092011</v>
      </c>
      <c r="M831" s="18">
        <f>VLOOKUP(A831,[2]Export!$A:$G,7,0)</f>
        <v>0</v>
      </c>
      <c r="N831" s="19">
        <f t="shared" si="27"/>
        <v>0</v>
      </c>
      <c r="O831" s="17" t="s">
        <v>1025</v>
      </c>
      <c r="P831" s="17" t="s">
        <v>1026</v>
      </c>
      <c r="Q831" s="17" t="s">
        <v>1023</v>
      </c>
      <c r="R831" s="17" t="str">
        <f>VLOOKUP(A831,[1]Export!$A:$I,9,0)</f>
        <v>Não Comprou</v>
      </c>
      <c r="S831" s="17" t="s">
        <v>1022</v>
      </c>
      <c r="T831" s="20"/>
      <c r="U831" s="17"/>
      <c r="V831" s="17"/>
    </row>
    <row r="832" spans="1:22" x14ac:dyDescent="0.35">
      <c r="A832" s="4">
        <v>1617371000180</v>
      </c>
      <c r="B832" s="7"/>
      <c r="C832" s="4"/>
      <c r="D832" s="1" t="s">
        <v>815</v>
      </c>
      <c r="E832" s="1" t="s">
        <v>405</v>
      </c>
      <c r="F832" s="1" t="s">
        <v>48</v>
      </c>
      <c r="G832" s="10" t="s">
        <v>87</v>
      </c>
      <c r="H832" s="1" t="s">
        <v>17</v>
      </c>
      <c r="I832" s="21" t="s">
        <v>1071</v>
      </c>
      <c r="J832" s="18">
        <f>VLOOKUP(A832,[2]Export!$A:$B,2,0)</f>
        <v>15436.658449557635</v>
      </c>
      <c r="K832" s="18">
        <f>VLOOKUP(A832,[2]Export!$A:$C,3,0)</f>
        <v>18486.309999999994</v>
      </c>
      <c r="L832" s="19">
        <f t="shared" si="26"/>
        <v>1.197559048184405</v>
      </c>
      <c r="M832" s="18">
        <f>VLOOKUP(A832,[2]Export!$A:$G,7,0)</f>
        <v>15917.140000000003</v>
      </c>
      <c r="N832" s="19">
        <f t="shared" si="27"/>
        <v>1.031126007743997</v>
      </c>
      <c r="O832" s="17" t="s">
        <v>1027</v>
      </c>
      <c r="P832" s="17" t="s">
        <v>1026</v>
      </c>
      <c r="Q832" s="17" t="s">
        <v>1023</v>
      </c>
      <c r="R832" s="17" t="str">
        <f>VLOOKUP(A832,[1]Export!$A:$I,9,0)</f>
        <v>Comprou Marcas e SG</v>
      </c>
      <c r="S832" s="17" t="s">
        <v>1022</v>
      </c>
      <c r="T832" s="20"/>
      <c r="U832" s="17"/>
      <c r="V832" s="17"/>
    </row>
    <row r="833" spans="1:22" x14ac:dyDescent="0.35">
      <c r="A833" s="5">
        <v>3476160000108</v>
      </c>
      <c r="B833" s="7"/>
      <c r="C833" s="4"/>
      <c r="D833" s="6" t="s">
        <v>816</v>
      </c>
      <c r="E833" s="6" t="s">
        <v>275</v>
      </c>
      <c r="F833" s="6" t="s">
        <v>15</v>
      </c>
      <c r="G833" s="11" t="s">
        <v>36</v>
      </c>
      <c r="H833" s="6" t="s">
        <v>17</v>
      </c>
      <c r="I833" s="21" t="s">
        <v>1073</v>
      </c>
      <c r="J833" s="18">
        <f>VLOOKUP(A833,[2]Export!$A:$B,2,0)</f>
        <v>10159.443663872926</v>
      </c>
      <c r="K833" s="18">
        <f>VLOOKUP(A833,[2]Export!$A:$C,3,0)</f>
        <v>9281.57</v>
      </c>
      <c r="L833" s="19">
        <f t="shared" si="26"/>
        <v>0.91359038024939765</v>
      </c>
      <c r="M833" s="18">
        <f>VLOOKUP(A833,[2]Export!$A:$G,7,0)</f>
        <v>7661.7600000000011</v>
      </c>
      <c r="N833" s="19">
        <f t="shared" si="27"/>
        <v>0.75415153166755478</v>
      </c>
      <c r="O833" s="17" t="s">
        <v>1030</v>
      </c>
      <c r="P833" s="17" t="s">
        <v>1026</v>
      </c>
      <c r="Q833" s="17" t="s">
        <v>1022</v>
      </c>
      <c r="R833" s="17" t="str">
        <f>VLOOKUP(A833,[1]Export!$A:$I,9,0)</f>
        <v>Comprou Marcas e SG</v>
      </c>
      <c r="S833" s="17" t="s">
        <v>1022</v>
      </c>
      <c r="T833" s="20"/>
      <c r="U833" s="17">
        <v>3</v>
      </c>
      <c r="V833" s="17"/>
    </row>
    <row r="834" spans="1:22" x14ac:dyDescent="0.35">
      <c r="A834" s="4">
        <v>3662213000177</v>
      </c>
      <c r="B834" s="7"/>
      <c r="C834" s="4"/>
      <c r="D834" s="1" t="s">
        <v>817</v>
      </c>
      <c r="E834" s="1" t="s">
        <v>379</v>
      </c>
      <c r="F834" s="1" t="s">
        <v>15</v>
      </c>
      <c r="G834" s="10" t="s">
        <v>20</v>
      </c>
      <c r="H834" s="1" t="s">
        <v>17</v>
      </c>
      <c r="I834" s="21" t="s">
        <v>1073</v>
      </c>
      <c r="J834" s="18">
        <f>VLOOKUP(A834,[2]Export!$A:$B,2,0)</f>
        <v>3661.5066933843336</v>
      </c>
      <c r="K834" s="18">
        <f>VLOOKUP(A834,[2]Export!$A:$C,3,0)</f>
        <v>1215.8899999999999</v>
      </c>
      <c r="L834" s="19">
        <f t="shared" si="26"/>
        <v>0.33207367944919741</v>
      </c>
      <c r="M834" s="18">
        <f>VLOOKUP(A834,[2]Export!$A:$G,7,0)</f>
        <v>463.82</v>
      </c>
      <c r="N834" s="19">
        <f t="shared" si="27"/>
        <v>0.12667462846320535</v>
      </c>
      <c r="O834" s="17" t="s">
        <v>1025</v>
      </c>
      <c r="P834" s="17" t="s">
        <v>1026</v>
      </c>
      <c r="Q834" s="17" t="s">
        <v>1023</v>
      </c>
      <c r="R834" s="17" t="str">
        <f>VLOOKUP(A834,[1]Export!$A:$I,9,0)</f>
        <v>Comprou Marcas</v>
      </c>
      <c r="S834" s="17" t="s">
        <v>1023</v>
      </c>
      <c r="T834" s="20"/>
      <c r="U834" s="17"/>
      <c r="V834" s="17"/>
    </row>
    <row r="835" spans="1:22" x14ac:dyDescent="0.35">
      <c r="A835" s="5">
        <v>4837150000105</v>
      </c>
      <c r="B835" s="7"/>
      <c r="C835" s="4"/>
      <c r="D835" s="6" t="s">
        <v>222</v>
      </c>
      <c r="E835" s="6" t="s">
        <v>61</v>
      </c>
      <c r="F835" s="6" t="s">
        <v>8</v>
      </c>
      <c r="G835" s="11" t="s">
        <v>16</v>
      </c>
      <c r="H835" s="6" t="s">
        <v>17</v>
      </c>
      <c r="I835" s="21" t="s">
        <v>1066</v>
      </c>
      <c r="J835" s="18">
        <f>VLOOKUP(A835,[2]Export!$A:$B,2,0)</f>
        <v>3188.6371086327167</v>
      </c>
      <c r="K835" s="18">
        <f>VLOOKUP(A835,[2]Export!$A:$C,3,0)</f>
        <v>2098.16</v>
      </c>
      <c r="L835" s="19">
        <f t="shared" si="26"/>
        <v>0.65801153549884139</v>
      </c>
      <c r="M835" s="18">
        <f>VLOOKUP(A835,[2]Export!$A:$G,7,0)</f>
        <v>1025.9100000000001</v>
      </c>
      <c r="N835" s="19">
        <f t="shared" si="27"/>
        <v>0.32173934036661478</v>
      </c>
      <c r="O835" s="17" t="s">
        <v>1029</v>
      </c>
      <c r="P835" s="17" t="s">
        <v>1026</v>
      </c>
      <c r="Q835" s="17" t="s">
        <v>1022</v>
      </c>
      <c r="R835" s="17" t="str">
        <f>VLOOKUP(A835,[1]Export!$A:$I,9,0)</f>
        <v>Comprou Marcas</v>
      </c>
      <c r="S835" s="17" t="s">
        <v>1022</v>
      </c>
      <c r="T835" s="20"/>
      <c r="U835" s="17"/>
      <c r="V835" s="17"/>
    </row>
    <row r="836" spans="1:22" x14ac:dyDescent="0.35">
      <c r="A836" s="4">
        <v>4965294000147</v>
      </c>
      <c r="B836" s="7"/>
      <c r="C836" s="4"/>
      <c r="D836" s="1" t="s">
        <v>207</v>
      </c>
      <c r="E836" s="1" t="s">
        <v>672</v>
      </c>
      <c r="F836" s="1" t="s">
        <v>15</v>
      </c>
      <c r="G836" s="10" t="s">
        <v>36</v>
      </c>
      <c r="H836" s="1" t="s">
        <v>17</v>
      </c>
      <c r="I836" s="21" t="s">
        <v>1073</v>
      </c>
      <c r="J836" s="18">
        <f>VLOOKUP(A836,[2]Export!$A:$B,2,0)</f>
        <v>4503.3376013740844</v>
      </c>
      <c r="K836" s="18">
        <f>VLOOKUP(A836,[2]Export!$A:$C,3,0)</f>
        <v>3299.5099999999998</v>
      </c>
      <c r="L836" s="19">
        <f t="shared" si="26"/>
        <v>0.73268102284697334</v>
      </c>
      <c r="M836" s="18">
        <f>VLOOKUP(A836,[2]Export!$A:$G,7,0)</f>
        <v>1750.56</v>
      </c>
      <c r="N836" s="19">
        <f t="shared" si="27"/>
        <v>0.38872502018632998</v>
      </c>
      <c r="O836" s="17" t="s">
        <v>1025</v>
      </c>
      <c r="P836" s="17" t="s">
        <v>1026</v>
      </c>
      <c r="Q836" s="17" t="s">
        <v>1022</v>
      </c>
      <c r="R836" s="17" t="str">
        <f>VLOOKUP(A836,[1]Export!$A:$I,9,0)</f>
        <v>Comprou Marcas</v>
      </c>
      <c r="S836" s="17" t="s">
        <v>1022</v>
      </c>
      <c r="T836" s="20"/>
      <c r="U836" s="17"/>
      <c r="V836" s="17"/>
    </row>
    <row r="837" spans="1:22" x14ac:dyDescent="0.35">
      <c r="A837" s="5">
        <v>4972853000731</v>
      </c>
      <c r="B837" s="7" t="s">
        <v>135</v>
      </c>
      <c r="C837" s="4"/>
      <c r="D837" s="6" t="s">
        <v>134</v>
      </c>
      <c r="E837" s="6" t="s">
        <v>35</v>
      </c>
      <c r="F837" s="6" t="s">
        <v>8</v>
      </c>
      <c r="G837" s="11" t="s">
        <v>135</v>
      </c>
      <c r="H837" s="6" t="s">
        <v>17</v>
      </c>
      <c r="I837" s="21" t="s">
        <v>1070</v>
      </c>
      <c r="J837" s="18">
        <f>VLOOKUP(A837,[2]Export!$A:$B,2,0)</f>
        <v>7011.4789383484122</v>
      </c>
      <c r="K837" s="18">
        <f>VLOOKUP(A837,[2]Export!$A:$C,3,0)</f>
        <v>6391.5399999999991</v>
      </c>
      <c r="L837" s="19">
        <f t="shared" si="26"/>
        <v>0.91158228616251924</v>
      </c>
      <c r="M837" s="18">
        <f>VLOOKUP(A837,[2]Export!$A:$G,7,0)</f>
        <v>4752.0499999999993</v>
      </c>
      <c r="N837" s="19">
        <f t="shared" si="27"/>
        <v>0.67775287379232541</v>
      </c>
      <c r="O837" s="17" t="s">
        <v>1025</v>
      </c>
      <c r="P837" s="17" t="s">
        <v>1026</v>
      </c>
      <c r="Q837" s="17" t="s">
        <v>1022</v>
      </c>
      <c r="R837" s="17" t="str">
        <f>VLOOKUP(A837,[1]Export!$A:$I,9,0)</f>
        <v>Comprou Marcas e SG</v>
      </c>
      <c r="S837" s="17" t="s">
        <v>1022</v>
      </c>
      <c r="T837" s="20"/>
      <c r="U837" s="17"/>
      <c r="V837" s="17"/>
    </row>
    <row r="838" spans="1:22" x14ac:dyDescent="0.35">
      <c r="A838" s="4">
        <v>5340715000107</v>
      </c>
      <c r="B838" s="7"/>
      <c r="C838" s="4"/>
      <c r="D838" s="1" t="s">
        <v>818</v>
      </c>
      <c r="E838" s="1" t="s">
        <v>14</v>
      </c>
      <c r="F838" s="1" t="s">
        <v>15</v>
      </c>
      <c r="G838" s="10" t="s">
        <v>20</v>
      </c>
      <c r="H838" s="1" t="s">
        <v>17</v>
      </c>
      <c r="I838" s="21" t="s">
        <v>1067</v>
      </c>
      <c r="J838" s="18">
        <f>VLOOKUP(A838,[2]Export!$A:$B,2,0)</f>
        <v>10032.456674580577</v>
      </c>
      <c r="K838" s="18">
        <f>VLOOKUP(A838,[2]Export!$A:$C,3,0)</f>
        <v>3639.7400000000002</v>
      </c>
      <c r="L838" s="19">
        <f t="shared" si="26"/>
        <v>0.36279648326038405</v>
      </c>
      <c r="M838" s="18">
        <f>VLOOKUP(A838,[2]Export!$A:$G,7,0)</f>
        <v>2740.8</v>
      </c>
      <c r="N838" s="19">
        <f t="shared" si="27"/>
        <v>0.2731933053789723</v>
      </c>
      <c r="O838" s="17" t="s">
        <v>1025</v>
      </c>
      <c r="P838" s="17" t="s">
        <v>1026</v>
      </c>
      <c r="Q838" s="17" t="s">
        <v>1023</v>
      </c>
      <c r="R838" s="17" t="str">
        <f>VLOOKUP(A838,[1]Export!$A:$I,9,0)</f>
        <v>Comprou Marcas</v>
      </c>
      <c r="S838" s="17" t="s">
        <v>1023</v>
      </c>
      <c r="T838" s="20"/>
      <c r="U838" s="17"/>
      <c r="V838" s="17"/>
    </row>
    <row r="839" spans="1:22" x14ac:dyDescent="0.35">
      <c r="A839" s="5">
        <v>5639734000139</v>
      </c>
      <c r="B839" s="7"/>
      <c r="C839" s="4"/>
      <c r="D839" s="6" t="s">
        <v>662</v>
      </c>
      <c r="E839" s="6" t="s">
        <v>152</v>
      </c>
      <c r="F839" s="6" t="s">
        <v>8</v>
      </c>
      <c r="G839" s="11" t="s">
        <v>33</v>
      </c>
      <c r="H839" s="6" t="s">
        <v>17</v>
      </c>
      <c r="I839" s="21" t="s">
        <v>1068</v>
      </c>
      <c r="J839" s="18">
        <f>VLOOKUP(A839,[2]Export!$A:$B,2,0)</f>
        <v>1442.1908323071148</v>
      </c>
      <c r="K839" s="18">
        <f>VLOOKUP(A839,[2]Export!$A:$C,3,0)</f>
        <v>453.46</v>
      </c>
      <c r="L839" s="19">
        <f t="shared" si="26"/>
        <v>0.31442440892138163</v>
      </c>
      <c r="M839" s="18">
        <f>VLOOKUP(A839,[2]Export!$A:$G,7,0)</f>
        <v>0</v>
      </c>
      <c r="N839" s="19">
        <f t="shared" si="27"/>
        <v>0</v>
      </c>
      <c r="O839" s="17" t="s">
        <v>1029</v>
      </c>
      <c r="P839" s="17" t="s">
        <v>1026</v>
      </c>
      <c r="Q839" s="17" t="s">
        <v>1022</v>
      </c>
      <c r="R839" s="17" t="str">
        <f>VLOOKUP(A839,[1]Export!$A:$I,9,0)</f>
        <v>Não Comprou</v>
      </c>
      <c r="S839" s="17" t="s">
        <v>1022</v>
      </c>
      <c r="T839" s="20">
        <v>1</v>
      </c>
      <c r="U839" s="17"/>
      <c r="V839" s="17"/>
    </row>
    <row r="840" spans="1:22" x14ac:dyDescent="0.35">
      <c r="A840" s="4">
        <v>5867754000167</v>
      </c>
      <c r="B840" s="7" t="s">
        <v>414</v>
      </c>
      <c r="C840" s="4"/>
      <c r="D840" s="1" t="s">
        <v>768</v>
      </c>
      <c r="E840" s="1" t="s">
        <v>94</v>
      </c>
      <c r="F840" s="1" t="s">
        <v>15</v>
      </c>
      <c r="G840" s="10" t="s">
        <v>20</v>
      </c>
      <c r="H840" s="1" t="s">
        <v>17</v>
      </c>
      <c r="I840" s="21" t="s">
        <v>1069</v>
      </c>
      <c r="J840" s="18">
        <f>VLOOKUP(A840,[2]Export!$A:$B,2,0)</f>
        <v>5355.8905779711013</v>
      </c>
      <c r="K840" s="18">
        <f>VLOOKUP(A840,[2]Export!$A:$C,3,0)</f>
        <v>8095.7799999999988</v>
      </c>
      <c r="L840" s="19">
        <f t="shared" si="26"/>
        <v>1.5115656083972522</v>
      </c>
      <c r="M840" s="18">
        <f>VLOOKUP(A840,[2]Export!$A:$G,7,0)</f>
        <v>5525.4299999999994</v>
      </c>
      <c r="N840" s="19">
        <f t="shared" si="27"/>
        <v>1.031654758356382</v>
      </c>
      <c r="O840" s="17" t="s">
        <v>1027</v>
      </c>
      <c r="P840" s="17" t="s">
        <v>1028</v>
      </c>
      <c r="Q840" s="17" t="s">
        <v>1022</v>
      </c>
      <c r="R840" s="17" t="str">
        <f>VLOOKUP(A840,[1]Export!$A:$I,9,0)</f>
        <v>Comprou Marcas</v>
      </c>
      <c r="S840" s="17" t="s">
        <v>1022</v>
      </c>
      <c r="T840" s="20"/>
      <c r="U840" s="17">
        <v>4</v>
      </c>
      <c r="V840" s="17">
        <v>4</v>
      </c>
    </row>
    <row r="841" spans="1:22" x14ac:dyDescent="0.35">
      <c r="A841" s="5">
        <v>422093000142</v>
      </c>
      <c r="B841" s="7"/>
      <c r="C841" s="4"/>
      <c r="D841" s="6" t="s">
        <v>819</v>
      </c>
      <c r="E841" s="6" t="s">
        <v>206</v>
      </c>
      <c r="F841" s="6" t="s">
        <v>48</v>
      </c>
      <c r="G841" s="11" t="s">
        <v>20</v>
      </c>
      <c r="H841" s="6" t="s">
        <v>17</v>
      </c>
      <c r="I841" s="21" t="s">
        <v>1073</v>
      </c>
      <c r="J841" s="18">
        <f>VLOOKUP(A841,[2]Export!$A:$B,2,0)</f>
        <v>1696.6693157533832</v>
      </c>
      <c r="K841" s="18">
        <f>VLOOKUP(A841,[2]Export!$A:$C,3,0)</f>
        <v>3027.14</v>
      </c>
      <c r="L841" s="19">
        <f t="shared" si="26"/>
        <v>1.7841661730387568</v>
      </c>
      <c r="M841" s="18">
        <f>VLOOKUP(A841,[2]Export!$A:$G,7,0)</f>
        <v>2324.4099999999994</v>
      </c>
      <c r="N841" s="19">
        <f t="shared" si="27"/>
        <v>1.369984108522571</v>
      </c>
      <c r="O841" s="17" t="s">
        <v>1025</v>
      </c>
      <c r="P841" s="17" t="s">
        <v>1026</v>
      </c>
      <c r="Q841" s="17" t="s">
        <v>1022</v>
      </c>
      <c r="R841" s="17" t="str">
        <f>VLOOKUP(A841,[1]Export!$A:$I,9,0)</f>
        <v>Comprou Marcas</v>
      </c>
      <c r="S841" s="17" t="s">
        <v>1023</v>
      </c>
      <c r="T841" s="20"/>
      <c r="U841" s="17"/>
      <c r="V841" s="17"/>
    </row>
    <row r="842" spans="1:22" x14ac:dyDescent="0.35">
      <c r="A842" s="4">
        <v>818504000113</v>
      </c>
      <c r="B842" s="7"/>
      <c r="C842" s="4"/>
      <c r="D842" s="1" t="s">
        <v>820</v>
      </c>
      <c r="E842" s="1" t="s">
        <v>330</v>
      </c>
      <c r="F842" s="1" t="s">
        <v>15</v>
      </c>
      <c r="G842" s="10" t="s">
        <v>20</v>
      </c>
      <c r="H842" s="1" t="s">
        <v>17</v>
      </c>
      <c r="I842" s="21" t="s">
        <v>1069</v>
      </c>
      <c r="J842" s="18">
        <f>VLOOKUP(A842,[2]Export!$A:$B,2,0)</f>
        <v>2269.1453592374364</v>
      </c>
      <c r="K842" s="18">
        <f>VLOOKUP(A842,[2]Export!$A:$C,3,0)</f>
        <v>1199.6499999999999</v>
      </c>
      <c r="L842" s="19">
        <f t="shared" si="26"/>
        <v>0.52867922062214268</v>
      </c>
      <c r="M842" s="18">
        <f>VLOOKUP(A842,[2]Export!$A:$G,7,0)</f>
        <v>0</v>
      </c>
      <c r="N842" s="19">
        <f t="shared" si="27"/>
        <v>0</v>
      </c>
      <c r="O842" s="17" t="s">
        <v>1025</v>
      </c>
      <c r="P842" s="17" t="s">
        <v>1026</v>
      </c>
      <c r="Q842" s="17" t="s">
        <v>1023</v>
      </c>
      <c r="R842" s="17" t="str">
        <f>VLOOKUP(A842,[1]Export!$A:$I,9,0)</f>
        <v>Não Comprou</v>
      </c>
      <c r="S842" s="17" t="s">
        <v>1022</v>
      </c>
      <c r="T842" s="20"/>
      <c r="U842" s="17"/>
      <c r="V842" s="17"/>
    </row>
    <row r="843" spans="1:22" x14ac:dyDescent="0.35">
      <c r="A843" s="5">
        <v>1323294000155</v>
      </c>
      <c r="B843" s="7"/>
      <c r="C843" s="4"/>
      <c r="D843" s="6" t="s">
        <v>821</v>
      </c>
      <c r="E843" s="6" t="s">
        <v>43</v>
      </c>
      <c r="F843" s="6" t="s">
        <v>8</v>
      </c>
      <c r="G843" s="11" t="s">
        <v>20</v>
      </c>
      <c r="H843" s="6" t="s">
        <v>17</v>
      </c>
      <c r="I843" s="21" t="s">
        <v>1068</v>
      </c>
      <c r="J843" s="18">
        <f>VLOOKUP(A843,[2]Export!$A:$B,2,0)</f>
        <v>394.77598910324224</v>
      </c>
      <c r="K843" s="18">
        <f>VLOOKUP(A843,[2]Export!$A:$C,3,0)</f>
        <v>0</v>
      </c>
      <c r="L843" s="19">
        <f t="shared" si="26"/>
        <v>0</v>
      </c>
      <c r="M843" s="18">
        <f>VLOOKUP(A843,[2]Export!$A:$G,7,0)</f>
        <v>0</v>
      </c>
      <c r="N843" s="19">
        <f t="shared" si="27"/>
        <v>0</v>
      </c>
      <c r="O843" s="17" t="s">
        <v>1025</v>
      </c>
      <c r="P843" s="17" t="s">
        <v>1026</v>
      </c>
      <c r="Q843" s="17" t="s">
        <v>1023</v>
      </c>
      <c r="R843" s="17" t="str">
        <f>VLOOKUP(A843,[1]Export!$A:$I,9,0)</f>
        <v>Não Comprou</v>
      </c>
      <c r="S843" s="17" t="s">
        <v>1023</v>
      </c>
      <c r="T843" s="20"/>
      <c r="U843" s="17"/>
      <c r="V843" s="17"/>
    </row>
    <row r="844" spans="1:22" x14ac:dyDescent="0.35">
      <c r="A844" s="4">
        <v>2441488000118</v>
      </c>
      <c r="B844" s="7"/>
      <c r="C844" s="4"/>
      <c r="D844" s="1" t="s">
        <v>822</v>
      </c>
      <c r="E844" s="1" t="s">
        <v>327</v>
      </c>
      <c r="F844" s="1" t="s">
        <v>15</v>
      </c>
      <c r="G844" s="10" t="s">
        <v>36</v>
      </c>
      <c r="H844" s="1" t="s">
        <v>17</v>
      </c>
      <c r="I844" s="21" t="s">
        <v>1069</v>
      </c>
      <c r="J844" s="18">
        <f>VLOOKUP(A844,[2]Export!$A:$B,2,0)</f>
        <v>5349.6718401664648</v>
      </c>
      <c r="K844" s="18">
        <f>VLOOKUP(A844,[2]Export!$A:$C,3,0)</f>
        <v>1473.0400000000004</v>
      </c>
      <c r="L844" s="19">
        <f t="shared" si="26"/>
        <v>0.27535146902658691</v>
      </c>
      <c r="M844" s="18">
        <f>VLOOKUP(A844,[2]Export!$A:$G,7,0)</f>
        <v>360.46999999999997</v>
      </c>
      <c r="N844" s="19">
        <f t="shared" si="27"/>
        <v>6.7381703171681517E-2</v>
      </c>
      <c r="O844" s="17" t="s">
        <v>1025</v>
      </c>
      <c r="P844" s="17" t="s">
        <v>1026</v>
      </c>
      <c r="Q844" s="17" t="s">
        <v>1022</v>
      </c>
      <c r="R844" s="17" t="str">
        <f>VLOOKUP(A844,[1]Export!$A:$I,9,0)</f>
        <v>Comprou Marcas</v>
      </c>
      <c r="S844" s="17" t="s">
        <v>1022</v>
      </c>
      <c r="T844" s="20"/>
      <c r="U844" s="17"/>
      <c r="V844" s="17"/>
    </row>
    <row r="845" spans="1:22" x14ac:dyDescent="0.35">
      <c r="A845" s="5">
        <v>31836867000105</v>
      </c>
      <c r="B845" s="7"/>
      <c r="C845" s="4"/>
      <c r="D845" s="6" t="s">
        <v>823</v>
      </c>
      <c r="E845" s="6" t="s">
        <v>52</v>
      </c>
      <c r="F845" s="6" t="s">
        <v>8</v>
      </c>
      <c r="G845" s="11" t="s">
        <v>20</v>
      </c>
      <c r="H845" s="6" t="s">
        <v>17</v>
      </c>
      <c r="I845" s="21" t="s">
        <v>1072</v>
      </c>
      <c r="J845" s="18">
        <f>VLOOKUP(A845,[2]Export!$A:$B,2,0)</f>
        <v>5273.8415761985289</v>
      </c>
      <c r="K845" s="18">
        <f>VLOOKUP(A845,[2]Export!$A:$C,3,0)</f>
        <v>2411.0500000000002</v>
      </c>
      <c r="L845" s="19">
        <f t="shared" ref="L845:L908" si="28">K845/J845</f>
        <v>0.45717148783561384</v>
      </c>
      <c r="M845" s="18">
        <f>VLOOKUP(A845,[2]Export!$A:$G,7,0)</f>
        <v>0</v>
      </c>
      <c r="N845" s="19">
        <f t="shared" ref="N845:N908" si="29">M845/J845</f>
        <v>0</v>
      </c>
      <c r="O845" s="17" t="s">
        <v>1025</v>
      </c>
      <c r="P845" s="17" t="s">
        <v>1026</v>
      </c>
      <c r="Q845" s="17" t="s">
        <v>1023</v>
      </c>
      <c r="R845" s="17" t="str">
        <f>VLOOKUP(A845,[1]Export!$A:$I,9,0)</f>
        <v>Não Comprou</v>
      </c>
      <c r="S845" s="17" t="s">
        <v>1023</v>
      </c>
      <c r="T845" s="20">
        <v>1</v>
      </c>
      <c r="U845" s="17"/>
      <c r="V845" s="17"/>
    </row>
    <row r="846" spans="1:22" x14ac:dyDescent="0.35">
      <c r="A846" s="4">
        <v>14648568000128</v>
      </c>
      <c r="B846" s="7"/>
      <c r="C846" s="4"/>
      <c r="D846" s="1" t="s">
        <v>824</v>
      </c>
      <c r="E846" s="1" t="s">
        <v>232</v>
      </c>
      <c r="F846" s="1" t="s">
        <v>8</v>
      </c>
      <c r="G846" s="10" t="s">
        <v>36</v>
      </c>
      <c r="H846" s="1" t="s">
        <v>17</v>
      </c>
      <c r="I846" s="21" t="s">
        <v>1068</v>
      </c>
      <c r="J846" s="18">
        <f>VLOOKUP(A846,[2]Export!$A:$B,2,0)</f>
        <v>6005.2707388470717</v>
      </c>
      <c r="K846" s="18">
        <f>VLOOKUP(A846,[2]Export!$A:$C,3,0)</f>
        <v>6303.9300000000012</v>
      </c>
      <c r="L846" s="19">
        <f t="shared" si="28"/>
        <v>1.0497328553766867</v>
      </c>
      <c r="M846" s="18">
        <f>VLOOKUP(A846,[2]Export!$A:$G,7,0)</f>
        <v>0</v>
      </c>
      <c r="N846" s="19">
        <f t="shared" si="29"/>
        <v>0</v>
      </c>
      <c r="O846" s="17" t="s">
        <v>1025</v>
      </c>
      <c r="P846" s="17" t="s">
        <v>1026</v>
      </c>
      <c r="Q846" s="17" t="s">
        <v>1022</v>
      </c>
      <c r="R846" s="17" t="str">
        <f>VLOOKUP(A846,[1]Export!$A:$I,9,0)</f>
        <v>Não Comprou</v>
      </c>
      <c r="S846" s="17" t="s">
        <v>1022</v>
      </c>
      <c r="T846" s="20">
        <v>1</v>
      </c>
      <c r="U846" s="17"/>
      <c r="V846" s="17">
        <v>4</v>
      </c>
    </row>
    <row r="847" spans="1:22" x14ac:dyDescent="0.35">
      <c r="A847" s="5">
        <v>15303440000195</v>
      </c>
      <c r="B847" s="7" t="s">
        <v>994</v>
      </c>
      <c r="C847" s="4"/>
      <c r="D847" s="6" t="s">
        <v>156</v>
      </c>
      <c r="E847" s="6" t="s">
        <v>596</v>
      </c>
      <c r="F847" s="6" t="s">
        <v>48</v>
      </c>
      <c r="G847" s="11" t="s">
        <v>92</v>
      </c>
      <c r="H847" s="6" t="s">
        <v>17</v>
      </c>
      <c r="I847" s="21" t="s">
        <v>1071</v>
      </c>
      <c r="J847" s="18">
        <f>VLOOKUP(A847,[2]Export!$A:$B,2,0)</f>
        <v>22597.464046858346</v>
      </c>
      <c r="K847" s="18">
        <f>VLOOKUP(A847,[2]Export!$A:$C,3,0)</f>
        <v>11876.440000000008</v>
      </c>
      <c r="L847" s="19">
        <f t="shared" si="28"/>
        <v>0.52556516852390578</v>
      </c>
      <c r="M847" s="18">
        <f>VLOOKUP(A847,[2]Export!$A:$G,7,0)</f>
        <v>6456.0199999999995</v>
      </c>
      <c r="N847" s="19">
        <f t="shared" si="29"/>
        <v>0.28569665988239773</v>
      </c>
      <c r="O847" s="17" t="s">
        <v>1027</v>
      </c>
      <c r="P847" s="17" t="s">
        <v>1028</v>
      </c>
      <c r="Q847" s="17" t="s">
        <v>1023</v>
      </c>
      <c r="R847" s="17" t="str">
        <f>VLOOKUP(A847,[1]Export!$A:$I,9,0)</f>
        <v>Comprou Marcas e SG</v>
      </c>
      <c r="S847" s="17" t="s">
        <v>1022</v>
      </c>
      <c r="T847" s="20"/>
      <c r="U847" s="17"/>
      <c r="V847" s="17"/>
    </row>
    <row r="848" spans="1:22" x14ac:dyDescent="0.35">
      <c r="A848" s="4">
        <v>11190148000233</v>
      </c>
      <c r="B848" s="7"/>
      <c r="C848" s="4"/>
      <c r="D848" s="1" t="s">
        <v>825</v>
      </c>
      <c r="E848" s="1" t="s">
        <v>82</v>
      </c>
      <c r="F848" s="1" t="s">
        <v>8</v>
      </c>
      <c r="G848" s="10" t="s">
        <v>33</v>
      </c>
      <c r="H848" s="1" t="s">
        <v>17</v>
      </c>
      <c r="I848" s="21" t="s">
        <v>1070</v>
      </c>
      <c r="J848" s="18">
        <f>VLOOKUP(A848,[2]Export!$A:$B,2,0)</f>
        <v>6218.8076179278933</v>
      </c>
      <c r="K848" s="18">
        <f>VLOOKUP(A848,[2]Export!$A:$C,3,0)</f>
        <v>5025.880000000001</v>
      </c>
      <c r="L848" s="19">
        <f t="shared" si="28"/>
        <v>0.80817422065142197</v>
      </c>
      <c r="M848" s="18">
        <f>VLOOKUP(A848,[2]Export!$A:$G,7,0)</f>
        <v>3714.02</v>
      </c>
      <c r="N848" s="19">
        <f t="shared" si="29"/>
        <v>0.5972238133389165</v>
      </c>
      <c r="O848" s="17" t="s">
        <v>1027</v>
      </c>
      <c r="P848" s="17" t="s">
        <v>1026</v>
      </c>
      <c r="Q848" s="17" t="s">
        <v>1023</v>
      </c>
      <c r="R848" s="17" t="str">
        <f>VLOOKUP(A848,[1]Export!$A:$I,9,0)</f>
        <v>Comprou Marcas</v>
      </c>
      <c r="S848" s="17" t="s">
        <v>1022</v>
      </c>
      <c r="T848" s="20">
        <v>7</v>
      </c>
      <c r="U848" s="17"/>
      <c r="V848" s="17"/>
    </row>
    <row r="849" spans="1:22" x14ac:dyDescent="0.35">
      <c r="A849" s="5">
        <v>11277593000154</v>
      </c>
      <c r="B849" s="7"/>
      <c r="C849" s="4"/>
      <c r="D849" s="6" t="s">
        <v>191</v>
      </c>
      <c r="E849" s="6" t="s">
        <v>110</v>
      </c>
      <c r="F849" s="6" t="s">
        <v>15</v>
      </c>
      <c r="G849" s="11" t="s">
        <v>16</v>
      </c>
      <c r="H849" s="6" t="s">
        <v>17</v>
      </c>
      <c r="I849" s="21" t="s">
        <v>1069</v>
      </c>
      <c r="J849" s="18">
        <f>VLOOKUP(A849,[2]Export!$A:$B,2,0)</f>
        <v>615.53294652526961</v>
      </c>
      <c r="K849" s="18">
        <f>VLOOKUP(A849,[2]Export!$A:$C,3,0)</f>
        <v>637.32999999999993</v>
      </c>
      <c r="L849" s="19">
        <f t="shared" si="28"/>
        <v>1.0354116763331294</v>
      </c>
      <c r="M849" s="18">
        <f>VLOOKUP(A849,[2]Export!$A:$G,7,0)</f>
        <v>219.78000000000003</v>
      </c>
      <c r="N849" s="19">
        <f t="shared" si="29"/>
        <v>0.35705643579385127</v>
      </c>
      <c r="O849" s="17" t="s">
        <v>1029</v>
      </c>
      <c r="P849" s="17" t="s">
        <v>1026</v>
      </c>
      <c r="Q849" s="17" t="s">
        <v>1023</v>
      </c>
      <c r="R849" s="17" t="str">
        <f>VLOOKUP(A849,[1]Export!$A:$I,9,0)</f>
        <v>Comprou Marcas</v>
      </c>
      <c r="S849" s="17" t="s">
        <v>1022</v>
      </c>
      <c r="T849" s="20"/>
      <c r="U849" s="17"/>
      <c r="V849" s="17"/>
    </row>
    <row r="850" spans="1:22" x14ac:dyDescent="0.35">
      <c r="A850" s="4">
        <v>13079901000162</v>
      </c>
      <c r="B850" s="7"/>
      <c r="C850" s="4"/>
      <c r="D850" s="1" t="s">
        <v>826</v>
      </c>
      <c r="E850" s="1" t="s">
        <v>307</v>
      </c>
      <c r="F850" s="1" t="s">
        <v>8</v>
      </c>
      <c r="G850" s="10" t="s">
        <v>20</v>
      </c>
      <c r="H850" s="1" t="s">
        <v>17</v>
      </c>
      <c r="I850" s="21" t="s">
        <v>1068</v>
      </c>
      <c r="J850" s="18">
        <f>VLOOKUP(A850,[2]Export!$A:$B,2,0)</f>
        <v>1553.5859219060189</v>
      </c>
      <c r="K850" s="18">
        <f>VLOOKUP(A850,[2]Export!$A:$C,3,0)</f>
        <v>1048.4000000000001</v>
      </c>
      <c r="L850" s="19">
        <f t="shared" si="28"/>
        <v>0.6748258884283459</v>
      </c>
      <c r="M850" s="18">
        <f>VLOOKUP(A850,[2]Export!$A:$G,7,0)</f>
        <v>1238.5099999999998</v>
      </c>
      <c r="N850" s="19">
        <f t="shared" si="29"/>
        <v>0.79719440201963987</v>
      </c>
      <c r="O850" s="17" t="s">
        <v>1027</v>
      </c>
      <c r="P850" s="17" t="s">
        <v>1026</v>
      </c>
      <c r="Q850" s="17" t="s">
        <v>1023</v>
      </c>
      <c r="R850" s="17" t="str">
        <f>VLOOKUP(A850,[1]Export!$A:$I,9,0)</f>
        <v>Comprou Marcas e SG</v>
      </c>
      <c r="S850" s="17" t="s">
        <v>1023</v>
      </c>
      <c r="T850" s="20"/>
      <c r="U850" s="17"/>
      <c r="V850" s="17"/>
    </row>
    <row r="851" spans="1:22" x14ac:dyDescent="0.35">
      <c r="A851" s="5">
        <v>17176661000175</v>
      </c>
      <c r="B851" s="7"/>
      <c r="C851" s="4"/>
      <c r="D851" s="6" t="s">
        <v>773</v>
      </c>
      <c r="E851" s="6" t="s">
        <v>110</v>
      </c>
      <c r="F851" s="6" t="s">
        <v>15</v>
      </c>
      <c r="G851" s="11" t="s">
        <v>36</v>
      </c>
      <c r="H851" s="6" t="s">
        <v>17</v>
      </c>
      <c r="I851" s="21" t="s">
        <v>1069</v>
      </c>
      <c r="J851" s="18">
        <f>VLOOKUP(A851,[2]Export!$A:$B,2,0)</f>
        <v>11353.771623005443</v>
      </c>
      <c r="K851" s="18">
        <f>VLOOKUP(A851,[2]Export!$A:$C,3,0)</f>
        <v>12234.999999999998</v>
      </c>
      <c r="L851" s="19">
        <f t="shared" si="28"/>
        <v>1.0776154749501017</v>
      </c>
      <c r="M851" s="18">
        <f>VLOOKUP(A851,[2]Export!$A:$G,7,0)</f>
        <v>7025.12</v>
      </c>
      <c r="N851" s="19">
        <f t="shared" si="29"/>
        <v>0.61874769312476174</v>
      </c>
      <c r="O851" s="17" t="s">
        <v>1027</v>
      </c>
      <c r="P851" s="17" t="s">
        <v>1028</v>
      </c>
      <c r="Q851" s="17" t="s">
        <v>1022</v>
      </c>
      <c r="R851" s="17" t="str">
        <f>VLOOKUP(A851,[1]Export!$A:$I,9,0)</f>
        <v>Comprou Marcas</v>
      </c>
      <c r="S851" s="17" t="s">
        <v>1022</v>
      </c>
      <c r="T851" s="20"/>
      <c r="U851" s="17"/>
      <c r="V851" s="17"/>
    </row>
    <row r="852" spans="1:22" x14ac:dyDescent="0.35">
      <c r="A852" s="4">
        <v>17581013000102</v>
      </c>
      <c r="B852" s="7"/>
      <c r="C852" s="4"/>
      <c r="D852" s="1" t="s">
        <v>827</v>
      </c>
      <c r="E852" s="1" t="s">
        <v>203</v>
      </c>
      <c r="F852" s="1" t="s">
        <v>8</v>
      </c>
      <c r="G852" s="10" t="s">
        <v>20</v>
      </c>
      <c r="H852" s="1" t="s">
        <v>17</v>
      </c>
      <c r="I852" s="21" t="s">
        <v>1072</v>
      </c>
      <c r="J852" s="18">
        <f>VLOOKUP(A852,[2]Export!$A:$B,2,0)</f>
        <v>4567.9737146424486</v>
      </c>
      <c r="K852" s="18">
        <f>VLOOKUP(A852,[2]Export!$A:$C,3,0)</f>
        <v>1403.96</v>
      </c>
      <c r="L852" s="19">
        <f t="shared" si="28"/>
        <v>0.30734852862652534</v>
      </c>
      <c r="M852" s="18">
        <f>VLOOKUP(A852,[2]Export!$A:$G,7,0)</f>
        <v>0</v>
      </c>
      <c r="N852" s="19">
        <f t="shared" si="29"/>
        <v>0</v>
      </c>
      <c r="O852" s="17" t="s">
        <v>1025</v>
      </c>
      <c r="P852" s="17" t="s">
        <v>1026</v>
      </c>
      <c r="Q852" s="17" t="s">
        <v>1023</v>
      </c>
      <c r="R852" s="17" t="str">
        <f>VLOOKUP(A852,[1]Export!$A:$I,9,0)</f>
        <v>Não Comprou</v>
      </c>
      <c r="S852" s="17" t="s">
        <v>1022</v>
      </c>
      <c r="T852" s="20"/>
      <c r="U852" s="17"/>
      <c r="V852" s="17"/>
    </row>
    <row r="853" spans="1:22" x14ac:dyDescent="0.35">
      <c r="A853" s="5">
        <v>36728431000388</v>
      </c>
      <c r="B853" s="7"/>
      <c r="C853" s="4"/>
      <c r="D853" s="6" t="s">
        <v>828</v>
      </c>
      <c r="E853" s="6" t="s">
        <v>14</v>
      </c>
      <c r="F853" s="6" t="s">
        <v>15</v>
      </c>
      <c r="G853" s="11" t="s">
        <v>9</v>
      </c>
      <c r="H853" s="6" t="s">
        <v>10</v>
      </c>
      <c r="I853" s="21" t="s">
        <v>1067</v>
      </c>
      <c r="J853" s="18">
        <f>VLOOKUP(A853,[2]Export!$A:$B,2,0)</f>
        <v>8794.2994094504429</v>
      </c>
      <c r="K853" s="18">
        <f>VLOOKUP(A853,[2]Export!$A:$C,3,0)</f>
        <v>5021.0099999999993</v>
      </c>
      <c r="L853" s="19">
        <f t="shared" si="28"/>
        <v>0.57093916936741673</v>
      </c>
      <c r="M853" s="18">
        <f>VLOOKUP(A853,[2]Export!$A:$G,7,0)</f>
        <v>4685.8600000000006</v>
      </c>
      <c r="N853" s="19">
        <f t="shared" si="29"/>
        <v>0.53282925470612563</v>
      </c>
      <c r="O853" s="17" t="s">
        <v>1027</v>
      </c>
      <c r="P853" s="17" t="s">
        <v>1028</v>
      </c>
      <c r="Q853" s="17" t="s">
        <v>1023</v>
      </c>
      <c r="R853" s="17" t="str">
        <f>VLOOKUP(A853,[1]Export!$A:$I,9,0)</f>
        <v>Comprou Marcas</v>
      </c>
      <c r="S853" s="17" t="s">
        <v>1022</v>
      </c>
      <c r="T853" s="20"/>
      <c r="U853" s="17"/>
      <c r="V853" s="17"/>
    </row>
    <row r="854" spans="1:22" x14ac:dyDescent="0.35">
      <c r="A854" s="4">
        <v>43011126000174</v>
      </c>
      <c r="B854" s="7"/>
      <c r="C854" s="4"/>
      <c r="D854" s="1" t="s">
        <v>829</v>
      </c>
      <c r="E854" s="1" t="s">
        <v>14</v>
      </c>
      <c r="F854" s="1" t="s">
        <v>15</v>
      </c>
      <c r="G854" s="10" t="s">
        <v>36</v>
      </c>
      <c r="H854" s="1" t="s">
        <v>17</v>
      </c>
      <c r="I854" s="21" t="s">
        <v>1067</v>
      </c>
      <c r="J854" s="18">
        <f>VLOOKUP(A854,[2]Export!$A:$B,2,0)</f>
        <v>4492.9584413896</v>
      </c>
      <c r="K854" s="18">
        <f>VLOOKUP(A854,[2]Export!$A:$C,3,0)</f>
        <v>1416.3899999999999</v>
      </c>
      <c r="L854" s="19">
        <f t="shared" si="28"/>
        <v>0.31524662835784723</v>
      </c>
      <c r="M854" s="18">
        <f>VLOOKUP(A854,[2]Export!$A:$G,7,0)</f>
        <v>0</v>
      </c>
      <c r="N854" s="19">
        <f t="shared" si="29"/>
        <v>0</v>
      </c>
      <c r="O854" s="17" t="s">
        <v>1029</v>
      </c>
      <c r="P854" s="17" t="s">
        <v>1026</v>
      </c>
      <c r="Q854" s="17" t="s">
        <v>1022</v>
      </c>
      <c r="R854" s="17" t="str">
        <f>VLOOKUP(A854,[1]Export!$A:$I,9,0)</f>
        <v>Não Comprou</v>
      </c>
      <c r="S854" s="17" t="s">
        <v>1023</v>
      </c>
      <c r="T854" s="20"/>
      <c r="U854" s="17"/>
      <c r="V854" s="17"/>
    </row>
    <row r="855" spans="1:22" x14ac:dyDescent="0.35">
      <c r="A855" s="5">
        <v>43054517000257</v>
      </c>
      <c r="B855" s="7"/>
      <c r="C855" s="4"/>
      <c r="D855" s="6" t="s">
        <v>150</v>
      </c>
      <c r="E855" s="6" t="s">
        <v>129</v>
      </c>
      <c r="F855" s="6" t="s">
        <v>15</v>
      </c>
      <c r="G855" s="11" t="s">
        <v>33</v>
      </c>
      <c r="H855" s="6" t="s">
        <v>17</v>
      </c>
      <c r="I855" s="21" t="s">
        <v>1069</v>
      </c>
      <c r="J855" s="18">
        <f>VLOOKUP(A855,[2]Export!$A:$B,2,0)</f>
        <v>16757.638669030941</v>
      </c>
      <c r="K855" s="18">
        <f>VLOOKUP(A855,[2]Export!$A:$C,3,0)</f>
        <v>10642.189999999997</v>
      </c>
      <c r="L855" s="19">
        <f t="shared" si="28"/>
        <v>0.63506501185440656</v>
      </c>
      <c r="M855" s="18">
        <f>VLOOKUP(A855,[2]Export!$A:$G,7,0)</f>
        <v>10007.729999999996</v>
      </c>
      <c r="N855" s="19">
        <f t="shared" si="29"/>
        <v>0.59720406900137091</v>
      </c>
      <c r="O855" s="17" t="s">
        <v>1027</v>
      </c>
      <c r="P855" s="17" t="s">
        <v>1026</v>
      </c>
      <c r="Q855" s="17" t="s">
        <v>1023</v>
      </c>
      <c r="R855" s="17" t="str">
        <f>VLOOKUP(A855,[1]Export!$A:$I,9,0)</f>
        <v>Comprou Marcas</v>
      </c>
      <c r="S855" s="17" t="s">
        <v>1022</v>
      </c>
      <c r="T855" s="20"/>
      <c r="U855" s="17"/>
      <c r="V855" s="17"/>
    </row>
    <row r="856" spans="1:22" x14ac:dyDescent="0.35">
      <c r="A856" s="4">
        <v>48808406000121</v>
      </c>
      <c r="B856" s="7"/>
      <c r="C856" s="4"/>
      <c r="D856" s="1" t="s">
        <v>103</v>
      </c>
      <c r="E856" s="1" t="s">
        <v>690</v>
      </c>
      <c r="F856" s="1" t="s">
        <v>48</v>
      </c>
      <c r="G856" s="10" t="s">
        <v>103</v>
      </c>
      <c r="H856" s="1" t="s">
        <v>17</v>
      </c>
      <c r="I856" s="21" t="s">
        <v>1071</v>
      </c>
      <c r="J856" s="18">
        <f>VLOOKUP(A856,[2]Export!$A:$B,2,0)</f>
        <v>4127.0457447492608</v>
      </c>
      <c r="K856" s="18">
        <f>VLOOKUP(A856,[2]Export!$A:$C,3,0)</f>
        <v>2706.92</v>
      </c>
      <c r="L856" s="19">
        <f t="shared" si="28"/>
        <v>0.65589774560748404</v>
      </c>
      <c r="M856" s="18">
        <f>VLOOKUP(A856,[2]Export!$A:$G,7,0)</f>
        <v>139.56</v>
      </c>
      <c r="N856" s="19">
        <f t="shared" si="29"/>
        <v>3.3815956650724982E-2</v>
      </c>
      <c r="O856" s="17" t="s">
        <v>1027</v>
      </c>
      <c r="P856" s="17" t="s">
        <v>1026</v>
      </c>
      <c r="Q856" s="17" t="s">
        <v>1023</v>
      </c>
      <c r="R856" s="17" t="str">
        <f>VLOOKUP(A856,[1]Export!$A:$I,9,0)</f>
        <v>Não Comprou</v>
      </c>
      <c r="S856" s="17" t="s">
        <v>1022</v>
      </c>
      <c r="T856" s="20"/>
      <c r="U856" s="17"/>
      <c r="V856" s="17"/>
    </row>
    <row r="857" spans="1:22" x14ac:dyDescent="0.35">
      <c r="A857" s="5">
        <v>49852577000110</v>
      </c>
      <c r="B857" s="7"/>
      <c r="C857" s="4">
        <v>18999</v>
      </c>
      <c r="D857" s="6" t="s">
        <v>830</v>
      </c>
      <c r="E857" s="6" t="s">
        <v>47</v>
      </c>
      <c r="F857" s="6" t="s">
        <v>48</v>
      </c>
      <c r="G857" s="11" t="s">
        <v>20</v>
      </c>
      <c r="H857" s="6" t="s">
        <v>17</v>
      </c>
      <c r="I857" s="21" t="s">
        <v>1071</v>
      </c>
      <c r="J857" s="18">
        <f>VLOOKUP(A857,[2]Export!$A:$B,2,0)</f>
        <v>45417.754879381791</v>
      </c>
      <c r="K857" s="18">
        <f>VLOOKUP(A857,[2]Export!$A:$C,3,0)</f>
        <v>34665.929999999993</v>
      </c>
      <c r="L857" s="19">
        <f t="shared" si="28"/>
        <v>0.76326824370918467</v>
      </c>
      <c r="M857" s="18">
        <f>VLOOKUP(A857,[2]Export!$A:$G,7,0)</f>
        <v>21874.02</v>
      </c>
      <c r="N857" s="19">
        <f t="shared" si="29"/>
        <v>0.4816182582800918</v>
      </c>
      <c r="O857" s="17" t="s">
        <v>1027</v>
      </c>
      <c r="P857" s="17" t="s">
        <v>1028</v>
      </c>
      <c r="Q857" s="17" t="s">
        <v>1023</v>
      </c>
      <c r="R857" s="17" t="str">
        <f>VLOOKUP(A857,[1]Export!$A:$I,9,0)</f>
        <v>Comprou Marcas e SG</v>
      </c>
      <c r="S857" s="17" t="s">
        <v>1022</v>
      </c>
      <c r="T857" s="20">
        <v>9</v>
      </c>
      <c r="U857" s="17"/>
      <c r="V857" s="17">
        <v>16</v>
      </c>
    </row>
    <row r="858" spans="1:22" x14ac:dyDescent="0.35">
      <c r="A858" s="4">
        <v>50413414000110</v>
      </c>
      <c r="B858" s="7"/>
      <c r="C858" s="4"/>
      <c r="D858" s="1" t="s">
        <v>831</v>
      </c>
      <c r="E858" s="1" t="s">
        <v>14</v>
      </c>
      <c r="F858" s="1" t="s">
        <v>15</v>
      </c>
      <c r="G858" s="10" t="s">
        <v>33</v>
      </c>
      <c r="H858" s="1" t="s">
        <v>17</v>
      </c>
      <c r="I858" s="21" t="s">
        <v>1067</v>
      </c>
      <c r="J858" s="18">
        <f>VLOOKUP(A858,[2]Export!$A:$B,2,0)</f>
        <v>7311.4038121281746</v>
      </c>
      <c r="K858" s="18">
        <f>VLOOKUP(A858,[2]Export!$A:$C,3,0)</f>
        <v>1522.39</v>
      </c>
      <c r="L858" s="19">
        <f t="shared" si="28"/>
        <v>0.20822129909917653</v>
      </c>
      <c r="M858" s="18">
        <f>VLOOKUP(A858,[2]Export!$A:$G,7,0)</f>
        <v>118.66</v>
      </c>
      <c r="N858" s="19">
        <f t="shared" si="29"/>
        <v>1.6229441438204588E-2</v>
      </c>
      <c r="O858" s="17" t="s">
        <v>1025</v>
      </c>
      <c r="P858" s="17" t="s">
        <v>1026</v>
      </c>
      <c r="Q858" s="17" t="s">
        <v>1023</v>
      </c>
      <c r="R858" s="17" t="str">
        <f>VLOOKUP(A858,[1]Export!$A:$I,9,0)</f>
        <v>Comprou Marcas</v>
      </c>
      <c r="S858" s="17" t="s">
        <v>1022</v>
      </c>
      <c r="T858" s="20"/>
      <c r="U858" s="17"/>
      <c r="V858" s="17"/>
    </row>
    <row r="859" spans="1:22" x14ac:dyDescent="0.35">
      <c r="A859" s="5">
        <v>51996536000140</v>
      </c>
      <c r="B859" s="7"/>
      <c r="C859" s="4"/>
      <c r="D859" s="6" t="s">
        <v>832</v>
      </c>
      <c r="E859" s="6" t="s">
        <v>458</v>
      </c>
      <c r="F859" s="6" t="s">
        <v>48</v>
      </c>
      <c r="G859" s="11" t="s">
        <v>20</v>
      </c>
      <c r="H859" s="6" t="s">
        <v>17</v>
      </c>
      <c r="I859" s="21" t="s">
        <v>1073</v>
      </c>
      <c r="J859" s="18">
        <f>VLOOKUP(A859,[2]Export!$A:$B,2,0)</f>
        <v>3956.6223883954644</v>
      </c>
      <c r="K859" s="18">
        <f>VLOOKUP(A859,[2]Export!$A:$C,3,0)</f>
        <v>2705.7599999999998</v>
      </c>
      <c r="L859" s="19">
        <f t="shared" si="28"/>
        <v>0.68385601009988495</v>
      </c>
      <c r="M859" s="18">
        <f>VLOOKUP(A859,[2]Export!$A:$G,7,0)</f>
        <v>309.18</v>
      </c>
      <c r="N859" s="19">
        <f t="shared" si="29"/>
        <v>7.8142407753341928E-2</v>
      </c>
      <c r="O859" s="17" t="s">
        <v>1025</v>
      </c>
      <c r="P859" s="17" t="s">
        <v>1026</v>
      </c>
      <c r="Q859" s="17" t="s">
        <v>1023</v>
      </c>
      <c r="R859" s="17" t="str">
        <f>VLOOKUP(A859,[1]Export!$A:$I,9,0)</f>
        <v>Comprou Marcas</v>
      </c>
      <c r="S859" s="17" t="s">
        <v>1023</v>
      </c>
      <c r="T859" s="20"/>
      <c r="U859" s="17"/>
      <c r="V859" s="17"/>
    </row>
    <row r="860" spans="1:22" x14ac:dyDescent="0.35">
      <c r="A860" s="4">
        <v>42286411000135</v>
      </c>
      <c r="B860" s="7"/>
      <c r="C860" s="4"/>
      <c r="D860" s="1" t="s">
        <v>833</v>
      </c>
      <c r="E860" s="1" t="s">
        <v>265</v>
      </c>
      <c r="F860" s="1" t="s">
        <v>15</v>
      </c>
      <c r="G860" s="10" t="s">
        <v>74</v>
      </c>
      <c r="H860" s="1" t="s">
        <v>17</v>
      </c>
      <c r="I860" s="21" t="s">
        <v>1069</v>
      </c>
      <c r="J860" s="18">
        <f>VLOOKUP(A860,[2]Export!$A:$B,2,0)</f>
        <v>4185.3861964869757</v>
      </c>
      <c r="K860" s="18">
        <f>VLOOKUP(A860,[2]Export!$A:$C,3,0)</f>
        <v>759.0200000000001</v>
      </c>
      <c r="L860" s="19">
        <f t="shared" si="28"/>
        <v>0.18135005095517523</v>
      </c>
      <c r="M860" s="18">
        <f>VLOOKUP(A860,[2]Export!$A:$G,7,0)</f>
        <v>0</v>
      </c>
      <c r="N860" s="19">
        <f t="shared" si="29"/>
        <v>0</v>
      </c>
      <c r="O860" s="17" t="s">
        <v>1029</v>
      </c>
      <c r="P860" s="17" t="s">
        <v>1026</v>
      </c>
      <c r="Q860" s="17" t="s">
        <v>1022</v>
      </c>
      <c r="R860" s="17" t="str">
        <f>VLOOKUP(A860,[1]Export!$A:$I,9,0)</f>
        <v>Não Comprou</v>
      </c>
      <c r="S860" s="17" t="s">
        <v>1023</v>
      </c>
      <c r="T860" s="20"/>
      <c r="U860" s="17"/>
      <c r="V860" s="17"/>
    </row>
    <row r="861" spans="1:22" x14ac:dyDescent="0.35">
      <c r="A861" s="5">
        <v>42917127000110</v>
      </c>
      <c r="B861" s="7"/>
      <c r="C861" s="4"/>
      <c r="D861" s="6" t="s">
        <v>834</v>
      </c>
      <c r="E861" s="6" t="s">
        <v>50</v>
      </c>
      <c r="F861" s="6" t="s">
        <v>48</v>
      </c>
      <c r="G861" s="11" t="s">
        <v>20</v>
      </c>
      <c r="H861" s="6" t="s">
        <v>17</v>
      </c>
      <c r="I861" s="21" t="s">
        <v>1071</v>
      </c>
      <c r="J861" s="18">
        <f>VLOOKUP(A861,[2]Export!$A:$B,2,0)</f>
        <v>992.55735333999985</v>
      </c>
      <c r="K861" s="18">
        <f>VLOOKUP(A861,[2]Export!$A:$C,3,0)</f>
        <v>438.11999999999995</v>
      </c>
      <c r="L861" s="19">
        <f t="shared" si="28"/>
        <v>0.44140522310948238</v>
      </c>
      <c r="M861" s="18">
        <f>VLOOKUP(A861,[2]Export!$A:$G,7,0)</f>
        <v>132.08000000000001</v>
      </c>
      <c r="N861" s="19">
        <f t="shared" si="29"/>
        <v>0.1330703959378719</v>
      </c>
      <c r="O861" s="17" t="s">
        <v>1025</v>
      </c>
      <c r="P861" s="17" t="s">
        <v>1026</v>
      </c>
      <c r="Q861" s="17" t="s">
        <v>1023</v>
      </c>
      <c r="R861" s="17" t="str">
        <f>VLOOKUP(A861,[1]Export!$A:$I,9,0)</f>
        <v>Comprou Marcas</v>
      </c>
      <c r="S861" s="17" t="s">
        <v>1023</v>
      </c>
      <c r="T861" s="20"/>
      <c r="U861" s="17"/>
      <c r="V861" s="17"/>
    </row>
    <row r="862" spans="1:22" x14ac:dyDescent="0.35">
      <c r="A862" s="4">
        <v>44053810000181</v>
      </c>
      <c r="B862" s="7"/>
      <c r="C862" s="4"/>
      <c r="D862" s="1" t="s">
        <v>170</v>
      </c>
      <c r="E862" s="1" t="s">
        <v>14</v>
      </c>
      <c r="F862" s="1" t="s">
        <v>15</v>
      </c>
      <c r="G862" s="10" t="s">
        <v>835</v>
      </c>
      <c r="H862" s="1" t="s">
        <v>17</v>
      </c>
      <c r="I862" s="21" t="s">
        <v>1067</v>
      </c>
      <c r="J862" s="18">
        <f>VLOOKUP(A862,[2]Export!$A:$B,2,0)</f>
        <v>26982.518715370577</v>
      </c>
      <c r="K862" s="18">
        <f>VLOOKUP(A862,[2]Export!$A:$C,3,0)</f>
        <v>15166.91</v>
      </c>
      <c r="L862" s="19">
        <f t="shared" si="28"/>
        <v>0.56210134272454626</v>
      </c>
      <c r="M862" s="18">
        <f>VLOOKUP(A862,[2]Export!$A:$G,7,0)</f>
        <v>12409.219999999998</v>
      </c>
      <c r="N862" s="19">
        <f t="shared" si="29"/>
        <v>0.45989850432054336</v>
      </c>
      <c r="O862" s="17" t="s">
        <v>1025</v>
      </c>
      <c r="P862" s="17" t="s">
        <v>1026</v>
      </c>
      <c r="Q862" s="17" t="s">
        <v>1022</v>
      </c>
      <c r="R862" s="17" t="str">
        <f>VLOOKUP(A862,[1]Export!$A:$I,9,0)</f>
        <v>Comprou Marcas</v>
      </c>
      <c r="S862" s="17" t="s">
        <v>1022</v>
      </c>
      <c r="T862" s="20">
        <v>2</v>
      </c>
      <c r="U862" s="17">
        <v>2</v>
      </c>
      <c r="V862" s="17">
        <v>2</v>
      </c>
    </row>
    <row r="863" spans="1:22" x14ac:dyDescent="0.35">
      <c r="A863" s="5">
        <v>531367000301</v>
      </c>
      <c r="B863" s="7"/>
      <c r="C863" s="4"/>
      <c r="D863" s="6" t="s">
        <v>179</v>
      </c>
      <c r="E863" s="6" t="s">
        <v>180</v>
      </c>
      <c r="F863" s="6" t="s">
        <v>15</v>
      </c>
      <c r="G863" s="11" t="s">
        <v>9</v>
      </c>
      <c r="H863" s="6" t="s">
        <v>10</v>
      </c>
      <c r="I863" s="21" t="s">
        <v>1069</v>
      </c>
      <c r="J863" s="18">
        <f>VLOOKUP(A863,[2]Export!$A:$B,2,0)</f>
        <v>11526.354095459412</v>
      </c>
      <c r="K863" s="18">
        <f>VLOOKUP(A863,[2]Export!$A:$C,3,0)</f>
        <v>5908.3100000000013</v>
      </c>
      <c r="L863" s="19">
        <f t="shared" si="28"/>
        <v>0.51259140150201243</v>
      </c>
      <c r="M863" s="18">
        <f>VLOOKUP(A863,[2]Export!$A:$G,7,0)</f>
        <v>6833.82</v>
      </c>
      <c r="N863" s="19">
        <f t="shared" si="29"/>
        <v>0.59288652278104603</v>
      </c>
      <c r="O863" s="17" t="s">
        <v>1027</v>
      </c>
      <c r="P863" s="17" t="s">
        <v>1028</v>
      </c>
      <c r="Q863" s="17" t="s">
        <v>1023</v>
      </c>
      <c r="R863" s="17" t="str">
        <f>VLOOKUP(A863,[1]Export!$A:$I,9,0)</f>
        <v>Comprou Marcas</v>
      </c>
      <c r="S863" s="17" t="s">
        <v>1022</v>
      </c>
      <c r="T863" s="20"/>
      <c r="U863" s="17"/>
      <c r="V863" s="17"/>
    </row>
    <row r="864" spans="1:22" x14ac:dyDescent="0.35">
      <c r="A864" s="4">
        <v>3318604000179</v>
      </c>
      <c r="B864" s="7"/>
      <c r="C864" s="4">
        <v>112829</v>
      </c>
      <c r="D864" s="1" t="s">
        <v>836</v>
      </c>
      <c r="E864" s="1" t="s">
        <v>354</v>
      </c>
      <c r="F864" s="1" t="s">
        <v>48</v>
      </c>
      <c r="G864" s="10" t="s">
        <v>20</v>
      </c>
      <c r="H864" s="1" t="s">
        <v>17</v>
      </c>
      <c r="I864" s="21" t="s">
        <v>1073</v>
      </c>
      <c r="J864" s="18">
        <f>VLOOKUP(A864,[2]Export!$A:$B,2,0)</f>
        <v>4767.32055524104</v>
      </c>
      <c r="K864" s="18">
        <f>VLOOKUP(A864,[2]Export!$A:$C,3,0)</f>
        <v>2209.0800000000004</v>
      </c>
      <c r="L864" s="19">
        <f t="shared" si="28"/>
        <v>0.46337979047190531</v>
      </c>
      <c r="M864" s="18">
        <f>VLOOKUP(A864,[2]Export!$A:$G,7,0)</f>
        <v>1125.04</v>
      </c>
      <c r="N864" s="19">
        <f t="shared" si="29"/>
        <v>0.2359900046501314</v>
      </c>
      <c r="O864" s="17" t="s">
        <v>1025</v>
      </c>
      <c r="P864" s="17" t="s">
        <v>1026</v>
      </c>
      <c r="Q864" s="17" t="s">
        <v>1023</v>
      </c>
      <c r="R864" s="17" t="str">
        <f>VLOOKUP(A864,[1]Export!$A:$I,9,0)</f>
        <v>Comprou Marcas</v>
      </c>
      <c r="S864" s="17" t="s">
        <v>1022</v>
      </c>
      <c r="T864" s="20"/>
      <c r="U864" s="17"/>
      <c r="V864" s="17"/>
    </row>
    <row r="865" spans="1:22" x14ac:dyDescent="0.35">
      <c r="A865" s="5">
        <v>4433837000185</v>
      </c>
      <c r="B865" s="7"/>
      <c r="C865" s="4"/>
      <c r="D865" s="6" t="s">
        <v>837</v>
      </c>
      <c r="E865" s="6" t="s">
        <v>50</v>
      </c>
      <c r="F865" s="6" t="s">
        <v>48</v>
      </c>
      <c r="G865" s="11" t="s">
        <v>276</v>
      </c>
      <c r="H865" s="6" t="s">
        <v>17</v>
      </c>
      <c r="I865" s="21" t="s">
        <v>1071</v>
      </c>
      <c r="J865" s="18">
        <f>VLOOKUP(A865,[2]Export!$A:$B,2,0)</f>
        <v>1456.1492804160741</v>
      </c>
      <c r="K865" s="18">
        <f>VLOOKUP(A865,[2]Export!$A:$C,3,0)</f>
        <v>207.06</v>
      </c>
      <c r="L865" s="19">
        <f t="shared" si="28"/>
        <v>0.14219695932606272</v>
      </c>
      <c r="M865" s="18">
        <f>VLOOKUP(A865,[2]Export!$A:$G,7,0)</f>
        <v>0</v>
      </c>
      <c r="N865" s="19">
        <f t="shared" si="29"/>
        <v>0</v>
      </c>
      <c r="O865" s="17" t="s">
        <v>1029</v>
      </c>
      <c r="P865" s="17" t="s">
        <v>1026</v>
      </c>
      <c r="Q865" s="17" t="s">
        <v>1023</v>
      </c>
      <c r="R865" s="17" t="str">
        <f>VLOOKUP(A865,[1]Export!$A:$I,9,0)</f>
        <v>Não Comprou</v>
      </c>
      <c r="S865" s="17" t="s">
        <v>1023</v>
      </c>
      <c r="T865" s="20"/>
      <c r="U865" s="17"/>
      <c r="V865" s="17"/>
    </row>
    <row r="866" spans="1:22" x14ac:dyDescent="0.35">
      <c r="A866" s="4">
        <v>4597961000186</v>
      </c>
      <c r="B866" s="7"/>
      <c r="C866" s="4">
        <v>39947</v>
      </c>
      <c r="D866" s="1" t="s">
        <v>401</v>
      </c>
      <c r="E866" s="1" t="s">
        <v>50</v>
      </c>
      <c r="F866" s="1" t="s">
        <v>48</v>
      </c>
      <c r="G866" s="10" t="s">
        <v>20</v>
      </c>
      <c r="H866" s="1" t="s">
        <v>17</v>
      </c>
      <c r="I866" s="21" t="s">
        <v>1071</v>
      </c>
      <c r="J866" s="18">
        <f>VLOOKUP(A866,[2]Export!$A:$B,2,0)</f>
        <v>9391.6583531733449</v>
      </c>
      <c r="K866" s="18">
        <f>VLOOKUP(A866,[2]Export!$A:$C,3,0)</f>
        <v>5930.2699999999986</v>
      </c>
      <c r="L866" s="19">
        <f t="shared" si="28"/>
        <v>0.63144013304063829</v>
      </c>
      <c r="M866" s="18">
        <f>VLOOKUP(A866,[2]Export!$A:$G,7,0)</f>
        <v>3762.8300000000004</v>
      </c>
      <c r="N866" s="19">
        <f t="shared" si="29"/>
        <v>0.40065661020650084</v>
      </c>
      <c r="O866" s="17" t="s">
        <v>1025</v>
      </c>
      <c r="P866" s="17" t="s">
        <v>1026</v>
      </c>
      <c r="Q866" s="17" t="s">
        <v>1023</v>
      </c>
      <c r="R866" s="17" t="str">
        <f>VLOOKUP(A866,[1]Export!$A:$I,9,0)</f>
        <v>Comprou Marcas</v>
      </c>
      <c r="S866" s="17" t="s">
        <v>1022</v>
      </c>
      <c r="T866" s="20"/>
      <c r="U866" s="17"/>
      <c r="V866" s="17"/>
    </row>
    <row r="867" spans="1:22" x14ac:dyDescent="0.35">
      <c r="A867" s="5">
        <v>4834843000578</v>
      </c>
      <c r="B867" s="7" t="s">
        <v>994</v>
      </c>
      <c r="C867" s="4"/>
      <c r="D867" s="6" t="s">
        <v>91</v>
      </c>
      <c r="E867" s="6" t="s">
        <v>144</v>
      </c>
      <c r="F867" s="6" t="s">
        <v>48</v>
      </c>
      <c r="G867" s="11" t="s">
        <v>92</v>
      </c>
      <c r="H867" s="6" t="s">
        <v>17</v>
      </c>
      <c r="I867" s="21" t="s">
        <v>1071</v>
      </c>
      <c r="J867" s="18">
        <f>VLOOKUP(A867,[2]Export!$A:$B,2,0)</f>
        <v>6227.5562485674054</v>
      </c>
      <c r="K867" s="18">
        <f>VLOOKUP(A867,[2]Export!$A:$C,3,0)</f>
        <v>7542.6799999999994</v>
      </c>
      <c r="L867" s="19">
        <f t="shared" si="28"/>
        <v>1.2111781409818863</v>
      </c>
      <c r="M867" s="18">
        <f>VLOOKUP(A867,[2]Export!$A:$G,7,0)</f>
        <v>6404.9299999999976</v>
      </c>
      <c r="N867" s="19">
        <f t="shared" si="29"/>
        <v>1.0284820793828069</v>
      </c>
      <c r="O867" s="17" t="s">
        <v>1027</v>
      </c>
      <c r="P867" s="17" t="s">
        <v>1028</v>
      </c>
      <c r="Q867" s="17" t="s">
        <v>1023</v>
      </c>
      <c r="R867" s="17" t="str">
        <f>VLOOKUP(A867,[1]Export!$A:$I,9,0)</f>
        <v>Comprou Marcas e SG</v>
      </c>
      <c r="S867" s="17" t="s">
        <v>1022</v>
      </c>
      <c r="T867" s="20"/>
      <c r="U867" s="17"/>
      <c r="V867" s="17"/>
    </row>
    <row r="868" spans="1:22" x14ac:dyDescent="0.35">
      <c r="A868" s="4">
        <v>4834843002600</v>
      </c>
      <c r="B868" s="7" t="s">
        <v>994</v>
      </c>
      <c r="C868" s="4"/>
      <c r="D868" s="1" t="s">
        <v>91</v>
      </c>
      <c r="E868" s="1" t="s">
        <v>206</v>
      </c>
      <c r="F868" s="1" t="s">
        <v>48</v>
      </c>
      <c r="G868" s="10" t="s">
        <v>92</v>
      </c>
      <c r="H868" s="1" t="s">
        <v>17</v>
      </c>
      <c r="I868" s="21" t="s">
        <v>1071</v>
      </c>
      <c r="J868" s="18">
        <f>VLOOKUP(A868,[2]Export!$A:$B,2,0)</f>
        <v>7657.0218330299613</v>
      </c>
      <c r="K868" s="18">
        <f>VLOOKUP(A868,[2]Export!$A:$C,3,0)</f>
        <v>6791.0800000000027</v>
      </c>
      <c r="L868" s="19">
        <f t="shared" si="28"/>
        <v>0.88690879405690604</v>
      </c>
      <c r="M868" s="18">
        <f>VLOOKUP(A868,[2]Export!$A:$G,7,0)</f>
        <v>9108.16</v>
      </c>
      <c r="N868" s="19">
        <f t="shared" si="29"/>
        <v>1.1895173082451311</v>
      </c>
      <c r="O868" s="17" t="s">
        <v>1027</v>
      </c>
      <c r="P868" s="17" t="s">
        <v>1028</v>
      </c>
      <c r="Q868" s="17" t="s">
        <v>1023</v>
      </c>
      <c r="R868" s="17" t="str">
        <f>VLOOKUP(A868,[1]Export!$A:$I,9,0)</f>
        <v>Comprou Marcas e SG</v>
      </c>
      <c r="S868" s="17" t="s">
        <v>1022</v>
      </c>
      <c r="T868" s="20"/>
      <c r="U868" s="17"/>
      <c r="V868" s="17"/>
    </row>
    <row r="869" spans="1:22" x14ac:dyDescent="0.35">
      <c r="A869" s="5">
        <v>7917231000103</v>
      </c>
      <c r="B869" s="7"/>
      <c r="C869" s="4"/>
      <c r="D869" s="6" t="s">
        <v>445</v>
      </c>
      <c r="E869" s="6" t="s">
        <v>343</v>
      </c>
      <c r="F869" s="6" t="s">
        <v>8</v>
      </c>
      <c r="G869" s="11" t="s">
        <v>20</v>
      </c>
      <c r="H869" s="6" t="s">
        <v>17</v>
      </c>
      <c r="I869" s="21" t="s">
        <v>1068</v>
      </c>
      <c r="J869" s="18">
        <f>VLOOKUP(A869,[2]Export!$A:$B,2,0)</f>
        <v>2622.5774305614586</v>
      </c>
      <c r="K869" s="18">
        <f>VLOOKUP(A869,[2]Export!$A:$C,3,0)</f>
        <v>780.09</v>
      </c>
      <c r="L869" s="19">
        <f t="shared" si="28"/>
        <v>0.29745165611106217</v>
      </c>
      <c r="M869" s="18">
        <f>VLOOKUP(A869,[2]Export!$A:$G,7,0)</f>
        <v>0</v>
      </c>
      <c r="N869" s="19">
        <f t="shared" si="29"/>
        <v>0</v>
      </c>
      <c r="O869" s="17" t="s">
        <v>1025</v>
      </c>
      <c r="P869" s="17" t="s">
        <v>1026</v>
      </c>
      <c r="Q869" s="17" t="s">
        <v>1023</v>
      </c>
      <c r="R869" s="17" t="str">
        <f>VLOOKUP(A869,[1]Export!$A:$I,9,0)</f>
        <v>Não Comprou</v>
      </c>
      <c r="S869" s="17" t="s">
        <v>1023</v>
      </c>
      <c r="T869" s="20"/>
      <c r="U869" s="17"/>
      <c r="V869" s="17"/>
    </row>
    <row r="870" spans="1:22" x14ac:dyDescent="0.35">
      <c r="A870" s="4">
        <v>8705108000191</v>
      </c>
      <c r="B870" s="7"/>
      <c r="C870" s="4"/>
      <c r="D870" s="1" t="s">
        <v>695</v>
      </c>
      <c r="E870" s="1" t="s">
        <v>760</v>
      </c>
      <c r="F870" s="1" t="s">
        <v>48</v>
      </c>
      <c r="G870" s="10" t="s">
        <v>87</v>
      </c>
      <c r="H870" s="1" t="s">
        <v>17</v>
      </c>
      <c r="I870" s="21" t="s">
        <v>1073</v>
      </c>
      <c r="J870" s="18">
        <f>VLOOKUP(A870,[2]Export!$A:$B,2,0)</f>
        <v>22736.865578736808</v>
      </c>
      <c r="K870" s="18">
        <f>VLOOKUP(A870,[2]Export!$A:$C,3,0)</f>
        <v>11276.860000000002</v>
      </c>
      <c r="L870" s="19">
        <f t="shared" si="28"/>
        <v>0.49597249721817244</v>
      </c>
      <c r="M870" s="18">
        <f>VLOOKUP(A870,[2]Export!$A:$G,7,0)</f>
        <v>5915.1099999999988</v>
      </c>
      <c r="N870" s="19">
        <f t="shared" si="29"/>
        <v>0.26015503234235265</v>
      </c>
      <c r="O870" s="17" t="s">
        <v>1027</v>
      </c>
      <c r="P870" s="17" t="s">
        <v>1026</v>
      </c>
      <c r="Q870" s="17" t="s">
        <v>1023</v>
      </c>
      <c r="R870" s="17" t="str">
        <f>VLOOKUP(A870,[1]Export!$A:$I,9,0)</f>
        <v>Comprou Marcas</v>
      </c>
      <c r="S870" s="17" t="s">
        <v>1022</v>
      </c>
      <c r="T870" s="20"/>
      <c r="U870" s="17"/>
      <c r="V870" s="17"/>
    </row>
    <row r="871" spans="1:22" x14ac:dyDescent="0.35">
      <c r="A871" s="5">
        <v>9101173000170</v>
      </c>
      <c r="B871" s="7"/>
      <c r="C871" s="4"/>
      <c r="D871" s="6" t="s">
        <v>179</v>
      </c>
      <c r="E871" s="6" t="s">
        <v>354</v>
      </c>
      <c r="F871" s="6" t="s">
        <v>48</v>
      </c>
      <c r="G871" s="11" t="s">
        <v>80</v>
      </c>
      <c r="H871" s="6" t="s">
        <v>17</v>
      </c>
      <c r="I871" s="21" t="s">
        <v>1073</v>
      </c>
      <c r="J871" s="18">
        <f>VLOOKUP(A871,[2]Export!$A:$B,2,0)</f>
        <v>933.47152589119617</v>
      </c>
      <c r="K871" s="18">
        <f>VLOOKUP(A871,[2]Export!$A:$C,3,0)</f>
        <v>445.1</v>
      </c>
      <c r="L871" s="19">
        <f t="shared" si="28"/>
        <v>0.47682225719210647</v>
      </c>
      <c r="M871" s="18">
        <f>VLOOKUP(A871,[2]Export!$A:$G,7,0)</f>
        <v>0</v>
      </c>
      <c r="N871" s="19">
        <f t="shared" si="29"/>
        <v>0</v>
      </c>
      <c r="O871" s="17"/>
      <c r="P871" s="17"/>
      <c r="Q871" s="17"/>
      <c r="R871" s="17" t="str">
        <f>VLOOKUP(A871,[1]Export!$A:$I,9,0)</f>
        <v>Não Comprou</v>
      </c>
      <c r="S871" s="17"/>
      <c r="T871" s="20"/>
      <c r="U871" s="17"/>
      <c r="V871" s="17"/>
    </row>
    <row r="872" spans="1:22" x14ac:dyDescent="0.35">
      <c r="A872" s="4">
        <v>1524705000170</v>
      </c>
      <c r="B872" s="7"/>
      <c r="C872" s="4"/>
      <c r="D872" s="1" t="s">
        <v>838</v>
      </c>
      <c r="E872" s="1" t="s">
        <v>801</v>
      </c>
      <c r="F872" s="1" t="s">
        <v>48</v>
      </c>
      <c r="G872" s="10" t="s">
        <v>87</v>
      </c>
      <c r="H872" s="1" t="s">
        <v>17</v>
      </c>
      <c r="I872" s="21" t="s">
        <v>1071</v>
      </c>
      <c r="J872" s="18">
        <f>VLOOKUP(A872,[2]Export!$A:$B,2,0)</f>
        <v>4558.8517602728552</v>
      </c>
      <c r="K872" s="18">
        <f>VLOOKUP(A872,[2]Export!$A:$C,3,0)</f>
        <v>824.10000000000014</v>
      </c>
      <c r="L872" s="19">
        <f t="shared" si="28"/>
        <v>0.18076920315361961</v>
      </c>
      <c r="M872" s="18">
        <f>VLOOKUP(A872,[2]Export!$A:$G,7,0)</f>
        <v>752.83</v>
      </c>
      <c r="N872" s="19">
        <f t="shared" si="29"/>
        <v>0.16513588060931858</v>
      </c>
      <c r="O872" s="17" t="s">
        <v>1030</v>
      </c>
      <c r="P872" s="17" t="s">
        <v>1026</v>
      </c>
      <c r="Q872" s="17" t="s">
        <v>1023</v>
      </c>
      <c r="R872" s="17" t="str">
        <f>VLOOKUP(A872,[1]Export!$A:$I,9,0)</f>
        <v>Comprou Marcas</v>
      </c>
      <c r="S872" s="17" t="s">
        <v>1022</v>
      </c>
      <c r="T872" s="20">
        <v>1</v>
      </c>
      <c r="U872" s="17"/>
      <c r="V872" s="17"/>
    </row>
    <row r="873" spans="1:22" x14ac:dyDescent="0.35">
      <c r="A873" s="5">
        <v>2553791000102</v>
      </c>
      <c r="B873" s="7"/>
      <c r="C873" s="4"/>
      <c r="D873" s="6" t="s">
        <v>839</v>
      </c>
      <c r="E873" s="6" t="s">
        <v>22</v>
      </c>
      <c r="F873" s="6" t="s">
        <v>8</v>
      </c>
      <c r="G873" s="11" t="s">
        <v>20</v>
      </c>
      <c r="H873" s="6" t="s">
        <v>17</v>
      </c>
      <c r="I873" s="21" t="s">
        <v>1068</v>
      </c>
      <c r="J873" s="18">
        <f>VLOOKUP(A873,[2]Export!$A:$B,2,0)</f>
        <v>3241.2793998351722</v>
      </c>
      <c r="K873" s="18">
        <f>VLOOKUP(A873,[2]Export!$A:$C,3,0)</f>
        <v>1941.95</v>
      </c>
      <c r="L873" s="19">
        <f t="shared" si="28"/>
        <v>0.59913070132082824</v>
      </c>
      <c r="M873" s="18">
        <f>VLOOKUP(A873,[2]Export!$A:$G,7,0)</f>
        <v>0</v>
      </c>
      <c r="N873" s="19">
        <f t="shared" si="29"/>
        <v>0</v>
      </c>
      <c r="O873" s="17" t="s">
        <v>1025</v>
      </c>
      <c r="P873" s="17" t="s">
        <v>1026</v>
      </c>
      <c r="Q873" s="17" t="s">
        <v>1023</v>
      </c>
      <c r="R873" s="17" t="str">
        <f>VLOOKUP(A873,[1]Export!$A:$I,9,0)</f>
        <v>Não Comprou</v>
      </c>
      <c r="S873" s="17" t="s">
        <v>1022</v>
      </c>
      <c r="T873" s="20"/>
      <c r="U873" s="17"/>
      <c r="V873" s="17"/>
    </row>
    <row r="874" spans="1:22" x14ac:dyDescent="0.35">
      <c r="A874" s="4">
        <v>4834843000810</v>
      </c>
      <c r="B874" s="7" t="s">
        <v>994</v>
      </c>
      <c r="C874" s="4"/>
      <c r="D874" s="1" t="s">
        <v>91</v>
      </c>
      <c r="E874" s="1" t="s">
        <v>520</v>
      </c>
      <c r="F874" s="1" t="s">
        <v>48</v>
      </c>
      <c r="G874" s="10" t="s">
        <v>92</v>
      </c>
      <c r="H874" s="1" t="s">
        <v>17</v>
      </c>
      <c r="I874" s="21" t="s">
        <v>1071</v>
      </c>
      <c r="J874" s="18">
        <f>VLOOKUP(A874,[2]Export!$A:$B,2,0)</f>
        <v>4688.8071811259551</v>
      </c>
      <c r="K874" s="18">
        <f>VLOOKUP(A874,[2]Export!$A:$C,3,0)</f>
        <v>2868.7000000000007</v>
      </c>
      <c r="L874" s="19">
        <f t="shared" si="28"/>
        <v>0.61181871831870049</v>
      </c>
      <c r="M874" s="18">
        <f>VLOOKUP(A874,[2]Export!$A:$G,7,0)</f>
        <v>2704.7799999999993</v>
      </c>
      <c r="N874" s="19">
        <f t="shared" si="29"/>
        <v>0.57685886740825243</v>
      </c>
      <c r="O874" s="17" t="s">
        <v>1027</v>
      </c>
      <c r="P874" s="17" t="s">
        <v>1028</v>
      </c>
      <c r="Q874" s="17" t="s">
        <v>1023</v>
      </c>
      <c r="R874" s="17" t="str">
        <f>VLOOKUP(A874,[1]Export!$A:$I,9,0)</f>
        <v>Comprou Marcas e SG</v>
      </c>
      <c r="S874" s="17" t="s">
        <v>1022</v>
      </c>
      <c r="T874" s="20"/>
      <c r="U874" s="17"/>
      <c r="V874" s="17"/>
    </row>
    <row r="875" spans="1:22" x14ac:dyDescent="0.35">
      <c r="A875" s="5">
        <v>4834843001973</v>
      </c>
      <c r="B875" s="7" t="s">
        <v>994</v>
      </c>
      <c r="C875" s="4"/>
      <c r="D875" s="6" t="s">
        <v>91</v>
      </c>
      <c r="E875" s="6" t="s">
        <v>840</v>
      </c>
      <c r="F875" s="6" t="s">
        <v>48</v>
      </c>
      <c r="G875" s="11" t="s">
        <v>92</v>
      </c>
      <c r="H875" s="6" t="s">
        <v>17</v>
      </c>
      <c r="I875" s="21" t="s">
        <v>1071</v>
      </c>
      <c r="J875" s="18">
        <f>VLOOKUP(A875,[2]Export!$A:$B,2,0)</f>
        <v>12375.623459339813</v>
      </c>
      <c r="K875" s="18">
        <f>VLOOKUP(A875,[2]Export!$A:$C,3,0)</f>
        <v>7396.23</v>
      </c>
      <c r="L875" s="19">
        <f t="shared" si="28"/>
        <v>0.59764504182761857</v>
      </c>
      <c r="M875" s="18">
        <f>VLOOKUP(A875,[2]Export!$A:$G,7,0)</f>
        <v>5701.0499999999993</v>
      </c>
      <c r="N875" s="19">
        <f t="shared" si="29"/>
        <v>0.46066770039754634</v>
      </c>
      <c r="O875" s="17" t="s">
        <v>1027</v>
      </c>
      <c r="P875" s="17" t="s">
        <v>1028</v>
      </c>
      <c r="Q875" s="17" t="s">
        <v>1023</v>
      </c>
      <c r="R875" s="17" t="str">
        <f>VLOOKUP(A875,[1]Export!$A:$I,9,0)</f>
        <v>Comprou Marcas e SG</v>
      </c>
      <c r="S875" s="17" t="s">
        <v>1022</v>
      </c>
      <c r="T875" s="20">
        <v>4</v>
      </c>
      <c r="U875" s="17"/>
      <c r="V875" s="17">
        <v>3</v>
      </c>
    </row>
    <row r="876" spans="1:22" x14ac:dyDescent="0.35">
      <c r="A876" s="4">
        <v>4877066000115</v>
      </c>
      <c r="B876" s="7"/>
      <c r="C876" s="4"/>
      <c r="D876" s="1" t="s">
        <v>841</v>
      </c>
      <c r="E876" s="1" t="s">
        <v>544</v>
      </c>
      <c r="F876" s="1" t="s">
        <v>15</v>
      </c>
      <c r="G876" s="10" t="s">
        <v>20</v>
      </c>
      <c r="H876" s="1" t="s">
        <v>17</v>
      </c>
      <c r="I876" s="21" t="s">
        <v>1073</v>
      </c>
      <c r="J876" s="18">
        <f>VLOOKUP(A876,[2]Export!$A:$B,2,0)</f>
        <v>9792.9945086188491</v>
      </c>
      <c r="K876" s="18">
        <f>VLOOKUP(A876,[2]Export!$A:$C,3,0)</f>
        <v>3661.11</v>
      </c>
      <c r="L876" s="19">
        <f t="shared" si="28"/>
        <v>0.37384989818771414</v>
      </c>
      <c r="M876" s="18">
        <f>VLOOKUP(A876,[2]Export!$A:$G,7,0)</f>
        <v>0</v>
      </c>
      <c r="N876" s="19">
        <f t="shared" si="29"/>
        <v>0</v>
      </c>
      <c r="O876" s="17" t="s">
        <v>1029</v>
      </c>
      <c r="P876" s="17" t="s">
        <v>1026</v>
      </c>
      <c r="Q876" s="17" t="s">
        <v>1023</v>
      </c>
      <c r="R876" s="17" t="str">
        <f>VLOOKUP(A876,[1]Export!$A:$I,9,0)</f>
        <v>Não Comprou</v>
      </c>
      <c r="S876" s="17" t="s">
        <v>1022</v>
      </c>
      <c r="T876" s="20"/>
      <c r="U876" s="17"/>
      <c r="V876" s="17"/>
    </row>
    <row r="877" spans="1:22" x14ac:dyDescent="0.35">
      <c r="A877" s="5">
        <v>4986853000103</v>
      </c>
      <c r="B877" s="7"/>
      <c r="C877" s="4"/>
      <c r="D877" s="6" t="s">
        <v>842</v>
      </c>
      <c r="E877" s="6" t="s">
        <v>43</v>
      </c>
      <c r="F877" s="6" t="s">
        <v>8</v>
      </c>
      <c r="G877" s="11" t="s">
        <v>20</v>
      </c>
      <c r="H877" s="6" t="s">
        <v>17</v>
      </c>
      <c r="I877" s="21" t="s">
        <v>1068</v>
      </c>
      <c r="J877" s="18">
        <f>VLOOKUP(A877,[2]Export!$A:$B,2,0)</f>
        <v>8738.3192874714314</v>
      </c>
      <c r="K877" s="18">
        <f>VLOOKUP(A877,[2]Export!$A:$C,3,0)</f>
        <v>5144.8899999999994</v>
      </c>
      <c r="L877" s="19">
        <f t="shared" si="28"/>
        <v>0.58877340490138508</v>
      </c>
      <c r="M877" s="18">
        <f>VLOOKUP(A877,[2]Export!$A:$G,7,0)</f>
        <v>0</v>
      </c>
      <c r="N877" s="19">
        <f t="shared" si="29"/>
        <v>0</v>
      </c>
      <c r="O877" s="17" t="s">
        <v>1025</v>
      </c>
      <c r="P877" s="17" t="s">
        <v>1026</v>
      </c>
      <c r="Q877" s="17" t="s">
        <v>1023</v>
      </c>
      <c r="R877" s="17" t="str">
        <f>VLOOKUP(A877,[1]Export!$A:$I,9,0)</f>
        <v>Não Comprou</v>
      </c>
      <c r="S877" s="17" t="s">
        <v>1022</v>
      </c>
      <c r="T877" s="20"/>
      <c r="U877" s="17"/>
      <c r="V877" s="17"/>
    </row>
    <row r="878" spans="1:22" x14ac:dyDescent="0.35">
      <c r="A878" s="4">
        <v>5255309000146</v>
      </c>
      <c r="B878" s="7"/>
      <c r="C878" s="4"/>
      <c r="D878" s="1" t="s">
        <v>843</v>
      </c>
      <c r="E878" s="1" t="s">
        <v>542</v>
      </c>
      <c r="F878" s="1" t="s">
        <v>15</v>
      </c>
      <c r="G878" s="10" t="s">
        <v>16</v>
      </c>
      <c r="H878" s="1" t="s">
        <v>17</v>
      </c>
      <c r="I878" s="21" t="s">
        <v>1073</v>
      </c>
      <c r="J878" s="18">
        <f>VLOOKUP(A878,[2]Export!$A:$B,2,0)</f>
        <v>5858.7616927179797</v>
      </c>
      <c r="K878" s="18">
        <f>VLOOKUP(A878,[2]Export!$A:$C,3,0)</f>
        <v>2187.3900000000003</v>
      </c>
      <c r="L878" s="19">
        <f t="shared" si="28"/>
        <v>0.37335363933965243</v>
      </c>
      <c r="M878" s="18">
        <f>VLOOKUP(A878,[2]Export!$A:$G,7,0)</f>
        <v>1064.0500000000002</v>
      </c>
      <c r="N878" s="19">
        <f t="shared" si="29"/>
        <v>0.18161687670664911</v>
      </c>
      <c r="O878" s="17" t="s">
        <v>1027</v>
      </c>
      <c r="P878" s="17" t="s">
        <v>1028</v>
      </c>
      <c r="Q878" s="17" t="s">
        <v>1023</v>
      </c>
      <c r="R878" s="17" t="str">
        <f>VLOOKUP(A878,[1]Export!$A:$I,9,0)</f>
        <v>Comprou Marcas</v>
      </c>
      <c r="S878" s="17" t="s">
        <v>1022</v>
      </c>
      <c r="T878" s="20"/>
      <c r="U878" s="17"/>
      <c r="V878" s="17"/>
    </row>
    <row r="879" spans="1:22" x14ac:dyDescent="0.35">
      <c r="A879" s="5">
        <v>5398931000103</v>
      </c>
      <c r="B879" s="7" t="s">
        <v>1003</v>
      </c>
      <c r="C879" s="4"/>
      <c r="D879" s="6" t="s">
        <v>844</v>
      </c>
      <c r="E879" s="6" t="s">
        <v>146</v>
      </c>
      <c r="F879" s="6" t="s">
        <v>8</v>
      </c>
      <c r="G879" s="11" t="s">
        <v>36</v>
      </c>
      <c r="H879" s="6" t="s">
        <v>17</v>
      </c>
      <c r="I879" s="21" t="s">
        <v>1072</v>
      </c>
      <c r="J879" s="18">
        <f>VLOOKUP(A879,[2]Export!$A:$B,2,0)</f>
        <v>3392.3064165975798</v>
      </c>
      <c r="K879" s="18">
        <f>VLOOKUP(A879,[2]Export!$A:$C,3,0)</f>
        <v>1540.8300000000002</v>
      </c>
      <c r="L879" s="19">
        <f t="shared" si="28"/>
        <v>0.45421309598129522</v>
      </c>
      <c r="M879" s="18">
        <f>VLOOKUP(A879,[2]Export!$A:$G,7,0)</f>
        <v>137.85</v>
      </c>
      <c r="N879" s="19">
        <f t="shared" si="29"/>
        <v>4.0636069703355683E-2</v>
      </c>
      <c r="O879" s="17" t="s">
        <v>1025</v>
      </c>
      <c r="P879" s="17" t="s">
        <v>1026</v>
      </c>
      <c r="Q879" s="17" t="s">
        <v>1023</v>
      </c>
      <c r="R879" s="17" t="str">
        <f>VLOOKUP(A879,[1]Export!$A:$I,9,0)</f>
        <v>Comprou Marcas</v>
      </c>
      <c r="S879" s="17" t="s">
        <v>1022</v>
      </c>
      <c r="T879" s="20"/>
      <c r="U879" s="17"/>
      <c r="V879" s="17"/>
    </row>
    <row r="880" spans="1:22" x14ac:dyDescent="0.35">
      <c r="A880" s="4">
        <v>1878521000109</v>
      </c>
      <c r="B880" s="7"/>
      <c r="C880" s="4"/>
      <c r="D880" s="1" t="s">
        <v>845</v>
      </c>
      <c r="E880" s="1" t="s">
        <v>577</v>
      </c>
      <c r="F880" s="1" t="s">
        <v>15</v>
      </c>
      <c r="G880" s="10" t="s">
        <v>20</v>
      </c>
      <c r="H880" s="1" t="s">
        <v>17</v>
      </c>
      <c r="I880" s="21" t="s">
        <v>1067</v>
      </c>
      <c r="J880" s="18">
        <f>VLOOKUP(A880,[2]Export!$A:$B,2,0)</f>
        <v>4939.6646706100128</v>
      </c>
      <c r="K880" s="18">
        <f>VLOOKUP(A880,[2]Export!$A:$C,3,0)</f>
        <v>1452.49</v>
      </c>
      <c r="L880" s="19">
        <f t="shared" si="28"/>
        <v>0.29404627578102949</v>
      </c>
      <c r="M880" s="18">
        <f>VLOOKUP(A880,[2]Export!$A:$G,7,0)</f>
        <v>671.55</v>
      </c>
      <c r="N880" s="19">
        <f t="shared" si="29"/>
        <v>0.13595052392839216</v>
      </c>
      <c r="O880" s="17" t="s">
        <v>1025</v>
      </c>
      <c r="P880" s="17" t="s">
        <v>1026</v>
      </c>
      <c r="Q880" s="17" t="s">
        <v>1022</v>
      </c>
      <c r="R880" s="17" t="str">
        <f>VLOOKUP(A880,[1]Export!$A:$I,9,0)</f>
        <v>Comprou Marcas</v>
      </c>
      <c r="S880" s="17" t="s">
        <v>1023</v>
      </c>
      <c r="T880" s="20"/>
      <c r="U880" s="17"/>
      <c r="V880" s="17"/>
    </row>
    <row r="881" spans="1:22" x14ac:dyDescent="0.35">
      <c r="A881" s="5">
        <v>2956282000120</v>
      </c>
      <c r="B881" s="7"/>
      <c r="C881" s="4"/>
      <c r="D881" s="6" t="s">
        <v>404</v>
      </c>
      <c r="E881" s="6" t="s">
        <v>252</v>
      </c>
      <c r="F881" s="6" t="s">
        <v>15</v>
      </c>
      <c r="G881" s="11" t="s">
        <v>9</v>
      </c>
      <c r="H881" s="6" t="s">
        <v>10</v>
      </c>
      <c r="I881" s="21" t="s">
        <v>1069</v>
      </c>
      <c r="J881" s="18">
        <f>VLOOKUP(A881,[2]Export!$A:$B,2,0)</f>
        <v>7943.2012681970491</v>
      </c>
      <c r="K881" s="18">
        <f>VLOOKUP(A881,[2]Export!$A:$C,3,0)</f>
        <v>5206.0499999999984</v>
      </c>
      <c r="L881" s="19">
        <f t="shared" si="28"/>
        <v>0.65540955393437605</v>
      </c>
      <c r="M881" s="18">
        <f>VLOOKUP(A881,[2]Export!$A:$G,7,0)</f>
        <v>1400.48</v>
      </c>
      <c r="N881" s="19">
        <f t="shared" si="29"/>
        <v>0.17631178572891451</v>
      </c>
      <c r="O881" s="17" t="s">
        <v>1027</v>
      </c>
      <c r="P881" s="17" t="s">
        <v>1028</v>
      </c>
      <c r="Q881" s="17" t="s">
        <v>1023</v>
      </c>
      <c r="R881" s="17" t="str">
        <f>VLOOKUP(A881,[1]Export!$A:$I,9,0)</f>
        <v>Comprou Marcas</v>
      </c>
      <c r="S881" s="17" t="s">
        <v>1022</v>
      </c>
      <c r="T881" s="20">
        <v>1</v>
      </c>
      <c r="U881" s="17">
        <v>2</v>
      </c>
      <c r="V881" s="17">
        <v>1</v>
      </c>
    </row>
    <row r="882" spans="1:22" x14ac:dyDescent="0.35">
      <c r="A882" s="4">
        <v>22457961000162</v>
      </c>
      <c r="B882" s="7"/>
      <c r="C882" s="4"/>
      <c r="D882" s="1" t="s">
        <v>846</v>
      </c>
      <c r="E882" s="1" t="s">
        <v>43</v>
      </c>
      <c r="F882" s="1" t="s">
        <v>8</v>
      </c>
      <c r="G882" s="10" t="s">
        <v>20</v>
      </c>
      <c r="H882" s="1" t="s">
        <v>17</v>
      </c>
      <c r="I882" s="21" t="s">
        <v>1068</v>
      </c>
      <c r="J882" s="18">
        <f>VLOOKUP(A882,[2]Export!$A:$B,2,0)</f>
        <v>1501.123163745852</v>
      </c>
      <c r="K882" s="18">
        <f>VLOOKUP(A882,[2]Export!$A:$C,3,0)</f>
        <v>444.55999999999995</v>
      </c>
      <c r="L882" s="19">
        <f t="shared" si="28"/>
        <v>0.29615158218640764</v>
      </c>
      <c r="M882" s="18">
        <f>VLOOKUP(A882,[2]Export!$A:$G,7,0)</f>
        <v>0</v>
      </c>
      <c r="N882" s="19">
        <f t="shared" si="29"/>
        <v>0</v>
      </c>
      <c r="O882" s="17" t="s">
        <v>1025</v>
      </c>
      <c r="P882" s="17" t="s">
        <v>1026</v>
      </c>
      <c r="Q882" s="17" t="s">
        <v>1023</v>
      </c>
      <c r="R882" s="17" t="str">
        <f>VLOOKUP(A882,[1]Export!$A:$I,9,0)</f>
        <v>Não Comprou</v>
      </c>
      <c r="S882" s="17" t="s">
        <v>1023</v>
      </c>
      <c r="T882" s="20"/>
      <c r="U882" s="17"/>
      <c r="V882" s="17"/>
    </row>
    <row r="883" spans="1:22" x14ac:dyDescent="0.35">
      <c r="A883" s="5">
        <v>29668395000187</v>
      </c>
      <c r="B883" s="7"/>
      <c r="C883" s="4"/>
      <c r="D883" s="6" t="s">
        <v>506</v>
      </c>
      <c r="E883" s="6" t="s">
        <v>52</v>
      </c>
      <c r="F883" s="6" t="s">
        <v>8</v>
      </c>
      <c r="G883" s="11" t="s">
        <v>16</v>
      </c>
      <c r="H883" s="6" t="s">
        <v>17</v>
      </c>
      <c r="I883" s="21" t="s">
        <v>1072</v>
      </c>
      <c r="J883" s="18">
        <f>VLOOKUP(A883,[2]Export!$A:$B,2,0)</f>
        <v>2779.8967621700172</v>
      </c>
      <c r="K883" s="18">
        <f>VLOOKUP(A883,[2]Export!$A:$C,3,0)</f>
        <v>0</v>
      </c>
      <c r="L883" s="19">
        <f t="shared" si="28"/>
        <v>0</v>
      </c>
      <c r="M883" s="18">
        <f>VLOOKUP(A883,[2]Export!$A:$G,7,0)</f>
        <v>0</v>
      </c>
      <c r="N883" s="19">
        <f t="shared" si="29"/>
        <v>0</v>
      </c>
      <c r="O883" s="17" t="s">
        <v>1027</v>
      </c>
      <c r="P883" s="17" t="s">
        <v>1028</v>
      </c>
      <c r="Q883" s="17" t="s">
        <v>1023</v>
      </c>
      <c r="R883" s="17" t="str">
        <f>VLOOKUP(A883,[1]Export!$A:$I,9,0)</f>
        <v>Não Comprou</v>
      </c>
      <c r="S883" s="17" t="s">
        <v>1022</v>
      </c>
      <c r="T883" s="20"/>
      <c r="U883" s="17"/>
      <c r="V883" s="17"/>
    </row>
    <row r="884" spans="1:22" x14ac:dyDescent="0.35">
      <c r="A884" s="4">
        <v>13280617000150</v>
      </c>
      <c r="B884" s="7"/>
      <c r="C884" s="4"/>
      <c r="D884" s="1" t="s">
        <v>365</v>
      </c>
      <c r="E884" s="1" t="s">
        <v>110</v>
      </c>
      <c r="F884" s="1" t="s">
        <v>15</v>
      </c>
      <c r="G884" s="10" t="s">
        <v>20</v>
      </c>
      <c r="H884" s="1" t="s">
        <v>17</v>
      </c>
      <c r="I884" s="21" t="s">
        <v>1069</v>
      </c>
      <c r="J884" s="18">
        <f>VLOOKUP(A884,[2]Export!$A:$B,2,0)</f>
        <v>8266.3324511316387</v>
      </c>
      <c r="K884" s="18">
        <f>VLOOKUP(A884,[2]Export!$A:$C,3,0)</f>
        <v>4134.5199999999995</v>
      </c>
      <c r="L884" s="19">
        <f t="shared" si="28"/>
        <v>0.5001637696574851</v>
      </c>
      <c r="M884" s="18">
        <f>VLOOKUP(A884,[2]Export!$A:$G,7,0)</f>
        <v>3770.1600000000003</v>
      </c>
      <c r="N884" s="19">
        <f t="shared" si="29"/>
        <v>0.45608618117988659</v>
      </c>
      <c r="O884" s="17"/>
      <c r="P884" s="17"/>
      <c r="Q884" s="17"/>
      <c r="R884" s="17" t="str">
        <f>VLOOKUP(A884,[1]Export!$A:$I,9,0)</f>
        <v>Comprou Marcas</v>
      </c>
      <c r="S884" s="17"/>
      <c r="T884" s="20"/>
      <c r="U884" s="17"/>
      <c r="V884" s="17"/>
    </row>
    <row r="885" spans="1:22" x14ac:dyDescent="0.35">
      <c r="A885" s="5">
        <v>15463847000180</v>
      </c>
      <c r="B885" s="7"/>
      <c r="C885" s="4"/>
      <c r="D885" s="6" t="s">
        <v>847</v>
      </c>
      <c r="E885" s="6" t="s">
        <v>68</v>
      </c>
      <c r="F885" s="6" t="s">
        <v>15</v>
      </c>
      <c r="G885" s="11" t="s">
        <v>36</v>
      </c>
      <c r="H885" s="6" t="s">
        <v>17</v>
      </c>
      <c r="I885" s="21" t="s">
        <v>1069</v>
      </c>
      <c r="J885" s="18">
        <f>VLOOKUP(A885,[2]Export!$A:$B,2,0)</f>
        <v>9124.6937424769421</v>
      </c>
      <c r="K885" s="18">
        <f>VLOOKUP(A885,[2]Export!$A:$C,3,0)</f>
        <v>5311.8899999999994</v>
      </c>
      <c r="L885" s="19">
        <f t="shared" si="28"/>
        <v>0.5821444697121485</v>
      </c>
      <c r="M885" s="18">
        <f>VLOOKUP(A885,[2]Export!$A:$G,7,0)</f>
        <v>1231.44</v>
      </c>
      <c r="N885" s="19">
        <f t="shared" si="29"/>
        <v>0.13495685825239759</v>
      </c>
      <c r="O885" s="17" t="s">
        <v>1025</v>
      </c>
      <c r="P885" s="17" t="s">
        <v>1026</v>
      </c>
      <c r="Q885" s="17" t="s">
        <v>1022</v>
      </c>
      <c r="R885" s="17" t="str">
        <f>VLOOKUP(A885,[1]Export!$A:$I,9,0)</f>
        <v>Comprou Marcas</v>
      </c>
      <c r="S885" s="17" t="s">
        <v>1022</v>
      </c>
      <c r="T885" s="20"/>
      <c r="U885" s="17"/>
      <c r="V885" s="17"/>
    </row>
    <row r="886" spans="1:22" x14ac:dyDescent="0.35">
      <c r="A886" s="4">
        <v>16926052000123</v>
      </c>
      <c r="B886" s="7"/>
      <c r="C886" s="4"/>
      <c r="D886" s="1" t="s">
        <v>848</v>
      </c>
      <c r="E886" s="1" t="s">
        <v>208</v>
      </c>
      <c r="F886" s="1" t="s">
        <v>15</v>
      </c>
      <c r="G886" s="10" t="s">
        <v>36</v>
      </c>
      <c r="H886" s="1" t="s">
        <v>17</v>
      </c>
      <c r="I886" s="21" t="s">
        <v>1067</v>
      </c>
      <c r="J886" s="18">
        <f>VLOOKUP(A886,[2]Export!$A:$B,2,0)</f>
        <v>20021.720314359583</v>
      </c>
      <c r="K886" s="18">
        <f>VLOOKUP(A886,[2]Export!$A:$C,3,0)</f>
        <v>2770.41</v>
      </c>
      <c r="L886" s="19">
        <f t="shared" si="28"/>
        <v>0.1383702277577547</v>
      </c>
      <c r="M886" s="18">
        <f>VLOOKUP(A886,[2]Export!$A:$G,7,0)</f>
        <v>0</v>
      </c>
      <c r="N886" s="19">
        <f t="shared" si="29"/>
        <v>0</v>
      </c>
      <c r="O886" s="17" t="s">
        <v>1025</v>
      </c>
      <c r="P886" s="17" t="s">
        <v>1026</v>
      </c>
      <c r="Q886" s="17" t="s">
        <v>1023</v>
      </c>
      <c r="R886" s="17" t="str">
        <f>VLOOKUP(A886,[1]Export!$A:$I,9,0)</f>
        <v>Não Comprou</v>
      </c>
      <c r="S886" s="17" t="s">
        <v>1022</v>
      </c>
      <c r="T886" s="20"/>
      <c r="U886" s="17"/>
      <c r="V886" s="17"/>
    </row>
    <row r="887" spans="1:22" x14ac:dyDescent="0.35">
      <c r="A887" s="5">
        <v>19436791000478</v>
      </c>
      <c r="B887" s="7" t="s">
        <v>996</v>
      </c>
      <c r="C887" s="4"/>
      <c r="D887" s="6" t="s">
        <v>59</v>
      </c>
      <c r="E887" s="6" t="s">
        <v>330</v>
      </c>
      <c r="F887" s="6" t="s">
        <v>15</v>
      </c>
      <c r="G887" s="11" t="s">
        <v>9</v>
      </c>
      <c r="H887" s="6" t="s">
        <v>10</v>
      </c>
      <c r="I887" s="21" t="s">
        <v>1069</v>
      </c>
      <c r="J887" s="18">
        <f>VLOOKUP(A887,[2]Export!$A:$B,2,0)</f>
        <v>6663.3153051545596</v>
      </c>
      <c r="K887" s="18">
        <f>VLOOKUP(A887,[2]Export!$A:$C,3,0)</f>
        <v>3412.76</v>
      </c>
      <c r="L887" s="19">
        <f t="shared" si="28"/>
        <v>0.51217147076320735</v>
      </c>
      <c r="M887" s="18">
        <f>VLOOKUP(A887,[2]Export!$A:$G,7,0)</f>
        <v>2592.0299999999997</v>
      </c>
      <c r="N887" s="19">
        <f t="shared" si="29"/>
        <v>0.38900005197035714</v>
      </c>
      <c r="O887" s="17" t="s">
        <v>1027</v>
      </c>
      <c r="P887" s="17" t="s">
        <v>1028</v>
      </c>
      <c r="Q887" s="17" t="s">
        <v>1023</v>
      </c>
      <c r="R887" s="17" t="str">
        <f>VLOOKUP(A887,[1]Export!$A:$I,9,0)</f>
        <v>Comprou Marcas e SG</v>
      </c>
      <c r="S887" s="17" t="s">
        <v>1022</v>
      </c>
      <c r="T887" s="20"/>
      <c r="U887" s="17"/>
      <c r="V887" s="17"/>
    </row>
    <row r="888" spans="1:22" x14ac:dyDescent="0.35">
      <c r="A888" s="4">
        <v>5939112000126</v>
      </c>
      <c r="B888" s="7"/>
      <c r="C888" s="4"/>
      <c r="D888" s="1" t="s">
        <v>587</v>
      </c>
      <c r="E888" s="1" t="s">
        <v>588</v>
      </c>
      <c r="F888" s="1" t="s">
        <v>8</v>
      </c>
      <c r="G888" s="10" t="s">
        <v>9</v>
      </c>
      <c r="H888" s="1" t="s">
        <v>10</v>
      </c>
      <c r="I888" s="21" t="s">
        <v>1066</v>
      </c>
      <c r="J888" s="18">
        <f>VLOOKUP(A888,[2]Export!$A:$B,2,0)</f>
        <v>13036.984009541349</v>
      </c>
      <c r="K888" s="18">
        <f>VLOOKUP(A888,[2]Export!$A:$C,3,0)</f>
        <v>8242.44</v>
      </c>
      <c r="L888" s="19">
        <f t="shared" si="28"/>
        <v>0.63223518522133826</v>
      </c>
      <c r="M888" s="18">
        <f>VLOOKUP(A888,[2]Export!$A:$G,7,0)</f>
        <v>0</v>
      </c>
      <c r="N888" s="19">
        <f t="shared" si="29"/>
        <v>0</v>
      </c>
      <c r="O888" s="17" t="s">
        <v>1027</v>
      </c>
      <c r="P888" s="17" t="s">
        <v>1028</v>
      </c>
      <c r="Q888" s="17" t="s">
        <v>1023</v>
      </c>
      <c r="R888" s="17" t="str">
        <f>VLOOKUP(A888,[1]Export!$A:$I,9,0)</f>
        <v>Não Comprou</v>
      </c>
      <c r="S888" s="17" t="s">
        <v>1022</v>
      </c>
      <c r="T888" s="20"/>
      <c r="U888" s="17"/>
      <c r="V888" s="17"/>
    </row>
    <row r="889" spans="1:22" x14ac:dyDescent="0.35">
      <c r="A889" s="5">
        <v>31509807000188</v>
      </c>
      <c r="B889" s="7"/>
      <c r="C889" s="4"/>
      <c r="D889" s="6" t="s">
        <v>281</v>
      </c>
      <c r="E889" s="6" t="s">
        <v>474</v>
      </c>
      <c r="F889" s="6" t="s">
        <v>8</v>
      </c>
      <c r="G889" s="11" t="s">
        <v>20</v>
      </c>
      <c r="H889" s="6" t="s">
        <v>17</v>
      </c>
      <c r="I889" s="21" t="s">
        <v>1066</v>
      </c>
      <c r="J889" s="18">
        <f>VLOOKUP(A889,[2]Export!$A:$B,2,0)</f>
        <v>1637.7658392065018</v>
      </c>
      <c r="K889" s="18">
        <f>VLOOKUP(A889,[2]Export!$A:$C,3,0)</f>
        <v>3275.68</v>
      </c>
      <c r="L889" s="19">
        <f t="shared" si="28"/>
        <v>2.0000905633659256</v>
      </c>
      <c r="M889" s="18">
        <f>VLOOKUP(A889,[2]Export!$A:$G,7,0)</f>
        <v>2144.35</v>
      </c>
      <c r="N889" s="19">
        <f t="shared" si="29"/>
        <v>1.3093141575348393</v>
      </c>
      <c r="O889" s="17" t="s">
        <v>1025</v>
      </c>
      <c r="P889" s="17" t="s">
        <v>1026</v>
      </c>
      <c r="Q889" s="17" t="s">
        <v>1023</v>
      </c>
      <c r="R889" s="17" t="str">
        <f>VLOOKUP(A889,[1]Export!$A:$I,9,0)</f>
        <v>Comprou Marcas</v>
      </c>
      <c r="S889" s="17" t="s">
        <v>1023</v>
      </c>
      <c r="T889" s="20"/>
      <c r="U889" s="17"/>
      <c r="V889" s="17"/>
    </row>
    <row r="890" spans="1:22" x14ac:dyDescent="0.35">
      <c r="A890" s="4">
        <v>37653234000148</v>
      </c>
      <c r="B890" s="7"/>
      <c r="C890" s="4"/>
      <c r="D890" s="1" t="s">
        <v>849</v>
      </c>
      <c r="E890" s="1" t="s">
        <v>405</v>
      </c>
      <c r="F890" s="1" t="s">
        <v>48</v>
      </c>
      <c r="G890" s="10" t="s">
        <v>80</v>
      </c>
      <c r="H890" s="1" t="s">
        <v>17</v>
      </c>
      <c r="I890" s="21" t="s">
        <v>1071</v>
      </c>
      <c r="J890" s="18">
        <f>VLOOKUP(A890,[2]Export!$A:$B,2,0)</f>
        <v>3805.6112032228898</v>
      </c>
      <c r="K890" s="18">
        <f>VLOOKUP(A890,[2]Export!$A:$C,3,0)</f>
        <v>1178.44</v>
      </c>
      <c r="L890" s="19">
        <f t="shared" si="28"/>
        <v>0.30965853763569035</v>
      </c>
      <c r="M890" s="18">
        <f>VLOOKUP(A890,[2]Export!$A:$G,7,0)</f>
        <v>475.83</v>
      </c>
      <c r="N890" s="19">
        <f t="shared" si="29"/>
        <v>0.12503379210073531</v>
      </c>
      <c r="O890" s="17" t="s">
        <v>1027</v>
      </c>
      <c r="P890" s="17" t="s">
        <v>1026</v>
      </c>
      <c r="Q890" s="17" t="s">
        <v>1023</v>
      </c>
      <c r="R890" s="17" t="str">
        <f>VLOOKUP(A890,[1]Export!$A:$I,9,0)</f>
        <v>Não Comprou</v>
      </c>
      <c r="S890" s="17" t="s">
        <v>1023</v>
      </c>
      <c r="T890" s="20"/>
      <c r="U890" s="17"/>
      <c r="V890" s="17"/>
    </row>
    <row r="891" spans="1:22" x14ac:dyDescent="0.35">
      <c r="A891" s="5">
        <v>44864960000175</v>
      </c>
      <c r="B891" s="7"/>
      <c r="C891" s="4"/>
      <c r="D891" s="6" t="s">
        <v>850</v>
      </c>
      <c r="E891" s="6" t="s">
        <v>19</v>
      </c>
      <c r="F891" s="6" t="s">
        <v>15</v>
      </c>
      <c r="G891" s="11" t="s">
        <v>16</v>
      </c>
      <c r="H891" s="6" t="s">
        <v>17</v>
      </c>
      <c r="I891" s="21" t="s">
        <v>1067</v>
      </c>
      <c r="J891" s="18">
        <f>VLOOKUP(A891,[2]Export!$A:$B,2,0)</f>
        <v>2148.7625362744443</v>
      </c>
      <c r="K891" s="18">
        <f>VLOOKUP(A891,[2]Export!$A:$C,3,0)</f>
        <v>1056.6799999999998</v>
      </c>
      <c r="L891" s="19">
        <f t="shared" si="28"/>
        <v>0.49176211059230723</v>
      </c>
      <c r="M891" s="18">
        <f>VLOOKUP(A891,[2]Export!$A:$G,7,0)</f>
        <v>332.4</v>
      </c>
      <c r="N891" s="19">
        <f t="shared" si="29"/>
        <v>0.15469368736124742</v>
      </c>
      <c r="O891" s="17"/>
      <c r="P891" s="17"/>
      <c r="Q891" s="17"/>
      <c r="R891" s="17" t="str">
        <f>VLOOKUP(A891,[1]Export!$A:$I,9,0)</f>
        <v>Comprou Marcas</v>
      </c>
      <c r="S891" s="17"/>
      <c r="T891" s="20"/>
      <c r="U891" s="17"/>
      <c r="V891" s="17"/>
    </row>
    <row r="892" spans="1:22" x14ac:dyDescent="0.35">
      <c r="A892" s="4">
        <v>64096542000192</v>
      </c>
      <c r="B892" s="7"/>
      <c r="C892" s="4"/>
      <c r="D892" s="1" t="s">
        <v>851</v>
      </c>
      <c r="E892" s="1" t="s">
        <v>260</v>
      </c>
      <c r="F892" s="1" t="s">
        <v>8</v>
      </c>
      <c r="G892" s="10" t="s">
        <v>20</v>
      </c>
      <c r="H892" s="1" t="s">
        <v>17</v>
      </c>
      <c r="I892" s="21" t="s">
        <v>1066</v>
      </c>
      <c r="J892" s="18">
        <f>VLOOKUP(A892,[2]Export!$A:$B,2,0)</f>
        <v>954.37223788209849</v>
      </c>
      <c r="K892" s="18">
        <f>VLOOKUP(A892,[2]Export!$A:$C,3,0)</f>
        <v>1008.1</v>
      </c>
      <c r="L892" s="19">
        <f t="shared" si="28"/>
        <v>1.0562964428189277</v>
      </c>
      <c r="M892" s="18">
        <f>VLOOKUP(A892,[2]Export!$A:$G,7,0)</f>
        <v>432.17</v>
      </c>
      <c r="N892" s="19">
        <f t="shared" si="29"/>
        <v>0.45283169694777892</v>
      </c>
      <c r="O892" s="17" t="s">
        <v>1025</v>
      </c>
      <c r="P892" s="17" t="s">
        <v>1026</v>
      </c>
      <c r="Q892" s="17" t="s">
        <v>1023</v>
      </c>
      <c r="R892" s="17" t="str">
        <f>VLOOKUP(A892,[1]Export!$A:$I,9,0)</f>
        <v>Comprou Marcas</v>
      </c>
      <c r="S892" s="17" t="s">
        <v>1023</v>
      </c>
      <c r="T892" s="20">
        <v>1</v>
      </c>
      <c r="U892" s="17"/>
      <c r="V892" s="17"/>
    </row>
    <row r="893" spans="1:22" x14ac:dyDescent="0.35">
      <c r="A893" s="5">
        <v>49146937000169</v>
      </c>
      <c r="B893" s="7"/>
      <c r="C893" s="4"/>
      <c r="D893" s="6" t="s">
        <v>611</v>
      </c>
      <c r="E893" s="6" t="s">
        <v>270</v>
      </c>
      <c r="F893" s="6" t="s">
        <v>48</v>
      </c>
      <c r="G893" s="11" t="s">
        <v>38</v>
      </c>
      <c r="H893" s="6" t="s">
        <v>17</v>
      </c>
      <c r="I893" s="21" t="s">
        <v>1073</v>
      </c>
      <c r="J893" s="18">
        <f>VLOOKUP(A893,[2]Export!$A:$B,2,0)</f>
        <v>4525.1701381027797</v>
      </c>
      <c r="K893" s="18">
        <f>VLOOKUP(A893,[2]Export!$A:$C,3,0)</f>
        <v>4967.7200000000012</v>
      </c>
      <c r="L893" s="19">
        <f t="shared" si="28"/>
        <v>1.0977973973112898</v>
      </c>
      <c r="M893" s="18">
        <f>VLOOKUP(A893,[2]Export!$A:$G,7,0)</f>
        <v>2623.86</v>
      </c>
      <c r="N893" s="19">
        <f t="shared" si="29"/>
        <v>0.57983676191677469</v>
      </c>
      <c r="O893" s="17" t="s">
        <v>1031</v>
      </c>
      <c r="P893" s="17" t="s">
        <v>1026</v>
      </c>
      <c r="Q893" s="17" t="s">
        <v>1023</v>
      </c>
      <c r="R893" s="17" t="str">
        <f>VLOOKUP(A893,[1]Export!$A:$I,9,0)</f>
        <v>Comprou Marcas</v>
      </c>
      <c r="S893" s="17" t="s">
        <v>1022</v>
      </c>
      <c r="T893" s="20"/>
      <c r="U893" s="17"/>
      <c r="V893" s="17"/>
    </row>
    <row r="894" spans="1:22" x14ac:dyDescent="0.35">
      <c r="A894" s="4">
        <v>8087667000347</v>
      </c>
      <c r="B894" s="7" t="s">
        <v>1001</v>
      </c>
      <c r="C894" s="4"/>
      <c r="D894" s="1" t="s">
        <v>218</v>
      </c>
      <c r="E894" s="1" t="s">
        <v>171</v>
      </c>
      <c r="F894" s="1" t="s">
        <v>8</v>
      </c>
      <c r="G894" s="10" t="s">
        <v>36</v>
      </c>
      <c r="H894" s="1" t="s">
        <v>17</v>
      </c>
      <c r="I894" s="21" t="s">
        <v>1070</v>
      </c>
      <c r="J894" s="18">
        <f>VLOOKUP(A894,[2]Export!$A:$B,2,0)</f>
        <v>9557.4635497934196</v>
      </c>
      <c r="K894" s="18">
        <f>VLOOKUP(A894,[2]Export!$A:$C,3,0)</f>
        <v>4723.0700000000015</v>
      </c>
      <c r="L894" s="19">
        <f t="shared" si="28"/>
        <v>0.49417609341571472</v>
      </c>
      <c r="M894" s="18">
        <f>VLOOKUP(A894,[2]Export!$A:$G,7,0)</f>
        <v>4655.8000000000011</v>
      </c>
      <c r="N894" s="19">
        <f t="shared" si="29"/>
        <v>0.48713761509460679</v>
      </c>
      <c r="O894" s="17" t="s">
        <v>1025</v>
      </c>
      <c r="P894" s="17" t="s">
        <v>1026</v>
      </c>
      <c r="Q894" s="17" t="s">
        <v>1023</v>
      </c>
      <c r="R894" s="17" t="str">
        <f>VLOOKUP(A894,[1]Export!$A:$I,9,0)</f>
        <v>Comprou Marcas</v>
      </c>
      <c r="S894" s="17" t="s">
        <v>1022</v>
      </c>
      <c r="T894" s="20"/>
      <c r="U894" s="17"/>
      <c r="V894" s="17"/>
    </row>
    <row r="895" spans="1:22" x14ac:dyDescent="0.35">
      <c r="A895" s="5">
        <v>8464650000108</v>
      </c>
      <c r="B895" s="7"/>
      <c r="C895" s="4"/>
      <c r="D895" s="6" t="s">
        <v>853</v>
      </c>
      <c r="E895" s="6" t="s">
        <v>193</v>
      </c>
      <c r="F895" s="6" t="s">
        <v>194</v>
      </c>
      <c r="G895" s="11" t="s">
        <v>36</v>
      </c>
      <c r="H895" s="6" t="s">
        <v>17</v>
      </c>
      <c r="I895" s="21" t="s">
        <v>1068</v>
      </c>
      <c r="J895" s="18">
        <f>VLOOKUP(A895,[2]Export!$A:$B,2,0)</f>
        <v>3097.4057602107332</v>
      </c>
      <c r="K895" s="18">
        <f>VLOOKUP(A895,[2]Export!$A:$C,3,0)</f>
        <v>1877.69</v>
      </c>
      <c r="L895" s="19">
        <f t="shared" si="28"/>
        <v>0.60621376253663672</v>
      </c>
      <c r="M895" s="18">
        <f>VLOOKUP(A895,[2]Export!$A:$G,7,0)</f>
        <v>1139.73</v>
      </c>
      <c r="N895" s="19">
        <f t="shared" si="29"/>
        <v>0.36796276892132401</v>
      </c>
      <c r="O895" s="17" t="s">
        <v>1025</v>
      </c>
      <c r="P895" s="17" t="s">
        <v>1026</v>
      </c>
      <c r="Q895" s="17" t="s">
        <v>1023</v>
      </c>
      <c r="R895" s="17" t="str">
        <f>VLOOKUP(A895,[1]Export!$A:$I,9,0)</f>
        <v>Comprou Marcas</v>
      </c>
      <c r="S895" s="17" t="s">
        <v>1022</v>
      </c>
      <c r="T895" s="20"/>
      <c r="U895" s="17"/>
      <c r="V895" s="17"/>
    </row>
    <row r="896" spans="1:22" x14ac:dyDescent="0.35">
      <c r="A896" s="4">
        <v>9179265000173</v>
      </c>
      <c r="B896" s="7"/>
      <c r="C896" s="4"/>
      <c r="D896" s="1" t="s">
        <v>854</v>
      </c>
      <c r="E896" s="1" t="s">
        <v>855</v>
      </c>
      <c r="F896" s="1" t="s">
        <v>48</v>
      </c>
      <c r="G896" s="10" t="s">
        <v>80</v>
      </c>
      <c r="H896" s="1" t="s">
        <v>17</v>
      </c>
      <c r="I896" s="21" t="s">
        <v>1073</v>
      </c>
      <c r="J896" s="18">
        <f>VLOOKUP(A896,[2]Export!$A:$B,2,0)</f>
        <v>3888.2627353368412</v>
      </c>
      <c r="K896" s="18">
        <f>VLOOKUP(A896,[2]Export!$A:$C,3,0)</f>
        <v>3935.86</v>
      </c>
      <c r="L896" s="19">
        <f t="shared" si="28"/>
        <v>1.0122412676053476</v>
      </c>
      <c r="M896" s="18">
        <f>VLOOKUP(A896,[2]Export!$A:$G,7,0)</f>
        <v>3202.4</v>
      </c>
      <c r="N896" s="19">
        <f t="shared" si="29"/>
        <v>0.82360689541278531</v>
      </c>
      <c r="O896" s="17" t="s">
        <v>1025</v>
      </c>
      <c r="P896" s="17" t="s">
        <v>1026</v>
      </c>
      <c r="Q896" s="17" t="s">
        <v>1022</v>
      </c>
      <c r="R896" s="17" t="str">
        <f>VLOOKUP(A896,[1]Export!$A:$I,9,0)</f>
        <v>Comprou Marcas</v>
      </c>
      <c r="S896" s="17" t="s">
        <v>1023</v>
      </c>
      <c r="T896" s="20"/>
      <c r="U896" s="17"/>
      <c r="V896" s="17"/>
    </row>
    <row r="897" spans="1:22" x14ac:dyDescent="0.35">
      <c r="A897" s="5">
        <v>10440010000100</v>
      </c>
      <c r="B897" s="7"/>
      <c r="C897" s="4"/>
      <c r="D897" s="6" t="s">
        <v>856</v>
      </c>
      <c r="E897" s="6" t="s">
        <v>40</v>
      </c>
      <c r="F897" s="6" t="s">
        <v>8</v>
      </c>
      <c r="G897" s="11" t="s">
        <v>20</v>
      </c>
      <c r="H897" s="6" t="s">
        <v>17</v>
      </c>
      <c r="I897" s="21" t="s">
        <v>1070</v>
      </c>
      <c r="J897" s="18">
        <f>VLOOKUP(A897,[2]Export!$A:$B,2,0)</f>
        <v>8510.7104295354948</v>
      </c>
      <c r="K897" s="18">
        <f>VLOOKUP(A897,[2]Export!$A:$C,3,0)</f>
        <v>2894.93</v>
      </c>
      <c r="L897" s="19">
        <f t="shared" si="28"/>
        <v>0.34015139205693806</v>
      </c>
      <c r="M897" s="18">
        <f>VLOOKUP(A897,[2]Export!$A:$G,7,0)</f>
        <v>0</v>
      </c>
      <c r="N897" s="19">
        <f t="shared" si="29"/>
        <v>0</v>
      </c>
      <c r="O897" s="17" t="s">
        <v>1025</v>
      </c>
      <c r="P897" s="17" t="s">
        <v>1026</v>
      </c>
      <c r="Q897" s="17" t="s">
        <v>1023</v>
      </c>
      <c r="R897" s="17" t="str">
        <f>VLOOKUP(A897,[1]Export!$A:$I,9,0)</f>
        <v>Não Comprou</v>
      </c>
      <c r="S897" s="17" t="s">
        <v>1022</v>
      </c>
      <c r="T897" s="20"/>
      <c r="U897" s="17"/>
      <c r="V897" s="17"/>
    </row>
    <row r="898" spans="1:22" x14ac:dyDescent="0.35">
      <c r="A898" s="4">
        <v>10695648000183</v>
      </c>
      <c r="B898" s="7"/>
      <c r="C898" s="4"/>
      <c r="D898" s="1" t="s">
        <v>857</v>
      </c>
      <c r="E898" s="1" t="s">
        <v>71</v>
      </c>
      <c r="F898" s="1" t="s">
        <v>15</v>
      </c>
      <c r="G898" s="10" t="s">
        <v>33</v>
      </c>
      <c r="H898" s="1" t="s">
        <v>17</v>
      </c>
      <c r="I898" s="21" t="s">
        <v>1069</v>
      </c>
      <c r="J898" s="18">
        <f>VLOOKUP(A898,[2]Export!$A:$B,2,0)</f>
        <v>1653.8606286883494</v>
      </c>
      <c r="K898" s="18">
        <f>VLOOKUP(A898,[2]Export!$A:$C,3,0)</f>
        <v>4075.8599999999997</v>
      </c>
      <c r="L898" s="19">
        <f t="shared" si="28"/>
        <v>2.4644519189216685</v>
      </c>
      <c r="M898" s="18">
        <f>VLOOKUP(A898,[2]Export!$A:$G,7,0)</f>
        <v>3322.16</v>
      </c>
      <c r="N898" s="19">
        <f t="shared" si="29"/>
        <v>2.008730326106591</v>
      </c>
      <c r="O898" s="17" t="s">
        <v>1029</v>
      </c>
      <c r="P898" s="17" t="s">
        <v>1026</v>
      </c>
      <c r="Q898" s="17" t="s">
        <v>1023</v>
      </c>
      <c r="R898" s="17" t="str">
        <f>VLOOKUP(A898,[1]Export!$A:$I,9,0)</f>
        <v>Comprou Marcas</v>
      </c>
      <c r="S898" s="17" t="s">
        <v>1022</v>
      </c>
      <c r="T898" s="20"/>
      <c r="U898" s="17"/>
      <c r="V898" s="17"/>
    </row>
    <row r="899" spans="1:22" x14ac:dyDescent="0.35">
      <c r="A899" s="5">
        <v>10732561000139</v>
      </c>
      <c r="B899" s="7"/>
      <c r="C899" s="4"/>
      <c r="D899" s="6" t="s">
        <v>858</v>
      </c>
      <c r="E899" s="6" t="s">
        <v>35</v>
      </c>
      <c r="F899" s="6" t="s">
        <v>8</v>
      </c>
      <c r="G899" s="11" t="s">
        <v>36</v>
      </c>
      <c r="H899" s="6" t="s">
        <v>17</v>
      </c>
      <c r="I899" s="21" t="s">
        <v>1070</v>
      </c>
      <c r="J899" s="18">
        <f>VLOOKUP(A899,[2]Export!$A:$B,2,0)</f>
        <v>7532.1130455758102</v>
      </c>
      <c r="K899" s="18">
        <f>VLOOKUP(A899,[2]Export!$A:$C,3,0)</f>
        <v>3568.8599999999992</v>
      </c>
      <c r="L899" s="19">
        <f t="shared" si="28"/>
        <v>0.47381922953164723</v>
      </c>
      <c r="M899" s="18">
        <f>VLOOKUP(A899,[2]Export!$A:$G,7,0)</f>
        <v>3193.2700000000009</v>
      </c>
      <c r="N899" s="19">
        <f t="shared" si="29"/>
        <v>0.42395407247314937</v>
      </c>
      <c r="O899" s="17" t="s">
        <v>1029</v>
      </c>
      <c r="P899" s="17" t="s">
        <v>1026</v>
      </c>
      <c r="Q899" s="17" t="s">
        <v>1022</v>
      </c>
      <c r="R899" s="17" t="str">
        <f>VLOOKUP(A899,[1]Export!$A:$I,9,0)</f>
        <v>Comprou Marcas</v>
      </c>
      <c r="S899" s="17" t="s">
        <v>1023</v>
      </c>
      <c r="T899" s="20"/>
      <c r="U899" s="17"/>
      <c r="V899" s="17"/>
    </row>
    <row r="900" spans="1:22" x14ac:dyDescent="0.35">
      <c r="A900" s="4">
        <v>10737685000107</v>
      </c>
      <c r="B900" s="7" t="s">
        <v>999</v>
      </c>
      <c r="C900" s="4"/>
      <c r="D900" s="1" t="s">
        <v>90</v>
      </c>
      <c r="E900" s="1" t="s">
        <v>113</v>
      </c>
      <c r="F900" s="1" t="s">
        <v>8</v>
      </c>
      <c r="G900" s="10" t="s">
        <v>64</v>
      </c>
      <c r="H900" s="1" t="s">
        <v>17</v>
      </c>
      <c r="I900" s="21" t="s">
        <v>1072</v>
      </c>
      <c r="J900" s="18">
        <f>VLOOKUP(A900,[2]Export!$A:$B,2,0)</f>
        <v>23691.001719984117</v>
      </c>
      <c r="K900" s="18">
        <f>VLOOKUP(A900,[2]Export!$A:$C,3,0)</f>
        <v>15818.549999999996</v>
      </c>
      <c r="L900" s="19">
        <f t="shared" si="28"/>
        <v>0.66770287668573103</v>
      </c>
      <c r="M900" s="18">
        <f>VLOOKUP(A900,[2]Export!$A:$G,7,0)</f>
        <v>14440.699999999999</v>
      </c>
      <c r="N900" s="19">
        <f t="shared" si="29"/>
        <v>0.609543664327997</v>
      </c>
      <c r="O900" s="17"/>
      <c r="P900" s="17"/>
      <c r="Q900" s="17"/>
      <c r="R900" s="17" t="str">
        <f>VLOOKUP(A900,[1]Export!$A:$I,9,0)</f>
        <v>Comprou Marcas</v>
      </c>
      <c r="S900" s="17"/>
      <c r="T900" s="20"/>
      <c r="U900" s="17"/>
      <c r="V900" s="17"/>
    </row>
    <row r="901" spans="1:22" x14ac:dyDescent="0.35">
      <c r="A901" s="5">
        <v>10779654000119</v>
      </c>
      <c r="B901" s="7"/>
      <c r="C901" s="4"/>
      <c r="D901" s="6" t="s">
        <v>859</v>
      </c>
      <c r="E901" s="6" t="s">
        <v>364</v>
      </c>
      <c r="F901" s="6" t="s">
        <v>8</v>
      </c>
      <c r="G901" s="11" t="s">
        <v>20</v>
      </c>
      <c r="H901" s="6" t="s">
        <v>17</v>
      </c>
      <c r="I901" s="21" t="s">
        <v>1066</v>
      </c>
      <c r="J901" s="18">
        <f>VLOOKUP(A901,[2]Export!$A:$B,2,0)</f>
        <v>3812.296547609486</v>
      </c>
      <c r="K901" s="18">
        <f>VLOOKUP(A901,[2]Export!$A:$C,3,0)</f>
        <v>1177.4799999999998</v>
      </c>
      <c r="L901" s="19">
        <f t="shared" si="28"/>
        <v>0.30886369549041059</v>
      </c>
      <c r="M901" s="18">
        <f>VLOOKUP(A901,[2]Export!$A:$G,7,0)</f>
        <v>718.26</v>
      </c>
      <c r="N901" s="19">
        <f t="shared" si="29"/>
        <v>0.18840611978372654</v>
      </c>
      <c r="O901" s="17" t="s">
        <v>1025</v>
      </c>
      <c r="P901" s="17" t="s">
        <v>1026</v>
      </c>
      <c r="Q901" s="17" t="s">
        <v>1023</v>
      </c>
      <c r="R901" s="17" t="str">
        <f>VLOOKUP(A901,[1]Export!$A:$I,9,0)</f>
        <v>Comprou Marcas</v>
      </c>
      <c r="S901" s="17" t="s">
        <v>1022</v>
      </c>
      <c r="T901" s="20"/>
      <c r="U901" s="17"/>
      <c r="V901" s="17"/>
    </row>
    <row r="902" spans="1:22" x14ac:dyDescent="0.35">
      <c r="A902" s="4">
        <v>10829445000132</v>
      </c>
      <c r="B902" s="7"/>
      <c r="C902" s="4"/>
      <c r="D902" s="1" t="s">
        <v>860</v>
      </c>
      <c r="E902" s="1" t="s">
        <v>52</v>
      </c>
      <c r="F902" s="1" t="s">
        <v>8</v>
      </c>
      <c r="G902" s="10" t="s">
        <v>20</v>
      </c>
      <c r="H902" s="1" t="s">
        <v>17</v>
      </c>
      <c r="I902" s="21" t="s">
        <v>1072</v>
      </c>
      <c r="J902" s="18">
        <f>VLOOKUP(A902,[2]Export!$A:$B,2,0)</f>
        <v>2130.2045641041245</v>
      </c>
      <c r="K902" s="18">
        <f>VLOOKUP(A902,[2]Export!$A:$C,3,0)</f>
        <v>1092.51</v>
      </c>
      <c r="L902" s="19">
        <f t="shared" si="28"/>
        <v>0.51286623754815974</v>
      </c>
      <c r="M902" s="18">
        <f>VLOOKUP(A902,[2]Export!$A:$G,7,0)</f>
        <v>0</v>
      </c>
      <c r="N902" s="19">
        <f t="shared" si="29"/>
        <v>0</v>
      </c>
      <c r="O902" s="17" t="s">
        <v>1025</v>
      </c>
      <c r="P902" s="17" t="s">
        <v>1026</v>
      </c>
      <c r="Q902" s="17" t="s">
        <v>1023</v>
      </c>
      <c r="R902" s="17" t="str">
        <f>VLOOKUP(A902,[1]Export!$A:$I,9,0)</f>
        <v>Não Comprou</v>
      </c>
      <c r="S902" s="17" t="s">
        <v>1023</v>
      </c>
      <c r="T902" s="20"/>
      <c r="U902" s="17"/>
      <c r="V902" s="17"/>
    </row>
    <row r="903" spans="1:22" x14ac:dyDescent="0.35">
      <c r="A903" s="5">
        <v>8954076000168</v>
      </c>
      <c r="B903" s="7"/>
      <c r="C903" s="4"/>
      <c r="D903" s="6" t="s">
        <v>90</v>
      </c>
      <c r="E903" s="6" t="s">
        <v>307</v>
      </c>
      <c r="F903" s="6" t="s">
        <v>8</v>
      </c>
      <c r="G903" s="11" t="s">
        <v>64</v>
      </c>
      <c r="H903" s="6" t="s">
        <v>17</v>
      </c>
      <c r="I903" s="21" t="s">
        <v>1068</v>
      </c>
      <c r="J903" s="18">
        <f>VLOOKUP(A903,[2]Export!$A:$B,2,0)</f>
        <v>3707.2633277291816</v>
      </c>
      <c r="K903" s="18">
        <f>VLOOKUP(A903,[2]Export!$A:$C,3,0)</f>
        <v>2163.8400000000006</v>
      </c>
      <c r="L903" s="19">
        <f t="shared" si="28"/>
        <v>0.58367583004291801</v>
      </c>
      <c r="M903" s="18">
        <f>VLOOKUP(A903,[2]Export!$A:$G,7,0)</f>
        <v>0</v>
      </c>
      <c r="N903" s="19">
        <f t="shared" si="29"/>
        <v>0</v>
      </c>
      <c r="O903" s="17" t="s">
        <v>1029</v>
      </c>
      <c r="P903" s="17" t="s">
        <v>1026</v>
      </c>
      <c r="Q903" s="17" t="s">
        <v>1022</v>
      </c>
      <c r="R903" s="17" t="str">
        <f>VLOOKUP(A903,[1]Export!$A:$I,9,0)</f>
        <v>Não Comprou</v>
      </c>
      <c r="S903" s="17" t="s">
        <v>1022</v>
      </c>
      <c r="T903" s="20"/>
      <c r="U903" s="17"/>
      <c r="V903" s="17"/>
    </row>
    <row r="904" spans="1:22" x14ac:dyDescent="0.35">
      <c r="A904" s="4">
        <v>8954076000320</v>
      </c>
      <c r="B904" s="7"/>
      <c r="C904" s="4"/>
      <c r="D904" s="1" t="s">
        <v>90</v>
      </c>
      <c r="E904" s="1" t="s">
        <v>307</v>
      </c>
      <c r="F904" s="1" t="s">
        <v>8</v>
      </c>
      <c r="G904" s="10" t="s">
        <v>64</v>
      </c>
      <c r="H904" s="1" t="s">
        <v>17</v>
      </c>
      <c r="I904" s="21" t="s">
        <v>1068</v>
      </c>
      <c r="J904" s="18">
        <f>VLOOKUP(A904,[2]Export!$A:$B,2,0)</f>
        <v>6268.6884742938946</v>
      </c>
      <c r="K904" s="18">
        <f>VLOOKUP(A904,[2]Export!$A:$C,3,0)</f>
        <v>4081.67</v>
      </c>
      <c r="L904" s="19">
        <f t="shared" si="28"/>
        <v>0.65112024895442899</v>
      </c>
      <c r="M904" s="18">
        <f>VLOOKUP(A904,[2]Export!$A:$G,7,0)</f>
        <v>0</v>
      </c>
      <c r="N904" s="19">
        <f t="shared" si="29"/>
        <v>0</v>
      </c>
      <c r="O904" s="17" t="s">
        <v>1029</v>
      </c>
      <c r="P904" s="17" t="s">
        <v>1026</v>
      </c>
      <c r="Q904" s="17" t="s">
        <v>1022</v>
      </c>
      <c r="R904" s="17" t="str">
        <f>VLOOKUP(A904,[1]Export!$A:$I,9,0)</f>
        <v>Não Comprou</v>
      </c>
      <c r="S904" s="17" t="s">
        <v>1022</v>
      </c>
      <c r="T904" s="20"/>
      <c r="U904" s="17"/>
      <c r="V904" s="17"/>
    </row>
    <row r="905" spans="1:22" x14ac:dyDescent="0.35">
      <c r="A905" s="5">
        <v>35588327000100</v>
      </c>
      <c r="B905" s="7"/>
      <c r="C905" s="4"/>
      <c r="D905" s="6" t="s">
        <v>597</v>
      </c>
      <c r="E905" s="6" t="s">
        <v>379</v>
      </c>
      <c r="F905" s="6" t="s">
        <v>15</v>
      </c>
      <c r="G905" s="11" t="s">
        <v>36</v>
      </c>
      <c r="H905" s="6" t="s">
        <v>17</v>
      </c>
      <c r="I905" s="21" t="s">
        <v>1073</v>
      </c>
      <c r="J905" s="18">
        <f>VLOOKUP(A905,[2]Export!$A:$B,2,0)</f>
        <v>4544.0174516694851</v>
      </c>
      <c r="K905" s="18">
        <f>VLOOKUP(A905,[2]Export!$A:$C,3,0)</f>
        <v>906.90000000000009</v>
      </c>
      <c r="L905" s="19">
        <f t="shared" si="28"/>
        <v>0.19958109968675458</v>
      </c>
      <c r="M905" s="18">
        <f>VLOOKUP(A905,[2]Export!$A:$G,7,0)</f>
        <v>0</v>
      </c>
      <c r="N905" s="19">
        <f t="shared" si="29"/>
        <v>0</v>
      </c>
      <c r="O905" s="17" t="s">
        <v>1025</v>
      </c>
      <c r="P905" s="17" t="s">
        <v>1026</v>
      </c>
      <c r="Q905" s="17" t="s">
        <v>1022</v>
      </c>
      <c r="R905" s="17" t="str">
        <f>VLOOKUP(A905,[1]Export!$A:$I,9,0)</f>
        <v>Não Comprou</v>
      </c>
      <c r="S905" s="17" t="s">
        <v>1023</v>
      </c>
      <c r="T905" s="20"/>
      <c r="U905" s="17"/>
      <c r="V905" s="17"/>
    </row>
    <row r="906" spans="1:22" x14ac:dyDescent="0.35">
      <c r="A906" s="4">
        <v>14775673000128</v>
      </c>
      <c r="B906" s="7"/>
      <c r="C906" s="4"/>
      <c r="D906" s="1" t="s">
        <v>397</v>
      </c>
      <c r="E906" s="1" t="s">
        <v>861</v>
      </c>
      <c r="F906" s="1" t="s">
        <v>8</v>
      </c>
      <c r="G906" s="10" t="s">
        <v>16</v>
      </c>
      <c r="H906" s="1" t="s">
        <v>17</v>
      </c>
      <c r="I906" s="21" t="s">
        <v>1072</v>
      </c>
      <c r="J906" s="18">
        <f>VLOOKUP(A906,[2]Export!$A:$B,2,0)</f>
        <v>6262.2372969530907</v>
      </c>
      <c r="K906" s="18">
        <f>VLOOKUP(A906,[2]Export!$A:$C,3,0)</f>
        <v>5593.3599999999988</v>
      </c>
      <c r="L906" s="19">
        <f t="shared" si="28"/>
        <v>0.89318876541479253</v>
      </c>
      <c r="M906" s="18">
        <f>VLOOKUP(A906,[2]Export!$A:$G,7,0)</f>
        <v>2235.67</v>
      </c>
      <c r="N906" s="19">
        <f t="shared" si="29"/>
        <v>0.3570081895631409</v>
      </c>
      <c r="O906" s="17" t="s">
        <v>1027</v>
      </c>
      <c r="P906" s="17" t="s">
        <v>1028</v>
      </c>
      <c r="Q906" s="17" t="s">
        <v>1023</v>
      </c>
      <c r="R906" s="17" t="str">
        <f>VLOOKUP(A906,[1]Export!$A:$I,9,0)</f>
        <v>Comprou Marcas</v>
      </c>
      <c r="S906" s="17" t="s">
        <v>1022</v>
      </c>
      <c r="T906" s="20"/>
      <c r="U906" s="17"/>
      <c r="V906" s="17"/>
    </row>
    <row r="907" spans="1:22" x14ac:dyDescent="0.35">
      <c r="A907" s="5">
        <v>18235089000130</v>
      </c>
      <c r="B907" s="7"/>
      <c r="C907" s="4"/>
      <c r="D907" s="6" t="s">
        <v>159</v>
      </c>
      <c r="E907" s="6" t="s">
        <v>446</v>
      </c>
      <c r="F907" s="6" t="s">
        <v>15</v>
      </c>
      <c r="G907" s="11" t="s">
        <v>36</v>
      </c>
      <c r="H907" s="6" t="s">
        <v>17</v>
      </c>
      <c r="I907" s="21" t="s">
        <v>1067</v>
      </c>
      <c r="J907" s="18">
        <f>VLOOKUP(A907,[2]Export!$A:$B,2,0)</f>
        <v>7723.3013918092302</v>
      </c>
      <c r="K907" s="18">
        <f>VLOOKUP(A907,[2]Export!$A:$C,3,0)</f>
        <v>3651.2099999999991</v>
      </c>
      <c r="L907" s="19">
        <f t="shared" si="28"/>
        <v>0.47275249466144181</v>
      </c>
      <c r="M907" s="18">
        <f>VLOOKUP(A907,[2]Export!$A:$G,7,0)</f>
        <v>2694.8500000000004</v>
      </c>
      <c r="N907" s="19">
        <f t="shared" si="29"/>
        <v>0.34892461957498661</v>
      </c>
      <c r="O907" s="17" t="s">
        <v>1027</v>
      </c>
      <c r="P907" s="17" t="s">
        <v>1028</v>
      </c>
      <c r="Q907" s="17" t="s">
        <v>1023</v>
      </c>
      <c r="R907" s="17" t="str">
        <f>VLOOKUP(A907,[1]Export!$A:$I,9,0)</f>
        <v>Comprou Marcas e SG</v>
      </c>
      <c r="S907" s="17" t="s">
        <v>1022</v>
      </c>
      <c r="T907" s="20"/>
      <c r="U907" s="17"/>
      <c r="V907" s="17"/>
    </row>
    <row r="908" spans="1:22" x14ac:dyDescent="0.35">
      <c r="A908" s="4">
        <v>18332251000481</v>
      </c>
      <c r="B908" s="7" t="s">
        <v>998</v>
      </c>
      <c r="C908" s="4"/>
      <c r="D908" s="1" t="s">
        <v>25</v>
      </c>
      <c r="E908" s="1" t="s">
        <v>14</v>
      </c>
      <c r="F908" s="1" t="s">
        <v>15</v>
      </c>
      <c r="G908" s="10" t="s">
        <v>9</v>
      </c>
      <c r="H908" s="1" t="s">
        <v>10</v>
      </c>
      <c r="I908" s="21" t="s">
        <v>1067</v>
      </c>
      <c r="J908" s="18">
        <f>VLOOKUP(A908,[2]Export!$A:$B,2,0)</f>
        <v>4570.9509190854742</v>
      </c>
      <c r="K908" s="18">
        <f>VLOOKUP(A908,[2]Export!$A:$C,3,0)</f>
        <v>2111.87</v>
      </c>
      <c r="L908" s="19">
        <f t="shared" si="28"/>
        <v>0.46201983731265461</v>
      </c>
      <c r="M908" s="18">
        <f>VLOOKUP(A908,[2]Export!$A:$G,7,0)</f>
        <v>3571.6099999999997</v>
      </c>
      <c r="N908" s="19">
        <f t="shared" si="29"/>
        <v>0.7813713302164671</v>
      </c>
      <c r="O908" s="17" t="s">
        <v>1027</v>
      </c>
      <c r="P908" s="17" t="s">
        <v>1028</v>
      </c>
      <c r="Q908" s="17" t="s">
        <v>1023</v>
      </c>
      <c r="R908" s="17" t="str">
        <f>VLOOKUP(A908,[1]Export!$A:$I,9,0)</f>
        <v>Comprou Marcas</v>
      </c>
      <c r="S908" s="17" t="s">
        <v>1022</v>
      </c>
      <c r="T908" s="20"/>
      <c r="U908" s="17"/>
      <c r="V908" s="17"/>
    </row>
    <row r="909" spans="1:22" x14ac:dyDescent="0.35">
      <c r="A909" s="5">
        <v>19436791000397</v>
      </c>
      <c r="B909" s="7" t="s">
        <v>996</v>
      </c>
      <c r="C909" s="4"/>
      <c r="D909" s="6" t="s">
        <v>59</v>
      </c>
      <c r="E909" s="6" t="s">
        <v>330</v>
      </c>
      <c r="F909" s="6" t="s">
        <v>15</v>
      </c>
      <c r="G909" s="11" t="s">
        <v>9</v>
      </c>
      <c r="H909" s="6" t="s">
        <v>10</v>
      </c>
      <c r="I909" s="21" t="s">
        <v>1069</v>
      </c>
      <c r="J909" s="18">
        <f>VLOOKUP(A909,[2]Export!$A:$B,2,0)</f>
        <v>11046.12868899183</v>
      </c>
      <c r="K909" s="18">
        <f>VLOOKUP(A909,[2]Export!$A:$C,3,0)</f>
        <v>4599.7400000000007</v>
      </c>
      <c r="L909" s="19">
        <f t="shared" ref="L909:L972" si="30">K909/J909</f>
        <v>0.41641195114664326</v>
      </c>
      <c r="M909" s="18">
        <f>VLOOKUP(A909,[2]Export!$A:$G,7,0)</f>
        <v>5136.8100000000013</v>
      </c>
      <c r="N909" s="19">
        <f t="shared" ref="N909:N972" si="31">M909/J909</f>
        <v>0.46503260505367455</v>
      </c>
      <c r="O909" s="17" t="s">
        <v>1027</v>
      </c>
      <c r="P909" s="17" t="s">
        <v>1028</v>
      </c>
      <c r="Q909" s="17" t="s">
        <v>1023</v>
      </c>
      <c r="R909" s="17" t="str">
        <f>VLOOKUP(A909,[1]Export!$A:$I,9,0)</f>
        <v>Comprou Marcas e SG</v>
      </c>
      <c r="S909" s="17" t="s">
        <v>1022</v>
      </c>
      <c r="T909" s="20"/>
      <c r="U909" s="17"/>
      <c r="V909" s="17"/>
    </row>
    <row r="910" spans="1:22" x14ac:dyDescent="0.35">
      <c r="A910" s="5">
        <v>22166562000576</v>
      </c>
      <c r="B910" s="7"/>
      <c r="C910" s="4"/>
      <c r="D910" s="6" t="s">
        <v>59</v>
      </c>
      <c r="E910" s="6" t="s">
        <v>52</v>
      </c>
      <c r="F910" s="6" t="s">
        <v>8</v>
      </c>
      <c r="G910" s="11" t="s">
        <v>9</v>
      </c>
      <c r="H910" s="6" t="s">
        <v>10</v>
      </c>
      <c r="I910" s="21" t="s">
        <v>1072</v>
      </c>
      <c r="J910" s="18">
        <f>VLOOKUP(A910,[2]Export!$A:$B,2,0)</f>
        <v>5828.5849477263728</v>
      </c>
      <c r="K910" s="18">
        <f>VLOOKUP(A910,[2]Export!$A:$C,3,0)</f>
        <v>3189.1699999999996</v>
      </c>
      <c r="L910" s="19">
        <f t="shared" si="30"/>
        <v>0.54716025048996464</v>
      </c>
      <c r="M910" s="18">
        <f>VLOOKUP(A910,[2]Export!$A:$G,7,0)</f>
        <v>1513.5100000000002</v>
      </c>
      <c r="N910" s="19">
        <f t="shared" si="31"/>
        <v>0.25967023103787712</v>
      </c>
      <c r="O910" s="17"/>
      <c r="P910" s="17"/>
      <c r="Q910" s="17"/>
      <c r="R910" s="17" t="str">
        <f>VLOOKUP(A910,[1]Export!$A:$I,9,0)</f>
        <v>Comprou Marcas</v>
      </c>
      <c r="S910" s="17" t="s">
        <v>1022</v>
      </c>
      <c r="T910" s="20"/>
      <c r="U910" s="17"/>
      <c r="V910" s="17"/>
    </row>
    <row r="911" spans="1:22" x14ac:dyDescent="0.35">
      <c r="A911" s="5">
        <v>7629833000246</v>
      </c>
      <c r="B911" s="7"/>
      <c r="C911" s="4"/>
      <c r="D911" s="6" t="s">
        <v>862</v>
      </c>
      <c r="E911" s="6" t="s">
        <v>82</v>
      </c>
      <c r="F911" s="6" t="s">
        <v>8</v>
      </c>
      <c r="G911" s="11" t="s">
        <v>36</v>
      </c>
      <c r="H911" s="6" t="s">
        <v>17</v>
      </c>
      <c r="I911" s="21" t="s">
        <v>1070</v>
      </c>
      <c r="J911" s="18">
        <f>VLOOKUP(A911,[2]Export!$A:$B,2,0)</f>
        <v>7523.43482742988</v>
      </c>
      <c r="K911" s="18">
        <f>VLOOKUP(A911,[2]Export!$A:$C,3,0)</f>
        <v>3260.9300000000003</v>
      </c>
      <c r="L911" s="19">
        <f t="shared" si="30"/>
        <v>0.43343633257922215</v>
      </c>
      <c r="M911" s="18">
        <f>VLOOKUP(A911,[2]Export!$A:$G,7,0)</f>
        <v>3780.18</v>
      </c>
      <c r="N911" s="19">
        <f t="shared" si="31"/>
        <v>0.50245401026373571</v>
      </c>
      <c r="O911" s="17" t="s">
        <v>1027</v>
      </c>
      <c r="P911" s="17" t="s">
        <v>1028</v>
      </c>
      <c r="Q911" s="17" t="s">
        <v>1023</v>
      </c>
      <c r="R911" s="17" t="str">
        <f>VLOOKUP(A911,[1]Export!$A:$I,9,0)</f>
        <v>Comprou Marcas</v>
      </c>
      <c r="S911" s="17" t="s">
        <v>1022</v>
      </c>
      <c r="T911" s="20">
        <v>7</v>
      </c>
      <c r="U911" s="17"/>
      <c r="V911" s="17"/>
    </row>
    <row r="912" spans="1:22" x14ac:dyDescent="0.35">
      <c r="A912" s="4">
        <v>8143052000129</v>
      </c>
      <c r="B912" s="7"/>
      <c r="C912" s="4"/>
      <c r="D912" s="1" t="s">
        <v>863</v>
      </c>
      <c r="E912" s="1" t="s">
        <v>584</v>
      </c>
      <c r="F912" s="1" t="s">
        <v>48</v>
      </c>
      <c r="G912" s="10" t="s">
        <v>229</v>
      </c>
      <c r="H912" s="1" t="s">
        <v>17</v>
      </c>
      <c r="I912" s="21" t="s">
        <v>1073</v>
      </c>
      <c r="J912" s="18">
        <f>VLOOKUP(A912,[2]Export!$A:$B,2,0)</f>
        <v>5467.4143225542421</v>
      </c>
      <c r="K912" s="18">
        <f>VLOOKUP(A912,[2]Export!$A:$C,3,0)</f>
        <v>5300.9299999999994</v>
      </c>
      <c r="L912" s="19">
        <f t="shared" si="30"/>
        <v>0.96954971532567791</v>
      </c>
      <c r="M912" s="18">
        <f>VLOOKUP(A912,[2]Export!$A:$G,7,0)</f>
        <v>3663.559999999999</v>
      </c>
      <c r="N912" s="19">
        <f t="shared" si="31"/>
        <v>0.67007177138323648</v>
      </c>
      <c r="O912" s="17" t="s">
        <v>1027</v>
      </c>
      <c r="P912" s="17" t="s">
        <v>1028</v>
      </c>
      <c r="Q912" s="17" t="s">
        <v>1022</v>
      </c>
      <c r="R912" s="17" t="str">
        <f>VLOOKUP(A912,[1]Export!$A:$I,9,0)</f>
        <v>Comprou Marcas</v>
      </c>
      <c r="S912" s="17" t="s">
        <v>1023</v>
      </c>
      <c r="T912" s="20"/>
      <c r="U912" s="17"/>
      <c r="V912" s="17"/>
    </row>
    <row r="913" spans="1:22" x14ac:dyDescent="0.35">
      <c r="A913" s="5">
        <v>8596888000189</v>
      </c>
      <c r="B913" s="7"/>
      <c r="C913" s="4"/>
      <c r="D913" s="6" t="s">
        <v>864</v>
      </c>
      <c r="E913" s="6" t="s">
        <v>358</v>
      </c>
      <c r="F913" s="6" t="s">
        <v>15</v>
      </c>
      <c r="G913" s="11" t="s">
        <v>16</v>
      </c>
      <c r="H913" s="6" t="s">
        <v>17</v>
      </c>
      <c r="I913" s="21" t="s">
        <v>1069</v>
      </c>
      <c r="J913" s="18">
        <f>VLOOKUP(A913,[2]Export!$A:$B,2,0)</f>
        <v>7320.3697886984555</v>
      </c>
      <c r="K913" s="18">
        <f>VLOOKUP(A913,[2]Export!$A:$C,3,0)</f>
        <v>5141.4400000000005</v>
      </c>
      <c r="L913" s="19">
        <f t="shared" si="30"/>
        <v>0.70234703278755217</v>
      </c>
      <c r="M913" s="18">
        <f>VLOOKUP(A913,[2]Export!$A:$G,7,0)</f>
        <v>0</v>
      </c>
      <c r="N913" s="19">
        <f t="shared" si="31"/>
        <v>0</v>
      </c>
      <c r="O913" s="17" t="s">
        <v>1029</v>
      </c>
      <c r="P913" s="17" t="s">
        <v>1026</v>
      </c>
      <c r="Q913" s="17" t="s">
        <v>1023</v>
      </c>
      <c r="R913" s="17" t="str">
        <f>VLOOKUP(A913,[1]Export!$A:$I,9,0)</f>
        <v>Não Comprou</v>
      </c>
      <c r="S913" s="17" t="s">
        <v>1022</v>
      </c>
      <c r="T913" s="20"/>
      <c r="U913" s="17"/>
      <c r="V913" s="17"/>
    </row>
    <row r="914" spans="1:22" x14ac:dyDescent="0.35">
      <c r="A914" s="4">
        <v>9269723000165</v>
      </c>
      <c r="B914" s="7"/>
      <c r="C914" s="4"/>
      <c r="D914" s="1" t="s">
        <v>865</v>
      </c>
      <c r="E914" s="1" t="s">
        <v>390</v>
      </c>
      <c r="F914" s="1" t="s">
        <v>8</v>
      </c>
      <c r="G914" s="10" t="s">
        <v>64</v>
      </c>
      <c r="H914" s="1" t="s">
        <v>17</v>
      </c>
      <c r="I914" s="21" t="s">
        <v>1068</v>
      </c>
      <c r="J914" s="18">
        <f>VLOOKUP(A914,[2]Export!$A:$B,2,0)</f>
        <v>4388.7910111358005</v>
      </c>
      <c r="K914" s="18">
        <f>VLOOKUP(A914,[2]Export!$A:$C,3,0)</f>
        <v>2310.4300000000003</v>
      </c>
      <c r="L914" s="19">
        <f t="shared" si="30"/>
        <v>0.5264388288568953</v>
      </c>
      <c r="M914" s="18">
        <f>VLOOKUP(A914,[2]Export!$A:$G,7,0)</f>
        <v>2343.11</v>
      </c>
      <c r="N914" s="19">
        <f t="shared" si="31"/>
        <v>0.53388507086684289</v>
      </c>
      <c r="O914" s="17"/>
      <c r="P914" s="17"/>
      <c r="Q914" s="17"/>
      <c r="R914" s="17" t="str">
        <f>VLOOKUP(A914,[1]Export!$A:$I,9,0)</f>
        <v>Comprou Marcas</v>
      </c>
      <c r="S914" s="17"/>
      <c r="T914" s="20"/>
      <c r="U914" s="17"/>
      <c r="V914" s="17"/>
    </row>
    <row r="915" spans="1:22" x14ac:dyDescent="0.35">
      <c r="A915" s="5">
        <v>9496232000157</v>
      </c>
      <c r="B915" s="7"/>
      <c r="C915" s="4"/>
      <c r="D915" s="6" t="s">
        <v>702</v>
      </c>
      <c r="E915" s="6" t="s">
        <v>474</v>
      </c>
      <c r="F915" s="6" t="s">
        <v>8</v>
      </c>
      <c r="G915" s="11" t="s">
        <v>279</v>
      </c>
      <c r="H915" s="6" t="s">
        <v>17</v>
      </c>
      <c r="I915" s="21" t="s">
        <v>1066</v>
      </c>
      <c r="J915" s="18">
        <f>VLOOKUP(A915,[2]Export!$A:$B,2,0)</f>
        <v>28077.890651066613</v>
      </c>
      <c r="K915" s="18">
        <f>VLOOKUP(A915,[2]Export!$A:$C,3,0)</f>
        <v>8961.3900000000012</v>
      </c>
      <c r="L915" s="19">
        <f t="shared" si="30"/>
        <v>0.31916179571201442</v>
      </c>
      <c r="M915" s="18">
        <f>VLOOKUP(A915,[2]Export!$A:$G,7,0)</f>
        <v>6990.970000000003</v>
      </c>
      <c r="N915" s="19">
        <f t="shared" si="31"/>
        <v>0.24898487165147615</v>
      </c>
      <c r="O915" s="17" t="s">
        <v>1029</v>
      </c>
      <c r="P915" s="17" t="s">
        <v>1026</v>
      </c>
      <c r="Q915" s="17" t="s">
        <v>1022</v>
      </c>
      <c r="R915" s="17" t="str">
        <f>VLOOKUP(A915,[1]Export!$A:$I,9,0)</f>
        <v>Comprou Marcas</v>
      </c>
      <c r="S915" s="17" t="s">
        <v>1022</v>
      </c>
      <c r="T915" s="20">
        <v>1</v>
      </c>
      <c r="U915" s="17"/>
      <c r="V915" s="17"/>
    </row>
    <row r="916" spans="1:22" x14ac:dyDescent="0.35">
      <c r="A916" s="5">
        <v>21746348000100</v>
      </c>
      <c r="B916" s="7"/>
      <c r="C916" s="4"/>
      <c r="D916" s="6" t="s">
        <v>104</v>
      </c>
      <c r="E916" s="6" t="s">
        <v>390</v>
      </c>
      <c r="F916" s="6" t="s">
        <v>8</v>
      </c>
      <c r="G916" s="11" t="s">
        <v>9</v>
      </c>
      <c r="H916" s="6" t="s">
        <v>10</v>
      </c>
      <c r="I916" s="21" t="s">
        <v>1068</v>
      </c>
      <c r="J916" s="18">
        <f>VLOOKUP(A916,[2]Export!$A:$B,2,0)</f>
        <v>16199.930514437534</v>
      </c>
      <c r="K916" s="18">
        <f>VLOOKUP(A916,[2]Export!$A:$C,3,0)</f>
        <v>8077.1</v>
      </c>
      <c r="L916" s="19">
        <f t="shared" si="30"/>
        <v>0.49858855831521076</v>
      </c>
      <c r="M916" s="18">
        <f>VLOOKUP(A916,[2]Export!$A:$G,7,0)</f>
        <v>0</v>
      </c>
      <c r="N916" s="19">
        <f t="shared" si="31"/>
        <v>0</v>
      </c>
      <c r="O916" s="17"/>
      <c r="P916" s="17"/>
      <c r="Q916" s="17"/>
      <c r="R916" s="17" t="str">
        <f>VLOOKUP(A916,[1]Export!$A:$I,9,0)</f>
        <v>Não Comprou</v>
      </c>
      <c r="S916" s="17" t="s">
        <v>1022</v>
      </c>
      <c r="T916" s="20">
        <v>1</v>
      </c>
      <c r="U916" s="17"/>
      <c r="V916" s="17"/>
    </row>
    <row r="917" spans="1:22" x14ac:dyDescent="0.35">
      <c r="A917" s="5">
        <v>30461125000180</v>
      </c>
      <c r="B917" s="7"/>
      <c r="C917" s="4">
        <v>148176</v>
      </c>
      <c r="D917" s="6" t="s">
        <v>368</v>
      </c>
      <c r="E917" s="6" t="s">
        <v>182</v>
      </c>
      <c r="F917" s="6" t="s">
        <v>8</v>
      </c>
      <c r="G917" s="11" t="s">
        <v>36</v>
      </c>
      <c r="H917" s="6" t="s">
        <v>17</v>
      </c>
      <c r="I917" s="21" t="s">
        <v>1072</v>
      </c>
      <c r="J917" s="18">
        <f>VLOOKUP(A917,[2]Export!$A:$B,2,0)</f>
        <v>7004.0455306411641</v>
      </c>
      <c r="K917" s="18">
        <f>VLOOKUP(A917,[2]Export!$A:$C,3,0)</f>
        <v>2012.97</v>
      </c>
      <c r="L917" s="19">
        <f t="shared" si="30"/>
        <v>0.28740104432412633</v>
      </c>
      <c r="M917" s="18">
        <f>VLOOKUP(A917,[2]Export!$A:$G,7,0)</f>
        <v>1903.4899999999998</v>
      </c>
      <c r="N917" s="19">
        <f t="shared" si="31"/>
        <v>0.27177007797460029</v>
      </c>
      <c r="O917" s="17" t="s">
        <v>1025</v>
      </c>
      <c r="P917" s="17" t="s">
        <v>1026</v>
      </c>
      <c r="Q917" s="17" t="s">
        <v>1023</v>
      </c>
      <c r="R917" s="17" t="str">
        <f>VLOOKUP(A917,[1]Export!$A:$I,9,0)</f>
        <v>Comprou Marcas</v>
      </c>
      <c r="S917" s="17" t="s">
        <v>1023</v>
      </c>
      <c r="T917" s="20">
        <v>1</v>
      </c>
      <c r="U917" s="17"/>
      <c r="V917" s="17"/>
    </row>
    <row r="918" spans="1:22" x14ac:dyDescent="0.35">
      <c r="A918" s="4">
        <v>3995944000134</v>
      </c>
      <c r="B918" s="7"/>
      <c r="C918" s="4"/>
      <c r="D918" s="1" t="s">
        <v>866</v>
      </c>
      <c r="E918" s="1" t="s">
        <v>166</v>
      </c>
      <c r="F918" s="1" t="s">
        <v>8</v>
      </c>
      <c r="G918" s="10" t="s">
        <v>36</v>
      </c>
      <c r="H918" s="1" t="s">
        <v>17</v>
      </c>
      <c r="I918" s="21" t="s">
        <v>1068</v>
      </c>
      <c r="J918" s="18">
        <f>VLOOKUP(A918,[2]Export!$A:$B,2,0)</f>
        <v>3425.9442847561004</v>
      </c>
      <c r="K918" s="18">
        <f>VLOOKUP(A918,[2]Export!$A:$C,3,0)</f>
        <v>4312.66</v>
      </c>
      <c r="L918" s="19">
        <f t="shared" si="30"/>
        <v>1.25882374070979</v>
      </c>
      <c r="M918" s="18">
        <f>VLOOKUP(A918,[2]Export!$A:$G,7,0)</f>
        <v>4228.13</v>
      </c>
      <c r="N918" s="19">
        <f t="shared" si="31"/>
        <v>1.2341502513083071</v>
      </c>
      <c r="O918" s="17" t="s">
        <v>1027</v>
      </c>
      <c r="P918" s="17" t="s">
        <v>1028</v>
      </c>
      <c r="Q918" s="17" t="s">
        <v>1023</v>
      </c>
      <c r="R918" s="17" t="str">
        <f>VLOOKUP(A918,[1]Export!$A:$I,9,0)</f>
        <v>Comprou Marcas</v>
      </c>
      <c r="S918" s="17" t="s">
        <v>1022</v>
      </c>
      <c r="T918" s="20"/>
      <c r="U918" s="17">
        <v>4</v>
      </c>
      <c r="V918" s="17">
        <v>4</v>
      </c>
    </row>
    <row r="919" spans="1:22" x14ac:dyDescent="0.35">
      <c r="A919" s="5">
        <v>4256383000114</v>
      </c>
      <c r="B919" s="7"/>
      <c r="C919" s="4"/>
      <c r="D919" s="6" t="s">
        <v>445</v>
      </c>
      <c r="E919" s="6" t="s">
        <v>430</v>
      </c>
      <c r="F919" s="6" t="s">
        <v>8</v>
      </c>
      <c r="G919" s="11" t="s">
        <v>74</v>
      </c>
      <c r="H919" s="6" t="s">
        <v>17</v>
      </c>
      <c r="I919" s="21" t="s">
        <v>1072</v>
      </c>
      <c r="J919" s="18">
        <f>VLOOKUP(A919,[2]Export!$A:$B,2,0)</f>
        <v>6927.9961504421817</v>
      </c>
      <c r="K919" s="18">
        <f>VLOOKUP(A919,[2]Export!$A:$C,3,0)</f>
        <v>4454.8300000000008</v>
      </c>
      <c r="L919" s="19">
        <f t="shared" si="30"/>
        <v>0.64301854436158568</v>
      </c>
      <c r="M919" s="18">
        <f>VLOOKUP(A919,[2]Export!$A:$G,7,0)</f>
        <v>3119.9200000000005</v>
      </c>
      <c r="N919" s="19">
        <f t="shared" si="31"/>
        <v>0.45033512320887631</v>
      </c>
      <c r="O919" s="17" t="s">
        <v>1025</v>
      </c>
      <c r="P919" s="17" t="s">
        <v>1026</v>
      </c>
      <c r="Q919" s="17" t="s">
        <v>1022</v>
      </c>
      <c r="R919" s="17" t="str">
        <f>VLOOKUP(A919,[1]Export!$A:$I,9,0)</f>
        <v>Comprou Marcas</v>
      </c>
      <c r="S919" s="17" t="s">
        <v>1022</v>
      </c>
      <c r="T919" s="20">
        <v>3</v>
      </c>
      <c r="U919" s="17"/>
      <c r="V919" s="17"/>
    </row>
    <row r="920" spans="1:22" x14ac:dyDescent="0.35">
      <c r="A920" s="4">
        <v>4538037000129</v>
      </c>
      <c r="B920" s="7"/>
      <c r="C920" s="4"/>
      <c r="D920" s="1" t="s">
        <v>867</v>
      </c>
      <c r="E920" s="1" t="s">
        <v>458</v>
      </c>
      <c r="F920" s="1" t="s">
        <v>48</v>
      </c>
      <c r="G920" s="10" t="s">
        <v>87</v>
      </c>
      <c r="H920" s="1" t="s">
        <v>17</v>
      </c>
      <c r="I920" s="21" t="s">
        <v>1073</v>
      </c>
      <c r="J920" s="18">
        <f>VLOOKUP(A920,[2]Export!$A:$B,2,0)</f>
        <v>6925.0044473623748</v>
      </c>
      <c r="K920" s="18">
        <f>VLOOKUP(A920,[2]Export!$A:$C,3,0)</f>
        <v>624.64</v>
      </c>
      <c r="L920" s="19">
        <f t="shared" si="30"/>
        <v>9.0200664093135069E-2</v>
      </c>
      <c r="M920" s="18">
        <f>VLOOKUP(A920,[2]Export!$A:$G,7,0)</f>
        <v>883.7299999999999</v>
      </c>
      <c r="N920" s="19">
        <f t="shared" si="31"/>
        <v>0.12761435847692471</v>
      </c>
      <c r="O920" s="17" t="s">
        <v>1027</v>
      </c>
      <c r="P920" s="17" t="s">
        <v>1028</v>
      </c>
      <c r="Q920" s="17" t="s">
        <v>1023</v>
      </c>
      <c r="R920" s="17" t="str">
        <f>VLOOKUP(A920,[1]Export!$A:$I,9,0)</f>
        <v>Comprou Marcas</v>
      </c>
      <c r="S920" s="17" t="s">
        <v>1022</v>
      </c>
      <c r="T920" s="20"/>
      <c r="U920" s="17"/>
      <c r="V920" s="17"/>
    </row>
    <row r="921" spans="1:22" x14ac:dyDescent="0.35">
      <c r="A921" s="5">
        <v>48464291000103</v>
      </c>
      <c r="B921" s="7"/>
      <c r="C921" s="4"/>
      <c r="D921" s="6" t="s">
        <v>268</v>
      </c>
      <c r="E921" s="6" t="s">
        <v>174</v>
      </c>
      <c r="F921" s="6" t="s">
        <v>48</v>
      </c>
      <c r="G921" s="11" t="s">
        <v>38</v>
      </c>
      <c r="H921" s="6" t="s">
        <v>17</v>
      </c>
      <c r="I921" s="21" t="s">
        <v>1073</v>
      </c>
      <c r="J921" s="18">
        <f>VLOOKUP(A921,[2]Export!$A:$B,2,0)</f>
        <v>5415.2168463232056</v>
      </c>
      <c r="K921" s="18">
        <f>VLOOKUP(A921,[2]Export!$A:$C,3,0)</f>
        <v>3859.41</v>
      </c>
      <c r="L921" s="19">
        <f t="shared" si="30"/>
        <v>0.7126972214640751</v>
      </c>
      <c r="M921" s="18">
        <f>VLOOKUP(A921,[2]Export!$A:$G,7,0)</f>
        <v>2130.2800000000002</v>
      </c>
      <c r="N921" s="19">
        <f t="shared" si="31"/>
        <v>0.39338775536687992</v>
      </c>
      <c r="O921" s="17" t="s">
        <v>1031</v>
      </c>
      <c r="P921" s="17" t="s">
        <v>1026</v>
      </c>
      <c r="Q921" s="17" t="s">
        <v>1022</v>
      </c>
      <c r="R921" s="17" t="str">
        <f>VLOOKUP(A921,[1]Export!$A:$I,9,0)</f>
        <v>Comprou Marcas e SG</v>
      </c>
      <c r="S921" s="17" t="s">
        <v>1022</v>
      </c>
      <c r="T921" s="20"/>
      <c r="U921" s="17"/>
      <c r="V921" s="17"/>
    </row>
    <row r="922" spans="1:22" x14ac:dyDescent="0.35">
      <c r="A922" s="4">
        <v>4592381000104</v>
      </c>
      <c r="B922" s="7"/>
      <c r="C922" s="4"/>
      <c r="D922" s="1" t="s">
        <v>853</v>
      </c>
      <c r="E922" s="1" t="s">
        <v>100</v>
      </c>
      <c r="F922" s="1" t="s">
        <v>15</v>
      </c>
      <c r="G922" s="10" t="s">
        <v>33</v>
      </c>
      <c r="H922" s="1" t="s">
        <v>17</v>
      </c>
      <c r="I922" s="21" t="s">
        <v>1073</v>
      </c>
      <c r="J922" s="18">
        <f>VLOOKUP(A922,[2]Export!$A:$B,2,0)</f>
        <v>2731.0965594312765</v>
      </c>
      <c r="K922" s="18">
        <f>VLOOKUP(A922,[2]Export!$A:$C,3,0)</f>
        <v>1466.72</v>
      </c>
      <c r="L922" s="19">
        <f t="shared" si="30"/>
        <v>0.53704435858739086</v>
      </c>
      <c r="M922" s="18">
        <f>VLOOKUP(A922,[2]Export!$A:$G,7,0)</f>
        <v>268.96999999999997</v>
      </c>
      <c r="N922" s="19">
        <f t="shared" si="31"/>
        <v>9.8484251342621981E-2</v>
      </c>
      <c r="O922" s="17" t="s">
        <v>1027</v>
      </c>
      <c r="P922" s="17" t="s">
        <v>1026</v>
      </c>
      <c r="Q922" s="17" t="s">
        <v>1023</v>
      </c>
      <c r="R922" s="17" t="str">
        <f>VLOOKUP(A922,[1]Export!$A:$I,9,0)</f>
        <v>Não Comprou</v>
      </c>
      <c r="S922" s="17" t="s">
        <v>1022</v>
      </c>
      <c r="T922" s="20"/>
      <c r="U922" s="17"/>
      <c r="V922" s="17"/>
    </row>
    <row r="923" spans="1:22" x14ac:dyDescent="0.35">
      <c r="A923" s="5">
        <v>4716183000288</v>
      </c>
      <c r="B923" s="7"/>
      <c r="C923" s="4"/>
      <c r="D923" s="6" t="s">
        <v>868</v>
      </c>
      <c r="E923" s="6" t="s">
        <v>384</v>
      </c>
      <c r="F923" s="6" t="s">
        <v>48</v>
      </c>
      <c r="G923" s="11" t="s">
        <v>352</v>
      </c>
      <c r="H923" s="6" t="s">
        <v>17</v>
      </c>
      <c r="I923" s="21" t="s">
        <v>1071</v>
      </c>
      <c r="J923" s="18">
        <f>VLOOKUP(A923,[2]Export!$A:$B,2,0)</f>
        <v>4353.3790898976331</v>
      </c>
      <c r="K923" s="18">
        <f>VLOOKUP(A923,[2]Export!$A:$C,3,0)</f>
        <v>1362.6599999999999</v>
      </c>
      <c r="L923" s="19">
        <f t="shared" si="30"/>
        <v>0.31301202396137801</v>
      </c>
      <c r="M923" s="18">
        <f>VLOOKUP(A923,[2]Export!$A:$G,7,0)</f>
        <v>1122.5999999999999</v>
      </c>
      <c r="N923" s="19">
        <f t="shared" si="31"/>
        <v>0.25786865256119862</v>
      </c>
      <c r="O923" s="17" t="s">
        <v>1025</v>
      </c>
      <c r="P923" s="17" t="s">
        <v>1026</v>
      </c>
      <c r="Q923" s="17" t="s">
        <v>1023</v>
      </c>
      <c r="R923" s="17" t="str">
        <f>VLOOKUP(A923,[1]Export!$A:$I,9,0)</f>
        <v>Comprou Marcas e SG</v>
      </c>
      <c r="S923" s="17" t="s">
        <v>1022</v>
      </c>
      <c r="T923" s="20"/>
      <c r="U923" s="17"/>
      <c r="V923" s="17"/>
    </row>
    <row r="924" spans="1:22" x14ac:dyDescent="0.35">
      <c r="A924" s="4">
        <v>4834843003089</v>
      </c>
      <c r="B924" s="7" t="s">
        <v>994</v>
      </c>
      <c r="C924" s="4"/>
      <c r="D924" s="1" t="s">
        <v>91</v>
      </c>
      <c r="E924" s="1" t="s">
        <v>584</v>
      </c>
      <c r="F924" s="1" t="s">
        <v>48</v>
      </c>
      <c r="G924" s="10" t="s">
        <v>92</v>
      </c>
      <c r="H924" s="1" t="s">
        <v>17</v>
      </c>
      <c r="I924" s="21" t="s">
        <v>1071</v>
      </c>
      <c r="J924" s="18">
        <f>VLOOKUP(A924,[2]Export!$A:$B,2,0)</f>
        <v>2893.7230512675956</v>
      </c>
      <c r="K924" s="18">
        <f>VLOOKUP(A924,[2]Export!$A:$C,3,0)</f>
        <v>2627.26</v>
      </c>
      <c r="L924" s="19">
        <f t="shared" si="30"/>
        <v>0.90791687851715075</v>
      </c>
      <c r="M924" s="18">
        <f>VLOOKUP(A924,[2]Export!$A:$G,7,0)</f>
        <v>2498.46</v>
      </c>
      <c r="N924" s="19">
        <f t="shared" si="31"/>
        <v>0.86340674478352364</v>
      </c>
      <c r="O924" s="17" t="s">
        <v>1027</v>
      </c>
      <c r="P924" s="17" t="s">
        <v>1028</v>
      </c>
      <c r="Q924" s="17" t="s">
        <v>1023</v>
      </c>
      <c r="R924" s="17" t="str">
        <f>VLOOKUP(A924,[1]Export!$A:$I,9,0)</f>
        <v>Comprou Marcas</v>
      </c>
      <c r="S924" s="17" t="s">
        <v>1022</v>
      </c>
      <c r="T924" s="20"/>
      <c r="U924" s="17"/>
      <c r="V924" s="17"/>
    </row>
    <row r="925" spans="1:22" x14ac:dyDescent="0.35">
      <c r="A925" s="5">
        <v>4972853000650</v>
      </c>
      <c r="B925" s="7" t="s">
        <v>135</v>
      </c>
      <c r="C925" s="4"/>
      <c r="D925" s="6" t="s">
        <v>134</v>
      </c>
      <c r="E925" s="6" t="s">
        <v>35</v>
      </c>
      <c r="F925" s="6" t="s">
        <v>8</v>
      </c>
      <c r="G925" s="11" t="s">
        <v>135</v>
      </c>
      <c r="H925" s="6" t="s">
        <v>17</v>
      </c>
      <c r="I925" s="21" t="s">
        <v>1070</v>
      </c>
      <c r="J925" s="18">
        <f>VLOOKUP(A925,[2]Export!$A:$B,2,0)</f>
        <v>13967.334051092907</v>
      </c>
      <c r="K925" s="18">
        <f>VLOOKUP(A925,[2]Export!$A:$C,3,0)</f>
        <v>13345.300000000005</v>
      </c>
      <c r="L925" s="19">
        <f t="shared" si="30"/>
        <v>0.95546508382934903</v>
      </c>
      <c r="M925" s="18">
        <f>VLOOKUP(A925,[2]Export!$A:$G,7,0)</f>
        <v>9501.4900000000016</v>
      </c>
      <c r="N925" s="19">
        <f t="shared" si="31"/>
        <v>0.680265107517532</v>
      </c>
      <c r="O925" s="17" t="s">
        <v>1025</v>
      </c>
      <c r="P925" s="17" t="s">
        <v>1026</v>
      </c>
      <c r="Q925" s="17" t="s">
        <v>1022</v>
      </c>
      <c r="R925" s="17" t="str">
        <f>VLOOKUP(A925,[1]Export!$A:$I,9,0)</f>
        <v>Comprou Marcas e SG</v>
      </c>
      <c r="S925" s="17" t="s">
        <v>1022</v>
      </c>
      <c r="T925" s="20">
        <v>4</v>
      </c>
      <c r="U925" s="17">
        <v>2</v>
      </c>
      <c r="V925" s="17">
        <v>7</v>
      </c>
    </row>
    <row r="926" spans="1:22" x14ac:dyDescent="0.35">
      <c r="A926" s="4">
        <v>5344624000140</v>
      </c>
      <c r="B926" s="7" t="s">
        <v>1011</v>
      </c>
      <c r="C926" s="4">
        <v>5119</v>
      </c>
      <c r="D926" s="1" t="s">
        <v>869</v>
      </c>
      <c r="E926" s="1" t="s">
        <v>259</v>
      </c>
      <c r="F926" s="1" t="s">
        <v>15</v>
      </c>
      <c r="G926" s="10" t="s">
        <v>9</v>
      </c>
      <c r="H926" s="1" t="s">
        <v>10</v>
      </c>
      <c r="I926" s="21" t="s">
        <v>1069</v>
      </c>
      <c r="J926" s="18">
        <f>VLOOKUP(A926,[2]Export!$A:$B,2,0)</f>
        <v>15636.440550698087</v>
      </c>
      <c r="K926" s="18">
        <f>VLOOKUP(A926,[2]Export!$A:$C,3,0)</f>
        <v>7955.3999999999987</v>
      </c>
      <c r="L926" s="19">
        <f t="shared" si="30"/>
        <v>0.50877307877110378</v>
      </c>
      <c r="M926" s="18">
        <f>VLOOKUP(A926,[2]Export!$A:$G,7,0)</f>
        <v>6233.1900000000023</v>
      </c>
      <c r="N926" s="19">
        <f t="shared" si="31"/>
        <v>0.39863228333776529</v>
      </c>
      <c r="O926" s="17" t="s">
        <v>1027</v>
      </c>
      <c r="P926" s="17" t="s">
        <v>1028</v>
      </c>
      <c r="Q926" s="17" t="s">
        <v>1023</v>
      </c>
      <c r="R926" s="17" t="str">
        <f>VLOOKUP(A926,[1]Export!$A:$I,9,0)</f>
        <v>Comprou Marcas</v>
      </c>
      <c r="S926" s="17" t="s">
        <v>1022</v>
      </c>
      <c r="T926" s="20"/>
      <c r="U926" s="17"/>
      <c r="V926" s="17"/>
    </row>
    <row r="927" spans="1:22" x14ac:dyDescent="0.35">
      <c r="A927" s="5">
        <v>328405000404</v>
      </c>
      <c r="B927" s="7"/>
      <c r="C927" s="4"/>
      <c r="D927" s="6" t="s">
        <v>660</v>
      </c>
      <c r="E927" s="6" t="s">
        <v>98</v>
      </c>
      <c r="F927" s="6" t="s">
        <v>15</v>
      </c>
      <c r="G927" s="11" t="s">
        <v>38</v>
      </c>
      <c r="H927" s="6" t="s">
        <v>17</v>
      </c>
      <c r="I927" s="21" t="s">
        <v>1073</v>
      </c>
      <c r="J927" s="18">
        <f>VLOOKUP(A927,[2]Export!$A:$B,2,0)</f>
        <v>1393.1375073685949</v>
      </c>
      <c r="K927" s="18">
        <f>VLOOKUP(A927,[2]Export!$A:$C,3,0)</f>
        <v>1209.5900000000001</v>
      </c>
      <c r="L927" s="19">
        <f t="shared" si="30"/>
        <v>0.86824882224635136</v>
      </c>
      <c r="M927" s="18">
        <f>VLOOKUP(A927,[2]Export!$A:$G,7,0)</f>
        <v>0</v>
      </c>
      <c r="N927" s="19">
        <f t="shared" si="31"/>
        <v>0</v>
      </c>
      <c r="O927" s="17" t="s">
        <v>1025</v>
      </c>
      <c r="P927" s="17" t="s">
        <v>1026</v>
      </c>
      <c r="Q927" s="17" t="s">
        <v>1023</v>
      </c>
      <c r="R927" s="17" t="str">
        <f>VLOOKUP(A927,[1]Export!$A:$I,9,0)</f>
        <v>Não Comprou</v>
      </c>
      <c r="S927" s="17" t="s">
        <v>1022</v>
      </c>
      <c r="T927" s="20"/>
      <c r="U927" s="17"/>
      <c r="V927" s="17"/>
    </row>
    <row r="928" spans="1:22" x14ac:dyDescent="0.35">
      <c r="A928" s="4">
        <v>4834843001116</v>
      </c>
      <c r="B928" s="7" t="s">
        <v>994</v>
      </c>
      <c r="C928" s="4"/>
      <c r="D928" s="1" t="s">
        <v>91</v>
      </c>
      <c r="E928" s="1" t="s">
        <v>871</v>
      </c>
      <c r="F928" s="1" t="s">
        <v>48</v>
      </c>
      <c r="G928" s="10" t="s">
        <v>92</v>
      </c>
      <c r="H928" s="1" t="s">
        <v>17</v>
      </c>
      <c r="I928" s="21" t="s">
        <v>1071</v>
      </c>
      <c r="J928" s="18">
        <f>VLOOKUP(A928,[2]Export!$A:$B,2,0)</f>
        <v>7156.6243776662568</v>
      </c>
      <c r="K928" s="18">
        <f>VLOOKUP(A928,[2]Export!$A:$C,3,0)</f>
        <v>6490.44</v>
      </c>
      <c r="L928" s="19">
        <f t="shared" si="30"/>
        <v>0.90691360304653901</v>
      </c>
      <c r="M928" s="18">
        <f>VLOOKUP(A928,[2]Export!$A:$G,7,0)</f>
        <v>6910.6699999999992</v>
      </c>
      <c r="N928" s="19">
        <f t="shared" si="31"/>
        <v>0.96563262724339571</v>
      </c>
      <c r="O928" s="17" t="s">
        <v>1027</v>
      </c>
      <c r="P928" s="17" t="s">
        <v>1028</v>
      </c>
      <c r="Q928" s="17" t="s">
        <v>1023</v>
      </c>
      <c r="R928" s="17" t="str">
        <f>VLOOKUP(A928,[1]Export!$A:$I,9,0)</f>
        <v>Comprou Marcas</v>
      </c>
      <c r="S928" s="17" t="s">
        <v>1022</v>
      </c>
      <c r="T928" s="20"/>
      <c r="U928" s="17"/>
      <c r="V928" s="17"/>
    </row>
    <row r="929" spans="1:22" x14ac:dyDescent="0.35">
      <c r="A929" s="5">
        <v>53532526000189</v>
      </c>
      <c r="B929" s="7"/>
      <c r="C929" s="4"/>
      <c r="D929" s="6" t="s">
        <v>314</v>
      </c>
      <c r="E929" s="6" t="s">
        <v>100</v>
      </c>
      <c r="F929" s="6" t="s">
        <v>15</v>
      </c>
      <c r="G929" s="11" t="s">
        <v>38</v>
      </c>
      <c r="H929" s="6" t="s">
        <v>17</v>
      </c>
      <c r="I929" s="21" t="s">
        <v>1073</v>
      </c>
      <c r="J929" s="18">
        <f>VLOOKUP(A929,[2]Export!$A:$B,2,0)</f>
        <v>1998.8584430002868</v>
      </c>
      <c r="K929" s="18">
        <f>VLOOKUP(A929,[2]Export!$A:$C,3,0)</f>
        <v>115.48</v>
      </c>
      <c r="L929" s="19">
        <f t="shared" si="30"/>
        <v>5.7772975572329431E-2</v>
      </c>
      <c r="M929" s="18">
        <f>VLOOKUP(A929,[2]Export!$A:$G,7,0)</f>
        <v>0</v>
      </c>
      <c r="N929" s="19">
        <f t="shared" si="31"/>
        <v>0</v>
      </c>
      <c r="O929" s="17" t="s">
        <v>1027</v>
      </c>
      <c r="P929" s="17" t="s">
        <v>1028</v>
      </c>
      <c r="Q929" s="17" t="s">
        <v>1023</v>
      </c>
      <c r="R929" s="17" t="str">
        <f>VLOOKUP(A929,[1]Export!$A:$I,9,0)</f>
        <v>Não Comprou</v>
      </c>
      <c r="S929" s="17" t="s">
        <v>1023</v>
      </c>
      <c r="T929" s="20"/>
      <c r="U929" s="17"/>
      <c r="V929" s="17"/>
    </row>
    <row r="930" spans="1:22" x14ac:dyDescent="0.35">
      <c r="A930" s="4">
        <v>1727308000104</v>
      </c>
      <c r="B930" s="7"/>
      <c r="C930" s="4"/>
      <c r="D930" s="1" t="s">
        <v>873</v>
      </c>
      <c r="E930" s="1" t="s">
        <v>400</v>
      </c>
      <c r="F930" s="1" t="s">
        <v>8</v>
      </c>
      <c r="G930" s="10" t="s">
        <v>36</v>
      </c>
      <c r="H930" s="1" t="s">
        <v>17</v>
      </c>
      <c r="I930" s="21" t="s">
        <v>1072</v>
      </c>
      <c r="J930" s="18">
        <f>VLOOKUP(A930,[2]Export!$A:$B,2,0)</f>
        <v>1299.1753104173183</v>
      </c>
      <c r="K930" s="18">
        <f>VLOOKUP(A930,[2]Export!$A:$C,3,0)</f>
        <v>139.56</v>
      </c>
      <c r="L930" s="19">
        <f t="shared" si="30"/>
        <v>0.1074219921522145</v>
      </c>
      <c r="M930" s="18">
        <f>VLOOKUP(A930,[2]Export!$A:$G,7,0)</f>
        <v>137.85</v>
      </c>
      <c r="N930" s="19">
        <f t="shared" si="31"/>
        <v>0.10610577255791608</v>
      </c>
      <c r="O930" s="17" t="s">
        <v>1025</v>
      </c>
      <c r="P930" s="17" t="s">
        <v>1026</v>
      </c>
      <c r="Q930" s="17" t="s">
        <v>1023</v>
      </c>
      <c r="R930" s="17" t="str">
        <f>VLOOKUP(A930,[1]Export!$A:$I,9,0)</f>
        <v>Comprou Marcas</v>
      </c>
      <c r="S930" s="17" t="s">
        <v>1022</v>
      </c>
      <c r="T930" s="20"/>
      <c r="U930" s="17"/>
      <c r="V930" s="17"/>
    </row>
    <row r="931" spans="1:22" x14ac:dyDescent="0.35">
      <c r="A931" s="5">
        <v>2635097000134</v>
      </c>
      <c r="B931" s="7"/>
      <c r="C931" s="4"/>
      <c r="D931" s="6" t="s">
        <v>874</v>
      </c>
      <c r="E931" s="6" t="s">
        <v>458</v>
      </c>
      <c r="F931" s="6" t="s">
        <v>48</v>
      </c>
      <c r="G931" s="11" t="s">
        <v>20</v>
      </c>
      <c r="H931" s="6" t="s">
        <v>17</v>
      </c>
      <c r="I931" s="21" t="s">
        <v>1073</v>
      </c>
      <c r="J931" s="18">
        <f>VLOOKUP(A931,[2]Export!$A:$B,2,0)</f>
        <v>10914.994289996437</v>
      </c>
      <c r="K931" s="18">
        <f>VLOOKUP(A931,[2]Export!$A:$C,3,0)</f>
        <v>4416.4600000000009</v>
      </c>
      <c r="L931" s="19">
        <f t="shared" si="30"/>
        <v>0.4046232075492403</v>
      </c>
      <c r="M931" s="18">
        <f>VLOOKUP(A931,[2]Export!$A:$G,7,0)</f>
        <v>3613.1300000000006</v>
      </c>
      <c r="N931" s="19">
        <f t="shared" si="31"/>
        <v>0.33102445168582678</v>
      </c>
      <c r="O931" s="17" t="s">
        <v>1029</v>
      </c>
      <c r="P931" s="17" t="s">
        <v>1026</v>
      </c>
      <c r="Q931" s="17" t="s">
        <v>1022</v>
      </c>
      <c r="R931" s="17" t="str">
        <f>VLOOKUP(A931,[1]Export!$A:$I,9,0)</f>
        <v>Comprou Marcas e SG</v>
      </c>
      <c r="S931" s="17" t="s">
        <v>1022</v>
      </c>
      <c r="T931" s="20"/>
      <c r="U931" s="17"/>
      <c r="V931" s="17"/>
    </row>
    <row r="932" spans="1:22" x14ac:dyDescent="0.35">
      <c r="A932" s="4">
        <v>27785214000681</v>
      </c>
      <c r="B932" s="7" t="s">
        <v>1010</v>
      </c>
      <c r="C932" s="4"/>
      <c r="D932" s="1" t="s">
        <v>875</v>
      </c>
      <c r="E932" s="1" t="s">
        <v>443</v>
      </c>
      <c r="F932" s="1" t="s">
        <v>15</v>
      </c>
      <c r="G932" s="10" t="s">
        <v>36</v>
      </c>
      <c r="H932" s="1" t="s">
        <v>17</v>
      </c>
      <c r="I932" s="21" t="s">
        <v>1069</v>
      </c>
      <c r="J932" s="18">
        <f>VLOOKUP(A932,[2]Export!$A:$B,2,0)</f>
        <v>5070.5321154154108</v>
      </c>
      <c r="K932" s="18">
        <f>VLOOKUP(A932,[2]Export!$A:$C,3,0)</f>
        <v>4014.4699999999984</v>
      </c>
      <c r="L932" s="19">
        <f t="shared" si="30"/>
        <v>0.79172558394714099</v>
      </c>
      <c r="M932" s="18">
        <f>VLOOKUP(A932,[2]Export!$A:$G,7,0)</f>
        <v>3618.2400000000002</v>
      </c>
      <c r="N932" s="19">
        <f t="shared" si="31"/>
        <v>0.71358191164983298</v>
      </c>
      <c r="O932" s="17" t="s">
        <v>1027</v>
      </c>
      <c r="P932" s="17" t="s">
        <v>1028</v>
      </c>
      <c r="Q932" s="17" t="s">
        <v>1023</v>
      </c>
      <c r="R932" s="17" t="str">
        <f>VLOOKUP(A932,[1]Export!$A:$I,9,0)</f>
        <v>Comprou Marcas</v>
      </c>
      <c r="S932" s="17" t="s">
        <v>1022</v>
      </c>
      <c r="T932" s="20"/>
      <c r="U932" s="17"/>
      <c r="V932" s="17"/>
    </row>
    <row r="933" spans="1:22" x14ac:dyDescent="0.35">
      <c r="A933" s="5">
        <v>27899501000108</v>
      </c>
      <c r="B933" s="7"/>
      <c r="C933" s="4"/>
      <c r="D933" s="6" t="s">
        <v>876</v>
      </c>
      <c r="E933" s="6" t="s">
        <v>210</v>
      </c>
      <c r="F933" s="6" t="s">
        <v>8</v>
      </c>
      <c r="G933" s="11" t="s">
        <v>20</v>
      </c>
      <c r="H933" s="6" t="s">
        <v>17</v>
      </c>
      <c r="I933" s="21" t="s">
        <v>1068</v>
      </c>
      <c r="J933" s="18">
        <f>VLOOKUP(A933,[2]Export!$A:$B,2,0)</f>
        <v>1885.4224946877728</v>
      </c>
      <c r="K933" s="18">
        <f>VLOOKUP(A933,[2]Export!$A:$C,3,0)</f>
        <v>1097.47</v>
      </c>
      <c r="L933" s="19">
        <f t="shared" si="30"/>
        <v>0.58208173663576757</v>
      </c>
      <c r="M933" s="18">
        <f>VLOOKUP(A933,[2]Export!$A:$G,7,0)</f>
        <v>0</v>
      </c>
      <c r="N933" s="19">
        <f t="shared" si="31"/>
        <v>0</v>
      </c>
      <c r="O933" s="17" t="s">
        <v>1025</v>
      </c>
      <c r="P933" s="17" t="s">
        <v>1026</v>
      </c>
      <c r="Q933" s="17" t="s">
        <v>1023</v>
      </c>
      <c r="R933" s="17" t="str">
        <f>VLOOKUP(A933,[1]Export!$A:$I,9,0)</f>
        <v>Não Comprou</v>
      </c>
      <c r="S933" s="17" t="s">
        <v>1023</v>
      </c>
      <c r="T933" s="20"/>
      <c r="U933" s="17"/>
      <c r="V933" s="17"/>
    </row>
    <row r="934" spans="1:22" x14ac:dyDescent="0.35">
      <c r="A934" s="4">
        <v>28800059000345</v>
      </c>
      <c r="B934" s="7" t="s">
        <v>950</v>
      </c>
      <c r="C934" s="4"/>
      <c r="D934" s="1" t="s">
        <v>877</v>
      </c>
      <c r="E934" s="1" t="s">
        <v>878</v>
      </c>
      <c r="F934" s="1" t="s">
        <v>15</v>
      </c>
      <c r="G934" s="10" t="s">
        <v>20</v>
      </c>
      <c r="H934" s="1" t="s">
        <v>17</v>
      </c>
      <c r="I934" s="21" t="s">
        <v>1067</v>
      </c>
      <c r="J934" s="18">
        <f>VLOOKUP(A934,[2]Export!$A:$B,2,0)</f>
        <v>5765.5938191375826</v>
      </c>
      <c r="K934" s="18">
        <f>VLOOKUP(A934,[2]Export!$A:$C,3,0)</f>
        <v>1879.91</v>
      </c>
      <c r="L934" s="19">
        <f t="shared" si="30"/>
        <v>0.32605661428317489</v>
      </c>
      <c r="M934" s="18">
        <f>VLOOKUP(A934,[2]Export!$A:$G,7,0)</f>
        <v>1498.4099999999999</v>
      </c>
      <c r="N934" s="19">
        <f t="shared" si="31"/>
        <v>0.2598882347602024</v>
      </c>
      <c r="O934" s="17" t="s">
        <v>1027</v>
      </c>
      <c r="P934" s="17" t="s">
        <v>1028</v>
      </c>
      <c r="Q934" s="17" t="s">
        <v>1023</v>
      </c>
      <c r="R934" s="17" t="str">
        <f>VLOOKUP(A934,[1]Export!$A:$I,9,0)</f>
        <v>Comprou Marcas e SG</v>
      </c>
      <c r="S934" s="17" t="s">
        <v>1022</v>
      </c>
      <c r="T934" s="20"/>
      <c r="U934" s="17"/>
      <c r="V934" s="17"/>
    </row>
    <row r="935" spans="1:22" x14ac:dyDescent="0.35">
      <c r="A935" s="5">
        <v>34565893000134</v>
      </c>
      <c r="B935" s="7" t="s">
        <v>997</v>
      </c>
      <c r="C935" s="4"/>
      <c r="D935" s="6" t="s">
        <v>879</v>
      </c>
      <c r="E935" s="6" t="s">
        <v>14</v>
      </c>
      <c r="F935" s="6" t="s">
        <v>15</v>
      </c>
      <c r="G935" s="11" t="s">
        <v>9</v>
      </c>
      <c r="H935" s="6" t="s">
        <v>10</v>
      </c>
      <c r="I935" s="21" t="s">
        <v>1067</v>
      </c>
      <c r="J935" s="18">
        <f>VLOOKUP(A935,[2]Export!$A:$B,2,0)</f>
        <v>4303.8246254261139</v>
      </c>
      <c r="K935" s="18">
        <f>VLOOKUP(A935,[2]Export!$A:$C,3,0)</f>
        <v>2158.5200000000004</v>
      </c>
      <c r="L935" s="19">
        <f t="shared" si="30"/>
        <v>0.50153530588767647</v>
      </c>
      <c r="M935" s="18">
        <f>VLOOKUP(A935,[2]Export!$A:$G,7,0)</f>
        <v>685.61000000000013</v>
      </c>
      <c r="N935" s="19">
        <f t="shared" si="31"/>
        <v>0.15930249479719893</v>
      </c>
      <c r="O935" s="17" t="s">
        <v>1027</v>
      </c>
      <c r="P935" s="17" t="s">
        <v>1028</v>
      </c>
      <c r="Q935" s="17" t="s">
        <v>1023</v>
      </c>
      <c r="R935" s="17" t="str">
        <f>VLOOKUP(A935,[1]Export!$A:$I,9,0)</f>
        <v>Comprou Marcas</v>
      </c>
      <c r="S935" s="17" t="s">
        <v>1022</v>
      </c>
      <c r="T935" s="20"/>
      <c r="U935" s="17"/>
      <c r="V935" s="17"/>
    </row>
    <row r="936" spans="1:22" x14ac:dyDescent="0.35">
      <c r="A936" s="5">
        <v>19713710000510</v>
      </c>
      <c r="B936" s="7"/>
      <c r="C936" s="4"/>
      <c r="D936" s="6" t="s">
        <v>59</v>
      </c>
      <c r="E936" s="6" t="s">
        <v>329</v>
      </c>
      <c r="F936" s="6" t="s">
        <v>8</v>
      </c>
      <c r="G936" s="11" t="s">
        <v>9</v>
      </c>
      <c r="H936" s="6" t="s">
        <v>10</v>
      </c>
      <c r="I936" s="21" t="s">
        <v>1070</v>
      </c>
      <c r="J936" s="18">
        <f>VLOOKUP(A936,[2]Export!$A:$B,2,0)</f>
        <v>654.2096800951507</v>
      </c>
      <c r="K936" s="18">
        <f>VLOOKUP(A936,[2]Export!$A:$C,3,0)</f>
        <v>1143.0100000000002</v>
      </c>
      <c r="L936" s="19">
        <f t="shared" si="30"/>
        <v>1.747161551987058</v>
      </c>
      <c r="M936" s="18">
        <f>VLOOKUP(A936,[2]Export!$A:$G,7,0)</f>
        <v>0</v>
      </c>
      <c r="N936" s="19">
        <f t="shared" si="31"/>
        <v>0</v>
      </c>
      <c r="O936" s="17"/>
      <c r="P936" s="17"/>
      <c r="Q936" s="17"/>
      <c r="R936" s="17" t="str">
        <f>VLOOKUP(A936,[1]Export!$A:$I,9,0)</f>
        <v>Não Comprou</v>
      </c>
      <c r="S936" s="17" t="s">
        <v>1022</v>
      </c>
      <c r="T936" s="20"/>
      <c r="U936" s="17"/>
      <c r="V936" s="17"/>
    </row>
    <row r="937" spans="1:22" x14ac:dyDescent="0.35">
      <c r="A937" s="5">
        <v>4834843001205</v>
      </c>
      <c r="B937" s="7" t="s">
        <v>994</v>
      </c>
      <c r="C937" s="4"/>
      <c r="D937" s="6" t="s">
        <v>91</v>
      </c>
      <c r="E937" s="6" t="s">
        <v>196</v>
      </c>
      <c r="F937" s="6" t="s">
        <v>48</v>
      </c>
      <c r="G937" s="11" t="s">
        <v>92</v>
      </c>
      <c r="H937" s="6" t="s">
        <v>17</v>
      </c>
      <c r="I937" s="21" t="s">
        <v>1071</v>
      </c>
      <c r="J937" s="18">
        <f>VLOOKUP(A937,[2]Export!$A:$B,2,0)</f>
        <v>12314.180224979473</v>
      </c>
      <c r="K937" s="18">
        <f>VLOOKUP(A937,[2]Export!$A:$C,3,0)</f>
        <v>8241.1299999999992</v>
      </c>
      <c r="L937" s="19">
        <f t="shared" si="30"/>
        <v>0.66923902764414323</v>
      </c>
      <c r="M937" s="18">
        <f>VLOOKUP(A937,[2]Export!$A:$G,7,0)</f>
        <v>6643.5700000000006</v>
      </c>
      <c r="N937" s="19">
        <f t="shared" si="31"/>
        <v>0.53950566571402236</v>
      </c>
      <c r="O937" s="17" t="s">
        <v>1027</v>
      </c>
      <c r="P937" s="17" t="s">
        <v>1028</v>
      </c>
      <c r="Q937" s="17" t="s">
        <v>1023</v>
      </c>
      <c r="R937" s="17" t="str">
        <f>VLOOKUP(A937,[1]Export!$A:$I,9,0)</f>
        <v>Comprou Marcas</v>
      </c>
      <c r="S937" s="17" t="s">
        <v>1022</v>
      </c>
      <c r="T937" s="20">
        <v>4</v>
      </c>
      <c r="U937" s="17"/>
      <c r="V937" s="17">
        <v>3</v>
      </c>
    </row>
    <row r="938" spans="1:22" x14ac:dyDescent="0.35">
      <c r="A938" s="4">
        <v>4834843001701</v>
      </c>
      <c r="B938" s="7" t="s">
        <v>994</v>
      </c>
      <c r="C938" s="4"/>
      <c r="D938" s="1" t="s">
        <v>91</v>
      </c>
      <c r="E938" s="1" t="s">
        <v>635</v>
      </c>
      <c r="F938" s="1" t="s">
        <v>48</v>
      </c>
      <c r="G938" s="10" t="s">
        <v>92</v>
      </c>
      <c r="H938" s="1" t="s">
        <v>17</v>
      </c>
      <c r="I938" s="21" t="s">
        <v>1071</v>
      </c>
      <c r="J938" s="18">
        <f>VLOOKUP(A938,[2]Export!$A:$B,2,0)</f>
        <v>5774.8768224918858</v>
      </c>
      <c r="K938" s="18">
        <f>VLOOKUP(A938,[2]Export!$A:$C,3,0)</f>
        <v>3325.3199999999997</v>
      </c>
      <c r="L938" s="19">
        <f t="shared" si="30"/>
        <v>0.57582526904272724</v>
      </c>
      <c r="M938" s="18">
        <f>VLOOKUP(A938,[2]Export!$A:$G,7,0)</f>
        <v>3591.13</v>
      </c>
      <c r="N938" s="19">
        <f t="shared" si="31"/>
        <v>0.6218539564364961</v>
      </c>
      <c r="O938" s="17" t="s">
        <v>1027</v>
      </c>
      <c r="P938" s="17" t="s">
        <v>1028</v>
      </c>
      <c r="Q938" s="17" t="s">
        <v>1023</v>
      </c>
      <c r="R938" s="17" t="str">
        <f>VLOOKUP(A938,[1]Export!$A:$I,9,0)</f>
        <v>Comprou Marcas e SG</v>
      </c>
      <c r="S938" s="17" t="s">
        <v>1022</v>
      </c>
      <c r="T938" s="20"/>
      <c r="U938" s="17"/>
      <c r="V938" s="17"/>
    </row>
    <row r="939" spans="1:22" x14ac:dyDescent="0.35">
      <c r="A939" s="5">
        <v>4834843002511</v>
      </c>
      <c r="B939" s="7" t="s">
        <v>994</v>
      </c>
      <c r="C939" s="4"/>
      <c r="D939" s="6" t="s">
        <v>91</v>
      </c>
      <c r="E939" s="6" t="s">
        <v>272</v>
      </c>
      <c r="F939" s="6" t="s">
        <v>48</v>
      </c>
      <c r="G939" s="11" t="s">
        <v>92</v>
      </c>
      <c r="H939" s="6" t="s">
        <v>17</v>
      </c>
      <c r="I939" s="21" t="s">
        <v>1071</v>
      </c>
      <c r="J939" s="18">
        <f>VLOOKUP(A939,[2]Export!$A:$B,2,0)</f>
        <v>13865.005408956404</v>
      </c>
      <c r="K939" s="18">
        <f>VLOOKUP(A939,[2]Export!$A:$C,3,0)</f>
        <v>8430.93</v>
      </c>
      <c r="L939" s="19">
        <f t="shared" si="30"/>
        <v>0.60807260807513686</v>
      </c>
      <c r="M939" s="18">
        <f>VLOOKUP(A939,[2]Export!$A:$G,7,0)</f>
        <v>5788.6500000000005</v>
      </c>
      <c r="N939" s="19">
        <f t="shared" si="31"/>
        <v>0.41750073867700732</v>
      </c>
      <c r="O939" s="17" t="s">
        <v>1027</v>
      </c>
      <c r="P939" s="17" t="s">
        <v>1028</v>
      </c>
      <c r="Q939" s="17" t="s">
        <v>1023</v>
      </c>
      <c r="R939" s="17" t="str">
        <f>VLOOKUP(A939,[1]Export!$A:$I,9,0)</f>
        <v>Comprou Marcas e SG</v>
      </c>
      <c r="S939" s="17" t="s">
        <v>1022</v>
      </c>
      <c r="T939" s="20">
        <v>4</v>
      </c>
      <c r="U939" s="17"/>
      <c r="V939" s="17"/>
    </row>
    <row r="940" spans="1:22" x14ac:dyDescent="0.35">
      <c r="A940" s="4">
        <v>27449054000195</v>
      </c>
      <c r="B940" s="7"/>
      <c r="C940" s="4"/>
      <c r="D940" s="1" t="s">
        <v>881</v>
      </c>
      <c r="E940" s="1" t="s">
        <v>52</v>
      </c>
      <c r="F940" s="1" t="s">
        <v>8</v>
      </c>
      <c r="G940" s="10" t="s">
        <v>36</v>
      </c>
      <c r="H940" s="1" t="s">
        <v>17</v>
      </c>
      <c r="I940" s="21" t="s">
        <v>1072</v>
      </c>
      <c r="J940" s="18">
        <f>VLOOKUP(A940,[2]Export!$A:$B,2,0)</f>
        <v>6773.9234275427907</v>
      </c>
      <c r="K940" s="18">
        <f>VLOOKUP(A940,[2]Export!$A:$C,3,0)</f>
        <v>4734.9700000000012</v>
      </c>
      <c r="L940" s="19">
        <f t="shared" si="30"/>
        <v>0.69899963450245106</v>
      </c>
      <c r="M940" s="18">
        <f>VLOOKUP(A940,[2]Export!$A:$G,7,0)</f>
        <v>2270.12</v>
      </c>
      <c r="N940" s="19">
        <f t="shared" si="31"/>
        <v>0.33512631553667788</v>
      </c>
      <c r="O940" s="17" t="s">
        <v>1025</v>
      </c>
      <c r="P940" s="17" t="s">
        <v>1026</v>
      </c>
      <c r="Q940" s="17" t="s">
        <v>1023</v>
      </c>
      <c r="R940" s="17" t="str">
        <f>VLOOKUP(A940,[1]Export!$A:$I,9,0)</f>
        <v>Comprou Marcas</v>
      </c>
      <c r="S940" s="17" t="s">
        <v>1023</v>
      </c>
      <c r="T940" s="20">
        <v>1</v>
      </c>
      <c r="U940" s="17"/>
      <c r="V940" s="17"/>
    </row>
    <row r="941" spans="1:22" x14ac:dyDescent="0.35">
      <c r="A941" s="5">
        <v>29606556000108</v>
      </c>
      <c r="B941" s="7"/>
      <c r="C941" s="4"/>
      <c r="D941" s="6" t="s">
        <v>882</v>
      </c>
      <c r="E941" s="6" t="s">
        <v>35</v>
      </c>
      <c r="F941" s="6" t="s">
        <v>8</v>
      </c>
      <c r="G941" s="11" t="s">
        <v>20</v>
      </c>
      <c r="H941" s="6" t="s">
        <v>17</v>
      </c>
      <c r="I941" s="21" t="s">
        <v>1070</v>
      </c>
      <c r="J941" s="18">
        <f>VLOOKUP(A941,[2]Export!$A:$B,2,0)</f>
        <v>1340.7564938722905</v>
      </c>
      <c r="K941" s="18">
        <f>VLOOKUP(A941,[2]Export!$A:$C,3,0)</f>
        <v>739.6</v>
      </c>
      <c r="L941" s="19">
        <f t="shared" si="30"/>
        <v>0.55162887771211366</v>
      </c>
      <c r="M941" s="18">
        <f>VLOOKUP(A941,[2]Export!$A:$G,7,0)</f>
        <v>546.78</v>
      </c>
      <c r="N941" s="19">
        <f t="shared" si="31"/>
        <v>0.40781454536969913</v>
      </c>
      <c r="O941" s="17" t="s">
        <v>1025</v>
      </c>
      <c r="P941" s="17" t="s">
        <v>1026</v>
      </c>
      <c r="Q941" s="17" t="s">
        <v>1023</v>
      </c>
      <c r="R941" s="17" t="str">
        <f>VLOOKUP(A941,[1]Export!$A:$I,9,0)</f>
        <v>Comprou Marcas</v>
      </c>
      <c r="S941" s="17" t="s">
        <v>1022</v>
      </c>
      <c r="T941" s="20"/>
      <c r="U941" s="17"/>
      <c r="V941" s="17"/>
    </row>
    <row r="942" spans="1:22" x14ac:dyDescent="0.35">
      <c r="A942" s="4">
        <v>33019679000381</v>
      </c>
      <c r="B942" s="7"/>
      <c r="C942" s="4"/>
      <c r="D942" s="1" t="s">
        <v>69</v>
      </c>
      <c r="E942" s="1" t="s">
        <v>61</v>
      </c>
      <c r="F942" s="1" t="s">
        <v>8</v>
      </c>
      <c r="G942" s="10" t="s">
        <v>64</v>
      </c>
      <c r="H942" s="1" t="s">
        <v>17</v>
      </c>
      <c r="I942" s="21" t="s">
        <v>1066</v>
      </c>
      <c r="J942" s="18">
        <f>VLOOKUP(A942,[2]Export!$A:$B,2,0)</f>
        <v>2376.9944632946158</v>
      </c>
      <c r="K942" s="18">
        <f>VLOOKUP(A942,[2]Export!$A:$C,3,0)</f>
        <v>2535.5499999999993</v>
      </c>
      <c r="L942" s="19">
        <f t="shared" si="30"/>
        <v>1.0667042095191164</v>
      </c>
      <c r="M942" s="18">
        <f>VLOOKUP(A942,[2]Export!$A:$G,7,0)</f>
        <v>2593.3600000000006</v>
      </c>
      <c r="N942" s="19">
        <f t="shared" si="31"/>
        <v>1.0910248383185095</v>
      </c>
      <c r="O942" s="17" t="s">
        <v>1029</v>
      </c>
      <c r="P942" s="17" t="s">
        <v>1026</v>
      </c>
      <c r="Q942" s="17" t="s">
        <v>1022</v>
      </c>
      <c r="R942" s="17" t="str">
        <f>VLOOKUP(A942,[1]Export!$A:$I,9,0)</f>
        <v>Comprou Marcas</v>
      </c>
      <c r="S942" s="17" t="s">
        <v>1022</v>
      </c>
      <c r="T942" s="20"/>
      <c r="U942" s="17"/>
      <c r="V942" s="17"/>
    </row>
    <row r="943" spans="1:22" x14ac:dyDescent="0.35">
      <c r="A943" s="5">
        <v>33586036000158</v>
      </c>
      <c r="B943" s="7"/>
      <c r="C943" s="4"/>
      <c r="D943" s="6" t="s">
        <v>217</v>
      </c>
      <c r="E943" s="6" t="s">
        <v>35</v>
      </c>
      <c r="F943" s="6" t="s">
        <v>8</v>
      </c>
      <c r="G943" s="11" t="s">
        <v>20</v>
      </c>
      <c r="H943" s="6" t="s">
        <v>17</v>
      </c>
      <c r="I943" s="21" t="s">
        <v>1070</v>
      </c>
      <c r="J943" s="18">
        <f>VLOOKUP(A943,[2]Export!$A:$B,2,0)</f>
        <v>303.26497769199199</v>
      </c>
      <c r="K943" s="18">
        <f>VLOOKUP(A943,[2]Export!$A:$C,3,0)</f>
        <v>0</v>
      </c>
      <c r="L943" s="19">
        <f t="shared" si="30"/>
        <v>0</v>
      </c>
      <c r="M943" s="18">
        <f>VLOOKUP(A943,[2]Export!$A:$G,7,0)</f>
        <v>0</v>
      </c>
      <c r="N943" s="19">
        <f t="shared" si="31"/>
        <v>0</v>
      </c>
      <c r="O943" s="17" t="s">
        <v>1025</v>
      </c>
      <c r="P943" s="17" t="s">
        <v>1026</v>
      </c>
      <c r="Q943" s="17" t="s">
        <v>1023</v>
      </c>
      <c r="R943" s="17" t="str">
        <f>VLOOKUP(A943,[1]Export!$A:$I,9,0)</f>
        <v>Não Comprou</v>
      </c>
      <c r="S943" s="17" t="s">
        <v>1023</v>
      </c>
      <c r="T943" s="20"/>
      <c r="U943" s="17"/>
      <c r="V943" s="17"/>
    </row>
    <row r="944" spans="1:22" x14ac:dyDescent="0.35">
      <c r="A944" s="4">
        <v>34152830000156</v>
      </c>
      <c r="B944" s="7"/>
      <c r="C944" s="4"/>
      <c r="D944" s="1" t="s">
        <v>548</v>
      </c>
      <c r="E944" s="1" t="s">
        <v>452</v>
      </c>
      <c r="F944" s="1" t="s">
        <v>15</v>
      </c>
      <c r="G944" s="10" t="s">
        <v>16</v>
      </c>
      <c r="H944" s="1" t="s">
        <v>17</v>
      </c>
      <c r="I944" s="21" t="s">
        <v>1069</v>
      </c>
      <c r="J944" s="18">
        <f>VLOOKUP(A944,[2]Export!$A:$B,2,0)</f>
        <v>3358.3124530369082</v>
      </c>
      <c r="K944" s="18">
        <f>VLOOKUP(A944,[2]Export!$A:$C,3,0)</f>
        <v>2011.3500000000004</v>
      </c>
      <c r="L944" s="19">
        <f t="shared" si="30"/>
        <v>0.59891687510527636</v>
      </c>
      <c r="M944" s="18">
        <f>VLOOKUP(A944,[2]Export!$A:$G,7,0)</f>
        <v>0</v>
      </c>
      <c r="N944" s="19">
        <f t="shared" si="31"/>
        <v>0</v>
      </c>
      <c r="O944" s="17" t="s">
        <v>1029</v>
      </c>
      <c r="P944" s="17" t="s">
        <v>1026</v>
      </c>
      <c r="Q944" s="17" t="s">
        <v>1023</v>
      </c>
      <c r="R944" s="17" t="str">
        <f>VLOOKUP(A944,[1]Export!$A:$I,9,0)</f>
        <v>Não Comprou</v>
      </c>
      <c r="S944" s="17" t="s">
        <v>1022</v>
      </c>
      <c r="T944" s="20"/>
      <c r="U944" s="17"/>
      <c r="V944" s="17"/>
    </row>
    <row r="945" spans="1:22" x14ac:dyDescent="0.35">
      <c r="A945" s="5">
        <v>34508395000150</v>
      </c>
      <c r="B945" s="7"/>
      <c r="C945" s="4"/>
      <c r="D945" s="6" t="s">
        <v>883</v>
      </c>
      <c r="E945" s="6" t="s">
        <v>152</v>
      </c>
      <c r="F945" s="6" t="s">
        <v>8</v>
      </c>
      <c r="G945" s="11" t="s">
        <v>20</v>
      </c>
      <c r="H945" s="6" t="s">
        <v>17</v>
      </c>
      <c r="I945" s="21" t="s">
        <v>1068</v>
      </c>
      <c r="J945" s="18">
        <f>VLOOKUP(A945,[2]Export!$A:$B,2,0)</f>
        <v>633.22358096077608</v>
      </c>
      <c r="K945" s="18">
        <f>VLOOKUP(A945,[2]Export!$A:$C,3,0)</f>
        <v>314.58999999999997</v>
      </c>
      <c r="L945" s="19">
        <f t="shared" si="30"/>
        <v>0.4968071459415323</v>
      </c>
      <c r="M945" s="18">
        <f>VLOOKUP(A945,[2]Export!$A:$G,7,0)</f>
        <v>0</v>
      </c>
      <c r="N945" s="19">
        <f t="shared" si="31"/>
        <v>0</v>
      </c>
      <c r="O945" s="17" t="s">
        <v>1025</v>
      </c>
      <c r="P945" s="17" t="s">
        <v>1026</v>
      </c>
      <c r="Q945" s="17" t="s">
        <v>1023</v>
      </c>
      <c r="R945" s="17" t="str">
        <f>VLOOKUP(A945,[1]Export!$A:$I,9,0)</f>
        <v>Não Comprou</v>
      </c>
      <c r="S945" s="17" t="s">
        <v>1023</v>
      </c>
      <c r="T945" s="20"/>
      <c r="U945" s="17"/>
      <c r="V945" s="17"/>
    </row>
    <row r="946" spans="1:22" x14ac:dyDescent="0.35">
      <c r="A946" s="4">
        <v>27785214000258</v>
      </c>
      <c r="B946" s="7" t="s">
        <v>1010</v>
      </c>
      <c r="C946" s="4"/>
      <c r="D946" s="1" t="s">
        <v>884</v>
      </c>
      <c r="E946" s="1" t="s">
        <v>443</v>
      </c>
      <c r="F946" s="1" t="s">
        <v>15</v>
      </c>
      <c r="G946" s="10" t="s">
        <v>36</v>
      </c>
      <c r="H946" s="1" t="s">
        <v>17</v>
      </c>
      <c r="I946" s="21" t="s">
        <v>1069</v>
      </c>
      <c r="J946" s="18">
        <f>VLOOKUP(A946,[2]Export!$A:$B,2,0)</f>
        <v>6839.212420912032</v>
      </c>
      <c r="K946" s="18">
        <f>VLOOKUP(A946,[2]Export!$A:$C,3,0)</f>
        <v>4270.4399999999996</v>
      </c>
      <c r="L946" s="19">
        <f t="shared" si="30"/>
        <v>0.62440522931301523</v>
      </c>
      <c r="M946" s="18">
        <f>VLOOKUP(A946,[2]Export!$A:$G,7,0)</f>
        <v>3658.5</v>
      </c>
      <c r="N946" s="19">
        <f t="shared" si="31"/>
        <v>0.53493001457500078</v>
      </c>
      <c r="O946" s="17" t="s">
        <v>1027</v>
      </c>
      <c r="P946" s="17" t="s">
        <v>1028</v>
      </c>
      <c r="Q946" s="17" t="s">
        <v>1023</v>
      </c>
      <c r="R946" s="17" t="str">
        <f>VLOOKUP(A946,[1]Export!$A:$I,9,0)</f>
        <v>Comprou Marcas</v>
      </c>
      <c r="S946" s="17" t="s">
        <v>1022</v>
      </c>
      <c r="T946" s="20"/>
      <c r="U946" s="17"/>
      <c r="V946" s="17"/>
    </row>
    <row r="947" spans="1:22" x14ac:dyDescent="0.35">
      <c r="A947" s="5">
        <v>32338157000118</v>
      </c>
      <c r="B947" s="7"/>
      <c r="C947" s="4"/>
      <c r="D947" s="6" t="s">
        <v>885</v>
      </c>
      <c r="E947" s="6" t="s">
        <v>307</v>
      </c>
      <c r="F947" s="6" t="s">
        <v>8</v>
      </c>
      <c r="G947" s="11" t="s">
        <v>20</v>
      </c>
      <c r="H947" s="6" t="s">
        <v>17</v>
      </c>
      <c r="I947" s="21" t="s">
        <v>1068</v>
      </c>
      <c r="J947" s="18">
        <f>VLOOKUP(A947,[2]Export!$A:$B,2,0)</f>
        <v>1062.2899959688432</v>
      </c>
      <c r="K947" s="18">
        <f>VLOOKUP(A947,[2]Export!$A:$C,3,0)</f>
        <v>435.01000000000005</v>
      </c>
      <c r="L947" s="19">
        <f t="shared" si="30"/>
        <v>0.4095021149128461</v>
      </c>
      <c r="M947" s="18">
        <f>VLOOKUP(A947,[2]Export!$A:$G,7,0)</f>
        <v>0</v>
      </c>
      <c r="N947" s="19">
        <f t="shared" si="31"/>
        <v>0</v>
      </c>
      <c r="O947" s="17" t="s">
        <v>1025</v>
      </c>
      <c r="P947" s="17" t="s">
        <v>1026</v>
      </c>
      <c r="Q947" s="17" t="s">
        <v>1023</v>
      </c>
      <c r="R947" s="17" t="str">
        <f>VLOOKUP(A947,[1]Export!$A:$I,9,0)</f>
        <v>Não Comprou</v>
      </c>
      <c r="S947" s="17" t="s">
        <v>1022</v>
      </c>
      <c r="T947" s="20"/>
      <c r="U947" s="17"/>
      <c r="V947" s="17"/>
    </row>
    <row r="948" spans="1:22" x14ac:dyDescent="0.35">
      <c r="A948" s="4">
        <v>33007949000172</v>
      </c>
      <c r="B948" s="7"/>
      <c r="C948" s="4"/>
      <c r="D948" s="1" t="s">
        <v>810</v>
      </c>
      <c r="E948" s="1" t="s">
        <v>390</v>
      </c>
      <c r="F948" s="1" t="s">
        <v>8</v>
      </c>
      <c r="G948" s="10" t="s">
        <v>36</v>
      </c>
      <c r="H948" s="1" t="s">
        <v>17</v>
      </c>
      <c r="I948" s="21" t="s">
        <v>1068</v>
      </c>
      <c r="J948" s="18">
        <f>VLOOKUP(A948,[2]Export!$A:$B,2,0)</f>
        <v>7742.3313115720575</v>
      </c>
      <c r="K948" s="18">
        <f>VLOOKUP(A948,[2]Export!$A:$C,3,0)</f>
        <v>8192.5099999999966</v>
      </c>
      <c r="L948" s="19">
        <f t="shared" si="30"/>
        <v>1.0581451077603823</v>
      </c>
      <c r="M948" s="18">
        <f>VLOOKUP(A948,[2]Export!$A:$G,7,0)</f>
        <v>6652.77</v>
      </c>
      <c r="N948" s="19">
        <f t="shared" si="31"/>
        <v>0.85927219235070107</v>
      </c>
      <c r="O948" s="17"/>
      <c r="P948" s="17"/>
      <c r="Q948" s="17"/>
      <c r="R948" s="17" t="str">
        <f>VLOOKUP(A948,[1]Export!$A:$I,9,0)</f>
        <v>Comprou Marcas</v>
      </c>
      <c r="S948" s="17"/>
      <c r="T948" s="20"/>
      <c r="U948" s="17"/>
      <c r="V948" s="17"/>
    </row>
    <row r="949" spans="1:22" x14ac:dyDescent="0.35">
      <c r="A949" s="5">
        <v>33379672000109</v>
      </c>
      <c r="B949" s="7"/>
      <c r="C949" s="4"/>
      <c r="D949" s="6" t="s">
        <v>886</v>
      </c>
      <c r="E949" s="6" t="s">
        <v>52</v>
      </c>
      <c r="F949" s="6" t="s">
        <v>8</v>
      </c>
      <c r="G949" s="11" t="s">
        <v>36</v>
      </c>
      <c r="H949" s="6" t="s">
        <v>17</v>
      </c>
      <c r="I949" s="21" t="s">
        <v>1072</v>
      </c>
      <c r="J949" s="18">
        <f>VLOOKUP(A949,[2]Export!$A:$B,2,0)</f>
        <v>8119.5403341227729</v>
      </c>
      <c r="K949" s="18">
        <f>VLOOKUP(A949,[2]Export!$A:$C,3,0)</f>
        <v>8281.18</v>
      </c>
      <c r="L949" s="19">
        <f t="shared" si="30"/>
        <v>1.0199074897378031</v>
      </c>
      <c r="M949" s="18">
        <f>VLOOKUP(A949,[2]Export!$A:$G,7,0)</f>
        <v>6136.53</v>
      </c>
      <c r="N949" s="19">
        <f t="shared" si="31"/>
        <v>0.7557730791989451</v>
      </c>
      <c r="O949" s="17" t="s">
        <v>1025</v>
      </c>
      <c r="P949" s="17" t="s">
        <v>1026</v>
      </c>
      <c r="Q949" s="17" t="s">
        <v>1023</v>
      </c>
      <c r="R949" s="17" t="str">
        <f>VLOOKUP(A949,[1]Export!$A:$I,9,0)</f>
        <v>Comprou Marcas</v>
      </c>
      <c r="S949" s="17" t="s">
        <v>1022</v>
      </c>
      <c r="T949" s="20"/>
      <c r="U949" s="17"/>
      <c r="V949" s="17"/>
    </row>
    <row r="950" spans="1:22" x14ac:dyDescent="0.35">
      <c r="A950" s="4">
        <v>55733059000180</v>
      </c>
      <c r="B950" s="7"/>
      <c r="C950" s="4"/>
      <c r="D950" s="1" t="s">
        <v>759</v>
      </c>
      <c r="E950" s="1" t="s">
        <v>760</v>
      </c>
      <c r="F950" s="1" t="s">
        <v>48</v>
      </c>
      <c r="G950" s="10" t="s">
        <v>38</v>
      </c>
      <c r="H950" s="1" t="s">
        <v>17</v>
      </c>
      <c r="I950" s="21" t="s">
        <v>1073</v>
      </c>
      <c r="J950" s="18">
        <f>VLOOKUP(A950,[2]Export!$A:$B,2,0)</f>
        <v>1399.7241962443679</v>
      </c>
      <c r="K950" s="18">
        <f>VLOOKUP(A950,[2]Export!$A:$C,3,0)</f>
        <v>615.76</v>
      </c>
      <c r="L950" s="19">
        <f t="shared" si="30"/>
        <v>0.43991523591015985</v>
      </c>
      <c r="M950" s="18">
        <f>VLOOKUP(A950,[2]Export!$A:$G,7,0)</f>
        <v>0</v>
      </c>
      <c r="N950" s="19">
        <f t="shared" si="31"/>
        <v>0</v>
      </c>
      <c r="O950" s="17"/>
      <c r="P950" s="17"/>
      <c r="Q950" s="17"/>
      <c r="R950" s="17" t="str">
        <f>VLOOKUP(A950,[1]Export!$A:$I,9,0)</f>
        <v>Não Comprou</v>
      </c>
      <c r="S950" s="17"/>
      <c r="T950" s="20"/>
      <c r="U950" s="17"/>
      <c r="V950" s="17"/>
    </row>
    <row r="951" spans="1:22" x14ac:dyDescent="0.35">
      <c r="A951" s="5">
        <v>31230095000163</v>
      </c>
      <c r="B951" s="7"/>
      <c r="C951" s="4"/>
      <c r="D951" s="6" t="s">
        <v>888</v>
      </c>
      <c r="E951" s="6" t="s">
        <v>544</v>
      </c>
      <c r="F951" s="6" t="s">
        <v>15</v>
      </c>
      <c r="G951" s="11" t="s">
        <v>20</v>
      </c>
      <c r="H951" s="6" t="s">
        <v>17</v>
      </c>
      <c r="I951" s="21" t="s">
        <v>1073</v>
      </c>
      <c r="J951" s="18">
        <f>VLOOKUP(A951,[2]Export!$A:$B,2,0)</f>
        <v>11090.1095941814</v>
      </c>
      <c r="K951" s="18">
        <f>VLOOKUP(A951,[2]Export!$A:$C,3,0)</f>
        <v>2303.1799999999998</v>
      </c>
      <c r="L951" s="19">
        <f t="shared" si="30"/>
        <v>0.20767874117388338</v>
      </c>
      <c r="M951" s="18">
        <f>VLOOKUP(A951,[2]Export!$A:$G,7,0)</f>
        <v>2753.6299999999997</v>
      </c>
      <c r="N951" s="19">
        <f t="shared" si="31"/>
        <v>0.24829601336354104</v>
      </c>
      <c r="O951" s="17" t="s">
        <v>1027</v>
      </c>
      <c r="P951" s="17" t="s">
        <v>1028</v>
      </c>
      <c r="Q951" s="17" t="s">
        <v>1022</v>
      </c>
      <c r="R951" s="17" t="str">
        <f>VLOOKUP(A951,[1]Export!$A:$I,9,0)</f>
        <v>Comprou Marcas</v>
      </c>
      <c r="S951" s="17" t="s">
        <v>1022</v>
      </c>
      <c r="T951" s="20"/>
      <c r="U951" s="17"/>
      <c r="V951" s="17"/>
    </row>
    <row r="952" spans="1:22" x14ac:dyDescent="0.35">
      <c r="A952" s="4">
        <v>546706000153</v>
      </c>
      <c r="B952" s="7"/>
      <c r="C952" s="4"/>
      <c r="D952" s="1" t="s">
        <v>449</v>
      </c>
      <c r="E952" s="1" t="s">
        <v>232</v>
      </c>
      <c r="F952" s="1" t="s">
        <v>8</v>
      </c>
      <c r="G952" s="10" t="s">
        <v>20</v>
      </c>
      <c r="H952" s="1" t="s">
        <v>17</v>
      </c>
      <c r="I952" s="21" t="s">
        <v>1068</v>
      </c>
      <c r="J952" s="18">
        <f>VLOOKUP(A952,[2]Export!$A:$B,2,0)</f>
        <v>5028.172482163257</v>
      </c>
      <c r="K952" s="18">
        <f>VLOOKUP(A952,[2]Export!$A:$C,3,0)</f>
        <v>2628.5399999999995</v>
      </c>
      <c r="L952" s="19">
        <f t="shared" si="30"/>
        <v>0.52276249657790774</v>
      </c>
      <c r="M952" s="18">
        <f>VLOOKUP(A952,[2]Export!$A:$G,7,0)</f>
        <v>2995.76</v>
      </c>
      <c r="N952" s="19">
        <f t="shared" si="31"/>
        <v>0.59579499522481427</v>
      </c>
      <c r="O952" s="17" t="s">
        <v>1030</v>
      </c>
      <c r="P952" s="17" t="s">
        <v>1026</v>
      </c>
      <c r="Q952" s="17" t="s">
        <v>1023</v>
      </c>
      <c r="R952" s="17" t="str">
        <f>VLOOKUP(A952,[1]Export!$A:$I,9,0)</f>
        <v>Comprou Marcas</v>
      </c>
      <c r="S952" s="17" t="s">
        <v>1022</v>
      </c>
      <c r="T952" s="20"/>
      <c r="U952" s="17"/>
      <c r="V952" s="17"/>
    </row>
    <row r="953" spans="1:22" x14ac:dyDescent="0.35">
      <c r="A953" s="5">
        <v>1177047000198</v>
      </c>
      <c r="B953" s="7"/>
      <c r="C953" s="4"/>
      <c r="D953" s="6" t="s">
        <v>889</v>
      </c>
      <c r="E953" s="6" t="s">
        <v>890</v>
      </c>
      <c r="F953" s="6" t="s">
        <v>8</v>
      </c>
      <c r="G953" s="11" t="s">
        <v>36</v>
      </c>
      <c r="H953" s="6" t="s">
        <v>17</v>
      </c>
      <c r="I953" s="21" t="s">
        <v>1072</v>
      </c>
      <c r="J953" s="18">
        <f>VLOOKUP(A953,[2]Export!$A:$B,2,0)</f>
        <v>11841.622491329699</v>
      </c>
      <c r="K953" s="18">
        <f>VLOOKUP(A953,[2]Export!$A:$C,3,0)</f>
        <v>12028.869999999999</v>
      </c>
      <c r="L953" s="19">
        <f t="shared" si="30"/>
        <v>1.0158126564841432</v>
      </c>
      <c r="M953" s="18">
        <f>VLOOKUP(A953,[2]Export!$A:$G,7,0)</f>
        <v>7479.9100000000017</v>
      </c>
      <c r="N953" s="19">
        <f t="shared" si="31"/>
        <v>0.63166259568540595</v>
      </c>
      <c r="O953" s="17" t="s">
        <v>1025</v>
      </c>
      <c r="P953" s="17" t="s">
        <v>1026</v>
      </c>
      <c r="Q953" s="17" t="s">
        <v>1023</v>
      </c>
      <c r="R953" s="17" t="str">
        <f>VLOOKUP(A953,[1]Export!$A:$I,9,0)</f>
        <v>Comprou Marcas</v>
      </c>
      <c r="S953" s="17" t="s">
        <v>1022</v>
      </c>
      <c r="T953" s="20">
        <v>11</v>
      </c>
      <c r="U953" s="17"/>
      <c r="V953" s="17"/>
    </row>
    <row r="954" spans="1:22" x14ac:dyDescent="0.35">
      <c r="A954" s="4">
        <v>1756694000154</v>
      </c>
      <c r="B954" s="7"/>
      <c r="C954" s="4"/>
      <c r="D954" s="1" t="s">
        <v>222</v>
      </c>
      <c r="E954" s="1" t="s">
        <v>155</v>
      </c>
      <c r="F954" s="1" t="s">
        <v>15</v>
      </c>
      <c r="G954" s="10" t="s">
        <v>33</v>
      </c>
      <c r="H954" s="1" t="s">
        <v>17</v>
      </c>
      <c r="I954" s="21" t="s">
        <v>1069</v>
      </c>
      <c r="J954" s="18">
        <f>VLOOKUP(A954,[2]Export!$A:$B,2,0)</f>
        <v>3008.8332133980812</v>
      </c>
      <c r="K954" s="18">
        <f>VLOOKUP(A954,[2]Export!$A:$C,3,0)</f>
        <v>2039.8400000000001</v>
      </c>
      <c r="L954" s="19">
        <f t="shared" si="30"/>
        <v>0.67795050616855868</v>
      </c>
      <c r="M954" s="18">
        <f>VLOOKUP(A954,[2]Export!$A:$G,7,0)</f>
        <v>0</v>
      </c>
      <c r="N954" s="19">
        <f t="shared" si="31"/>
        <v>0</v>
      </c>
      <c r="O954" s="17" t="s">
        <v>1025</v>
      </c>
      <c r="P954" s="17" t="s">
        <v>1026</v>
      </c>
      <c r="Q954" s="17" t="s">
        <v>1023</v>
      </c>
      <c r="R954" s="17" t="str">
        <f>VLOOKUP(A954,[1]Export!$A:$I,9,0)</f>
        <v>Não Comprou</v>
      </c>
      <c r="S954" s="17" t="s">
        <v>1022</v>
      </c>
      <c r="T954" s="20"/>
      <c r="U954" s="17"/>
      <c r="V954" s="17">
        <v>1</v>
      </c>
    </row>
    <row r="955" spans="1:22" x14ac:dyDescent="0.35">
      <c r="A955" s="5">
        <v>2736133000156</v>
      </c>
      <c r="B955" s="7"/>
      <c r="C955" s="4"/>
      <c r="D955" s="6" t="s">
        <v>891</v>
      </c>
      <c r="E955" s="6" t="s">
        <v>22</v>
      </c>
      <c r="F955" s="6" t="s">
        <v>8</v>
      </c>
      <c r="G955" s="11" t="s">
        <v>190</v>
      </c>
      <c r="H955" s="6" t="s">
        <v>17</v>
      </c>
      <c r="I955" s="21" t="s">
        <v>1068</v>
      </c>
      <c r="J955" s="18">
        <f>VLOOKUP(A955,[2]Export!$A:$B,2,0)</f>
        <v>2216.0874988899027</v>
      </c>
      <c r="K955" s="18">
        <f>VLOOKUP(A955,[2]Export!$A:$C,3,0)</f>
        <v>533.0200000000001</v>
      </c>
      <c r="L955" s="19">
        <f t="shared" si="30"/>
        <v>0.2405229939102152</v>
      </c>
      <c r="M955" s="18">
        <f>VLOOKUP(A955,[2]Export!$A:$G,7,0)</f>
        <v>395.31</v>
      </c>
      <c r="N955" s="19">
        <f t="shared" si="31"/>
        <v>0.17838194574809041</v>
      </c>
      <c r="O955" s="17" t="s">
        <v>1025</v>
      </c>
      <c r="P955" s="17" t="s">
        <v>1026</v>
      </c>
      <c r="Q955" s="17" t="s">
        <v>1023</v>
      </c>
      <c r="R955" s="17" t="str">
        <f>VLOOKUP(A955,[1]Export!$A:$I,9,0)</f>
        <v>Comprou Marcas</v>
      </c>
      <c r="S955" s="17" t="s">
        <v>1022</v>
      </c>
      <c r="T955" s="20"/>
      <c r="U955" s="17"/>
      <c r="V955" s="17"/>
    </row>
    <row r="956" spans="1:22" x14ac:dyDescent="0.35">
      <c r="A956" s="4">
        <v>6213559000186</v>
      </c>
      <c r="B956" s="7"/>
      <c r="C956" s="4"/>
      <c r="D956" s="1" t="s">
        <v>230</v>
      </c>
      <c r="E956" s="1" t="s">
        <v>50</v>
      </c>
      <c r="F956" s="1" t="s">
        <v>48</v>
      </c>
      <c r="G956" s="10" t="s">
        <v>276</v>
      </c>
      <c r="H956" s="1" t="s">
        <v>17</v>
      </c>
      <c r="I956" s="21" t="s">
        <v>1071</v>
      </c>
      <c r="J956" s="18">
        <f>VLOOKUP(A956,[2]Export!$A:$B,2,0)</f>
        <v>738.4161936111559</v>
      </c>
      <c r="K956" s="18">
        <f>VLOOKUP(A956,[2]Export!$A:$C,3,0)</f>
        <v>492.88</v>
      </c>
      <c r="L956" s="19">
        <f t="shared" si="30"/>
        <v>0.66748265309515498</v>
      </c>
      <c r="M956" s="18">
        <f>VLOOKUP(A956,[2]Export!$A:$G,7,0)</f>
        <v>591.65000000000009</v>
      </c>
      <c r="N956" s="19">
        <f t="shared" si="31"/>
        <v>0.80124190817997998</v>
      </c>
      <c r="O956" s="17" t="s">
        <v>1029</v>
      </c>
      <c r="P956" s="17" t="s">
        <v>1026</v>
      </c>
      <c r="Q956" s="17" t="s">
        <v>1022</v>
      </c>
      <c r="R956" s="17" t="str">
        <f>VLOOKUP(A956,[1]Export!$A:$I,9,0)</f>
        <v>Não Comprou</v>
      </c>
      <c r="S956" s="17" t="s">
        <v>1023</v>
      </c>
      <c r="T956" s="20"/>
      <c r="U956" s="17"/>
      <c r="V956" s="17"/>
    </row>
    <row r="957" spans="1:22" x14ac:dyDescent="0.35">
      <c r="A957" s="5">
        <v>20330018000169</v>
      </c>
      <c r="B957" s="7"/>
      <c r="C957" s="4">
        <v>13478</v>
      </c>
      <c r="D957" s="6" t="s">
        <v>59</v>
      </c>
      <c r="E957" s="6" t="s">
        <v>171</v>
      </c>
      <c r="F957" s="6" t="s">
        <v>8</v>
      </c>
      <c r="G957" s="11" t="s">
        <v>9</v>
      </c>
      <c r="H957" s="6" t="s">
        <v>10</v>
      </c>
      <c r="I957" s="21" t="s">
        <v>1070</v>
      </c>
      <c r="J957" s="18">
        <f>VLOOKUP(A957,[2]Export!$A:$B,2,0)</f>
        <v>10033.688578691674</v>
      </c>
      <c r="K957" s="18">
        <f>VLOOKUP(A957,[2]Export!$A:$C,3,0)</f>
        <v>7418.069999999997</v>
      </c>
      <c r="L957" s="19">
        <f t="shared" si="30"/>
        <v>0.73931634830221771</v>
      </c>
      <c r="M957" s="18">
        <f>VLOOKUP(A957,[2]Export!$A:$G,7,0)</f>
        <v>7183.41</v>
      </c>
      <c r="N957" s="19">
        <f t="shared" si="31"/>
        <v>0.71592913649475343</v>
      </c>
      <c r="O957" s="17" t="s">
        <v>1027</v>
      </c>
      <c r="P957" s="17" t="s">
        <v>1028</v>
      </c>
      <c r="Q957" s="17" t="s">
        <v>1023</v>
      </c>
      <c r="R957" s="17" t="str">
        <f>VLOOKUP(A957,[1]Export!$A:$I,9,0)</f>
        <v>Comprou Marcas</v>
      </c>
      <c r="S957" s="17" t="s">
        <v>1022</v>
      </c>
      <c r="T957" s="20"/>
      <c r="U957" s="17"/>
      <c r="V957" s="17"/>
    </row>
    <row r="958" spans="1:22" x14ac:dyDescent="0.35">
      <c r="A958" s="4">
        <v>1203805000103</v>
      </c>
      <c r="B958" s="7"/>
      <c r="C958" s="4"/>
      <c r="D958" s="1" t="s">
        <v>893</v>
      </c>
      <c r="E958" s="1" t="s">
        <v>102</v>
      </c>
      <c r="F958" s="1" t="s">
        <v>48</v>
      </c>
      <c r="G958" s="10" t="s">
        <v>20</v>
      </c>
      <c r="H958" s="1" t="s">
        <v>17</v>
      </c>
      <c r="I958" s="21" t="s">
        <v>1071</v>
      </c>
      <c r="J958" s="18">
        <f>VLOOKUP(A958,[2]Export!$A:$B,2,0)</f>
        <v>2933.4970010060806</v>
      </c>
      <c r="K958" s="18">
        <f>VLOOKUP(A958,[2]Export!$A:$C,3,0)</f>
        <v>1828.02</v>
      </c>
      <c r="L958" s="19">
        <f t="shared" si="30"/>
        <v>0.62315386699664499</v>
      </c>
      <c r="M958" s="18">
        <f>VLOOKUP(A958,[2]Export!$A:$G,7,0)</f>
        <v>979.68000000000018</v>
      </c>
      <c r="N958" s="19">
        <f t="shared" si="31"/>
        <v>0.3339631844395976</v>
      </c>
      <c r="O958" s="17" t="s">
        <v>1025</v>
      </c>
      <c r="P958" s="17" t="s">
        <v>1026</v>
      </c>
      <c r="Q958" s="17" t="s">
        <v>1023</v>
      </c>
      <c r="R958" s="17" t="str">
        <f>VLOOKUP(A958,[1]Export!$A:$I,9,0)</f>
        <v>Comprou Marcas</v>
      </c>
      <c r="S958" s="17" t="s">
        <v>1023</v>
      </c>
      <c r="T958" s="20"/>
      <c r="U958" s="17"/>
      <c r="V958" s="17"/>
    </row>
    <row r="959" spans="1:22" x14ac:dyDescent="0.35">
      <c r="A959" s="5">
        <v>1340477000189</v>
      </c>
      <c r="B959" s="7"/>
      <c r="C959" s="4"/>
      <c r="D959" s="6" t="s">
        <v>894</v>
      </c>
      <c r="E959" s="6" t="s">
        <v>303</v>
      </c>
      <c r="F959" s="6" t="s">
        <v>48</v>
      </c>
      <c r="G959" s="11" t="s">
        <v>20</v>
      </c>
      <c r="H959" s="6" t="s">
        <v>17</v>
      </c>
      <c r="I959" s="21" t="s">
        <v>1071</v>
      </c>
      <c r="J959" s="18">
        <f>VLOOKUP(A959,[2]Export!$A:$B,2,0)</f>
        <v>3566.074080099409</v>
      </c>
      <c r="K959" s="18">
        <f>VLOOKUP(A959,[2]Export!$A:$C,3,0)</f>
        <v>2054.0800000000004</v>
      </c>
      <c r="L959" s="19">
        <f t="shared" si="30"/>
        <v>0.5760059813291204</v>
      </c>
      <c r="M959" s="18">
        <f>VLOOKUP(A959,[2]Export!$A:$G,7,0)</f>
        <v>712.55</v>
      </c>
      <c r="N959" s="19">
        <f t="shared" si="31"/>
        <v>0.1998135720108587</v>
      </c>
      <c r="O959" s="17" t="s">
        <v>1027</v>
      </c>
      <c r="P959" s="17" t="s">
        <v>1028</v>
      </c>
      <c r="Q959" s="17" t="s">
        <v>1023</v>
      </c>
      <c r="R959" s="17" t="str">
        <f>VLOOKUP(A959,[1]Export!$A:$I,9,0)</f>
        <v>Comprou Marcas</v>
      </c>
      <c r="S959" s="17" t="s">
        <v>1022</v>
      </c>
      <c r="T959" s="20"/>
      <c r="U959" s="17"/>
      <c r="V959" s="17"/>
    </row>
    <row r="960" spans="1:22" x14ac:dyDescent="0.35">
      <c r="A960" s="4">
        <v>2366173000153</v>
      </c>
      <c r="B960" s="7"/>
      <c r="C960" s="4"/>
      <c r="D960" s="1" t="s">
        <v>895</v>
      </c>
      <c r="E960" s="1" t="s">
        <v>584</v>
      </c>
      <c r="F960" s="1" t="s">
        <v>48</v>
      </c>
      <c r="G960" s="10" t="s">
        <v>20</v>
      </c>
      <c r="H960" s="1" t="s">
        <v>17</v>
      </c>
      <c r="I960" s="21" t="s">
        <v>1073</v>
      </c>
      <c r="J960" s="18">
        <f>VLOOKUP(A960,[2]Export!$A:$B,2,0)</f>
        <v>7880.0484539707641</v>
      </c>
      <c r="K960" s="18">
        <f>VLOOKUP(A960,[2]Export!$A:$C,3,0)</f>
        <v>4318.8999999999996</v>
      </c>
      <c r="L960" s="19">
        <f t="shared" si="30"/>
        <v>0.54808038620926269</v>
      </c>
      <c r="M960" s="18">
        <f>VLOOKUP(A960,[2]Export!$A:$G,7,0)</f>
        <v>0</v>
      </c>
      <c r="N960" s="19">
        <f t="shared" si="31"/>
        <v>0</v>
      </c>
      <c r="O960" s="17" t="s">
        <v>1025</v>
      </c>
      <c r="P960" s="17" t="s">
        <v>1026</v>
      </c>
      <c r="Q960" s="17" t="s">
        <v>1023</v>
      </c>
      <c r="R960" s="17" t="str">
        <f>VLOOKUP(A960,[1]Export!$A:$I,9,0)</f>
        <v>Comprou SG</v>
      </c>
      <c r="S960" s="17" t="s">
        <v>1023</v>
      </c>
      <c r="T960" s="20"/>
      <c r="U960" s="17"/>
      <c r="V960" s="17"/>
    </row>
    <row r="961" spans="1:22" x14ac:dyDescent="0.35">
      <c r="A961" s="5">
        <v>3961703000174</v>
      </c>
      <c r="B961" s="7"/>
      <c r="C961" s="4"/>
      <c r="D961" s="6" t="s">
        <v>896</v>
      </c>
      <c r="E961" s="6" t="s">
        <v>30</v>
      </c>
      <c r="F961" s="6" t="s">
        <v>15</v>
      </c>
      <c r="G961" s="11" t="s">
        <v>36</v>
      </c>
      <c r="H961" s="6" t="s">
        <v>17</v>
      </c>
      <c r="I961" s="21" t="s">
        <v>1069</v>
      </c>
      <c r="J961" s="18">
        <f>VLOOKUP(A961,[2]Export!$A:$B,2,0)</f>
        <v>4748.6352156567464</v>
      </c>
      <c r="K961" s="18">
        <f>VLOOKUP(A961,[2]Export!$A:$C,3,0)</f>
        <v>2929.92</v>
      </c>
      <c r="L961" s="19">
        <f t="shared" si="30"/>
        <v>0.61700254219143802</v>
      </c>
      <c r="M961" s="18">
        <f>VLOOKUP(A961,[2]Export!$A:$G,7,0)</f>
        <v>0</v>
      </c>
      <c r="N961" s="19">
        <f t="shared" si="31"/>
        <v>0</v>
      </c>
      <c r="O961" s="17" t="s">
        <v>1025</v>
      </c>
      <c r="P961" s="17" t="s">
        <v>1026</v>
      </c>
      <c r="Q961" s="17" t="s">
        <v>1022</v>
      </c>
      <c r="R961" s="17" t="str">
        <f>VLOOKUP(A961,[1]Export!$A:$I,9,0)</f>
        <v>Não Comprou</v>
      </c>
      <c r="S961" s="17" t="s">
        <v>1023</v>
      </c>
      <c r="T961" s="20"/>
      <c r="U961" s="17"/>
      <c r="V961" s="17"/>
    </row>
    <row r="962" spans="1:22" x14ac:dyDescent="0.35">
      <c r="A962" s="4">
        <v>12930121000111</v>
      </c>
      <c r="B962" s="7"/>
      <c r="C962" s="4"/>
      <c r="D962" s="1" t="s">
        <v>897</v>
      </c>
      <c r="E962" s="1" t="s">
        <v>113</v>
      </c>
      <c r="F962" s="1" t="s">
        <v>8</v>
      </c>
      <c r="G962" s="10" t="s">
        <v>36</v>
      </c>
      <c r="H962" s="1" t="s">
        <v>17</v>
      </c>
      <c r="I962" s="21" t="s">
        <v>1072</v>
      </c>
      <c r="J962" s="18">
        <f>VLOOKUP(A962,[2]Export!$A:$B,2,0)</f>
        <v>4359.5926476783916</v>
      </c>
      <c r="K962" s="18">
        <f>VLOOKUP(A962,[2]Export!$A:$C,3,0)</f>
        <v>3098.26</v>
      </c>
      <c r="L962" s="19">
        <f t="shared" si="30"/>
        <v>0.71067648984358955</v>
      </c>
      <c r="M962" s="18">
        <f>VLOOKUP(A962,[2]Export!$A:$G,7,0)</f>
        <v>2374.7999999999997</v>
      </c>
      <c r="N962" s="19">
        <f t="shared" si="31"/>
        <v>0.54472979287747192</v>
      </c>
      <c r="O962" s="17" t="s">
        <v>1025</v>
      </c>
      <c r="P962" s="17" t="s">
        <v>1026</v>
      </c>
      <c r="Q962" s="17" t="s">
        <v>1023</v>
      </c>
      <c r="R962" s="17" t="str">
        <f>VLOOKUP(A962,[1]Export!$A:$I,9,0)</f>
        <v>Comprou Marcas</v>
      </c>
      <c r="S962" s="17" t="s">
        <v>1022</v>
      </c>
      <c r="T962" s="20"/>
      <c r="U962" s="17"/>
      <c r="V962" s="17"/>
    </row>
    <row r="963" spans="1:22" x14ac:dyDescent="0.35">
      <c r="A963" s="5">
        <v>14314400000186</v>
      </c>
      <c r="B963" s="7"/>
      <c r="C963" s="4"/>
      <c r="D963" s="6" t="s">
        <v>898</v>
      </c>
      <c r="E963" s="6" t="s">
        <v>61</v>
      </c>
      <c r="F963" s="6" t="s">
        <v>8</v>
      </c>
      <c r="G963" s="11" t="s">
        <v>20</v>
      </c>
      <c r="H963" s="6" t="s">
        <v>17</v>
      </c>
      <c r="I963" s="21" t="s">
        <v>1066</v>
      </c>
      <c r="J963" s="18">
        <f>VLOOKUP(A963,[2]Export!$A:$B,2,0)</f>
        <v>4242.8465682843434</v>
      </c>
      <c r="K963" s="18">
        <f>VLOOKUP(A963,[2]Export!$A:$C,3,0)</f>
        <v>1890.7</v>
      </c>
      <c r="L963" s="19">
        <f t="shared" si="30"/>
        <v>0.44562063925034462</v>
      </c>
      <c r="M963" s="18">
        <f>VLOOKUP(A963,[2]Export!$A:$G,7,0)</f>
        <v>209.52</v>
      </c>
      <c r="N963" s="19">
        <f t="shared" si="31"/>
        <v>4.9381941257593591E-2</v>
      </c>
      <c r="O963" s="17" t="s">
        <v>1025</v>
      </c>
      <c r="P963" s="17" t="s">
        <v>1026</v>
      </c>
      <c r="Q963" s="17" t="s">
        <v>1023</v>
      </c>
      <c r="R963" s="17" t="str">
        <f>VLOOKUP(A963,[1]Export!$A:$I,9,0)</f>
        <v>Comprou Marcas</v>
      </c>
      <c r="S963" s="17" t="s">
        <v>1022</v>
      </c>
      <c r="T963" s="20"/>
      <c r="U963" s="17"/>
      <c r="V963" s="17"/>
    </row>
    <row r="964" spans="1:22" x14ac:dyDescent="0.35">
      <c r="A964" s="4">
        <v>18387529000175</v>
      </c>
      <c r="B964" s="7"/>
      <c r="C964" s="4"/>
      <c r="D964" s="1" t="s">
        <v>899</v>
      </c>
      <c r="E964" s="1" t="s">
        <v>458</v>
      </c>
      <c r="F964" s="1" t="s">
        <v>48</v>
      </c>
      <c r="G964" s="10" t="s">
        <v>20</v>
      </c>
      <c r="H964" s="1" t="s">
        <v>17</v>
      </c>
      <c r="I964" s="21" t="s">
        <v>1073</v>
      </c>
      <c r="J964" s="18">
        <f>VLOOKUP(A964,[2]Export!$A:$B,2,0)</f>
        <v>5736.4625464362507</v>
      </c>
      <c r="K964" s="18">
        <f>VLOOKUP(A964,[2]Export!$A:$C,3,0)</f>
        <v>769.0100000000001</v>
      </c>
      <c r="L964" s="19">
        <f t="shared" si="30"/>
        <v>0.13405648407444826</v>
      </c>
      <c r="M964" s="18">
        <f>VLOOKUP(A964,[2]Export!$A:$G,7,0)</f>
        <v>843.14999999999986</v>
      </c>
      <c r="N964" s="19">
        <f t="shared" si="31"/>
        <v>0.14698082540847454</v>
      </c>
      <c r="O964" s="17" t="s">
        <v>1025</v>
      </c>
      <c r="P964" s="17" t="s">
        <v>1026</v>
      </c>
      <c r="Q964" s="17" t="s">
        <v>1022</v>
      </c>
      <c r="R964" s="17" t="str">
        <f>VLOOKUP(A964,[1]Export!$A:$I,9,0)</f>
        <v>Comprou Marcas e SG</v>
      </c>
      <c r="S964" s="17" t="s">
        <v>1023</v>
      </c>
      <c r="T964" s="20"/>
      <c r="U964" s="17"/>
      <c r="V964" s="17"/>
    </row>
    <row r="965" spans="1:22" x14ac:dyDescent="0.35">
      <c r="A965" s="5">
        <v>18208965000130</v>
      </c>
      <c r="B965" s="7"/>
      <c r="C965" s="4"/>
      <c r="D965" s="6" t="s">
        <v>900</v>
      </c>
      <c r="E965" s="6" t="s">
        <v>89</v>
      </c>
      <c r="F965" s="6" t="s">
        <v>15</v>
      </c>
      <c r="G965" s="11" t="s">
        <v>33</v>
      </c>
      <c r="H965" s="6" t="s">
        <v>17</v>
      </c>
      <c r="I965" s="21" t="s">
        <v>1067</v>
      </c>
      <c r="J965" s="18">
        <f>VLOOKUP(A965,[2]Export!$A:$B,2,0)</f>
        <v>9579.9180391455411</v>
      </c>
      <c r="K965" s="18">
        <f>VLOOKUP(A965,[2]Export!$A:$C,3,0)</f>
        <v>5881.86</v>
      </c>
      <c r="L965" s="19">
        <f t="shared" si="30"/>
        <v>0.61397811296145688</v>
      </c>
      <c r="M965" s="18">
        <f>VLOOKUP(A965,[2]Export!$A:$G,7,0)</f>
        <v>155.74</v>
      </c>
      <c r="N965" s="19">
        <f t="shared" si="31"/>
        <v>1.6256924053380615E-2</v>
      </c>
      <c r="O965" s="17" t="s">
        <v>1025</v>
      </c>
      <c r="P965" s="17" t="s">
        <v>1026</v>
      </c>
      <c r="Q965" s="17" t="s">
        <v>1023</v>
      </c>
      <c r="R965" s="17" t="str">
        <f>VLOOKUP(A965,[1]Export!$A:$I,9,0)</f>
        <v>Comprou Marcas</v>
      </c>
      <c r="S965" s="17" t="s">
        <v>1023</v>
      </c>
      <c r="T965" s="20"/>
      <c r="U965" s="17"/>
      <c r="V965" s="17"/>
    </row>
    <row r="966" spans="1:22" x14ac:dyDescent="0.35">
      <c r="A966" s="4">
        <v>20103913000221</v>
      </c>
      <c r="B966" s="7" t="s">
        <v>1007</v>
      </c>
      <c r="C966" s="4">
        <v>14154</v>
      </c>
      <c r="D966" s="1" t="s">
        <v>537</v>
      </c>
      <c r="E966" s="1" t="s">
        <v>61</v>
      </c>
      <c r="F966" s="1" t="s">
        <v>8</v>
      </c>
      <c r="G966" s="10" t="s">
        <v>36</v>
      </c>
      <c r="H966" s="1" t="s">
        <v>17</v>
      </c>
      <c r="I966" s="21" t="s">
        <v>1066</v>
      </c>
      <c r="J966" s="18">
        <f>VLOOKUP(A966,[2]Export!$A:$B,2,0)</f>
        <v>109379.35507270864</v>
      </c>
      <c r="K966" s="18">
        <f>VLOOKUP(A966,[2]Export!$A:$C,3,0)</f>
        <v>84293.840000000011</v>
      </c>
      <c r="L966" s="19">
        <f t="shared" si="30"/>
        <v>0.77065585131642689</v>
      </c>
      <c r="M966" s="18">
        <f>VLOOKUP(A966,[2]Export!$A:$G,7,0)</f>
        <v>67043.740000000034</v>
      </c>
      <c r="N966" s="19">
        <f t="shared" si="31"/>
        <v>0.61294693093987884</v>
      </c>
      <c r="O966" s="17" t="s">
        <v>1029</v>
      </c>
      <c r="P966" s="17" t="s">
        <v>1026</v>
      </c>
      <c r="Q966" s="17" t="s">
        <v>1022</v>
      </c>
      <c r="R966" s="17" t="str">
        <f>VLOOKUP(A966,[1]Export!$A:$I,9,0)</f>
        <v>Comprou Marcas</v>
      </c>
      <c r="S966" s="17" t="s">
        <v>1022</v>
      </c>
      <c r="T966" s="20">
        <v>11</v>
      </c>
      <c r="U966" s="17">
        <v>5</v>
      </c>
      <c r="V966" s="17">
        <v>35</v>
      </c>
    </row>
    <row r="967" spans="1:22" x14ac:dyDescent="0.35">
      <c r="A967" s="5">
        <v>20718662000109</v>
      </c>
      <c r="B967" s="7"/>
      <c r="C967" s="4">
        <v>13688</v>
      </c>
      <c r="D967" s="6" t="s">
        <v>25</v>
      </c>
      <c r="E967" s="6" t="s">
        <v>100</v>
      </c>
      <c r="F967" s="6" t="s">
        <v>15</v>
      </c>
      <c r="G967" s="11" t="s">
        <v>9</v>
      </c>
      <c r="H967" s="6" t="s">
        <v>10</v>
      </c>
      <c r="I967" s="21" t="s">
        <v>1073</v>
      </c>
      <c r="J967" s="18">
        <f>VLOOKUP(A967,[2]Export!$A:$B,2,0)</f>
        <v>2189.3410962808375</v>
      </c>
      <c r="K967" s="18">
        <f>VLOOKUP(A967,[2]Export!$A:$C,3,0)</f>
        <v>1614.9200000000003</v>
      </c>
      <c r="L967" s="19">
        <f t="shared" si="30"/>
        <v>0.73762832239497078</v>
      </c>
      <c r="M967" s="18">
        <f>VLOOKUP(A967,[2]Export!$A:$G,7,0)</f>
        <v>1683.02</v>
      </c>
      <c r="N967" s="19">
        <f t="shared" si="31"/>
        <v>0.76873357141975052</v>
      </c>
      <c r="O967" s="17" t="s">
        <v>1027</v>
      </c>
      <c r="P967" s="17" t="s">
        <v>1028</v>
      </c>
      <c r="Q967" s="17" t="s">
        <v>1023</v>
      </c>
      <c r="R967" s="17" t="str">
        <f>VLOOKUP(A967,[1]Export!$A:$I,9,0)</f>
        <v>Comprou Marcas</v>
      </c>
      <c r="S967" s="17" t="s">
        <v>1022</v>
      </c>
      <c r="T967" s="20"/>
      <c r="U967" s="17"/>
      <c r="V967" s="17"/>
    </row>
    <row r="968" spans="1:22" x14ac:dyDescent="0.35">
      <c r="A968" s="4">
        <v>20884408000180</v>
      </c>
      <c r="B968" s="7"/>
      <c r="C968" s="4"/>
      <c r="D968" s="1" t="s">
        <v>104</v>
      </c>
      <c r="E968" s="1" t="s">
        <v>138</v>
      </c>
      <c r="F968" s="1" t="s">
        <v>15</v>
      </c>
      <c r="G968" s="10" t="s">
        <v>9</v>
      </c>
      <c r="H968" s="1" t="s">
        <v>10</v>
      </c>
      <c r="I968" s="21" t="s">
        <v>1069</v>
      </c>
      <c r="J968" s="18">
        <f>VLOOKUP(A968,[2]Export!$A:$B,2,0)</f>
        <v>37947.634731630613</v>
      </c>
      <c r="K968" s="18">
        <f>VLOOKUP(A968,[2]Export!$A:$C,3,0)</f>
        <v>22295.15</v>
      </c>
      <c r="L968" s="19">
        <f t="shared" si="30"/>
        <v>0.58752410150654932</v>
      </c>
      <c r="M968" s="18">
        <f>VLOOKUP(A968,[2]Export!$A:$G,7,0)</f>
        <v>7317.8199999999988</v>
      </c>
      <c r="N968" s="19">
        <f t="shared" si="31"/>
        <v>0.19283995041462632</v>
      </c>
      <c r="O968" s="17" t="s">
        <v>1027</v>
      </c>
      <c r="P968" s="17" t="s">
        <v>1028</v>
      </c>
      <c r="Q968" s="17" t="s">
        <v>1023</v>
      </c>
      <c r="R968" s="17" t="str">
        <f>VLOOKUP(A968,[1]Export!$A:$I,9,0)</f>
        <v>Comprou Marcas</v>
      </c>
      <c r="S968" s="17" t="s">
        <v>1022</v>
      </c>
      <c r="T968" s="20"/>
      <c r="U968" s="17"/>
      <c r="V968" s="17"/>
    </row>
    <row r="969" spans="1:22" x14ac:dyDescent="0.35">
      <c r="A969" s="5">
        <v>21013882000108</v>
      </c>
      <c r="B969" s="7" t="s">
        <v>1008</v>
      </c>
      <c r="C969" s="4">
        <v>148177</v>
      </c>
      <c r="D969" s="6" t="s">
        <v>90</v>
      </c>
      <c r="E969" s="6" t="s">
        <v>82</v>
      </c>
      <c r="F969" s="6" t="s">
        <v>8</v>
      </c>
      <c r="G969" s="11" t="s">
        <v>64</v>
      </c>
      <c r="H969" s="6" t="s">
        <v>17</v>
      </c>
      <c r="I969" s="21" t="s">
        <v>1070</v>
      </c>
      <c r="J969" s="18">
        <f>VLOOKUP(A969,[2]Export!$A:$B,2,0)</f>
        <v>26562.718355517256</v>
      </c>
      <c r="K969" s="18">
        <f>VLOOKUP(A969,[2]Export!$A:$C,3,0)</f>
        <v>24146.189999999995</v>
      </c>
      <c r="L969" s="19">
        <f t="shared" si="30"/>
        <v>0.90902556270129142</v>
      </c>
      <c r="M969" s="18">
        <f>VLOOKUP(A969,[2]Export!$A:$G,7,0)</f>
        <v>22659.540000000008</v>
      </c>
      <c r="N969" s="19">
        <f t="shared" si="31"/>
        <v>0.85305802277926379</v>
      </c>
      <c r="O969" s="17" t="s">
        <v>1025</v>
      </c>
      <c r="P969" s="17" t="s">
        <v>1026</v>
      </c>
      <c r="Q969" s="17" t="s">
        <v>1022</v>
      </c>
      <c r="R969" s="17" t="str">
        <f>VLOOKUP(A969,[1]Export!$A:$I,9,0)</f>
        <v>Comprou Marcas</v>
      </c>
      <c r="S969" s="17" t="s">
        <v>1022</v>
      </c>
      <c r="T969" s="20">
        <v>4</v>
      </c>
      <c r="U969" s="17"/>
      <c r="V969" s="17"/>
    </row>
    <row r="970" spans="1:22" x14ac:dyDescent="0.35">
      <c r="A970" s="4">
        <v>21406206000196</v>
      </c>
      <c r="B970" s="7"/>
      <c r="C970" s="4"/>
      <c r="D970" s="1" t="s">
        <v>897</v>
      </c>
      <c r="E970" s="1" t="s">
        <v>94</v>
      </c>
      <c r="F970" s="1" t="s">
        <v>15</v>
      </c>
      <c r="G970" s="10" t="s">
        <v>36</v>
      </c>
      <c r="H970" s="1" t="s">
        <v>17</v>
      </c>
      <c r="I970" s="21" t="s">
        <v>1069</v>
      </c>
      <c r="J970" s="18">
        <f>VLOOKUP(A970,[2]Export!$A:$B,2,0)</f>
        <v>3200.8169605041717</v>
      </c>
      <c r="K970" s="18">
        <f>VLOOKUP(A970,[2]Export!$A:$C,3,0)</f>
        <v>3280.6799999999989</v>
      </c>
      <c r="L970" s="19">
        <f t="shared" si="30"/>
        <v>1.0249508298916437</v>
      </c>
      <c r="M970" s="18">
        <f>VLOOKUP(A970,[2]Export!$A:$G,7,0)</f>
        <v>2788.5099999999993</v>
      </c>
      <c r="N970" s="19">
        <f t="shared" si="31"/>
        <v>0.87118696083164082</v>
      </c>
      <c r="O970" s="17" t="s">
        <v>1027</v>
      </c>
      <c r="P970" s="17" t="s">
        <v>1028</v>
      </c>
      <c r="Q970" s="17" t="s">
        <v>1023</v>
      </c>
      <c r="R970" s="17" t="str">
        <f>VLOOKUP(A970,[1]Export!$A:$I,9,0)</f>
        <v>Comprou Marcas</v>
      </c>
      <c r="S970" s="17" t="s">
        <v>1022</v>
      </c>
      <c r="T970" s="20">
        <v>1</v>
      </c>
      <c r="U970" s="17"/>
      <c r="V970" s="17"/>
    </row>
    <row r="971" spans="1:22" x14ac:dyDescent="0.35">
      <c r="A971" s="5">
        <v>24920461000140</v>
      </c>
      <c r="B971" s="7"/>
      <c r="C971" s="4"/>
      <c r="D971" s="6" t="s">
        <v>901</v>
      </c>
      <c r="E971" s="6" t="s">
        <v>260</v>
      </c>
      <c r="F971" s="6" t="s">
        <v>8</v>
      </c>
      <c r="G971" s="11" t="s">
        <v>64</v>
      </c>
      <c r="H971" s="6" t="s">
        <v>17</v>
      </c>
      <c r="I971" s="21" t="s">
        <v>1066</v>
      </c>
      <c r="J971" s="18">
        <f>VLOOKUP(A971,[2]Export!$A:$B,2,0)</f>
        <v>17861.074267916862</v>
      </c>
      <c r="K971" s="18">
        <f>VLOOKUP(A971,[2]Export!$A:$C,3,0)</f>
        <v>13809.349999999997</v>
      </c>
      <c r="L971" s="19">
        <f t="shared" si="30"/>
        <v>0.77315338332169548</v>
      </c>
      <c r="M971" s="18">
        <f>VLOOKUP(A971,[2]Export!$A:$G,7,0)</f>
        <v>13902.970000000005</v>
      </c>
      <c r="N971" s="19">
        <f t="shared" si="31"/>
        <v>0.77839494934374454</v>
      </c>
      <c r="O971" s="17" t="s">
        <v>1029</v>
      </c>
      <c r="P971" s="17" t="s">
        <v>1026</v>
      </c>
      <c r="Q971" s="17" t="s">
        <v>1022</v>
      </c>
      <c r="R971" s="17" t="str">
        <f>VLOOKUP(A971,[1]Export!$A:$I,9,0)</f>
        <v>Comprou Marcas</v>
      </c>
      <c r="S971" s="17" t="s">
        <v>1022</v>
      </c>
      <c r="T971" s="20">
        <v>4</v>
      </c>
      <c r="U971" s="17"/>
      <c r="V971" s="17"/>
    </row>
    <row r="972" spans="1:22" x14ac:dyDescent="0.35">
      <c r="A972" s="4">
        <v>27230522000136</v>
      </c>
      <c r="B972" s="7"/>
      <c r="C972" s="4"/>
      <c r="D972" s="1" t="s">
        <v>902</v>
      </c>
      <c r="E972" s="1" t="s">
        <v>14</v>
      </c>
      <c r="F972" s="1" t="s">
        <v>15</v>
      </c>
      <c r="G972" s="10" t="s">
        <v>20</v>
      </c>
      <c r="H972" s="1" t="s">
        <v>17</v>
      </c>
      <c r="I972" s="21" t="s">
        <v>1067</v>
      </c>
      <c r="J972" s="18">
        <f>VLOOKUP(A972,[2]Export!$A:$B,2,0)</f>
        <v>9463.1829572472234</v>
      </c>
      <c r="K972" s="18">
        <f>VLOOKUP(A972,[2]Export!$A:$C,3,0)</f>
        <v>3543.1200000000008</v>
      </c>
      <c r="L972" s="19">
        <f t="shared" si="30"/>
        <v>0.37441102174681729</v>
      </c>
      <c r="M972" s="18">
        <f>VLOOKUP(A972,[2]Export!$A:$G,7,0)</f>
        <v>892.56</v>
      </c>
      <c r="N972" s="19">
        <f t="shared" si="31"/>
        <v>9.4319216275581735E-2</v>
      </c>
      <c r="O972" s="17" t="s">
        <v>1025</v>
      </c>
      <c r="P972" s="17" t="s">
        <v>1026</v>
      </c>
      <c r="Q972" s="17" t="s">
        <v>1023</v>
      </c>
      <c r="R972" s="17" t="str">
        <f>VLOOKUP(A972,[1]Export!$A:$I,9,0)</f>
        <v>Comprou Marcas</v>
      </c>
      <c r="S972" s="17" t="s">
        <v>1022</v>
      </c>
      <c r="T972" s="20"/>
      <c r="U972" s="17"/>
      <c r="V972" s="17"/>
    </row>
    <row r="973" spans="1:22" x14ac:dyDescent="0.35">
      <c r="A973" s="5">
        <v>29776784000126</v>
      </c>
      <c r="B973" s="7"/>
      <c r="C973" s="4"/>
      <c r="D973" s="6" t="s">
        <v>903</v>
      </c>
      <c r="E973" s="6" t="s">
        <v>14</v>
      </c>
      <c r="F973" s="6" t="s">
        <v>15</v>
      </c>
      <c r="G973" s="11" t="s">
        <v>16</v>
      </c>
      <c r="H973" s="6" t="s">
        <v>17</v>
      </c>
      <c r="I973" s="21" t="s">
        <v>1067</v>
      </c>
      <c r="J973" s="18">
        <f>VLOOKUP(A973,[2]Export!$A:$B,2,0)</f>
        <v>3317.1221200505761</v>
      </c>
      <c r="K973" s="18">
        <f>VLOOKUP(A973,[2]Export!$A:$C,3,0)</f>
        <v>1603.4299999999998</v>
      </c>
      <c r="L973" s="19">
        <f t="shared" ref="L973:L1036" si="32">K973/J973</f>
        <v>0.48337985216400547</v>
      </c>
      <c r="M973" s="18">
        <f>VLOOKUP(A973,[2]Export!$A:$G,7,0)</f>
        <v>1634.9299999999998</v>
      </c>
      <c r="N973" s="19">
        <f t="shared" ref="N973:N1036" si="33">M973/J973</f>
        <v>0.49287603556032844</v>
      </c>
      <c r="O973" s="17" t="s">
        <v>1025</v>
      </c>
      <c r="P973" s="17" t="s">
        <v>1026</v>
      </c>
      <c r="Q973" s="17" t="s">
        <v>1023</v>
      </c>
      <c r="R973" s="17" t="str">
        <f>VLOOKUP(A973,[1]Export!$A:$I,9,0)</f>
        <v>Comprou Marcas</v>
      </c>
      <c r="S973" s="17" t="s">
        <v>1023</v>
      </c>
      <c r="T973" s="20"/>
      <c r="U973" s="17"/>
      <c r="V973" s="17"/>
    </row>
    <row r="974" spans="1:22" x14ac:dyDescent="0.35">
      <c r="A974" s="4">
        <v>30516011000190</v>
      </c>
      <c r="B974" s="7"/>
      <c r="C974" s="4"/>
      <c r="D974" s="1" t="s">
        <v>904</v>
      </c>
      <c r="E974" s="1" t="s">
        <v>160</v>
      </c>
      <c r="F974" s="1" t="s">
        <v>8</v>
      </c>
      <c r="G974" s="10" t="s">
        <v>20</v>
      </c>
      <c r="H974" s="1" t="s">
        <v>17</v>
      </c>
      <c r="I974" s="21" t="s">
        <v>1068</v>
      </c>
      <c r="J974" s="18">
        <f>VLOOKUP(A974,[2]Export!$A:$B,2,0)</f>
        <v>4262.2052708436677</v>
      </c>
      <c r="K974" s="18">
        <f>VLOOKUP(A974,[2]Export!$A:$C,3,0)</f>
        <v>2119.54</v>
      </c>
      <c r="L974" s="19">
        <f t="shared" si="32"/>
        <v>0.497287170681119</v>
      </c>
      <c r="M974" s="18">
        <f>VLOOKUP(A974,[2]Export!$A:$G,7,0)</f>
        <v>0</v>
      </c>
      <c r="N974" s="19">
        <f t="shared" si="33"/>
        <v>0</v>
      </c>
      <c r="O974" s="17" t="s">
        <v>1025</v>
      </c>
      <c r="P974" s="17" t="s">
        <v>1026</v>
      </c>
      <c r="Q974" s="17" t="s">
        <v>1023</v>
      </c>
      <c r="R974" s="17" t="str">
        <f>VLOOKUP(A974,[1]Export!$A:$I,9,0)</f>
        <v>Não Comprou</v>
      </c>
      <c r="S974" s="17" t="s">
        <v>1022</v>
      </c>
      <c r="T974" s="20"/>
      <c r="U974" s="17"/>
      <c r="V974" s="17"/>
    </row>
    <row r="975" spans="1:22" x14ac:dyDescent="0.35">
      <c r="A975" s="5">
        <v>30658717000196</v>
      </c>
      <c r="B975" s="7"/>
      <c r="C975" s="4"/>
      <c r="D975" s="6" t="s">
        <v>905</v>
      </c>
      <c r="E975" s="6" t="s">
        <v>43</v>
      </c>
      <c r="F975" s="6" t="s">
        <v>8</v>
      </c>
      <c r="G975" s="11" t="s">
        <v>20</v>
      </c>
      <c r="H975" s="6" t="s">
        <v>17</v>
      </c>
      <c r="I975" s="21" t="s">
        <v>1068</v>
      </c>
      <c r="J975" s="18">
        <f>VLOOKUP(A975,[2]Export!$A:$B,2,0)</f>
        <v>2453.898475895613</v>
      </c>
      <c r="K975" s="18">
        <f>VLOOKUP(A975,[2]Export!$A:$C,3,0)</f>
        <v>1325.8100000000002</v>
      </c>
      <c r="L975" s="19">
        <f t="shared" si="32"/>
        <v>0.54028722582588173</v>
      </c>
      <c r="M975" s="18">
        <f>VLOOKUP(A975,[2]Export!$A:$G,7,0)</f>
        <v>0</v>
      </c>
      <c r="N975" s="19">
        <f t="shared" si="33"/>
        <v>0</v>
      </c>
      <c r="O975" s="17" t="s">
        <v>1025</v>
      </c>
      <c r="P975" s="17" t="s">
        <v>1026</v>
      </c>
      <c r="Q975" s="17" t="s">
        <v>1023</v>
      </c>
      <c r="R975" s="17" t="str">
        <f>VLOOKUP(A975,[1]Export!$A:$I,9,0)</f>
        <v>Não Comprou</v>
      </c>
      <c r="S975" s="17" t="s">
        <v>1022</v>
      </c>
      <c r="T975" s="20"/>
      <c r="U975" s="17"/>
      <c r="V975" s="17"/>
    </row>
    <row r="976" spans="1:22" x14ac:dyDescent="0.35">
      <c r="A976" s="4">
        <v>31832914000142</v>
      </c>
      <c r="B976" s="7"/>
      <c r="C976" s="4"/>
      <c r="D976" s="1" t="s">
        <v>548</v>
      </c>
      <c r="E976" s="1" t="s">
        <v>14</v>
      </c>
      <c r="F976" s="1" t="s">
        <v>15</v>
      </c>
      <c r="G976" s="10" t="s">
        <v>16</v>
      </c>
      <c r="H976" s="1" t="s">
        <v>17</v>
      </c>
      <c r="I976" s="21" t="s">
        <v>1067</v>
      </c>
      <c r="J976" s="18">
        <f>VLOOKUP(A976,[2]Export!$A:$B,2,0)</f>
        <v>2497.6734789300367</v>
      </c>
      <c r="K976" s="18">
        <f>VLOOKUP(A976,[2]Export!$A:$C,3,0)</f>
        <v>1682.9099999999996</v>
      </c>
      <c r="L976" s="19">
        <f t="shared" si="32"/>
        <v>0.67379103561644549</v>
      </c>
      <c r="M976" s="18">
        <f>VLOOKUP(A976,[2]Export!$A:$G,7,0)</f>
        <v>1599.83</v>
      </c>
      <c r="N976" s="19">
        <f t="shared" si="33"/>
        <v>0.64052808083038193</v>
      </c>
      <c r="O976" s="17" t="s">
        <v>1029</v>
      </c>
      <c r="P976" s="17" t="s">
        <v>1026</v>
      </c>
      <c r="Q976" s="17" t="s">
        <v>1023</v>
      </c>
      <c r="R976" s="17" t="str">
        <f>VLOOKUP(A976,[1]Export!$A:$I,9,0)</f>
        <v>Comprou Marcas</v>
      </c>
      <c r="S976" s="17" t="s">
        <v>1023</v>
      </c>
      <c r="T976" s="20"/>
      <c r="U976" s="17"/>
      <c r="V976" s="17"/>
    </row>
    <row r="977" spans="1:22" x14ac:dyDescent="0.35">
      <c r="A977" s="5">
        <v>32666944000199</v>
      </c>
      <c r="B977" s="7"/>
      <c r="C977" s="4"/>
      <c r="D977" s="6" t="s">
        <v>906</v>
      </c>
      <c r="E977" s="6" t="s">
        <v>259</v>
      </c>
      <c r="F977" s="6" t="s">
        <v>15</v>
      </c>
      <c r="G977" s="11" t="s">
        <v>36</v>
      </c>
      <c r="H977" s="6" t="s">
        <v>17</v>
      </c>
      <c r="I977" s="21" t="s">
        <v>1069</v>
      </c>
      <c r="J977" s="18">
        <f>VLOOKUP(A977,[2]Export!$A:$B,2,0)</f>
        <v>4581.2747624686326</v>
      </c>
      <c r="K977" s="18">
        <f>VLOOKUP(A977,[2]Export!$A:$C,3,0)</f>
        <v>8654.8100000000013</v>
      </c>
      <c r="L977" s="19">
        <f t="shared" si="32"/>
        <v>1.8891706891067004</v>
      </c>
      <c r="M977" s="18">
        <f>VLOOKUP(A977,[2]Export!$A:$G,7,0)</f>
        <v>5734.8599999999988</v>
      </c>
      <c r="N977" s="19">
        <f t="shared" si="33"/>
        <v>1.2518044206782641</v>
      </c>
      <c r="O977" s="17" t="s">
        <v>1025</v>
      </c>
      <c r="P977" s="17" t="s">
        <v>1026</v>
      </c>
      <c r="Q977" s="17" t="s">
        <v>1023</v>
      </c>
      <c r="R977" s="17" t="str">
        <f>VLOOKUP(A977,[1]Export!$A:$I,9,0)</f>
        <v>Comprou Marcas</v>
      </c>
      <c r="S977" s="17" t="s">
        <v>1023</v>
      </c>
      <c r="T977" s="20"/>
      <c r="U977" s="17"/>
      <c r="V977" s="17"/>
    </row>
    <row r="978" spans="1:22" x14ac:dyDescent="0.35">
      <c r="A978" s="4">
        <v>21784054000165</v>
      </c>
      <c r="B978" s="7"/>
      <c r="C978" s="4"/>
      <c r="D978" s="1" t="s">
        <v>907</v>
      </c>
      <c r="E978" s="1" t="s">
        <v>908</v>
      </c>
      <c r="F978" s="1" t="s">
        <v>15</v>
      </c>
      <c r="G978" s="10" t="s">
        <v>36</v>
      </c>
      <c r="H978" s="1" t="s">
        <v>17</v>
      </c>
      <c r="I978" s="21" t="s">
        <v>1067</v>
      </c>
      <c r="J978" s="18">
        <f>VLOOKUP(A978,[2]Export!$A:$B,2,0)</f>
        <v>14956.636530679783</v>
      </c>
      <c r="K978" s="18">
        <f>VLOOKUP(A978,[2]Export!$A:$C,3,0)</f>
        <v>15073.070000000002</v>
      </c>
      <c r="L978" s="19">
        <f t="shared" si="32"/>
        <v>1.0077847361658743</v>
      </c>
      <c r="M978" s="18">
        <f>VLOOKUP(A978,[2]Export!$A:$G,7,0)</f>
        <v>10984.750000000002</v>
      </c>
      <c r="N978" s="19">
        <f t="shared" si="33"/>
        <v>0.73443985734811068</v>
      </c>
      <c r="O978" s="17" t="s">
        <v>1025</v>
      </c>
      <c r="P978" s="17" t="s">
        <v>1026</v>
      </c>
      <c r="Q978" s="17" t="s">
        <v>1022</v>
      </c>
      <c r="R978" s="17" t="str">
        <f>VLOOKUP(A978,[1]Export!$A:$I,9,0)</f>
        <v>Comprou Marcas</v>
      </c>
      <c r="S978" s="17" t="s">
        <v>1022</v>
      </c>
      <c r="T978" s="20"/>
      <c r="U978" s="17">
        <v>4</v>
      </c>
      <c r="V978" s="17"/>
    </row>
    <row r="979" spans="1:22" x14ac:dyDescent="0.35">
      <c r="A979" s="5">
        <v>9417126000130</v>
      </c>
      <c r="B979" s="7"/>
      <c r="C979" s="4"/>
      <c r="D979" s="6" t="s">
        <v>179</v>
      </c>
      <c r="E979" s="6" t="s">
        <v>427</v>
      </c>
      <c r="F979" s="6" t="s">
        <v>48</v>
      </c>
      <c r="G979" s="11" t="s">
        <v>87</v>
      </c>
      <c r="H979" s="6" t="s">
        <v>17</v>
      </c>
      <c r="I979" s="21" t="s">
        <v>1073</v>
      </c>
      <c r="J979" s="18">
        <f>VLOOKUP(A979,[2]Export!$A:$B,2,0)</f>
        <v>6461.2602494081748</v>
      </c>
      <c r="K979" s="18">
        <f>VLOOKUP(A979,[2]Export!$A:$C,3,0)</f>
        <v>3939.14</v>
      </c>
      <c r="L979" s="19">
        <f t="shared" si="32"/>
        <v>0.60965505922173757</v>
      </c>
      <c r="M979" s="18">
        <f>VLOOKUP(A979,[2]Export!$A:$G,7,0)</f>
        <v>3489.41</v>
      </c>
      <c r="N979" s="19">
        <f t="shared" si="33"/>
        <v>0.5400509908759078</v>
      </c>
      <c r="O979" s="17" t="s">
        <v>1027</v>
      </c>
      <c r="P979" s="17" t="s">
        <v>1026</v>
      </c>
      <c r="Q979" s="17" t="s">
        <v>1023</v>
      </c>
      <c r="R979" s="17" t="str">
        <f>VLOOKUP(A979,[1]Export!$A:$I,9,0)</f>
        <v>Comprou Marcas e SG</v>
      </c>
      <c r="S979" s="17" t="s">
        <v>1022</v>
      </c>
      <c r="T979" s="20"/>
      <c r="U979" s="17"/>
      <c r="V979" s="17"/>
    </row>
    <row r="980" spans="1:22" x14ac:dyDescent="0.35">
      <c r="A980" s="5">
        <v>41651815000118</v>
      </c>
      <c r="B980" s="7"/>
      <c r="C980" s="4"/>
      <c r="D980" s="6" t="s">
        <v>104</v>
      </c>
      <c r="E980" s="6" t="s">
        <v>691</v>
      </c>
      <c r="F980" s="6" t="s">
        <v>8</v>
      </c>
      <c r="G980" s="11" t="s">
        <v>9</v>
      </c>
      <c r="H980" s="6" t="s">
        <v>10</v>
      </c>
      <c r="I980" s="21" t="s">
        <v>1070</v>
      </c>
      <c r="J980" s="18">
        <f>VLOOKUP(A980,[2]Export!$A:$B,2,0)</f>
        <v>7919.1712958777507</v>
      </c>
      <c r="K980" s="18">
        <f>VLOOKUP(A980,[2]Export!$A:$C,3,0)</f>
        <v>4265.04</v>
      </c>
      <c r="L980" s="19">
        <f t="shared" si="32"/>
        <v>0.53857150459924086</v>
      </c>
      <c r="M980" s="18">
        <f>VLOOKUP(A980,[2]Export!$A:$G,7,0)</f>
        <v>261.95</v>
      </c>
      <c r="N980" s="19">
        <f t="shared" si="33"/>
        <v>3.3077956040217939E-2</v>
      </c>
      <c r="O980" s="17" t="s">
        <v>1027</v>
      </c>
      <c r="P980" s="17" t="s">
        <v>1028</v>
      </c>
      <c r="Q980" s="17" t="s">
        <v>1023</v>
      </c>
      <c r="R980" s="17" t="str">
        <f>VLOOKUP(A980,[1]Export!$A:$I,9,0)</f>
        <v>Comprou Marcas</v>
      </c>
      <c r="S980" s="17" t="s">
        <v>1022</v>
      </c>
      <c r="T980" s="20"/>
      <c r="U980" s="17"/>
      <c r="V980" s="17"/>
    </row>
    <row r="981" spans="1:22" x14ac:dyDescent="0.35">
      <c r="A981" s="5">
        <v>11780832000194</v>
      </c>
      <c r="B981" s="7"/>
      <c r="C981" s="4"/>
      <c r="D981" s="6" t="s">
        <v>705</v>
      </c>
      <c r="E981" s="6" t="s">
        <v>706</v>
      </c>
      <c r="F981" s="6" t="s">
        <v>8</v>
      </c>
      <c r="G981" s="11" t="s">
        <v>9</v>
      </c>
      <c r="H981" s="6" t="s">
        <v>10</v>
      </c>
      <c r="I981" s="21" t="s">
        <v>1070</v>
      </c>
      <c r="J981" s="18">
        <f>VLOOKUP(A981,[2]Export!$A:$B,2,0)</f>
        <v>17836.010867532237</v>
      </c>
      <c r="K981" s="18">
        <f>VLOOKUP(A981,[2]Export!$A:$C,3,0)</f>
        <v>12125.659999999996</v>
      </c>
      <c r="L981" s="19">
        <f t="shared" si="32"/>
        <v>0.67984147857147403</v>
      </c>
      <c r="M981" s="18">
        <f>VLOOKUP(A981,[2]Export!$A:$G,7,0)</f>
        <v>12026.339999999998</v>
      </c>
      <c r="N981" s="19">
        <f t="shared" si="33"/>
        <v>0.67427296884485155</v>
      </c>
      <c r="O981" s="17" t="s">
        <v>1027</v>
      </c>
      <c r="P981" s="17" t="s">
        <v>1028</v>
      </c>
      <c r="Q981" s="17" t="s">
        <v>1023</v>
      </c>
      <c r="R981" s="17" t="str">
        <f>VLOOKUP(A981,[1]Export!$A:$I,9,0)</f>
        <v>Comprou Marcas</v>
      </c>
      <c r="S981" s="17" t="s">
        <v>1022</v>
      </c>
      <c r="T981" s="20">
        <v>1</v>
      </c>
      <c r="U981" s="17"/>
      <c r="V981" s="17"/>
    </row>
    <row r="982" spans="1:22" x14ac:dyDescent="0.35">
      <c r="A982" s="4">
        <v>10392940000127</v>
      </c>
      <c r="B982" s="7"/>
      <c r="C982" s="4"/>
      <c r="D982" s="1" t="s">
        <v>337</v>
      </c>
      <c r="E982" s="1" t="s">
        <v>232</v>
      </c>
      <c r="F982" s="1" t="s">
        <v>8</v>
      </c>
      <c r="G982" s="10" t="s">
        <v>20</v>
      </c>
      <c r="H982" s="1" t="s">
        <v>17</v>
      </c>
      <c r="I982" s="21" t="s">
        <v>1068</v>
      </c>
      <c r="J982" s="18">
        <f>VLOOKUP(A982,[2]Export!$A:$B,2,0)</f>
        <v>286.46973437519614</v>
      </c>
      <c r="K982" s="18">
        <f>VLOOKUP(A982,[2]Export!$A:$C,3,0)</f>
        <v>0</v>
      </c>
      <c r="L982" s="19">
        <f t="shared" si="32"/>
        <v>0</v>
      </c>
      <c r="M982" s="18">
        <f>VLOOKUP(A982,[2]Export!$A:$G,7,0)</f>
        <v>0</v>
      </c>
      <c r="N982" s="19">
        <f t="shared" si="33"/>
        <v>0</v>
      </c>
      <c r="O982" s="17" t="s">
        <v>1025</v>
      </c>
      <c r="P982" s="17" t="s">
        <v>1026</v>
      </c>
      <c r="Q982" s="17" t="s">
        <v>1023</v>
      </c>
      <c r="R982" s="17" t="str">
        <f>VLOOKUP(A982,[1]Export!$A:$I,9,0)</f>
        <v>Não Comprou</v>
      </c>
      <c r="S982" s="17" t="s">
        <v>1023</v>
      </c>
      <c r="T982" s="20"/>
      <c r="U982" s="17"/>
      <c r="V982" s="17"/>
    </row>
    <row r="983" spans="1:22" x14ac:dyDescent="0.35">
      <c r="A983" s="5">
        <v>10588126000263</v>
      </c>
      <c r="B983" s="7"/>
      <c r="C983" s="4"/>
      <c r="D983" s="6" t="s">
        <v>449</v>
      </c>
      <c r="E983" s="6" t="s">
        <v>232</v>
      </c>
      <c r="F983" s="6" t="s">
        <v>8</v>
      </c>
      <c r="G983" s="11" t="s">
        <v>20</v>
      </c>
      <c r="H983" s="6" t="s">
        <v>17</v>
      </c>
      <c r="I983" s="21" t="s">
        <v>1068</v>
      </c>
      <c r="J983" s="18">
        <f>VLOOKUP(A983,[2]Export!$A:$B,2,0)</f>
        <v>21670.978108473293</v>
      </c>
      <c r="K983" s="18">
        <f>VLOOKUP(A983,[2]Export!$A:$C,3,0)</f>
        <v>14137.739999999998</v>
      </c>
      <c r="L983" s="19">
        <f t="shared" si="32"/>
        <v>0.65238125982288642</v>
      </c>
      <c r="M983" s="18">
        <f>VLOOKUP(A983,[2]Export!$A:$G,7,0)</f>
        <v>13631.39</v>
      </c>
      <c r="N983" s="19">
        <f t="shared" si="33"/>
        <v>0.62901590928515416</v>
      </c>
      <c r="O983" s="17" t="s">
        <v>1025</v>
      </c>
      <c r="P983" s="17" t="s">
        <v>1026</v>
      </c>
      <c r="Q983" s="17" t="s">
        <v>1023</v>
      </c>
      <c r="R983" s="17" t="str">
        <f>VLOOKUP(A983,[1]Export!$A:$I,9,0)</f>
        <v>Comprou Marcas</v>
      </c>
      <c r="S983" s="17" t="s">
        <v>1022</v>
      </c>
      <c r="T983" s="20"/>
      <c r="U983" s="17">
        <v>1</v>
      </c>
      <c r="V983" s="17">
        <v>1</v>
      </c>
    </row>
    <row r="984" spans="1:22" x14ac:dyDescent="0.35">
      <c r="A984" s="4">
        <v>8087667001076</v>
      </c>
      <c r="B984" s="7" t="s">
        <v>1001</v>
      </c>
      <c r="C984" s="4"/>
      <c r="D984" s="1" t="s">
        <v>218</v>
      </c>
      <c r="E984" s="1" t="s">
        <v>388</v>
      </c>
      <c r="F984" s="1" t="s">
        <v>8</v>
      </c>
      <c r="G984" s="10" t="s">
        <v>36</v>
      </c>
      <c r="H984" s="1" t="s">
        <v>17</v>
      </c>
      <c r="I984" s="21" t="s">
        <v>1070</v>
      </c>
      <c r="J984" s="18">
        <f>VLOOKUP(A984,[2]Export!$A:$B,2,0)</f>
        <v>9042.4323150841537</v>
      </c>
      <c r="K984" s="18">
        <f>VLOOKUP(A984,[2]Export!$A:$C,3,0)</f>
        <v>5168.46</v>
      </c>
      <c r="L984" s="19">
        <f t="shared" si="32"/>
        <v>0.57157851116875069</v>
      </c>
      <c r="M984" s="18">
        <f>VLOOKUP(A984,[2]Export!$A:$G,7,0)</f>
        <v>3725.02</v>
      </c>
      <c r="N984" s="19">
        <f t="shared" si="33"/>
        <v>0.41194889496558351</v>
      </c>
      <c r="O984" s="17" t="s">
        <v>1025</v>
      </c>
      <c r="P984" s="17" t="s">
        <v>1026</v>
      </c>
      <c r="Q984" s="17" t="s">
        <v>1022</v>
      </c>
      <c r="R984" s="17" t="str">
        <f>VLOOKUP(A984,[1]Export!$A:$I,9,0)</f>
        <v>Comprou Marcas</v>
      </c>
      <c r="S984" s="17" t="s">
        <v>1022</v>
      </c>
      <c r="T984" s="20"/>
      <c r="U984" s="17"/>
      <c r="V984" s="17"/>
    </row>
    <row r="985" spans="1:22" x14ac:dyDescent="0.35">
      <c r="A985" s="5">
        <v>23585408000178</v>
      </c>
      <c r="B985" s="7"/>
      <c r="C985" s="4"/>
      <c r="D985" s="6" t="s">
        <v>59</v>
      </c>
      <c r="E985" s="6" t="s">
        <v>642</v>
      </c>
      <c r="F985" s="6" t="s">
        <v>8</v>
      </c>
      <c r="G985" s="11" t="s">
        <v>9</v>
      </c>
      <c r="H985" s="6" t="s">
        <v>10</v>
      </c>
      <c r="I985" s="21" t="s">
        <v>1070</v>
      </c>
      <c r="J985" s="18">
        <f>VLOOKUP(A985,[2]Export!$A:$B,2,0)</f>
        <v>22195.27333130085</v>
      </c>
      <c r="K985" s="18">
        <f>VLOOKUP(A985,[2]Export!$A:$C,3,0)</f>
        <v>8733.4899999999961</v>
      </c>
      <c r="L985" s="19">
        <f t="shared" si="32"/>
        <v>0.39348422835972041</v>
      </c>
      <c r="M985" s="18">
        <f>VLOOKUP(A985,[2]Export!$A:$G,7,0)</f>
        <v>3262.9000000000005</v>
      </c>
      <c r="N985" s="19">
        <f t="shared" si="33"/>
        <v>0.14700877755799027</v>
      </c>
      <c r="O985" s="17" t="s">
        <v>1027</v>
      </c>
      <c r="P985" s="17" t="s">
        <v>1028</v>
      </c>
      <c r="Q985" s="17" t="s">
        <v>1023</v>
      </c>
      <c r="R985" s="17" t="str">
        <f>VLOOKUP(A985,[1]Export!$A:$I,9,0)</f>
        <v>Comprou Marcas</v>
      </c>
      <c r="S985" s="17" t="s">
        <v>1022</v>
      </c>
      <c r="T985" s="20"/>
      <c r="U985" s="17"/>
      <c r="V985" s="17"/>
    </row>
    <row r="986" spans="1:22" x14ac:dyDescent="0.35">
      <c r="A986" s="4">
        <v>19909093000280</v>
      </c>
      <c r="B986" s="7"/>
      <c r="C986" s="4"/>
      <c r="D986" s="1" t="s">
        <v>25</v>
      </c>
      <c r="E986" s="1" t="s">
        <v>588</v>
      </c>
      <c r="F986" s="1" t="s">
        <v>8</v>
      </c>
      <c r="G986" s="10" t="s">
        <v>9</v>
      </c>
      <c r="H986" s="1" t="s">
        <v>10</v>
      </c>
      <c r="I986" s="21" t="s">
        <v>1066</v>
      </c>
      <c r="J986" s="18">
        <f>VLOOKUP(A986,[2]Export!$A:$B,2,0)</f>
        <v>1204.3150601310394</v>
      </c>
      <c r="K986" s="18">
        <f>VLOOKUP(A986,[2]Export!$A:$C,3,0)</f>
        <v>2037.4500000000003</v>
      </c>
      <c r="L986" s="19">
        <f t="shared" si="32"/>
        <v>1.6917915149033418</v>
      </c>
      <c r="M986" s="18">
        <f>VLOOKUP(A986,[2]Export!$A:$G,7,0)</f>
        <v>0</v>
      </c>
      <c r="N986" s="19">
        <f t="shared" si="33"/>
        <v>0</v>
      </c>
      <c r="O986" s="17" t="s">
        <v>1025</v>
      </c>
      <c r="P986" s="17" t="s">
        <v>1026</v>
      </c>
      <c r="Q986" s="17" t="s">
        <v>1023</v>
      </c>
      <c r="R986" s="17" t="str">
        <f>VLOOKUP(A986,[1]Export!$A:$I,9,0)</f>
        <v>Não Comprou</v>
      </c>
      <c r="S986" s="17" t="s">
        <v>1022</v>
      </c>
      <c r="T986" s="20"/>
      <c r="U986" s="17"/>
      <c r="V986" s="17"/>
    </row>
    <row r="987" spans="1:22" x14ac:dyDescent="0.35">
      <c r="A987" s="5">
        <v>10698745000120</v>
      </c>
      <c r="B987" s="7"/>
      <c r="C987" s="4"/>
      <c r="D987" s="6" t="s">
        <v>911</v>
      </c>
      <c r="E987" s="6" t="s">
        <v>96</v>
      </c>
      <c r="F987" s="6" t="s">
        <v>8</v>
      </c>
      <c r="G987" s="11" t="s">
        <v>20</v>
      </c>
      <c r="H987" s="6" t="s">
        <v>17</v>
      </c>
      <c r="I987" s="21" t="s">
        <v>1072</v>
      </c>
      <c r="J987" s="18">
        <f>VLOOKUP(A987,[2]Export!$A:$B,2,0)</f>
        <v>3847.6724072764073</v>
      </c>
      <c r="K987" s="18">
        <f>VLOOKUP(A987,[2]Export!$A:$C,3,0)</f>
        <v>1533.19</v>
      </c>
      <c r="L987" s="19">
        <f t="shared" si="32"/>
        <v>0.39847207290843029</v>
      </c>
      <c r="M987" s="18">
        <f>VLOOKUP(A987,[2]Export!$A:$G,7,0)</f>
        <v>0</v>
      </c>
      <c r="N987" s="19">
        <f t="shared" si="33"/>
        <v>0</v>
      </c>
      <c r="O987" s="17" t="s">
        <v>1025</v>
      </c>
      <c r="P987" s="17" t="s">
        <v>1026</v>
      </c>
      <c r="Q987" s="17" t="s">
        <v>1023</v>
      </c>
      <c r="R987" s="17" t="str">
        <f>VLOOKUP(A987,[1]Export!$A:$I,9,0)</f>
        <v>Não Comprou</v>
      </c>
      <c r="S987" s="17" t="s">
        <v>1023</v>
      </c>
      <c r="T987" s="20"/>
      <c r="U987" s="17"/>
      <c r="V987" s="17"/>
    </row>
    <row r="988" spans="1:22" x14ac:dyDescent="0.35">
      <c r="A988" s="4">
        <v>10737685000530</v>
      </c>
      <c r="B988" s="7"/>
      <c r="C988" s="4"/>
      <c r="D988" s="1" t="s">
        <v>183</v>
      </c>
      <c r="E988" s="1" t="s">
        <v>595</v>
      </c>
      <c r="F988" s="1" t="s">
        <v>8</v>
      </c>
      <c r="G988" s="10" t="s">
        <v>64</v>
      </c>
      <c r="H988" s="1" t="s">
        <v>17</v>
      </c>
      <c r="I988" s="21" t="s">
        <v>1066</v>
      </c>
      <c r="J988" s="18">
        <f>VLOOKUP(A988,[2]Export!$A:$B,2,0)</f>
        <v>1047.2637277997458</v>
      </c>
      <c r="K988" s="18">
        <f>VLOOKUP(A988,[2]Export!$A:$C,3,0)</f>
        <v>1786.8899999999999</v>
      </c>
      <c r="L988" s="19">
        <f t="shared" si="32"/>
        <v>1.7062464330299836</v>
      </c>
      <c r="M988" s="18">
        <f>VLOOKUP(A988,[2]Export!$A:$G,7,0)</f>
        <v>1446.1000000000001</v>
      </c>
      <c r="N988" s="19">
        <f t="shared" si="33"/>
        <v>1.3808365186467324</v>
      </c>
      <c r="O988" s="17" t="s">
        <v>1025</v>
      </c>
      <c r="P988" s="17" t="s">
        <v>1026</v>
      </c>
      <c r="Q988" s="17" t="s">
        <v>1023</v>
      </c>
      <c r="R988" s="17" t="str">
        <f>VLOOKUP(A988,[1]Export!$A:$I,9,0)</f>
        <v>Comprou Marcas</v>
      </c>
      <c r="S988" s="17" t="s">
        <v>1023</v>
      </c>
      <c r="T988" s="20"/>
      <c r="U988" s="17"/>
      <c r="V988" s="17"/>
    </row>
    <row r="989" spans="1:22" x14ac:dyDescent="0.35">
      <c r="A989" s="5">
        <v>10816100000144</v>
      </c>
      <c r="B989" s="7"/>
      <c r="C989" s="4"/>
      <c r="D989" s="6" t="s">
        <v>912</v>
      </c>
      <c r="E989" s="6" t="s">
        <v>293</v>
      </c>
      <c r="F989" s="6" t="s">
        <v>15</v>
      </c>
      <c r="G989" s="11" t="s">
        <v>9</v>
      </c>
      <c r="H989" s="6" t="s">
        <v>10</v>
      </c>
      <c r="I989" s="21" t="s">
        <v>1067</v>
      </c>
      <c r="J989" s="18">
        <f>VLOOKUP(A989,[2]Export!$A:$B,2,0)</f>
        <v>7024.5790748423606</v>
      </c>
      <c r="K989" s="18">
        <f>VLOOKUP(A989,[2]Export!$A:$C,3,0)</f>
        <v>4564.9299999999994</v>
      </c>
      <c r="L989" s="19">
        <f t="shared" si="32"/>
        <v>0.64985103753030804</v>
      </c>
      <c r="M989" s="18">
        <f>VLOOKUP(A989,[2]Export!$A:$G,7,0)</f>
        <v>2621.6099999999997</v>
      </c>
      <c r="N989" s="19">
        <f t="shared" si="33"/>
        <v>0.37320527992758507</v>
      </c>
      <c r="O989" s="17" t="s">
        <v>1027</v>
      </c>
      <c r="P989" s="17" t="s">
        <v>1028</v>
      </c>
      <c r="Q989" s="17" t="s">
        <v>1023</v>
      </c>
      <c r="R989" s="17" t="str">
        <f>VLOOKUP(A989,[1]Export!$A:$I,9,0)</f>
        <v>Comprou Marcas</v>
      </c>
      <c r="S989" s="17" t="s">
        <v>1022</v>
      </c>
      <c r="T989" s="20"/>
      <c r="U989" s="17"/>
      <c r="V989" s="17"/>
    </row>
    <row r="990" spans="1:22" x14ac:dyDescent="0.35">
      <c r="A990" s="4">
        <v>25043201000105</v>
      </c>
      <c r="B990" s="7"/>
      <c r="C990" s="4"/>
      <c r="D990" s="1" t="s">
        <v>90</v>
      </c>
      <c r="E990" s="1" t="s">
        <v>160</v>
      </c>
      <c r="F990" s="1" t="s">
        <v>8</v>
      </c>
      <c r="G990" s="10" t="s">
        <v>64</v>
      </c>
      <c r="H990" s="1" t="s">
        <v>17</v>
      </c>
      <c r="I990" s="21" t="s">
        <v>1068</v>
      </c>
      <c r="J990" s="18">
        <f>VLOOKUP(A990,[2]Export!$A:$B,2,0)</f>
        <v>4587.6605217975966</v>
      </c>
      <c r="K990" s="18">
        <f>VLOOKUP(A990,[2]Export!$A:$C,3,0)</f>
        <v>2376.2400000000002</v>
      </c>
      <c r="L990" s="19">
        <f t="shared" si="32"/>
        <v>0.51796334726809978</v>
      </c>
      <c r="M990" s="18">
        <f>VLOOKUP(A990,[2]Export!$A:$G,7,0)</f>
        <v>0</v>
      </c>
      <c r="N990" s="19">
        <f t="shared" si="33"/>
        <v>0</v>
      </c>
      <c r="O990" s="17" t="s">
        <v>1029</v>
      </c>
      <c r="P990" s="17" t="s">
        <v>1026</v>
      </c>
      <c r="Q990" s="17" t="s">
        <v>1022</v>
      </c>
      <c r="R990" s="17" t="str">
        <f>VLOOKUP(A990,[1]Export!$A:$I,9,0)</f>
        <v>Não Comprou</v>
      </c>
      <c r="S990" s="17" t="s">
        <v>1022</v>
      </c>
      <c r="T990" s="20"/>
      <c r="U990" s="17"/>
      <c r="V990" s="17"/>
    </row>
    <row r="991" spans="1:22" x14ac:dyDescent="0.35">
      <c r="A991" s="5">
        <v>17479487000130</v>
      </c>
      <c r="B991" s="7"/>
      <c r="C991" s="4"/>
      <c r="D991" s="6" t="s">
        <v>913</v>
      </c>
      <c r="E991" s="6" t="s">
        <v>14</v>
      </c>
      <c r="F991" s="6" t="s">
        <v>15</v>
      </c>
      <c r="G991" s="11" t="s">
        <v>16</v>
      </c>
      <c r="H991" s="6" t="s">
        <v>17</v>
      </c>
      <c r="I991" s="21" t="s">
        <v>1067</v>
      </c>
      <c r="J991" s="18">
        <f>VLOOKUP(A991,[2]Export!$A:$B,2,0)</f>
        <v>2401.6494304938128</v>
      </c>
      <c r="K991" s="18">
        <f>VLOOKUP(A991,[2]Export!$A:$C,3,0)</f>
        <v>989.43000000000006</v>
      </c>
      <c r="L991" s="19">
        <f t="shared" si="32"/>
        <v>0.4119793619489916</v>
      </c>
      <c r="M991" s="18">
        <f>VLOOKUP(A991,[2]Export!$A:$G,7,0)</f>
        <v>812.81999999999994</v>
      </c>
      <c r="N991" s="19">
        <f t="shared" si="33"/>
        <v>0.33844240115963664</v>
      </c>
      <c r="O991" s="17" t="s">
        <v>1027</v>
      </c>
      <c r="P991" s="17" t="s">
        <v>1028</v>
      </c>
      <c r="Q991" s="17" t="s">
        <v>1023</v>
      </c>
      <c r="R991" s="17" t="str">
        <f>VLOOKUP(A991,[1]Export!$A:$I,9,0)</f>
        <v>Comprou Marcas</v>
      </c>
      <c r="S991" s="17" t="s">
        <v>1022</v>
      </c>
      <c r="T991" s="20"/>
      <c r="U991" s="17"/>
      <c r="V991" s="17"/>
    </row>
    <row r="992" spans="1:22" x14ac:dyDescent="0.35">
      <c r="A992" s="4">
        <v>17479487000210</v>
      </c>
      <c r="B992" s="7"/>
      <c r="C992" s="4"/>
      <c r="D992" s="1" t="s">
        <v>490</v>
      </c>
      <c r="E992" s="1" t="s">
        <v>14</v>
      </c>
      <c r="F992" s="1" t="s">
        <v>15</v>
      </c>
      <c r="G992" s="10" t="s">
        <v>20</v>
      </c>
      <c r="H992" s="1" t="s">
        <v>17</v>
      </c>
      <c r="I992" s="21" t="s">
        <v>1067</v>
      </c>
      <c r="J992" s="18">
        <f>VLOOKUP(A992,[2]Export!$A:$B,2,0)</f>
        <v>2356.3560690180557</v>
      </c>
      <c r="K992" s="18">
        <f>VLOOKUP(A992,[2]Export!$A:$C,3,0)</f>
        <v>660.6</v>
      </c>
      <c r="L992" s="19">
        <f t="shared" si="32"/>
        <v>0.28034812254638847</v>
      </c>
      <c r="M992" s="18">
        <f>VLOOKUP(A992,[2]Export!$A:$G,7,0)</f>
        <v>373.19</v>
      </c>
      <c r="N992" s="19">
        <f t="shared" si="33"/>
        <v>0.15837589441884151</v>
      </c>
      <c r="O992" s="17" t="s">
        <v>1027</v>
      </c>
      <c r="P992" s="17" t="s">
        <v>1028</v>
      </c>
      <c r="Q992" s="17" t="s">
        <v>1023</v>
      </c>
      <c r="R992" s="17" t="str">
        <f>VLOOKUP(A992,[1]Export!$A:$I,9,0)</f>
        <v>Comprou Marcas</v>
      </c>
      <c r="S992" s="17" t="s">
        <v>1023</v>
      </c>
      <c r="T992" s="20"/>
      <c r="U992" s="17"/>
      <c r="V992" s="17"/>
    </row>
    <row r="993" spans="1:22" x14ac:dyDescent="0.35">
      <c r="A993" s="5">
        <v>18332251000309</v>
      </c>
      <c r="B993" s="7" t="s">
        <v>998</v>
      </c>
      <c r="C993" s="4"/>
      <c r="D993" s="6" t="s">
        <v>25</v>
      </c>
      <c r="E993" s="6" t="s">
        <v>14</v>
      </c>
      <c r="F993" s="6" t="s">
        <v>15</v>
      </c>
      <c r="G993" s="11" t="s">
        <v>9</v>
      </c>
      <c r="H993" s="6" t="s">
        <v>10</v>
      </c>
      <c r="I993" s="21" t="s">
        <v>1067</v>
      </c>
      <c r="J993" s="18">
        <f>VLOOKUP(A993,[2]Export!$A:$B,2,0)</f>
        <v>5844.8708303680369</v>
      </c>
      <c r="K993" s="18">
        <f>VLOOKUP(A993,[2]Export!$A:$C,3,0)</f>
        <v>2578.81</v>
      </c>
      <c r="L993" s="19">
        <f t="shared" si="32"/>
        <v>0.44120906600730109</v>
      </c>
      <c r="M993" s="18">
        <f>VLOOKUP(A993,[2]Export!$A:$G,7,0)</f>
        <v>2306.2800000000002</v>
      </c>
      <c r="N993" s="19">
        <f t="shared" si="33"/>
        <v>0.39458185936587747</v>
      </c>
      <c r="O993" s="17" t="s">
        <v>1027</v>
      </c>
      <c r="P993" s="17" t="s">
        <v>1028</v>
      </c>
      <c r="Q993" s="17" t="s">
        <v>1023</v>
      </c>
      <c r="R993" s="17" t="str">
        <f>VLOOKUP(A993,[1]Export!$A:$I,9,0)</f>
        <v>Comprou Marcas</v>
      </c>
      <c r="S993" s="17" t="s">
        <v>1022</v>
      </c>
      <c r="T993" s="20"/>
      <c r="U993" s="17"/>
      <c r="V993" s="17"/>
    </row>
    <row r="994" spans="1:22" x14ac:dyDescent="0.35">
      <c r="A994" s="4">
        <v>19909093000108</v>
      </c>
      <c r="B994" s="7"/>
      <c r="C994" s="4"/>
      <c r="D994" s="1" t="s">
        <v>25</v>
      </c>
      <c r="E994" s="1" t="s">
        <v>588</v>
      </c>
      <c r="F994" s="1" t="s">
        <v>8</v>
      </c>
      <c r="G994" s="10" t="s">
        <v>9</v>
      </c>
      <c r="H994" s="1" t="s">
        <v>10</v>
      </c>
      <c r="I994" s="21" t="s">
        <v>1066</v>
      </c>
      <c r="J994" s="18">
        <f>VLOOKUP(A994,[2]Export!$A:$B,2,0)</f>
        <v>14853.094435978979</v>
      </c>
      <c r="K994" s="18">
        <f>VLOOKUP(A994,[2]Export!$A:$C,3,0)</f>
        <v>9594.5899999999965</v>
      </c>
      <c r="L994" s="19">
        <f t="shared" si="32"/>
        <v>0.64596573066679019</v>
      </c>
      <c r="M994" s="18">
        <f>VLOOKUP(A994,[2]Export!$A:$G,7,0)</f>
        <v>0</v>
      </c>
      <c r="N994" s="19">
        <f t="shared" si="33"/>
        <v>0</v>
      </c>
      <c r="O994" s="17" t="s">
        <v>1027</v>
      </c>
      <c r="P994" s="17" t="s">
        <v>1028</v>
      </c>
      <c r="Q994" s="17" t="s">
        <v>1023</v>
      </c>
      <c r="R994" s="17" t="str">
        <f>VLOOKUP(A994,[1]Export!$A:$I,9,0)</f>
        <v>Não Comprou</v>
      </c>
      <c r="S994" s="17" t="s">
        <v>1022</v>
      </c>
      <c r="T994" s="20"/>
      <c r="U994" s="17"/>
      <c r="V994" s="17">
        <v>1</v>
      </c>
    </row>
    <row r="995" spans="1:22" x14ac:dyDescent="0.35">
      <c r="A995" s="5">
        <v>21287037000112</v>
      </c>
      <c r="B995" s="7"/>
      <c r="C995" s="4"/>
      <c r="D995" s="6" t="s">
        <v>914</v>
      </c>
      <c r="E995" s="6" t="s">
        <v>542</v>
      </c>
      <c r="F995" s="6" t="s">
        <v>15</v>
      </c>
      <c r="G995" s="11" t="s">
        <v>20</v>
      </c>
      <c r="H995" s="6" t="s">
        <v>17</v>
      </c>
      <c r="I995" s="21" t="s">
        <v>1073</v>
      </c>
      <c r="J995" s="18">
        <f>VLOOKUP(A995,[2]Export!$A:$B,2,0)</f>
        <v>3111.2412585858483</v>
      </c>
      <c r="K995" s="18">
        <f>VLOOKUP(A995,[2]Export!$A:$C,3,0)</f>
        <v>889.6099999999999</v>
      </c>
      <c r="L995" s="19">
        <f t="shared" si="32"/>
        <v>0.28593410991353146</v>
      </c>
      <c r="M995" s="18">
        <f>VLOOKUP(A995,[2]Export!$A:$G,7,0)</f>
        <v>0</v>
      </c>
      <c r="N995" s="19">
        <f t="shared" si="33"/>
        <v>0</v>
      </c>
      <c r="O995" s="17" t="s">
        <v>1025</v>
      </c>
      <c r="P995" s="17" t="s">
        <v>1026</v>
      </c>
      <c r="Q995" s="17" t="s">
        <v>1023</v>
      </c>
      <c r="R995" s="17" t="str">
        <f>VLOOKUP(A995,[1]Export!$A:$I,9,0)</f>
        <v>Não Comprou</v>
      </c>
      <c r="S995" s="17" t="s">
        <v>1023</v>
      </c>
      <c r="T995" s="20"/>
      <c r="U995" s="17"/>
      <c r="V995" s="17"/>
    </row>
    <row r="996" spans="1:22" x14ac:dyDescent="0.35">
      <c r="A996" s="4">
        <v>43857147000105</v>
      </c>
      <c r="B996" s="7"/>
      <c r="C996" s="4"/>
      <c r="D996" s="1" t="s">
        <v>915</v>
      </c>
      <c r="E996" s="1" t="s">
        <v>390</v>
      </c>
      <c r="F996" s="1" t="s">
        <v>8</v>
      </c>
      <c r="G996" s="10" t="s">
        <v>16</v>
      </c>
      <c r="H996" s="1" t="s">
        <v>17</v>
      </c>
      <c r="I996" s="21" t="s">
        <v>1068</v>
      </c>
      <c r="J996" s="18">
        <f>VLOOKUP(A996,[2]Export!$A:$B,2,0)</f>
        <v>426.65398475353498</v>
      </c>
      <c r="K996" s="18">
        <f>VLOOKUP(A996,[2]Export!$A:$C,3,0)</f>
        <v>126.03</v>
      </c>
      <c r="L996" s="19">
        <f t="shared" si="32"/>
        <v>0.29539159249339647</v>
      </c>
      <c r="M996" s="18">
        <f>VLOOKUP(A996,[2]Export!$A:$G,7,0)</f>
        <v>0</v>
      </c>
      <c r="N996" s="19">
        <f t="shared" si="33"/>
        <v>0</v>
      </c>
      <c r="O996" s="17"/>
      <c r="P996" s="17"/>
      <c r="Q996" s="17"/>
      <c r="R996" s="17" t="str">
        <f>VLOOKUP(A996,[1]Export!$A:$I,9,0)</f>
        <v>Não Comprou</v>
      </c>
      <c r="S996" s="17"/>
      <c r="T996" s="20"/>
      <c r="U996" s="17"/>
      <c r="V996" s="17"/>
    </row>
    <row r="997" spans="1:22" x14ac:dyDescent="0.35">
      <c r="A997" s="5">
        <v>19825473000318</v>
      </c>
      <c r="B997" s="7"/>
      <c r="C997" s="4"/>
      <c r="D997" s="6" t="s">
        <v>916</v>
      </c>
      <c r="E997" s="6" t="s">
        <v>260</v>
      </c>
      <c r="F997" s="6" t="s">
        <v>8</v>
      </c>
      <c r="G997" s="11" t="s">
        <v>33</v>
      </c>
      <c r="H997" s="6" t="s">
        <v>17</v>
      </c>
      <c r="I997" s="21" t="s">
        <v>1066</v>
      </c>
      <c r="J997" s="18">
        <f>VLOOKUP(A997,[2]Export!$A:$B,2,0)</f>
        <v>13789.394358119849</v>
      </c>
      <c r="K997" s="18">
        <f>VLOOKUP(A997,[2]Export!$A:$C,3,0)</f>
        <v>12556.619999999999</v>
      </c>
      <c r="L997" s="19">
        <f t="shared" si="32"/>
        <v>0.91059981851966298</v>
      </c>
      <c r="M997" s="18">
        <f>VLOOKUP(A997,[2]Export!$A:$G,7,0)</f>
        <v>12156.210000000001</v>
      </c>
      <c r="N997" s="19">
        <f t="shared" si="33"/>
        <v>0.88156228506452483</v>
      </c>
      <c r="O997" s="17" t="s">
        <v>1025</v>
      </c>
      <c r="P997" s="17" t="s">
        <v>1026</v>
      </c>
      <c r="Q997" s="17" t="s">
        <v>1023</v>
      </c>
      <c r="R997" s="17" t="str">
        <f>VLOOKUP(A997,[1]Export!$A:$I,9,0)</f>
        <v>Comprou Marcas</v>
      </c>
      <c r="S997" s="17" t="s">
        <v>1022</v>
      </c>
      <c r="T997" s="20">
        <v>4</v>
      </c>
      <c r="U997" s="17">
        <v>6</v>
      </c>
      <c r="V997" s="17">
        <v>6</v>
      </c>
    </row>
    <row r="998" spans="1:22" x14ac:dyDescent="0.35">
      <c r="A998" s="4">
        <v>21013882000442</v>
      </c>
      <c r="B998" s="7" t="s">
        <v>1008</v>
      </c>
      <c r="C998" s="4"/>
      <c r="D998" s="1" t="s">
        <v>90</v>
      </c>
      <c r="E998" s="1" t="s">
        <v>82</v>
      </c>
      <c r="F998" s="1" t="s">
        <v>8</v>
      </c>
      <c r="G998" s="10" t="s">
        <v>64</v>
      </c>
      <c r="H998" s="1" t="s">
        <v>17</v>
      </c>
      <c r="I998" s="21" t="s">
        <v>1070</v>
      </c>
      <c r="J998" s="18">
        <f>VLOOKUP(A998,[2]Export!$A:$B,2,0)</f>
        <v>9478.815752142511</v>
      </c>
      <c r="K998" s="18">
        <f>VLOOKUP(A998,[2]Export!$A:$C,3,0)</f>
        <v>7889.59</v>
      </c>
      <c r="L998" s="19">
        <f t="shared" si="32"/>
        <v>0.83233920843083209</v>
      </c>
      <c r="M998" s="18">
        <f>VLOOKUP(A998,[2]Export!$A:$G,7,0)</f>
        <v>4845.8199999999988</v>
      </c>
      <c r="N998" s="19">
        <f t="shared" si="33"/>
        <v>0.51122630998547369</v>
      </c>
      <c r="O998" s="17" t="s">
        <v>1029</v>
      </c>
      <c r="P998" s="17" t="s">
        <v>1026</v>
      </c>
      <c r="Q998" s="17" t="s">
        <v>1022</v>
      </c>
      <c r="R998" s="17" t="str">
        <f>VLOOKUP(A998,[1]Export!$A:$I,9,0)</f>
        <v>Comprou Marcas</v>
      </c>
      <c r="S998" s="17" t="s">
        <v>1022</v>
      </c>
      <c r="T998" s="20">
        <v>4</v>
      </c>
      <c r="U998" s="17"/>
      <c r="V998" s="17"/>
    </row>
    <row r="999" spans="1:22" x14ac:dyDescent="0.35">
      <c r="A999" s="5">
        <v>21483918000109</v>
      </c>
      <c r="B999" s="7"/>
      <c r="C999" s="4"/>
      <c r="D999" s="6" t="s">
        <v>917</v>
      </c>
      <c r="E999" s="6" t="s">
        <v>35</v>
      </c>
      <c r="F999" s="6" t="s">
        <v>8</v>
      </c>
      <c r="G999" s="11" t="s">
        <v>918</v>
      </c>
      <c r="H999" s="6" t="s">
        <v>17</v>
      </c>
      <c r="I999" s="21" t="s">
        <v>1070</v>
      </c>
      <c r="J999" s="18">
        <f>VLOOKUP(A999,[2]Export!$A:$B,2,0)</f>
        <v>1017.4076593016185</v>
      </c>
      <c r="K999" s="18">
        <f>VLOOKUP(A999,[2]Export!$A:$C,3,0)</f>
        <v>902.51</v>
      </c>
      <c r="L999" s="19">
        <f t="shared" si="32"/>
        <v>0.88706821867206309</v>
      </c>
      <c r="M999" s="18">
        <f>VLOOKUP(A999,[2]Export!$A:$G,7,0)</f>
        <v>0</v>
      </c>
      <c r="N999" s="19">
        <f t="shared" si="33"/>
        <v>0</v>
      </c>
      <c r="O999" s="17" t="s">
        <v>1025</v>
      </c>
      <c r="P999" s="17" t="s">
        <v>1026</v>
      </c>
      <c r="Q999" s="17" t="s">
        <v>1023</v>
      </c>
      <c r="R999" s="17" t="str">
        <f>VLOOKUP(A999,[1]Export!$A:$I,9,0)</f>
        <v>Não Comprou</v>
      </c>
      <c r="S999" s="17" t="s">
        <v>1023</v>
      </c>
      <c r="T999" s="20"/>
      <c r="U999" s="17"/>
      <c r="V999" s="17"/>
    </row>
    <row r="1000" spans="1:22" x14ac:dyDescent="0.35">
      <c r="A1000" s="4">
        <v>22019833000137</v>
      </c>
      <c r="B1000" s="7" t="s">
        <v>346</v>
      </c>
      <c r="C1000" s="4"/>
      <c r="D1000" s="1" t="s">
        <v>346</v>
      </c>
      <c r="E1000" s="1" t="s">
        <v>52</v>
      </c>
      <c r="F1000" s="1" t="s">
        <v>8</v>
      </c>
      <c r="G1000" s="10" t="s">
        <v>36</v>
      </c>
      <c r="H1000" s="1" t="s">
        <v>17</v>
      </c>
      <c r="I1000" s="21" t="s">
        <v>1072</v>
      </c>
      <c r="J1000" s="18">
        <f>VLOOKUP(A1000,[2]Export!$A:$B,2,0)</f>
        <v>5887.8773572750333</v>
      </c>
      <c r="K1000" s="18">
        <f>VLOOKUP(A1000,[2]Export!$A:$C,3,0)</f>
        <v>4142.3</v>
      </c>
      <c r="L1000" s="19">
        <f t="shared" si="32"/>
        <v>0.70353027902012832</v>
      </c>
      <c r="M1000" s="18">
        <f>VLOOKUP(A1000,[2]Export!$A:$G,7,0)</f>
        <v>137.85</v>
      </c>
      <c r="N1000" s="19">
        <f t="shared" si="33"/>
        <v>2.341251212199133E-2</v>
      </c>
      <c r="O1000" s="17" t="s">
        <v>1025</v>
      </c>
      <c r="P1000" s="17" t="s">
        <v>1026</v>
      </c>
      <c r="Q1000" s="17" t="s">
        <v>1023</v>
      </c>
      <c r="R1000" s="17" t="str">
        <f>VLOOKUP(A1000,[1]Export!$A:$I,9,0)</f>
        <v>Comprou Marcas</v>
      </c>
      <c r="S1000" s="17" t="s">
        <v>1022</v>
      </c>
      <c r="T1000" s="20"/>
      <c r="U1000" s="17"/>
      <c r="V1000" s="17"/>
    </row>
    <row r="1001" spans="1:22" x14ac:dyDescent="0.35">
      <c r="A1001" s="5">
        <v>22977550000106</v>
      </c>
      <c r="B1001" s="7"/>
      <c r="C1001" s="4"/>
      <c r="D1001" s="6" t="s">
        <v>919</v>
      </c>
      <c r="E1001" s="6" t="s">
        <v>436</v>
      </c>
      <c r="F1001" s="6" t="s">
        <v>8</v>
      </c>
      <c r="G1001" s="11" t="s">
        <v>16</v>
      </c>
      <c r="H1001" s="6" t="s">
        <v>17</v>
      </c>
      <c r="I1001" s="21" t="s">
        <v>1070</v>
      </c>
      <c r="J1001" s="18">
        <f>VLOOKUP(A1001,[2]Export!$A:$B,2,0)</f>
        <v>1954.8323999886154</v>
      </c>
      <c r="K1001" s="18">
        <f>VLOOKUP(A1001,[2]Export!$A:$C,3,0)</f>
        <v>223.80999999999997</v>
      </c>
      <c r="L1001" s="19">
        <f t="shared" si="32"/>
        <v>0.11449063357109458</v>
      </c>
      <c r="M1001" s="18">
        <f>VLOOKUP(A1001,[2]Export!$A:$G,7,0)</f>
        <v>0</v>
      </c>
      <c r="N1001" s="19">
        <f t="shared" si="33"/>
        <v>0</v>
      </c>
      <c r="O1001" s="17" t="s">
        <v>1027</v>
      </c>
      <c r="P1001" s="17" t="s">
        <v>1028</v>
      </c>
      <c r="Q1001" s="17" t="s">
        <v>1023</v>
      </c>
      <c r="R1001" s="17" t="str">
        <f>VLOOKUP(A1001,[1]Export!$A:$I,9,0)</f>
        <v>Não Comprou</v>
      </c>
      <c r="S1001" s="17" t="s">
        <v>1022</v>
      </c>
      <c r="T1001" s="20"/>
      <c r="U1001" s="17"/>
      <c r="V1001" s="17"/>
    </row>
    <row r="1002" spans="1:22" x14ac:dyDescent="0.35">
      <c r="A1002" s="4">
        <v>23866159000199</v>
      </c>
      <c r="B1002" s="7"/>
      <c r="C1002" s="4"/>
      <c r="D1002" s="1" t="s">
        <v>920</v>
      </c>
      <c r="E1002" s="1" t="s">
        <v>305</v>
      </c>
      <c r="F1002" s="1" t="s">
        <v>15</v>
      </c>
      <c r="G1002" s="10" t="s">
        <v>36</v>
      </c>
      <c r="H1002" s="1" t="s">
        <v>17</v>
      </c>
      <c r="I1002" s="21" t="s">
        <v>1069</v>
      </c>
      <c r="J1002" s="18">
        <f>VLOOKUP(A1002,[2]Export!$A:$B,2,0)</f>
        <v>3446.182249778793</v>
      </c>
      <c r="K1002" s="18">
        <f>VLOOKUP(A1002,[2]Export!$A:$C,3,0)</f>
        <v>1056.95</v>
      </c>
      <c r="L1002" s="19">
        <f t="shared" si="32"/>
        <v>0.30670171319808887</v>
      </c>
      <c r="M1002" s="18">
        <f>VLOOKUP(A1002,[2]Export!$A:$G,7,0)</f>
        <v>0</v>
      </c>
      <c r="N1002" s="19">
        <f t="shared" si="33"/>
        <v>0</v>
      </c>
      <c r="O1002" s="17" t="s">
        <v>1025</v>
      </c>
      <c r="P1002" s="17" t="s">
        <v>1026</v>
      </c>
      <c r="Q1002" s="17" t="s">
        <v>1023</v>
      </c>
      <c r="R1002" s="17" t="str">
        <f>VLOOKUP(A1002,[1]Export!$A:$I,9,0)</f>
        <v>Não Comprou</v>
      </c>
      <c r="S1002" s="17" t="s">
        <v>1023</v>
      </c>
      <c r="T1002" s="20"/>
      <c r="U1002" s="17"/>
      <c r="V1002" s="17"/>
    </row>
    <row r="1003" spans="1:22" x14ac:dyDescent="0.35">
      <c r="A1003" s="5">
        <v>33156596000172</v>
      </c>
      <c r="B1003" s="7"/>
      <c r="C1003" s="4"/>
      <c r="D1003" s="6" t="s">
        <v>397</v>
      </c>
      <c r="E1003" s="6" t="s">
        <v>221</v>
      </c>
      <c r="F1003" s="6" t="s">
        <v>15</v>
      </c>
      <c r="G1003" s="11" t="s">
        <v>20</v>
      </c>
      <c r="H1003" s="6" t="s">
        <v>17</v>
      </c>
      <c r="I1003" s="21" t="s">
        <v>1073</v>
      </c>
      <c r="J1003" s="18">
        <f>VLOOKUP(A1003,[2]Export!$A:$B,2,0)</f>
        <v>3412.4468953404275</v>
      </c>
      <c r="K1003" s="18">
        <f>VLOOKUP(A1003,[2]Export!$A:$C,3,0)</f>
        <v>539.54</v>
      </c>
      <c r="L1003" s="19">
        <f t="shared" si="32"/>
        <v>0.15810942017492557</v>
      </c>
      <c r="M1003" s="18">
        <f>VLOOKUP(A1003,[2]Export!$A:$G,7,0)</f>
        <v>0</v>
      </c>
      <c r="N1003" s="19">
        <f t="shared" si="33"/>
        <v>0</v>
      </c>
      <c r="O1003" s="17" t="s">
        <v>1025</v>
      </c>
      <c r="P1003" s="17" t="s">
        <v>1026</v>
      </c>
      <c r="Q1003" s="17" t="s">
        <v>1023</v>
      </c>
      <c r="R1003" s="17" t="str">
        <f>VLOOKUP(A1003,[1]Export!$A:$I,9,0)</f>
        <v>Não Comprou</v>
      </c>
      <c r="S1003" s="17" t="s">
        <v>1023</v>
      </c>
      <c r="T1003" s="20">
        <v>1</v>
      </c>
      <c r="U1003" s="17"/>
      <c r="V1003" s="17"/>
    </row>
    <row r="1004" spans="1:22" x14ac:dyDescent="0.35">
      <c r="A1004" s="4">
        <v>26851782000166</v>
      </c>
      <c r="B1004" s="7"/>
      <c r="C1004" s="4"/>
      <c r="D1004" s="1" t="s">
        <v>921</v>
      </c>
      <c r="E1004" s="1" t="s">
        <v>129</v>
      </c>
      <c r="F1004" s="1" t="s">
        <v>15</v>
      </c>
      <c r="G1004" s="10" t="s">
        <v>20</v>
      </c>
      <c r="H1004" s="1" t="s">
        <v>17</v>
      </c>
      <c r="I1004" s="21" t="s">
        <v>1069</v>
      </c>
      <c r="J1004" s="18">
        <f>VLOOKUP(A1004,[2]Export!$A:$B,2,0)</f>
        <v>1882.8532025039988</v>
      </c>
      <c r="K1004" s="18">
        <f>VLOOKUP(A1004,[2]Export!$A:$C,3,0)</f>
        <v>1204.8499999999999</v>
      </c>
      <c r="L1004" s="19">
        <f t="shared" si="32"/>
        <v>0.63990649849795767</v>
      </c>
      <c r="M1004" s="18">
        <f>VLOOKUP(A1004,[2]Export!$A:$G,7,0)</f>
        <v>0</v>
      </c>
      <c r="N1004" s="19">
        <f t="shared" si="33"/>
        <v>0</v>
      </c>
      <c r="O1004" s="17" t="s">
        <v>1025</v>
      </c>
      <c r="P1004" s="17" t="s">
        <v>1026</v>
      </c>
      <c r="Q1004" s="17" t="s">
        <v>1023</v>
      </c>
      <c r="R1004" s="17" t="str">
        <f>VLOOKUP(A1004,[1]Export!$A:$I,9,0)</f>
        <v>Não Comprou</v>
      </c>
      <c r="S1004" s="17" t="s">
        <v>1023</v>
      </c>
      <c r="T1004" s="20"/>
      <c r="U1004" s="17"/>
      <c r="V1004" s="17"/>
    </row>
    <row r="1005" spans="1:22" x14ac:dyDescent="0.35">
      <c r="A1005" s="5">
        <v>27114394000165</v>
      </c>
      <c r="B1005" s="7"/>
      <c r="C1005" s="4"/>
      <c r="D1005" s="6" t="s">
        <v>922</v>
      </c>
      <c r="E1005" s="6" t="s">
        <v>379</v>
      </c>
      <c r="F1005" s="6" t="s">
        <v>15</v>
      </c>
      <c r="G1005" s="11" t="s">
        <v>20</v>
      </c>
      <c r="H1005" s="6" t="s">
        <v>17</v>
      </c>
      <c r="I1005" s="21" t="s">
        <v>1073</v>
      </c>
      <c r="J1005" s="18">
        <f>VLOOKUP(A1005,[2]Export!$A:$B,2,0)</f>
        <v>799.14075678287747</v>
      </c>
      <c r="K1005" s="18">
        <f>VLOOKUP(A1005,[2]Export!$A:$C,3,0)</f>
        <v>45.08</v>
      </c>
      <c r="L1005" s="19">
        <f t="shared" si="32"/>
        <v>5.6410588018911426E-2</v>
      </c>
      <c r="M1005" s="18">
        <f>VLOOKUP(A1005,[2]Export!$A:$G,7,0)</f>
        <v>0</v>
      </c>
      <c r="N1005" s="19">
        <f t="shared" si="33"/>
        <v>0</v>
      </c>
      <c r="O1005" s="17" t="s">
        <v>1025</v>
      </c>
      <c r="P1005" s="17" t="s">
        <v>1026</v>
      </c>
      <c r="Q1005" s="17" t="s">
        <v>1023</v>
      </c>
      <c r="R1005" s="17" t="str">
        <f>VLOOKUP(A1005,[1]Export!$A:$I,9,0)</f>
        <v>Não Comprou</v>
      </c>
      <c r="S1005" s="17" t="s">
        <v>1023</v>
      </c>
      <c r="T1005" s="20"/>
      <c r="U1005" s="17"/>
      <c r="V1005" s="17"/>
    </row>
    <row r="1006" spans="1:22" x14ac:dyDescent="0.35">
      <c r="A1006" s="4">
        <v>12113721000197</v>
      </c>
      <c r="B1006" s="7"/>
      <c r="C1006" s="4"/>
      <c r="D1006" s="1" t="s">
        <v>923</v>
      </c>
      <c r="E1006" s="1" t="s">
        <v>596</v>
      </c>
      <c r="F1006" s="1" t="s">
        <v>48</v>
      </c>
      <c r="G1006" s="10" t="s">
        <v>16</v>
      </c>
      <c r="H1006" s="1" t="s">
        <v>17</v>
      </c>
      <c r="I1006" s="21" t="s">
        <v>1071</v>
      </c>
      <c r="J1006" s="18">
        <f>VLOOKUP(A1006,[2]Export!$A:$B,2,0)</f>
        <v>5727.7597048500511</v>
      </c>
      <c r="K1006" s="18">
        <f>VLOOKUP(A1006,[2]Export!$A:$C,3,0)</f>
        <v>2901.8700000000008</v>
      </c>
      <c r="L1006" s="19">
        <f t="shared" si="32"/>
        <v>0.5066326364115461</v>
      </c>
      <c r="M1006" s="18">
        <f>VLOOKUP(A1006,[2]Export!$A:$G,7,0)</f>
        <v>1449.7399999999998</v>
      </c>
      <c r="N1006" s="19">
        <f t="shared" si="33"/>
        <v>0.2531076851517382</v>
      </c>
      <c r="O1006" s="17" t="s">
        <v>1027</v>
      </c>
      <c r="P1006" s="17" t="s">
        <v>1028</v>
      </c>
      <c r="Q1006" s="17" t="s">
        <v>1023</v>
      </c>
      <c r="R1006" s="17" t="str">
        <f>VLOOKUP(A1006,[1]Export!$A:$I,9,0)</f>
        <v>Comprou Marcas e SG</v>
      </c>
      <c r="S1006" s="17" t="s">
        <v>1022</v>
      </c>
      <c r="T1006" s="20"/>
      <c r="U1006" s="17"/>
      <c r="V1006" s="17"/>
    </row>
    <row r="1007" spans="1:22" x14ac:dyDescent="0.35">
      <c r="A1007" s="5">
        <v>932885000167</v>
      </c>
      <c r="B1007" s="7"/>
      <c r="C1007" s="4"/>
      <c r="D1007" s="6" t="s">
        <v>924</v>
      </c>
      <c r="E1007" s="6" t="s">
        <v>925</v>
      </c>
      <c r="F1007" s="6" t="s">
        <v>48</v>
      </c>
      <c r="G1007" s="11" t="s">
        <v>20</v>
      </c>
      <c r="H1007" s="6" t="s">
        <v>17</v>
      </c>
      <c r="I1007" s="21" t="s">
        <v>1071</v>
      </c>
      <c r="J1007" s="18">
        <f>VLOOKUP(A1007,[2]Export!$A:$B,2,0)</f>
        <v>7962.883797188123</v>
      </c>
      <c r="K1007" s="18">
        <f>VLOOKUP(A1007,[2]Export!$A:$C,3,0)</f>
        <v>5794.2800000000016</v>
      </c>
      <c r="L1007" s="19">
        <f t="shared" si="32"/>
        <v>0.72766100166450942</v>
      </c>
      <c r="M1007" s="18">
        <f>VLOOKUP(A1007,[2]Export!$A:$G,7,0)</f>
        <v>5029.84</v>
      </c>
      <c r="N1007" s="19">
        <f t="shared" si="33"/>
        <v>0.63166060539225144</v>
      </c>
      <c r="O1007" s="17" t="s">
        <v>1025</v>
      </c>
      <c r="P1007" s="17" t="s">
        <v>1026</v>
      </c>
      <c r="Q1007" s="17" t="s">
        <v>1023</v>
      </c>
      <c r="R1007" s="17" t="str">
        <f>VLOOKUP(A1007,[1]Export!$A:$I,9,0)</f>
        <v>Comprou Marcas</v>
      </c>
      <c r="S1007" s="17" t="s">
        <v>1023</v>
      </c>
      <c r="T1007" s="20"/>
      <c r="U1007" s="17"/>
      <c r="V1007" s="17"/>
    </row>
    <row r="1008" spans="1:22" x14ac:dyDescent="0.35">
      <c r="A1008" s="4">
        <v>2291187000155</v>
      </c>
      <c r="B1008" s="7"/>
      <c r="C1008" s="4"/>
      <c r="D1008" s="1" t="s">
        <v>926</v>
      </c>
      <c r="E1008" s="1" t="s">
        <v>316</v>
      </c>
      <c r="F1008" s="1" t="s">
        <v>48</v>
      </c>
      <c r="G1008" s="10" t="s">
        <v>20</v>
      </c>
      <c r="H1008" s="1" t="s">
        <v>17</v>
      </c>
      <c r="I1008" s="21" t="s">
        <v>1071</v>
      </c>
      <c r="J1008" s="18">
        <f>VLOOKUP(A1008,[2]Export!$A:$B,2,0)</f>
        <v>2869.5116401016776</v>
      </c>
      <c r="K1008" s="18">
        <f>VLOOKUP(A1008,[2]Export!$A:$C,3,0)</f>
        <v>445.28</v>
      </c>
      <c r="L1008" s="19">
        <f t="shared" si="32"/>
        <v>0.15517623060912972</v>
      </c>
      <c r="M1008" s="18">
        <f>VLOOKUP(A1008,[2]Export!$A:$G,7,0)</f>
        <v>212.07</v>
      </c>
      <c r="N1008" s="19">
        <f t="shared" si="33"/>
        <v>7.3904561680915692E-2</v>
      </c>
      <c r="O1008" s="17" t="s">
        <v>1027</v>
      </c>
      <c r="P1008" s="17" t="s">
        <v>1026</v>
      </c>
      <c r="Q1008" s="17" t="s">
        <v>1023</v>
      </c>
      <c r="R1008" s="17" t="str">
        <f>VLOOKUP(A1008,[1]Export!$A:$I,9,0)</f>
        <v>Comprou Marcas</v>
      </c>
      <c r="S1008" s="17" t="s">
        <v>1022</v>
      </c>
      <c r="T1008" s="20"/>
      <c r="U1008" s="17"/>
      <c r="V1008" s="17"/>
    </row>
    <row r="1009" spans="1:22" x14ac:dyDescent="0.35">
      <c r="A1009" s="5">
        <v>5335462000183</v>
      </c>
      <c r="B1009" s="7"/>
      <c r="C1009" s="4"/>
      <c r="D1009" s="6" t="s">
        <v>927</v>
      </c>
      <c r="E1009" s="6" t="s">
        <v>125</v>
      </c>
      <c r="F1009" s="6" t="s">
        <v>15</v>
      </c>
      <c r="G1009" s="11" t="s">
        <v>20</v>
      </c>
      <c r="H1009" s="6" t="s">
        <v>17</v>
      </c>
      <c r="I1009" s="21" t="s">
        <v>1067</v>
      </c>
      <c r="J1009" s="18">
        <f>VLOOKUP(A1009,[2]Export!$A:$B,2,0)</f>
        <v>2019.6289893893813</v>
      </c>
      <c r="K1009" s="18">
        <f>VLOOKUP(A1009,[2]Export!$A:$C,3,0)</f>
        <v>1249.79</v>
      </c>
      <c r="L1009" s="19">
        <f t="shared" si="32"/>
        <v>0.61882157889695566</v>
      </c>
      <c r="M1009" s="18">
        <f>VLOOKUP(A1009,[2]Export!$A:$G,7,0)</f>
        <v>0</v>
      </c>
      <c r="N1009" s="19">
        <f t="shared" si="33"/>
        <v>0</v>
      </c>
      <c r="O1009" s="17" t="s">
        <v>1025</v>
      </c>
      <c r="P1009" s="17" t="s">
        <v>1026</v>
      </c>
      <c r="Q1009" s="17" t="s">
        <v>1023</v>
      </c>
      <c r="R1009" s="17" t="str">
        <f>VLOOKUP(A1009,[1]Export!$A:$I,9,0)</f>
        <v>Não Comprou</v>
      </c>
      <c r="S1009" s="17" t="s">
        <v>1023</v>
      </c>
      <c r="T1009" s="20"/>
      <c r="U1009" s="17"/>
      <c r="V1009" s="17"/>
    </row>
    <row r="1010" spans="1:22" x14ac:dyDescent="0.35">
      <c r="A1010" s="4">
        <v>15794259000200</v>
      </c>
      <c r="B1010" s="7"/>
      <c r="C1010" s="4"/>
      <c r="D1010" s="1" t="s">
        <v>928</v>
      </c>
      <c r="E1010" s="1" t="s">
        <v>166</v>
      </c>
      <c r="F1010" s="1" t="s">
        <v>8</v>
      </c>
      <c r="G1010" s="10" t="s">
        <v>36</v>
      </c>
      <c r="H1010" s="1" t="s">
        <v>17</v>
      </c>
      <c r="I1010" s="21" t="s">
        <v>1068</v>
      </c>
      <c r="J1010" s="18">
        <f>VLOOKUP(A1010,[2]Export!$A:$B,2,0)</f>
        <v>3157.0520799078463</v>
      </c>
      <c r="K1010" s="18">
        <f>VLOOKUP(A1010,[2]Export!$A:$C,3,0)</f>
        <v>1094.93</v>
      </c>
      <c r="L1010" s="19">
        <f t="shared" si="32"/>
        <v>0.34682037935590876</v>
      </c>
      <c r="M1010" s="18">
        <f>VLOOKUP(A1010,[2]Export!$A:$G,7,0)</f>
        <v>0</v>
      </c>
      <c r="N1010" s="19">
        <f t="shared" si="33"/>
        <v>0</v>
      </c>
      <c r="O1010" s="17" t="s">
        <v>1025</v>
      </c>
      <c r="P1010" s="17" t="s">
        <v>1026</v>
      </c>
      <c r="Q1010" s="17" t="s">
        <v>1023</v>
      </c>
      <c r="R1010" s="17" t="str">
        <f>VLOOKUP(A1010,[1]Export!$A:$I,9,0)</f>
        <v>Não Comprou</v>
      </c>
      <c r="S1010" s="17" t="s">
        <v>1023</v>
      </c>
      <c r="T1010" s="20"/>
      <c r="U1010" s="17"/>
      <c r="V1010" s="17"/>
    </row>
    <row r="1011" spans="1:22" x14ac:dyDescent="0.35">
      <c r="A1011" s="5">
        <v>15317875000199</v>
      </c>
      <c r="B1011" s="7"/>
      <c r="C1011" s="4"/>
      <c r="D1011" s="6" t="s">
        <v>179</v>
      </c>
      <c r="E1011" s="6" t="s">
        <v>358</v>
      </c>
      <c r="F1011" s="6" t="s">
        <v>15</v>
      </c>
      <c r="G1011" s="11" t="s">
        <v>36</v>
      </c>
      <c r="H1011" s="6" t="s">
        <v>17</v>
      </c>
      <c r="I1011" s="21" t="s">
        <v>1069</v>
      </c>
      <c r="J1011" s="18">
        <f>VLOOKUP(A1011,[2]Export!$A:$B,2,0)</f>
        <v>4935.7920655737089</v>
      </c>
      <c r="K1011" s="18">
        <f>VLOOKUP(A1011,[2]Export!$A:$C,3,0)</f>
        <v>5079.3699999999981</v>
      </c>
      <c r="L1011" s="19">
        <f t="shared" si="32"/>
        <v>1.0290891375728164</v>
      </c>
      <c r="M1011" s="18">
        <f>VLOOKUP(A1011,[2]Export!$A:$G,7,0)</f>
        <v>2869.7800000000007</v>
      </c>
      <c r="N1011" s="19">
        <f t="shared" si="33"/>
        <v>0.58142238608798313</v>
      </c>
      <c r="O1011" s="17" t="s">
        <v>1025</v>
      </c>
      <c r="P1011" s="17" t="s">
        <v>1026</v>
      </c>
      <c r="Q1011" s="17" t="s">
        <v>1022</v>
      </c>
      <c r="R1011" s="17" t="str">
        <f>VLOOKUP(A1011,[1]Export!$A:$I,9,0)</f>
        <v>Comprou Marcas</v>
      </c>
      <c r="S1011" s="17" t="s">
        <v>1023</v>
      </c>
      <c r="T1011" s="20"/>
      <c r="U1011" s="17"/>
      <c r="V1011" s="17"/>
    </row>
    <row r="1012" spans="1:22" x14ac:dyDescent="0.35">
      <c r="A1012" s="4">
        <v>22379586000180</v>
      </c>
      <c r="B1012" s="7" t="s">
        <v>996</v>
      </c>
      <c r="C1012" s="4"/>
      <c r="D1012" s="1" t="s">
        <v>59</v>
      </c>
      <c r="E1012" s="1" t="s">
        <v>324</v>
      </c>
      <c r="F1012" s="1" t="s">
        <v>15</v>
      </c>
      <c r="G1012" s="10" t="s">
        <v>9</v>
      </c>
      <c r="H1012" s="1" t="s">
        <v>10</v>
      </c>
      <c r="I1012" s="21" t="s">
        <v>1069</v>
      </c>
      <c r="J1012" s="18">
        <f>VLOOKUP(A1012,[2]Export!$A:$B,2,0)</f>
        <v>9185.2636053877577</v>
      </c>
      <c r="K1012" s="18">
        <f>VLOOKUP(A1012,[2]Export!$A:$C,3,0)</f>
        <v>6441.329999999999</v>
      </c>
      <c r="L1012" s="19">
        <f t="shared" si="32"/>
        <v>0.70126784344237414</v>
      </c>
      <c r="M1012" s="18">
        <f>VLOOKUP(A1012,[2]Export!$A:$G,7,0)</f>
        <v>3396.64</v>
      </c>
      <c r="N1012" s="19">
        <f t="shared" si="33"/>
        <v>0.36979232670117912</v>
      </c>
      <c r="O1012" s="17" t="s">
        <v>1027</v>
      </c>
      <c r="P1012" s="17" t="s">
        <v>1028</v>
      </c>
      <c r="Q1012" s="17" t="s">
        <v>1023</v>
      </c>
      <c r="R1012" s="17" t="str">
        <f>VLOOKUP(A1012,[1]Export!$A:$I,9,0)</f>
        <v>Comprou Marcas e SG</v>
      </c>
      <c r="S1012" s="17" t="s">
        <v>1022</v>
      </c>
      <c r="T1012" s="20"/>
      <c r="U1012" s="17"/>
      <c r="V1012" s="17"/>
    </row>
    <row r="1013" spans="1:22" x14ac:dyDescent="0.35">
      <c r="A1013" s="5">
        <v>23829894000122</v>
      </c>
      <c r="B1013" s="7"/>
      <c r="C1013" s="4"/>
      <c r="D1013" s="6" t="s">
        <v>449</v>
      </c>
      <c r="E1013" s="6" t="s">
        <v>291</v>
      </c>
      <c r="F1013" s="6" t="s">
        <v>8</v>
      </c>
      <c r="G1013" s="11" t="s">
        <v>36</v>
      </c>
      <c r="H1013" s="6" t="s">
        <v>17</v>
      </c>
      <c r="I1013" s="21" t="s">
        <v>1066</v>
      </c>
      <c r="J1013" s="18">
        <f>VLOOKUP(A1013,[2]Export!$A:$B,2,0)</f>
        <v>18833.694912583331</v>
      </c>
      <c r="K1013" s="18">
        <f>VLOOKUP(A1013,[2]Export!$A:$C,3,0)</f>
        <v>16911.840000000004</v>
      </c>
      <c r="L1013" s="19">
        <f t="shared" si="32"/>
        <v>0.89795656553301817</v>
      </c>
      <c r="M1013" s="18">
        <f>VLOOKUP(A1013,[2]Export!$A:$G,7,0)</f>
        <v>13565.759999999995</v>
      </c>
      <c r="N1013" s="19">
        <f t="shared" si="33"/>
        <v>0.72029201189493208</v>
      </c>
      <c r="O1013" s="17" t="s">
        <v>1025</v>
      </c>
      <c r="P1013" s="17" t="s">
        <v>1026</v>
      </c>
      <c r="Q1013" s="17" t="s">
        <v>1023</v>
      </c>
      <c r="R1013" s="17" t="str">
        <f>VLOOKUP(A1013,[1]Export!$A:$I,9,0)</f>
        <v>Comprou Marcas</v>
      </c>
      <c r="S1013" s="17" t="s">
        <v>1022</v>
      </c>
      <c r="T1013" s="20">
        <v>8</v>
      </c>
      <c r="U1013" s="17"/>
      <c r="V1013" s="17"/>
    </row>
    <row r="1014" spans="1:22" x14ac:dyDescent="0.35">
      <c r="A1014" s="5">
        <v>74641994000161</v>
      </c>
      <c r="B1014" s="7"/>
      <c r="C1014" s="4"/>
      <c r="D1014" s="6" t="s">
        <v>852</v>
      </c>
      <c r="E1014" s="6" t="s">
        <v>354</v>
      </c>
      <c r="F1014" s="6" t="s">
        <v>48</v>
      </c>
      <c r="G1014" s="11" t="s">
        <v>38</v>
      </c>
      <c r="H1014" s="6" t="s">
        <v>17</v>
      </c>
      <c r="I1014" s="21" t="s">
        <v>1073</v>
      </c>
      <c r="J1014" s="18">
        <f>VLOOKUP(A1014,[2]Export!$A:$B,2,0)</f>
        <v>2017.1423999901683</v>
      </c>
      <c r="K1014" s="18">
        <f>VLOOKUP(A1014,[2]Export!$A:$C,3,0)</f>
        <v>2680.1600000000003</v>
      </c>
      <c r="L1014" s="19">
        <f t="shared" si="32"/>
        <v>1.3286915192566791</v>
      </c>
      <c r="M1014" s="18">
        <f>VLOOKUP(A1014,[2]Export!$A:$G,7,0)</f>
        <v>0</v>
      </c>
      <c r="N1014" s="19">
        <f t="shared" si="33"/>
        <v>0</v>
      </c>
      <c r="O1014" s="17"/>
      <c r="P1014" s="17"/>
      <c r="Q1014" s="17"/>
      <c r="R1014" s="17" t="str">
        <f>VLOOKUP(A1014,[1]Export!$A:$I,9,0)</f>
        <v>Não Comprou</v>
      </c>
      <c r="S1014" s="17"/>
      <c r="T1014" s="20"/>
      <c r="U1014" s="17"/>
      <c r="V1014" s="17"/>
    </row>
    <row r="1015" spans="1:22" x14ac:dyDescent="0.35">
      <c r="A1015" s="5">
        <v>19942147000129</v>
      </c>
      <c r="B1015" s="7"/>
      <c r="C1015" s="4"/>
      <c r="D1015" s="6" t="s">
        <v>930</v>
      </c>
      <c r="E1015" s="6" t="s">
        <v>178</v>
      </c>
      <c r="F1015" s="6" t="s">
        <v>15</v>
      </c>
      <c r="G1015" s="11" t="s">
        <v>20</v>
      </c>
      <c r="H1015" s="6" t="s">
        <v>17</v>
      </c>
      <c r="I1015" s="21" t="s">
        <v>1073</v>
      </c>
      <c r="J1015" s="18">
        <f>VLOOKUP(A1015,[2]Export!$A:$B,2,0)</f>
        <v>4435.2294836603705</v>
      </c>
      <c r="K1015" s="18">
        <f>VLOOKUP(A1015,[2]Export!$A:$C,3,0)</f>
        <v>1128.3500000000001</v>
      </c>
      <c r="L1015" s="19">
        <f t="shared" si="32"/>
        <v>0.25440622726668455</v>
      </c>
      <c r="M1015" s="18">
        <f>VLOOKUP(A1015,[2]Export!$A:$G,7,0)</f>
        <v>314.10000000000002</v>
      </c>
      <c r="N1015" s="19">
        <f t="shared" si="33"/>
        <v>7.0819334412607446E-2</v>
      </c>
      <c r="O1015" s="17" t="s">
        <v>1029</v>
      </c>
      <c r="P1015" s="17" t="s">
        <v>1026</v>
      </c>
      <c r="Q1015" s="17" t="s">
        <v>1022</v>
      </c>
      <c r="R1015" s="17" t="str">
        <f>VLOOKUP(A1015,[1]Export!$A:$I,9,0)</f>
        <v>Comprou Marcas</v>
      </c>
      <c r="S1015" s="17" t="s">
        <v>1022</v>
      </c>
      <c r="T1015" s="20"/>
      <c r="U1015" s="17"/>
      <c r="V1015" s="17"/>
    </row>
    <row r="1016" spans="1:22" x14ac:dyDescent="0.35">
      <c r="A1016" s="4">
        <v>20119949000112</v>
      </c>
      <c r="B1016" s="7"/>
      <c r="C1016" s="4"/>
      <c r="D1016" s="1" t="s">
        <v>247</v>
      </c>
      <c r="E1016" s="1" t="s">
        <v>14</v>
      </c>
      <c r="F1016" s="1" t="s">
        <v>15</v>
      </c>
      <c r="G1016" s="10" t="s">
        <v>36</v>
      </c>
      <c r="H1016" s="1" t="s">
        <v>17</v>
      </c>
      <c r="I1016" s="21" t="s">
        <v>1067</v>
      </c>
      <c r="J1016" s="18">
        <f>VLOOKUP(A1016,[2]Export!$A:$B,2,0)</f>
        <v>3725.5510871931424</v>
      </c>
      <c r="K1016" s="18">
        <f>VLOOKUP(A1016,[2]Export!$A:$C,3,0)</f>
        <v>1304.2700000000004</v>
      </c>
      <c r="L1016" s="19">
        <f t="shared" si="32"/>
        <v>0.35008780432068831</v>
      </c>
      <c r="M1016" s="18">
        <f>VLOOKUP(A1016,[2]Export!$A:$G,7,0)</f>
        <v>0</v>
      </c>
      <c r="N1016" s="19">
        <f t="shared" si="33"/>
        <v>0</v>
      </c>
      <c r="O1016" s="17" t="s">
        <v>1029</v>
      </c>
      <c r="P1016" s="17" t="s">
        <v>1026</v>
      </c>
      <c r="Q1016" s="17" t="s">
        <v>1022</v>
      </c>
      <c r="R1016" s="17" t="str">
        <f>VLOOKUP(A1016,[1]Export!$A:$I,9,0)</f>
        <v>Não Comprou</v>
      </c>
      <c r="S1016" s="17" t="s">
        <v>1022</v>
      </c>
      <c r="T1016" s="20"/>
      <c r="U1016" s="17"/>
      <c r="V1016" s="17"/>
    </row>
    <row r="1017" spans="1:22" x14ac:dyDescent="0.35">
      <c r="A1017" s="5">
        <v>14324344000160</v>
      </c>
      <c r="B1017" s="7"/>
      <c r="C1017" s="4"/>
      <c r="D1017" s="6" t="s">
        <v>931</v>
      </c>
      <c r="E1017" s="6" t="s">
        <v>330</v>
      </c>
      <c r="F1017" s="6" t="s">
        <v>15</v>
      </c>
      <c r="G1017" s="11" t="s">
        <v>932</v>
      </c>
      <c r="H1017" s="6" t="s">
        <v>17</v>
      </c>
      <c r="I1017" s="21" t="s">
        <v>1069</v>
      </c>
      <c r="J1017" s="18">
        <f>VLOOKUP(A1017,[2]Export!$A:$B,2,0)</f>
        <v>2615.3872434696023</v>
      </c>
      <c r="K1017" s="18">
        <f>VLOOKUP(A1017,[2]Export!$A:$C,3,0)</f>
        <v>497.34000000000003</v>
      </c>
      <c r="L1017" s="19">
        <f t="shared" si="32"/>
        <v>0.19015922068206739</v>
      </c>
      <c r="M1017" s="18">
        <f>VLOOKUP(A1017,[2]Export!$A:$G,7,0)</f>
        <v>0</v>
      </c>
      <c r="N1017" s="19">
        <f t="shared" si="33"/>
        <v>0</v>
      </c>
      <c r="O1017" s="17"/>
      <c r="P1017" s="17"/>
      <c r="Q1017" s="17"/>
      <c r="R1017" s="17" t="str">
        <f>VLOOKUP(A1017,[1]Export!$A:$I,9,0)</f>
        <v>Comprou SG</v>
      </c>
      <c r="S1017" s="17"/>
      <c r="T1017" s="20"/>
      <c r="U1017" s="17"/>
      <c r="V1017" s="17"/>
    </row>
    <row r="1018" spans="1:22" x14ac:dyDescent="0.35">
      <c r="A1018" s="4">
        <v>15532062000111</v>
      </c>
      <c r="B1018" s="7"/>
      <c r="C1018" s="4"/>
      <c r="D1018" s="1" t="s">
        <v>933</v>
      </c>
      <c r="E1018" s="1" t="s">
        <v>265</v>
      </c>
      <c r="F1018" s="1" t="s">
        <v>15</v>
      </c>
      <c r="G1018" s="10" t="s">
        <v>20</v>
      </c>
      <c r="H1018" s="1" t="s">
        <v>17</v>
      </c>
      <c r="I1018" s="21" t="s">
        <v>1069</v>
      </c>
      <c r="J1018" s="18">
        <f>VLOOKUP(A1018,[2]Export!$A:$B,2,0)</f>
        <v>14881.183312151605</v>
      </c>
      <c r="K1018" s="18">
        <f>VLOOKUP(A1018,[2]Export!$A:$C,3,0)</f>
        <v>7910.8199999999979</v>
      </c>
      <c r="L1018" s="19">
        <f t="shared" si="32"/>
        <v>0.53159885434246479</v>
      </c>
      <c r="M1018" s="18">
        <f>VLOOKUP(A1018,[2]Export!$A:$G,7,0)</f>
        <v>278.31</v>
      </c>
      <c r="N1018" s="19">
        <f t="shared" si="33"/>
        <v>1.8702141769380596E-2</v>
      </c>
      <c r="O1018" s="17"/>
      <c r="P1018" s="17"/>
      <c r="Q1018" s="17"/>
      <c r="R1018" s="17" t="str">
        <f>VLOOKUP(A1018,[1]Export!$A:$I,9,0)</f>
        <v>Comprou Marcas</v>
      </c>
      <c r="S1018" s="17"/>
      <c r="T1018" s="20"/>
      <c r="U1018" s="17"/>
      <c r="V1018" s="17"/>
    </row>
    <row r="1019" spans="1:22" x14ac:dyDescent="0.35">
      <c r="A1019" s="5">
        <v>12237892000128</v>
      </c>
      <c r="B1019" s="7"/>
      <c r="C1019" s="4"/>
      <c r="D1019" s="6" t="s">
        <v>934</v>
      </c>
      <c r="E1019" s="6" t="s">
        <v>275</v>
      </c>
      <c r="F1019" s="6" t="s">
        <v>15</v>
      </c>
      <c r="G1019" s="11" t="s">
        <v>36</v>
      </c>
      <c r="H1019" s="6" t="s">
        <v>17</v>
      </c>
      <c r="I1019" s="21" t="s">
        <v>1073</v>
      </c>
      <c r="J1019" s="18">
        <f>VLOOKUP(A1019,[2]Export!$A:$B,2,0)</f>
        <v>10452.576830972865</v>
      </c>
      <c r="K1019" s="18">
        <f>VLOOKUP(A1019,[2]Export!$A:$C,3,0)</f>
        <v>9340.9799999999959</v>
      </c>
      <c r="L1019" s="19">
        <f t="shared" si="32"/>
        <v>0.89365332119071272</v>
      </c>
      <c r="M1019" s="18">
        <f>VLOOKUP(A1019,[2]Export!$A:$G,7,0)</f>
        <v>7019.220000000003</v>
      </c>
      <c r="N1019" s="19">
        <f t="shared" si="33"/>
        <v>0.67153010339046659</v>
      </c>
      <c r="O1019" s="17" t="s">
        <v>1030</v>
      </c>
      <c r="P1019" s="17" t="s">
        <v>1026</v>
      </c>
      <c r="Q1019" s="17" t="s">
        <v>1022</v>
      </c>
      <c r="R1019" s="17" t="str">
        <f>VLOOKUP(A1019,[1]Export!$A:$I,9,0)</f>
        <v>Comprou Marcas e SG</v>
      </c>
      <c r="S1019" s="17" t="s">
        <v>1022</v>
      </c>
      <c r="T1019" s="20"/>
      <c r="U1019" s="17">
        <v>3</v>
      </c>
      <c r="V1019" s="17"/>
    </row>
    <row r="1020" spans="1:22" x14ac:dyDescent="0.35">
      <c r="A1020" s="4">
        <v>36876993000107</v>
      </c>
      <c r="B1020" s="7"/>
      <c r="C1020" s="4"/>
      <c r="D1020" s="1" t="s">
        <v>935</v>
      </c>
      <c r="E1020" s="1" t="s">
        <v>115</v>
      </c>
      <c r="F1020" s="1" t="s">
        <v>8</v>
      </c>
      <c r="G1020" s="10" t="s">
        <v>36</v>
      </c>
      <c r="H1020" s="1" t="s">
        <v>17</v>
      </c>
      <c r="I1020" s="21" t="s">
        <v>1066</v>
      </c>
      <c r="J1020" s="18">
        <f>VLOOKUP(A1020,[2]Export!$A:$B,2,0)</f>
        <v>5904.9096826950563</v>
      </c>
      <c r="K1020" s="18">
        <f>VLOOKUP(A1020,[2]Export!$A:$C,3,0)</f>
        <v>5071.4800000000005</v>
      </c>
      <c r="L1020" s="19">
        <f t="shared" si="32"/>
        <v>0.85885818285459858</v>
      </c>
      <c r="M1020" s="18">
        <f>VLOOKUP(A1020,[2]Export!$A:$G,7,0)</f>
        <v>1977.28</v>
      </c>
      <c r="N1020" s="19">
        <f t="shared" si="33"/>
        <v>0.33485355513474185</v>
      </c>
      <c r="O1020" s="17" t="s">
        <v>1025</v>
      </c>
      <c r="P1020" s="17" t="s">
        <v>1026</v>
      </c>
      <c r="Q1020" s="17" t="s">
        <v>1023</v>
      </c>
      <c r="R1020" s="17" t="str">
        <f>VLOOKUP(A1020,[1]Export!$A:$I,9,0)</f>
        <v>Comprou Marcas</v>
      </c>
      <c r="S1020" s="17" t="s">
        <v>1023</v>
      </c>
      <c r="T1020" s="20"/>
      <c r="U1020" s="17"/>
      <c r="V1020" s="17"/>
    </row>
    <row r="1021" spans="1:22" x14ac:dyDescent="0.35">
      <c r="A1021" s="5">
        <v>37558194000155</v>
      </c>
      <c r="B1021" s="7"/>
      <c r="C1021" s="4"/>
      <c r="D1021" s="6" t="s">
        <v>936</v>
      </c>
      <c r="E1021" s="6" t="s">
        <v>379</v>
      </c>
      <c r="F1021" s="6" t="s">
        <v>15</v>
      </c>
      <c r="G1021" s="11" t="s">
        <v>36</v>
      </c>
      <c r="H1021" s="6" t="s">
        <v>17</v>
      </c>
      <c r="I1021" s="21" t="s">
        <v>1073</v>
      </c>
      <c r="J1021" s="18">
        <f>VLOOKUP(A1021,[2]Export!$A:$B,2,0)</f>
        <v>4772.5644446766892</v>
      </c>
      <c r="K1021" s="18">
        <f>VLOOKUP(A1021,[2]Export!$A:$C,3,0)</f>
        <v>2682.04</v>
      </c>
      <c r="L1021" s="19">
        <f t="shared" si="32"/>
        <v>0.56197041047639351</v>
      </c>
      <c r="M1021" s="18">
        <f>VLOOKUP(A1021,[2]Export!$A:$G,7,0)</f>
        <v>1327.6499999999999</v>
      </c>
      <c r="N1021" s="19">
        <f t="shared" si="33"/>
        <v>0.27818377633032459</v>
      </c>
      <c r="O1021" s="17" t="s">
        <v>1029</v>
      </c>
      <c r="P1021" s="17" t="s">
        <v>1026</v>
      </c>
      <c r="Q1021" s="17" t="s">
        <v>1022</v>
      </c>
      <c r="R1021" s="17" t="str">
        <f>VLOOKUP(A1021,[1]Export!$A:$I,9,0)</f>
        <v>Comprou Marcas</v>
      </c>
      <c r="S1021" s="17" t="s">
        <v>1023</v>
      </c>
      <c r="T1021" s="20"/>
      <c r="U1021" s="17"/>
      <c r="V1021" s="17"/>
    </row>
    <row r="1022" spans="1:22" x14ac:dyDescent="0.35">
      <c r="A1022" s="4">
        <v>22073444000190</v>
      </c>
      <c r="B1022" s="7"/>
      <c r="C1022" s="4"/>
      <c r="D1022" s="1" t="s">
        <v>937</v>
      </c>
      <c r="E1022" s="1" t="s">
        <v>35</v>
      </c>
      <c r="F1022" s="1" t="s">
        <v>8</v>
      </c>
      <c r="G1022" s="10" t="s">
        <v>16</v>
      </c>
      <c r="H1022" s="1" t="s">
        <v>17</v>
      </c>
      <c r="I1022" s="21" t="s">
        <v>1070</v>
      </c>
      <c r="J1022" s="18">
        <f>VLOOKUP(A1022,[2]Export!$A:$B,2,0)</f>
        <v>2196.2146512853442</v>
      </c>
      <c r="K1022" s="18">
        <f>VLOOKUP(A1022,[2]Export!$A:$C,3,0)</f>
        <v>2888.5099999999989</v>
      </c>
      <c r="L1022" s="19">
        <f t="shared" si="32"/>
        <v>1.3152220791849676</v>
      </c>
      <c r="M1022" s="18">
        <f>VLOOKUP(A1022,[2]Export!$A:$G,7,0)</f>
        <v>311.90000000000003</v>
      </c>
      <c r="N1022" s="19">
        <f t="shared" si="33"/>
        <v>0.14201708372060046</v>
      </c>
      <c r="O1022" s="17" t="s">
        <v>1029</v>
      </c>
      <c r="P1022" s="17" t="s">
        <v>1026</v>
      </c>
      <c r="Q1022" s="17" t="s">
        <v>1023</v>
      </c>
      <c r="R1022" s="17" t="str">
        <f>VLOOKUP(A1022,[1]Export!$A:$I,9,0)</f>
        <v>Comprou Marcas</v>
      </c>
      <c r="S1022" s="17" t="s">
        <v>1022</v>
      </c>
      <c r="T1022" s="20"/>
      <c r="U1022" s="17"/>
      <c r="V1022" s="17"/>
    </row>
    <row r="1023" spans="1:22" x14ac:dyDescent="0.35">
      <c r="A1023" s="5">
        <v>22355280000193</v>
      </c>
      <c r="B1023" s="7" t="s">
        <v>1003</v>
      </c>
      <c r="C1023" s="4"/>
      <c r="D1023" s="6" t="s">
        <v>938</v>
      </c>
      <c r="E1023" s="6" t="s">
        <v>540</v>
      </c>
      <c r="F1023" s="6" t="s">
        <v>8</v>
      </c>
      <c r="G1023" s="11" t="s">
        <v>36</v>
      </c>
      <c r="H1023" s="6" t="s">
        <v>17</v>
      </c>
      <c r="I1023" s="21" t="s">
        <v>1072</v>
      </c>
      <c r="J1023" s="18">
        <f>VLOOKUP(A1023,[2]Export!$A:$B,2,0)</f>
        <v>1761.7158770568662</v>
      </c>
      <c r="K1023" s="18">
        <f>VLOOKUP(A1023,[2]Export!$A:$C,3,0)</f>
        <v>694.93999999999994</v>
      </c>
      <c r="L1023" s="19">
        <f t="shared" si="32"/>
        <v>0.39446769428051653</v>
      </c>
      <c r="M1023" s="18">
        <f>VLOOKUP(A1023,[2]Export!$A:$G,7,0)</f>
        <v>137.85</v>
      </c>
      <c r="N1023" s="19">
        <f t="shared" si="33"/>
        <v>7.8247577714002939E-2</v>
      </c>
      <c r="O1023" s="17" t="s">
        <v>1025</v>
      </c>
      <c r="P1023" s="17" t="s">
        <v>1026</v>
      </c>
      <c r="Q1023" s="17" t="s">
        <v>1023</v>
      </c>
      <c r="R1023" s="17" t="str">
        <f>VLOOKUP(A1023,[1]Export!$A:$I,9,0)</f>
        <v>Comprou Marcas</v>
      </c>
      <c r="S1023" s="17" t="s">
        <v>1022</v>
      </c>
      <c r="T1023" s="20"/>
      <c r="U1023" s="17"/>
      <c r="V1023" s="17"/>
    </row>
    <row r="1024" spans="1:22" x14ac:dyDescent="0.35">
      <c r="A1024" s="4">
        <v>25064025000180</v>
      </c>
      <c r="B1024" s="7"/>
      <c r="C1024" s="4"/>
      <c r="D1024" s="1" t="s">
        <v>939</v>
      </c>
      <c r="E1024" s="1" t="s">
        <v>61</v>
      </c>
      <c r="F1024" s="1" t="s">
        <v>8</v>
      </c>
      <c r="G1024" s="10" t="s">
        <v>20</v>
      </c>
      <c r="H1024" s="1" t="s">
        <v>17</v>
      </c>
      <c r="I1024" s="21" t="s">
        <v>1066</v>
      </c>
      <c r="J1024" s="18">
        <f>VLOOKUP(A1024,[2]Export!$A:$B,2,0)</f>
        <v>7790.4604352144661</v>
      </c>
      <c r="K1024" s="18">
        <f>VLOOKUP(A1024,[2]Export!$A:$C,3,0)</f>
        <v>4108.130000000001</v>
      </c>
      <c r="L1024" s="19">
        <f t="shared" si="32"/>
        <v>0.52732826694432822</v>
      </c>
      <c r="M1024" s="18">
        <f>VLOOKUP(A1024,[2]Export!$A:$G,7,0)</f>
        <v>5185.0600000000013</v>
      </c>
      <c r="N1024" s="19">
        <f t="shared" si="33"/>
        <v>0.66556528245268731</v>
      </c>
      <c r="O1024" s="17" t="s">
        <v>1025</v>
      </c>
      <c r="P1024" s="17" t="s">
        <v>1026</v>
      </c>
      <c r="Q1024" s="17" t="s">
        <v>1023</v>
      </c>
      <c r="R1024" s="17" t="str">
        <f>VLOOKUP(A1024,[1]Export!$A:$I,9,0)</f>
        <v>Comprou Marcas</v>
      </c>
      <c r="S1024" s="17" t="s">
        <v>1023</v>
      </c>
      <c r="T1024" s="20"/>
      <c r="U1024" s="17"/>
      <c r="V1024" s="17"/>
    </row>
    <row r="1025" spans="1:22" x14ac:dyDescent="0.35">
      <c r="A1025" s="5">
        <v>27960067000124</v>
      </c>
      <c r="B1025" s="7"/>
      <c r="C1025" s="4"/>
      <c r="D1025" s="6" t="s">
        <v>940</v>
      </c>
      <c r="E1025" s="6" t="s">
        <v>14</v>
      </c>
      <c r="F1025" s="6" t="s">
        <v>15</v>
      </c>
      <c r="G1025" s="11" t="s">
        <v>36</v>
      </c>
      <c r="H1025" s="6" t="s">
        <v>17</v>
      </c>
      <c r="I1025" s="21" t="s">
        <v>1067</v>
      </c>
      <c r="J1025" s="18">
        <f>VLOOKUP(A1025,[2]Export!$A:$B,2,0)</f>
        <v>16628.131214617642</v>
      </c>
      <c r="K1025" s="18">
        <f>VLOOKUP(A1025,[2]Export!$A:$C,3,0)</f>
        <v>16299.269999999991</v>
      </c>
      <c r="L1025" s="19">
        <f t="shared" si="32"/>
        <v>0.98022259925826472</v>
      </c>
      <c r="M1025" s="18">
        <f>VLOOKUP(A1025,[2]Export!$A:$G,7,0)</f>
        <v>14616.879999999996</v>
      </c>
      <c r="N1025" s="19">
        <f t="shared" si="33"/>
        <v>0.87904526439810782</v>
      </c>
      <c r="O1025" s="17" t="s">
        <v>1027</v>
      </c>
      <c r="P1025" s="17" t="s">
        <v>1028</v>
      </c>
      <c r="Q1025" s="17" t="s">
        <v>1023</v>
      </c>
      <c r="R1025" s="17" t="str">
        <f>VLOOKUP(A1025,[1]Export!$A:$I,9,0)</f>
        <v>Comprou Marcas e SG</v>
      </c>
      <c r="S1025" s="17" t="s">
        <v>1022</v>
      </c>
      <c r="T1025" s="20"/>
      <c r="U1025" s="17"/>
      <c r="V1025" s="17"/>
    </row>
    <row r="1026" spans="1:22" x14ac:dyDescent="0.35">
      <c r="A1026" s="4">
        <v>7556217000121</v>
      </c>
      <c r="B1026" s="7"/>
      <c r="C1026" s="4"/>
      <c r="D1026" s="1" t="s">
        <v>941</v>
      </c>
      <c r="E1026" s="1" t="s">
        <v>157</v>
      </c>
      <c r="F1026" s="1" t="s">
        <v>48</v>
      </c>
      <c r="G1026" s="10" t="s">
        <v>20</v>
      </c>
      <c r="H1026" s="1" t="s">
        <v>17</v>
      </c>
      <c r="I1026" s="21" t="s">
        <v>1071</v>
      </c>
      <c r="J1026" s="18">
        <f>VLOOKUP(A1026,[2]Export!$A:$B,2,0)</f>
        <v>5114.3368165905786</v>
      </c>
      <c r="K1026" s="18">
        <f>VLOOKUP(A1026,[2]Export!$A:$C,3,0)</f>
        <v>3088.2399999999989</v>
      </c>
      <c r="L1026" s="19">
        <f t="shared" si="32"/>
        <v>0.60383977644607756</v>
      </c>
      <c r="M1026" s="18">
        <f>VLOOKUP(A1026,[2]Export!$A:$G,7,0)</f>
        <v>420.36</v>
      </c>
      <c r="N1026" s="19">
        <f t="shared" si="33"/>
        <v>8.2192474816359246E-2</v>
      </c>
      <c r="O1026" s="17" t="s">
        <v>1025</v>
      </c>
      <c r="P1026" s="17" t="s">
        <v>1026</v>
      </c>
      <c r="Q1026" s="17" t="s">
        <v>1023</v>
      </c>
      <c r="R1026" s="17" t="str">
        <f>VLOOKUP(A1026,[1]Export!$A:$I,9,0)</f>
        <v>Comprou SG</v>
      </c>
      <c r="S1026" s="17" t="s">
        <v>1023</v>
      </c>
      <c r="T1026" s="20"/>
      <c r="U1026" s="17"/>
      <c r="V1026" s="17"/>
    </row>
    <row r="1027" spans="1:22" x14ac:dyDescent="0.35">
      <c r="A1027" s="5">
        <v>8087667000509</v>
      </c>
      <c r="B1027" s="7" t="s">
        <v>1001</v>
      </c>
      <c r="C1027" s="4"/>
      <c r="D1027" s="6" t="s">
        <v>218</v>
      </c>
      <c r="E1027" s="6" t="s">
        <v>35</v>
      </c>
      <c r="F1027" s="6" t="s">
        <v>8</v>
      </c>
      <c r="G1027" s="11" t="s">
        <v>36</v>
      </c>
      <c r="H1027" s="6" t="s">
        <v>17</v>
      </c>
      <c r="I1027" s="21" t="s">
        <v>1070</v>
      </c>
      <c r="J1027" s="18">
        <f>VLOOKUP(A1027,[2]Export!$A:$B,2,0)</f>
        <v>20483.428399132517</v>
      </c>
      <c r="K1027" s="18">
        <f>VLOOKUP(A1027,[2]Export!$A:$C,3,0)</f>
        <v>9138.5000000000018</v>
      </c>
      <c r="L1027" s="19">
        <f t="shared" si="32"/>
        <v>0.44614113525971177</v>
      </c>
      <c r="M1027" s="18">
        <f>VLOOKUP(A1027,[2]Export!$A:$G,7,0)</f>
        <v>7009.6800000000021</v>
      </c>
      <c r="N1027" s="19">
        <f t="shared" si="33"/>
        <v>0.34221224413276763</v>
      </c>
      <c r="O1027" s="17" t="s">
        <v>1025</v>
      </c>
      <c r="P1027" s="17" t="s">
        <v>1026</v>
      </c>
      <c r="Q1027" s="17" t="s">
        <v>1023</v>
      </c>
      <c r="R1027" s="17" t="str">
        <f>VLOOKUP(A1027,[1]Export!$A:$I,9,0)</f>
        <v>Comprou Marcas</v>
      </c>
      <c r="S1027" s="17" t="s">
        <v>1022</v>
      </c>
      <c r="T1027" s="20">
        <v>4</v>
      </c>
      <c r="U1027" s="17"/>
      <c r="V1027" s="17"/>
    </row>
    <row r="1028" spans="1:22" x14ac:dyDescent="0.35">
      <c r="A1028" s="4">
        <v>8954952000156</v>
      </c>
      <c r="B1028" s="7" t="s">
        <v>227</v>
      </c>
      <c r="C1028" s="4">
        <v>13672</v>
      </c>
      <c r="D1028" s="1" t="s">
        <v>227</v>
      </c>
      <c r="E1028" s="1" t="s">
        <v>35</v>
      </c>
      <c r="F1028" s="1" t="s">
        <v>8</v>
      </c>
      <c r="G1028" s="10" t="s">
        <v>16</v>
      </c>
      <c r="H1028" s="1" t="s">
        <v>17</v>
      </c>
      <c r="I1028" s="21" t="s">
        <v>1070</v>
      </c>
      <c r="J1028" s="18">
        <f>VLOOKUP(A1028,[2]Export!$A:$B,2,0)</f>
        <v>6563.403457582278</v>
      </c>
      <c r="K1028" s="18">
        <f>VLOOKUP(A1028,[2]Export!$A:$C,3,0)</f>
        <v>2916.7100000000005</v>
      </c>
      <c r="L1028" s="19">
        <f t="shared" si="32"/>
        <v>0.44438986858723623</v>
      </c>
      <c r="M1028" s="18">
        <f>VLOOKUP(A1028,[2]Export!$A:$G,7,0)</f>
        <v>1523.4900000000002</v>
      </c>
      <c r="N1028" s="19">
        <f t="shared" si="33"/>
        <v>0.2321189013971113</v>
      </c>
      <c r="O1028" s="17" t="s">
        <v>1027</v>
      </c>
      <c r="P1028" s="17" t="s">
        <v>1028</v>
      </c>
      <c r="Q1028" s="17" t="s">
        <v>1023</v>
      </c>
      <c r="R1028" s="17" t="str">
        <f>VLOOKUP(A1028,[1]Export!$A:$I,9,0)</f>
        <v>Comprou Marcas e SG</v>
      </c>
      <c r="S1028" s="17" t="s">
        <v>1022</v>
      </c>
      <c r="T1028" s="20"/>
      <c r="U1028" s="17"/>
      <c r="V1028" s="17"/>
    </row>
    <row r="1029" spans="1:22" x14ac:dyDescent="0.35">
      <c r="A1029" s="5">
        <v>10378095000135</v>
      </c>
      <c r="B1029" s="7"/>
      <c r="C1029" s="4"/>
      <c r="D1029" s="6" t="s">
        <v>942</v>
      </c>
      <c r="E1029" s="6" t="s">
        <v>458</v>
      </c>
      <c r="F1029" s="6" t="s">
        <v>48</v>
      </c>
      <c r="G1029" s="11" t="s">
        <v>20</v>
      </c>
      <c r="H1029" s="6" t="s">
        <v>17</v>
      </c>
      <c r="I1029" s="21" t="s">
        <v>1073</v>
      </c>
      <c r="J1029" s="18">
        <f>VLOOKUP(A1029,[2]Export!$A:$B,2,0)</f>
        <v>15712.059192598836</v>
      </c>
      <c r="K1029" s="18">
        <f>VLOOKUP(A1029,[2]Export!$A:$C,3,0)</f>
        <v>9930.659999999998</v>
      </c>
      <c r="L1029" s="19">
        <f t="shared" si="32"/>
        <v>0.63204064332177634</v>
      </c>
      <c r="M1029" s="18">
        <f>VLOOKUP(A1029,[2]Export!$A:$G,7,0)</f>
        <v>8553.130000000001</v>
      </c>
      <c r="N1029" s="19">
        <f t="shared" si="33"/>
        <v>0.54436722107239466</v>
      </c>
      <c r="O1029" s="17" t="s">
        <v>1025</v>
      </c>
      <c r="P1029" s="17" t="s">
        <v>1026</v>
      </c>
      <c r="Q1029" s="17" t="s">
        <v>1022</v>
      </c>
      <c r="R1029" s="17" t="str">
        <f>VLOOKUP(A1029,[1]Export!$A:$I,9,0)</f>
        <v>Comprou Marcas e SG</v>
      </c>
      <c r="S1029" s="17" t="s">
        <v>1022</v>
      </c>
      <c r="T1029" s="20"/>
      <c r="U1029" s="17">
        <v>4</v>
      </c>
      <c r="V1029" s="17">
        <v>4</v>
      </c>
    </row>
    <row r="1030" spans="1:22" x14ac:dyDescent="0.35">
      <c r="A1030" s="4">
        <v>10693312000181</v>
      </c>
      <c r="B1030" s="7"/>
      <c r="C1030" s="4"/>
      <c r="D1030" s="1" t="s">
        <v>90</v>
      </c>
      <c r="E1030" s="1" t="s">
        <v>166</v>
      </c>
      <c r="F1030" s="1" t="s">
        <v>8</v>
      </c>
      <c r="G1030" s="10" t="s">
        <v>64</v>
      </c>
      <c r="H1030" s="1" t="s">
        <v>17</v>
      </c>
      <c r="I1030" s="21" t="s">
        <v>1068</v>
      </c>
      <c r="J1030" s="18">
        <f>VLOOKUP(A1030,[2]Export!$A:$B,2,0)</f>
        <v>10142.561986512097</v>
      </c>
      <c r="K1030" s="18">
        <f>VLOOKUP(A1030,[2]Export!$A:$C,3,0)</f>
        <v>7284.4600000000009</v>
      </c>
      <c r="L1030" s="19">
        <f t="shared" si="32"/>
        <v>0.71820709695312768</v>
      </c>
      <c r="M1030" s="18">
        <f>VLOOKUP(A1030,[2]Export!$A:$G,7,0)</f>
        <v>6998.3300000000027</v>
      </c>
      <c r="N1030" s="19">
        <f t="shared" si="33"/>
        <v>0.68999627602045766</v>
      </c>
      <c r="O1030" s="17" t="s">
        <v>1029</v>
      </c>
      <c r="P1030" s="17" t="s">
        <v>1026</v>
      </c>
      <c r="Q1030" s="17" t="s">
        <v>1022</v>
      </c>
      <c r="R1030" s="17" t="str">
        <f>VLOOKUP(A1030,[1]Export!$A:$I,9,0)</f>
        <v>Comprou Marcas e SG</v>
      </c>
      <c r="S1030" s="17" t="s">
        <v>1022</v>
      </c>
      <c r="T1030" s="20"/>
      <c r="U1030" s="17"/>
      <c r="V1030" s="17"/>
    </row>
    <row r="1031" spans="1:22" x14ac:dyDescent="0.35">
      <c r="A1031" s="5">
        <v>11058284000193</v>
      </c>
      <c r="B1031" s="7"/>
      <c r="C1031" s="4"/>
      <c r="D1031" s="6" t="s">
        <v>943</v>
      </c>
      <c r="E1031" s="6" t="s">
        <v>14</v>
      </c>
      <c r="F1031" s="6" t="s">
        <v>15</v>
      </c>
      <c r="G1031" s="11" t="s">
        <v>20</v>
      </c>
      <c r="H1031" s="6" t="s">
        <v>17</v>
      </c>
      <c r="I1031" s="21" t="s">
        <v>1067</v>
      </c>
      <c r="J1031" s="18">
        <f>VLOOKUP(A1031,[2]Export!$A:$B,2,0)</f>
        <v>5414.564646441997</v>
      </c>
      <c r="K1031" s="18">
        <f>VLOOKUP(A1031,[2]Export!$A:$C,3,0)</f>
        <v>2793.0200000000004</v>
      </c>
      <c r="L1031" s="19">
        <f t="shared" si="32"/>
        <v>0.51583463904809812</v>
      </c>
      <c r="M1031" s="18">
        <f>VLOOKUP(A1031,[2]Export!$A:$G,7,0)</f>
        <v>0</v>
      </c>
      <c r="N1031" s="19">
        <f t="shared" si="33"/>
        <v>0</v>
      </c>
      <c r="O1031" s="17"/>
      <c r="P1031" s="17"/>
      <c r="Q1031" s="17"/>
      <c r="R1031" s="17" t="str">
        <f>VLOOKUP(A1031,[1]Export!$A:$I,9,0)</f>
        <v>Não Comprou</v>
      </c>
      <c r="S1031" s="17"/>
      <c r="T1031" s="20"/>
      <c r="U1031" s="17"/>
      <c r="V1031" s="17"/>
    </row>
    <row r="1032" spans="1:22" x14ac:dyDescent="0.35">
      <c r="A1032" s="4">
        <v>11119143000133</v>
      </c>
      <c r="B1032" s="7"/>
      <c r="C1032" s="4"/>
      <c r="D1032" s="1" t="s">
        <v>944</v>
      </c>
      <c r="E1032" s="1" t="s">
        <v>149</v>
      </c>
      <c r="F1032" s="1" t="s">
        <v>8</v>
      </c>
      <c r="G1032" s="10" t="s">
        <v>20</v>
      </c>
      <c r="H1032" s="1" t="s">
        <v>17</v>
      </c>
      <c r="I1032" s="21" t="s">
        <v>1072</v>
      </c>
      <c r="J1032" s="18">
        <f>VLOOKUP(A1032,[2]Export!$A:$B,2,0)</f>
        <v>2218.5139648585409</v>
      </c>
      <c r="K1032" s="18">
        <f>VLOOKUP(A1032,[2]Export!$A:$C,3,0)</f>
        <v>1340.33</v>
      </c>
      <c r="L1032" s="19">
        <f t="shared" si="32"/>
        <v>0.60415666578211658</v>
      </c>
      <c r="M1032" s="18">
        <f>VLOOKUP(A1032,[2]Export!$A:$G,7,0)</f>
        <v>0</v>
      </c>
      <c r="N1032" s="19">
        <f t="shared" si="33"/>
        <v>0</v>
      </c>
      <c r="O1032" s="17" t="s">
        <v>1025</v>
      </c>
      <c r="P1032" s="17" t="s">
        <v>1026</v>
      </c>
      <c r="Q1032" s="17" t="s">
        <v>1023</v>
      </c>
      <c r="R1032" s="17" t="str">
        <f>VLOOKUP(A1032,[1]Export!$A:$I,9,0)</f>
        <v>Não Comprou</v>
      </c>
      <c r="S1032" s="17" t="s">
        <v>1022</v>
      </c>
      <c r="T1032" s="20"/>
      <c r="U1032" s="17"/>
      <c r="V1032" s="17"/>
    </row>
    <row r="1033" spans="1:22" x14ac:dyDescent="0.35">
      <c r="A1033" s="5">
        <v>11190148000152</v>
      </c>
      <c r="B1033" s="7"/>
      <c r="C1033" s="4"/>
      <c r="D1033" s="6" t="s">
        <v>825</v>
      </c>
      <c r="E1033" s="6" t="s">
        <v>82</v>
      </c>
      <c r="F1033" s="6" t="s">
        <v>8</v>
      </c>
      <c r="G1033" s="11" t="s">
        <v>33</v>
      </c>
      <c r="H1033" s="6" t="s">
        <v>17</v>
      </c>
      <c r="I1033" s="21" t="s">
        <v>1070</v>
      </c>
      <c r="J1033" s="18">
        <f>VLOOKUP(A1033,[2]Export!$A:$B,2,0)</f>
        <v>5868.4269243201788</v>
      </c>
      <c r="K1033" s="18">
        <f>VLOOKUP(A1033,[2]Export!$A:$C,3,0)</f>
        <v>5919.25</v>
      </c>
      <c r="L1033" s="19">
        <f t="shared" si="32"/>
        <v>1.0086604257555287</v>
      </c>
      <c r="M1033" s="18">
        <f>VLOOKUP(A1033,[2]Export!$A:$G,7,0)</f>
        <v>5951.5599999999995</v>
      </c>
      <c r="N1033" s="19">
        <f t="shared" si="33"/>
        <v>1.0141661601570426</v>
      </c>
      <c r="O1033" s="17" t="s">
        <v>1027</v>
      </c>
      <c r="P1033" s="17" t="s">
        <v>1026</v>
      </c>
      <c r="Q1033" s="17" t="s">
        <v>1023</v>
      </c>
      <c r="R1033" s="17" t="str">
        <f>VLOOKUP(A1033,[1]Export!$A:$I,9,0)</f>
        <v>Comprou Marcas</v>
      </c>
      <c r="S1033" s="17" t="s">
        <v>1022</v>
      </c>
      <c r="T1033" s="20">
        <v>8</v>
      </c>
      <c r="U1033" s="17"/>
      <c r="V1033" s="17"/>
    </row>
    <row r="1034" spans="1:22" x14ac:dyDescent="0.35">
      <c r="A1034" s="4">
        <v>4083576000110</v>
      </c>
      <c r="B1034" s="7"/>
      <c r="C1034" s="4"/>
      <c r="D1034" s="1" t="s">
        <v>945</v>
      </c>
      <c r="E1034" s="1" t="s">
        <v>577</v>
      </c>
      <c r="F1034" s="1" t="s">
        <v>15</v>
      </c>
      <c r="G1034" s="10" t="s">
        <v>16</v>
      </c>
      <c r="H1034" s="1" t="s">
        <v>17</v>
      </c>
      <c r="I1034" s="21" t="s">
        <v>1067</v>
      </c>
      <c r="J1034" s="18">
        <f>VLOOKUP(A1034,[2]Export!$A:$B,2,0)</f>
        <v>2585.6272753420221</v>
      </c>
      <c r="K1034" s="18">
        <f>VLOOKUP(A1034,[2]Export!$A:$C,3,0)</f>
        <v>259.76</v>
      </c>
      <c r="L1034" s="19">
        <f t="shared" si="32"/>
        <v>0.10046304913210641</v>
      </c>
      <c r="M1034" s="18">
        <f>VLOOKUP(A1034,[2]Export!$A:$G,7,0)</f>
        <v>0</v>
      </c>
      <c r="N1034" s="19">
        <f t="shared" si="33"/>
        <v>0</v>
      </c>
      <c r="O1034" s="17" t="s">
        <v>1029</v>
      </c>
      <c r="P1034" s="17" t="s">
        <v>1026</v>
      </c>
      <c r="Q1034" s="17" t="s">
        <v>1022</v>
      </c>
      <c r="R1034" s="17" t="str">
        <f>VLOOKUP(A1034,[1]Export!$A:$I,9,0)</f>
        <v>Não Comprou</v>
      </c>
      <c r="S1034" s="17" t="s">
        <v>1022</v>
      </c>
      <c r="T1034" s="20"/>
      <c r="U1034" s="17"/>
      <c r="V1034" s="17"/>
    </row>
    <row r="1035" spans="1:22" x14ac:dyDescent="0.35">
      <c r="A1035" s="5">
        <v>4110283000185</v>
      </c>
      <c r="B1035" s="7"/>
      <c r="C1035" s="4"/>
      <c r="D1035" s="6" t="s">
        <v>946</v>
      </c>
      <c r="E1035" s="6" t="s">
        <v>400</v>
      </c>
      <c r="F1035" s="6" t="s">
        <v>8</v>
      </c>
      <c r="G1035" s="11" t="s">
        <v>74</v>
      </c>
      <c r="H1035" s="6" t="s">
        <v>17</v>
      </c>
      <c r="I1035" s="21" t="s">
        <v>1072</v>
      </c>
      <c r="J1035" s="18">
        <f>VLOOKUP(A1035,[2]Export!$A:$B,2,0)</f>
        <v>3385.1562555373453</v>
      </c>
      <c r="K1035" s="18">
        <f>VLOOKUP(A1035,[2]Export!$A:$C,3,0)</f>
        <v>2317.5099999999998</v>
      </c>
      <c r="L1035" s="19">
        <f t="shared" si="32"/>
        <v>0.68460946114646282</v>
      </c>
      <c r="M1035" s="18">
        <f>VLOOKUP(A1035,[2]Export!$A:$G,7,0)</f>
        <v>137.85</v>
      </c>
      <c r="N1035" s="19">
        <f t="shared" si="33"/>
        <v>4.0721901618133216E-2</v>
      </c>
      <c r="O1035" s="17" t="s">
        <v>1027</v>
      </c>
      <c r="P1035" s="17" t="s">
        <v>1028</v>
      </c>
      <c r="Q1035" s="17" t="s">
        <v>1023</v>
      </c>
      <c r="R1035" s="17" t="str">
        <f>VLOOKUP(A1035,[1]Export!$A:$I,9,0)</f>
        <v>Comprou Marcas</v>
      </c>
      <c r="S1035" s="17" t="s">
        <v>1022</v>
      </c>
      <c r="T1035" s="20"/>
      <c r="U1035" s="17"/>
      <c r="V1035" s="17"/>
    </row>
    <row r="1036" spans="1:22" x14ac:dyDescent="0.35">
      <c r="A1036" s="4">
        <v>4745484000159</v>
      </c>
      <c r="B1036" s="7"/>
      <c r="C1036" s="4"/>
      <c r="D1036" s="1" t="s">
        <v>558</v>
      </c>
      <c r="E1036" s="1" t="s">
        <v>54</v>
      </c>
      <c r="F1036" s="1" t="s">
        <v>15</v>
      </c>
      <c r="G1036" s="10" t="s">
        <v>20</v>
      </c>
      <c r="H1036" s="1" t="s">
        <v>17</v>
      </c>
      <c r="I1036" s="21" t="s">
        <v>1069</v>
      </c>
      <c r="J1036" s="18">
        <f>VLOOKUP(A1036,[2]Export!$A:$B,2,0)</f>
        <v>12098.784600366294</v>
      </c>
      <c r="K1036" s="18">
        <f>VLOOKUP(A1036,[2]Export!$A:$C,3,0)</f>
        <v>7775.86</v>
      </c>
      <c r="L1036" s="19">
        <f t="shared" si="32"/>
        <v>0.64269761441695417</v>
      </c>
      <c r="M1036" s="18">
        <f>VLOOKUP(A1036,[2]Export!$A:$G,7,0)</f>
        <v>0</v>
      </c>
      <c r="N1036" s="19">
        <f t="shared" si="33"/>
        <v>0</v>
      </c>
      <c r="O1036" s="17" t="s">
        <v>1025</v>
      </c>
      <c r="P1036" s="17" t="s">
        <v>1026</v>
      </c>
      <c r="Q1036" s="17" t="s">
        <v>1022</v>
      </c>
      <c r="R1036" s="17" t="str">
        <f>VLOOKUP(A1036,[1]Export!$A:$I,9,0)</f>
        <v>Não Comprou</v>
      </c>
      <c r="S1036" s="17" t="s">
        <v>1022</v>
      </c>
      <c r="T1036" s="20"/>
      <c r="U1036" s="17"/>
      <c r="V1036" s="17"/>
    </row>
    <row r="1037" spans="1:22" x14ac:dyDescent="0.35">
      <c r="A1037" s="5">
        <v>4834843003160</v>
      </c>
      <c r="B1037" s="7" t="s">
        <v>994</v>
      </c>
      <c r="C1037" s="4"/>
      <c r="D1037" s="6" t="s">
        <v>91</v>
      </c>
      <c r="E1037" s="6" t="s">
        <v>947</v>
      </c>
      <c r="F1037" s="6" t="s">
        <v>48</v>
      </c>
      <c r="G1037" s="11" t="s">
        <v>92</v>
      </c>
      <c r="H1037" s="6" t="s">
        <v>17</v>
      </c>
      <c r="I1037" s="21" t="s">
        <v>1071</v>
      </c>
      <c r="J1037" s="18">
        <f>VLOOKUP(A1037,[2]Export!$A:$B,2,0)</f>
        <v>4674.4851446365328</v>
      </c>
      <c r="K1037" s="18">
        <f>VLOOKUP(A1037,[2]Export!$A:$C,3,0)</f>
        <v>2591.98</v>
      </c>
      <c r="L1037" s="19">
        <f t="shared" ref="L1037:L1100" si="34">K1037/J1037</f>
        <v>0.55449529088225202</v>
      </c>
      <c r="M1037" s="18">
        <f>VLOOKUP(A1037,[2]Export!$A:$G,7,0)</f>
        <v>2959.0299999999997</v>
      </c>
      <c r="N1037" s="19">
        <f t="shared" ref="N1037:N1100" si="35">M1037/J1037</f>
        <v>0.63301730745580986</v>
      </c>
      <c r="O1037" s="17" t="s">
        <v>1027</v>
      </c>
      <c r="P1037" s="17" t="s">
        <v>1028</v>
      </c>
      <c r="Q1037" s="17" t="s">
        <v>1023</v>
      </c>
      <c r="R1037" s="17" t="str">
        <f>VLOOKUP(A1037,[1]Export!$A:$I,9,0)</f>
        <v>Comprou Marcas</v>
      </c>
      <c r="S1037" s="17" t="s">
        <v>1022</v>
      </c>
      <c r="T1037" s="20"/>
      <c r="U1037" s="17"/>
      <c r="V1037" s="17"/>
    </row>
    <row r="1038" spans="1:22" x14ac:dyDescent="0.35">
      <c r="A1038" s="4">
        <v>5344624000301</v>
      </c>
      <c r="B1038" s="7" t="s">
        <v>1011</v>
      </c>
      <c r="C1038" s="4"/>
      <c r="D1038" s="1" t="s">
        <v>25</v>
      </c>
      <c r="E1038" s="1" t="s">
        <v>259</v>
      </c>
      <c r="F1038" s="1" t="s">
        <v>15</v>
      </c>
      <c r="G1038" s="10" t="s">
        <v>9</v>
      </c>
      <c r="H1038" s="1" t="s">
        <v>10</v>
      </c>
      <c r="I1038" s="21" t="s">
        <v>1069</v>
      </c>
      <c r="J1038" s="18">
        <f>VLOOKUP(A1038,[2]Export!$A:$B,2,0)</f>
        <v>10222.147861337413</v>
      </c>
      <c r="K1038" s="18">
        <f>VLOOKUP(A1038,[2]Export!$A:$C,3,0)</f>
        <v>7257.7599999999993</v>
      </c>
      <c r="L1038" s="19">
        <f t="shared" si="34"/>
        <v>0.71000342574289776</v>
      </c>
      <c r="M1038" s="18">
        <f>VLOOKUP(A1038,[2]Export!$A:$G,7,0)</f>
        <v>4293.8400000000011</v>
      </c>
      <c r="N1038" s="19">
        <f t="shared" si="35"/>
        <v>0.42005262086261952</v>
      </c>
      <c r="O1038" s="17" t="s">
        <v>1027</v>
      </c>
      <c r="P1038" s="17" t="s">
        <v>1028</v>
      </c>
      <c r="Q1038" s="17" t="s">
        <v>1023</v>
      </c>
      <c r="R1038" s="17" t="str">
        <f>VLOOKUP(A1038,[1]Export!$A:$I,9,0)</f>
        <v>Comprou Marcas</v>
      </c>
      <c r="S1038" s="17" t="s">
        <v>1022</v>
      </c>
      <c r="T1038" s="20"/>
      <c r="U1038" s="17"/>
      <c r="V1038" s="17"/>
    </row>
    <row r="1039" spans="1:22" x14ac:dyDescent="0.35">
      <c r="A1039" s="5">
        <v>5438909000140</v>
      </c>
      <c r="B1039" s="7"/>
      <c r="C1039" s="4"/>
      <c r="D1039" s="6" t="s">
        <v>948</v>
      </c>
      <c r="E1039" s="6" t="s">
        <v>354</v>
      </c>
      <c r="F1039" s="6" t="s">
        <v>48</v>
      </c>
      <c r="G1039" s="11" t="s">
        <v>20</v>
      </c>
      <c r="H1039" s="6" t="s">
        <v>17</v>
      </c>
      <c r="I1039" s="21" t="s">
        <v>1073</v>
      </c>
      <c r="J1039" s="18">
        <f>VLOOKUP(A1039,[2]Export!$A:$B,2,0)</f>
        <v>2849.7617744913159</v>
      </c>
      <c r="K1039" s="18">
        <f>VLOOKUP(A1039,[2]Export!$A:$C,3,0)</f>
        <v>2436.4599999999996</v>
      </c>
      <c r="L1039" s="19">
        <f t="shared" si="34"/>
        <v>0.8549697107348242</v>
      </c>
      <c r="M1039" s="18">
        <f>VLOOKUP(A1039,[2]Export!$A:$G,7,0)</f>
        <v>1890.6000000000001</v>
      </c>
      <c r="N1039" s="19">
        <f t="shared" si="35"/>
        <v>0.66342387525970425</v>
      </c>
      <c r="O1039" s="17" t="s">
        <v>1025</v>
      </c>
      <c r="P1039" s="17" t="s">
        <v>1026</v>
      </c>
      <c r="Q1039" s="17" t="s">
        <v>1023</v>
      </c>
      <c r="R1039" s="17" t="str">
        <f>VLOOKUP(A1039,[1]Export!$A:$I,9,0)</f>
        <v>Comprou Marcas</v>
      </c>
      <c r="S1039" s="17" t="s">
        <v>1023</v>
      </c>
      <c r="T1039" s="20"/>
      <c r="U1039" s="17"/>
      <c r="V1039" s="17"/>
    </row>
    <row r="1040" spans="1:22" x14ac:dyDescent="0.35">
      <c r="A1040" s="4">
        <v>12564855000124</v>
      </c>
      <c r="B1040" s="7" t="s">
        <v>319</v>
      </c>
      <c r="C1040" s="4"/>
      <c r="D1040" s="1" t="s">
        <v>949</v>
      </c>
      <c r="E1040" s="1" t="s">
        <v>155</v>
      </c>
      <c r="F1040" s="1" t="s">
        <v>15</v>
      </c>
      <c r="G1040" s="10" t="s">
        <v>36</v>
      </c>
      <c r="H1040" s="1" t="s">
        <v>17</v>
      </c>
      <c r="I1040" s="21" t="s">
        <v>1069</v>
      </c>
      <c r="J1040" s="18">
        <f>VLOOKUP(A1040,[2]Export!$A:$B,2,0)</f>
        <v>9498.7797689554627</v>
      </c>
      <c r="K1040" s="18">
        <f>VLOOKUP(A1040,[2]Export!$A:$C,3,0)</f>
        <v>3456.5600000000004</v>
      </c>
      <c r="L1040" s="19">
        <f t="shared" si="34"/>
        <v>0.36389516170244912</v>
      </c>
      <c r="M1040" s="18">
        <f>VLOOKUP(A1040,[2]Export!$A:$G,7,0)</f>
        <v>284.82</v>
      </c>
      <c r="N1040" s="19">
        <f t="shared" si="35"/>
        <v>2.9984904053767775E-2</v>
      </c>
      <c r="O1040" s="17" t="s">
        <v>1025</v>
      </c>
      <c r="P1040" s="17" t="s">
        <v>1026</v>
      </c>
      <c r="Q1040" s="17" t="s">
        <v>1022</v>
      </c>
      <c r="R1040" s="17" t="str">
        <f>VLOOKUP(A1040,[1]Export!$A:$I,9,0)</f>
        <v>Não Comprou</v>
      </c>
      <c r="S1040" s="17" t="s">
        <v>1023</v>
      </c>
      <c r="T1040" s="20"/>
      <c r="U1040" s="17"/>
      <c r="V1040" s="17"/>
    </row>
    <row r="1041" spans="1:22" x14ac:dyDescent="0.35">
      <c r="A1041" s="5">
        <v>29974778000183</v>
      </c>
      <c r="B1041" s="7"/>
      <c r="C1041" s="4"/>
      <c r="D1041" s="6" t="s">
        <v>670</v>
      </c>
      <c r="E1041" s="6" t="s">
        <v>22</v>
      </c>
      <c r="F1041" s="6" t="s">
        <v>8</v>
      </c>
      <c r="G1041" s="11" t="s">
        <v>36</v>
      </c>
      <c r="H1041" s="6" t="s">
        <v>17</v>
      </c>
      <c r="I1041" s="21" t="s">
        <v>1068</v>
      </c>
      <c r="J1041" s="18">
        <f>VLOOKUP(A1041,[2]Export!$A:$B,2,0)</f>
        <v>6064.4574749066496</v>
      </c>
      <c r="K1041" s="18">
        <f>VLOOKUP(A1041,[2]Export!$A:$C,3,0)</f>
        <v>5980.7800000000007</v>
      </c>
      <c r="L1041" s="19">
        <f t="shared" si="34"/>
        <v>0.98620198504929957</v>
      </c>
      <c r="M1041" s="18">
        <f>VLOOKUP(A1041,[2]Export!$A:$G,7,0)</f>
        <v>5238.119999999999</v>
      </c>
      <c r="N1041" s="19">
        <f t="shared" si="35"/>
        <v>0.86374090702658102</v>
      </c>
      <c r="O1041" s="17" t="s">
        <v>1025</v>
      </c>
      <c r="P1041" s="17" t="s">
        <v>1026</v>
      </c>
      <c r="Q1041" s="17" t="s">
        <v>1022</v>
      </c>
      <c r="R1041" s="17" t="str">
        <f>VLOOKUP(A1041,[1]Export!$A:$I,9,0)</f>
        <v>Comprou Marcas</v>
      </c>
      <c r="S1041" s="17" t="s">
        <v>1022</v>
      </c>
      <c r="T1041" s="20"/>
      <c r="U1041" s="17">
        <v>4</v>
      </c>
      <c r="V1041" s="17">
        <v>4</v>
      </c>
    </row>
    <row r="1042" spans="1:22" x14ac:dyDescent="0.35">
      <c r="A1042" s="4">
        <v>32266459000128</v>
      </c>
      <c r="B1042" s="7" t="s">
        <v>950</v>
      </c>
      <c r="C1042" s="4"/>
      <c r="D1042" s="1" t="s">
        <v>950</v>
      </c>
      <c r="E1042" s="1" t="s">
        <v>125</v>
      </c>
      <c r="F1042" s="1" t="s">
        <v>15</v>
      </c>
      <c r="G1042" s="10" t="s">
        <v>20</v>
      </c>
      <c r="H1042" s="1" t="s">
        <v>17</v>
      </c>
      <c r="I1042" s="21" t="s">
        <v>1067</v>
      </c>
      <c r="J1042" s="18">
        <f>VLOOKUP(A1042,[2]Export!$A:$B,2,0)</f>
        <v>8197.0514421515018</v>
      </c>
      <c r="K1042" s="18">
        <f>VLOOKUP(A1042,[2]Export!$A:$C,3,0)</f>
        <v>5619.6500000000005</v>
      </c>
      <c r="L1042" s="19">
        <f t="shared" si="34"/>
        <v>0.68556968803467655</v>
      </c>
      <c r="M1042" s="18">
        <f>VLOOKUP(A1042,[2]Export!$A:$G,7,0)</f>
        <v>4737.8100000000004</v>
      </c>
      <c r="N1042" s="19">
        <f t="shared" si="35"/>
        <v>0.57798954092649379</v>
      </c>
      <c r="O1042" s="17" t="s">
        <v>1027</v>
      </c>
      <c r="P1042" s="17" t="s">
        <v>1028</v>
      </c>
      <c r="Q1042" s="17" t="s">
        <v>1023</v>
      </c>
      <c r="R1042" s="17" t="str">
        <f>VLOOKUP(A1042,[1]Export!$A:$I,9,0)</f>
        <v>Comprou Marcas e SG</v>
      </c>
      <c r="S1042" s="17" t="s">
        <v>1022</v>
      </c>
      <c r="T1042" s="20"/>
      <c r="U1042" s="17"/>
      <c r="V1042" s="17"/>
    </row>
    <row r="1043" spans="1:22" x14ac:dyDescent="0.35">
      <c r="A1043" s="5">
        <v>32409163000119</v>
      </c>
      <c r="B1043" s="7"/>
      <c r="C1043" s="4"/>
      <c r="D1043" s="6" t="s">
        <v>951</v>
      </c>
      <c r="E1043" s="6" t="s">
        <v>35</v>
      </c>
      <c r="F1043" s="6" t="s">
        <v>8</v>
      </c>
      <c r="G1043" s="11" t="s">
        <v>36</v>
      </c>
      <c r="H1043" s="6" t="s">
        <v>17</v>
      </c>
      <c r="I1043" s="21" t="s">
        <v>1070</v>
      </c>
      <c r="J1043" s="18">
        <f>VLOOKUP(A1043,[2]Export!$A:$B,2,0)</f>
        <v>573.70855188588632</v>
      </c>
      <c r="K1043" s="18">
        <f>VLOOKUP(A1043,[2]Export!$A:$C,3,0)</f>
        <v>0</v>
      </c>
      <c r="L1043" s="19">
        <f t="shared" si="34"/>
        <v>0</v>
      </c>
      <c r="M1043" s="18">
        <f>VLOOKUP(A1043,[2]Export!$A:$G,7,0)</f>
        <v>0</v>
      </c>
      <c r="N1043" s="19">
        <f t="shared" si="35"/>
        <v>0</v>
      </c>
      <c r="O1043" s="17" t="s">
        <v>1025</v>
      </c>
      <c r="P1043" s="17" t="s">
        <v>1026</v>
      </c>
      <c r="Q1043" s="17" t="s">
        <v>1023</v>
      </c>
      <c r="R1043" s="17" t="str">
        <f>VLOOKUP(A1043,[1]Export!$A:$I,9,0)</f>
        <v>Não Comprou</v>
      </c>
      <c r="S1043" s="17" t="s">
        <v>1023</v>
      </c>
      <c r="T1043" s="20"/>
      <c r="U1043" s="17"/>
      <c r="V1043" s="17"/>
    </row>
    <row r="1044" spans="1:22" x14ac:dyDescent="0.35">
      <c r="A1044" s="4">
        <v>33193095000166</v>
      </c>
      <c r="B1044" s="7" t="s">
        <v>1010</v>
      </c>
      <c r="C1044" s="4">
        <v>15476</v>
      </c>
      <c r="D1044" s="1" t="s">
        <v>952</v>
      </c>
      <c r="E1044" s="1" t="s">
        <v>265</v>
      </c>
      <c r="F1044" s="1" t="s">
        <v>15</v>
      </c>
      <c r="G1044" s="10" t="s">
        <v>36</v>
      </c>
      <c r="H1044" s="1" t="s">
        <v>17</v>
      </c>
      <c r="I1044" s="21" t="s">
        <v>1069</v>
      </c>
      <c r="J1044" s="18">
        <f>VLOOKUP(A1044,[2]Export!$A:$B,2,0)</f>
        <v>18711.442631798964</v>
      </c>
      <c r="K1044" s="18">
        <f>VLOOKUP(A1044,[2]Export!$A:$C,3,0)</f>
        <v>9319.220000000003</v>
      </c>
      <c r="L1044" s="19">
        <f t="shared" si="34"/>
        <v>0.49804925164682667</v>
      </c>
      <c r="M1044" s="18">
        <f>VLOOKUP(A1044,[2]Export!$A:$G,7,0)</f>
        <v>7587.5</v>
      </c>
      <c r="N1044" s="19">
        <f t="shared" si="35"/>
        <v>0.40550053511670464</v>
      </c>
      <c r="O1044" s="17" t="s">
        <v>1027</v>
      </c>
      <c r="P1044" s="17" t="s">
        <v>1028</v>
      </c>
      <c r="Q1044" s="17" t="s">
        <v>1023</v>
      </c>
      <c r="R1044" s="17" t="str">
        <f>VLOOKUP(A1044,[1]Export!$A:$I,9,0)</f>
        <v>Comprou Marcas</v>
      </c>
      <c r="S1044" s="17" t="s">
        <v>1022</v>
      </c>
      <c r="T1044" s="20"/>
      <c r="U1044" s="17"/>
      <c r="V1044" s="17"/>
    </row>
    <row r="1045" spans="1:22" x14ac:dyDescent="0.35">
      <c r="A1045" s="5">
        <v>15116990000103</v>
      </c>
      <c r="B1045" s="7"/>
      <c r="C1045" s="4"/>
      <c r="D1045" s="6" t="s">
        <v>337</v>
      </c>
      <c r="E1045" s="6" t="s">
        <v>115</v>
      </c>
      <c r="F1045" s="6" t="s">
        <v>8</v>
      </c>
      <c r="G1045" s="11" t="s">
        <v>20</v>
      </c>
      <c r="H1045" s="6" t="s">
        <v>17</v>
      </c>
      <c r="I1045" s="21" t="s">
        <v>1066</v>
      </c>
      <c r="J1045" s="18">
        <f>VLOOKUP(A1045,[2]Export!$A:$B,2,0)</f>
        <v>5272.8707282418418</v>
      </c>
      <c r="K1045" s="18">
        <f>VLOOKUP(A1045,[2]Export!$A:$C,3,0)</f>
        <v>4486.32</v>
      </c>
      <c r="L1045" s="19">
        <f t="shared" si="34"/>
        <v>0.85083064448574008</v>
      </c>
      <c r="M1045" s="18">
        <f>VLOOKUP(A1045,[2]Export!$A:$G,7,0)</f>
        <v>3565.9200000000005</v>
      </c>
      <c r="N1045" s="19">
        <f t="shared" si="35"/>
        <v>0.6762767728972946</v>
      </c>
      <c r="O1045" s="17" t="s">
        <v>1025</v>
      </c>
      <c r="P1045" s="17" t="s">
        <v>1026</v>
      </c>
      <c r="Q1045" s="17" t="s">
        <v>1023</v>
      </c>
      <c r="R1045" s="17" t="str">
        <f>VLOOKUP(A1045,[1]Export!$A:$I,9,0)</f>
        <v>Comprou Marcas</v>
      </c>
      <c r="S1045" s="17" t="s">
        <v>1023</v>
      </c>
      <c r="T1045" s="20"/>
      <c r="U1045" s="17"/>
      <c r="V1045" s="17"/>
    </row>
    <row r="1046" spans="1:22" x14ac:dyDescent="0.35">
      <c r="A1046" s="4">
        <v>15302745000182</v>
      </c>
      <c r="B1046" s="7"/>
      <c r="C1046" s="4"/>
      <c r="D1046" s="1" t="s">
        <v>953</v>
      </c>
      <c r="E1046" s="1" t="s">
        <v>252</v>
      </c>
      <c r="F1046" s="1" t="s">
        <v>15</v>
      </c>
      <c r="G1046" s="10" t="s">
        <v>36</v>
      </c>
      <c r="H1046" s="1" t="s">
        <v>17</v>
      </c>
      <c r="I1046" s="21" t="s">
        <v>1069</v>
      </c>
      <c r="J1046" s="18">
        <f>VLOOKUP(A1046,[2]Export!$A:$B,2,0)</f>
        <v>4400.6658165482513</v>
      </c>
      <c r="K1046" s="18">
        <f>VLOOKUP(A1046,[2]Export!$A:$C,3,0)</f>
        <v>2100.8300000000004</v>
      </c>
      <c r="L1046" s="19">
        <f t="shared" si="34"/>
        <v>0.47738912418662766</v>
      </c>
      <c r="M1046" s="18">
        <f>VLOOKUP(A1046,[2]Export!$A:$G,7,0)</f>
        <v>0</v>
      </c>
      <c r="N1046" s="19">
        <f t="shared" si="35"/>
        <v>0</v>
      </c>
      <c r="O1046" s="17" t="s">
        <v>1025</v>
      </c>
      <c r="P1046" s="17" t="s">
        <v>1026</v>
      </c>
      <c r="Q1046" s="17" t="s">
        <v>1023</v>
      </c>
      <c r="R1046" s="17" t="str">
        <f>VLOOKUP(A1046,[1]Export!$A:$I,9,0)</f>
        <v>Não Comprou</v>
      </c>
      <c r="S1046" s="17" t="s">
        <v>1022</v>
      </c>
      <c r="T1046" s="20"/>
      <c r="U1046" s="17"/>
      <c r="V1046" s="17"/>
    </row>
    <row r="1047" spans="1:22" x14ac:dyDescent="0.35">
      <c r="A1047" s="5">
        <v>15349508000177</v>
      </c>
      <c r="B1047" s="7"/>
      <c r="C1047" s="4">
        <v>111244</v>
      </c>
      <c r="D1047" s="6" t="s">
        <v>954</v>
      </c>
      <c r="E1047" s="6" t="s">
        <v>182</v>
      </c>
      <c r="F1047" s="6" t="s">
        <v>8</v>
      </c>
      <c r="G1047" s="11" t="s">
        <v>20</v>
      </c>
      <c r="H1047" s="6" t="s">
        <v>17</v>
      </c>
      <c r="I1047" s="21" t="s">
        <v>1072</v>
      </c>
      <c r="J1047" s="18">
        <f>VLOOKUP(A1047,[2]Export!$A:$B,2,0)</f>
        <v>4600.9061543608559</v>
      </c>
      <c r="K1047" s="18">
        <f>VLOOKUP(A1047,[2]Export!$A:$C,3,0)</f>
        <v>1351.1300000000003</v>
      </c>
      <c r="L1047" s="19">
        <f t="shared" si="34"/>
        <v>0.2936660637425445</v>
      </c>
      <c r="M1047" s="18">
        <f>VLOOKUP(A1047,[2]Export!$A:$G,7,0)</f>
        <v>786.62</v>
      </c>
      <c r="N1047" s="19">
        <f t="shared" si="35"/>
        <v>0.17097066830072627</v>
      </c>
      <c r="O1047" s="17" t="s">
        <v>1029</v>
      </c>
      <c r="P1047" s="17" t="s">
        <v>1026</v>
      </c>
      <c r="Q1047" s="17" t="s">
        <v>1023</v>
      </c>
      <c r="R1047" s="17" t="str">
        <f>VLOOKUP(A1047,[1]Export!$A:$I,9,0)</f>
        <v>Comprou Marcas</v>
      </c>
      <c r="S1047" s="17" t="s">
        <v>1023</v>
      </c>
      <c r="T1047" s="20"/>
      <c r="U1047" s="17"/>
      <c r="V1047" s="17"/>
    </row>
    <row r="1048" spans="1:22" x14ac:dyDescent="0.35">
      <c r="A1048" s="4">
        <v>36431185000136</v>
      </c>
      <c r="B1048" s="7"/>
      <c r="C1048" s="4"/>
      <c r="D1048" s="1" t="s">
        <v>165</v>
      </c>
      <c r="E1048" s="1" t="s">
        <v>332</v>
      </c>
      <c r="F1048" s="1" t="s">
        <v>8</v>
      </c>
      <c r="G1048" s="10" t="s">
        <v>20</v>
      </c>
      <c r="H1048" s="1" t="s">
        <v>17</v>
      </c>
      <c r="I1048" s="21" t="s">
        <v>1072</v>
      </c>
      <c r="J1048" s="18">
        <f>VLOOKUP(A1048,[2]Export!$A:$B,2,0)</f>
        <v>6033.2344752432073</v>
      </c>
      <c r="K1048" s="18">
        <f>VLOOKUP(A1048,[2]Export!$A:$C,3,0)</f>
        <v>2667.4</v>
      </c>
      <c r="L1048" s="19">
        <f t="shared" si="34"/>
        <v>0.44211774147771271</v>
      </c>
      <c r="M1048" s="18">
        <f>VLOOKUP(A1048,[2]Export!$A:$G,7,0)</f>
        <v>137.85</v>
      </c>
      <c r="N1048" s="19">
        <f t="shared" si="35"/>
        <v>2.2848440677327244E-2</v>
      </c>
      <c r="O1048" s="17" t="s">
        <v>1025</v>
      </c>
      <c r="P1048" s="17" t="s">
        <v>1026</v>
      </c>
      <c r="Q1048" s="17" t="s">
        <v>1023</v>
      </c>
      <c r="R1048" s="17" t="str">
        <f>VLOOKUP(A1048,[1]Export!$A:$I,9,0)</f>
        <v>Comprou Marcas</v>
      </c>
      <c r="S1048" s="17" t="s">
        <v>1022</v>
      </c>
      <c r="T1048" s="20"/>
      <c r="U1048" s="17"/>
      <c r="V1048" s="17">
        <v>1</v>
      </c>
    </row>
    <row r="1049" spans="1:22" x14ac:dyDescent="0.35">
      <c r="A1049" s="5">
        <v>57741120000167</v>
      </c>
      <c r="B1049" s="7"/>
      <c r="C1049" s="4"/>
      <c r="D1049" s="6" t="s">
        <v>955</v>
      </c>
      <c r="E1049" s="6" t="s">
        <v>260</v>
      </c>
      <c r="F1049" s="6" t="s">
        <v>8</v>
      </c>
      <c r="G1049" s="11" t="s">
        <v>550</v>
      </c>
      <c r="H1049" s="6" t="s">
        <v>17</v>
      </c>
      <c r="I1049" s="21" t="s">
        <v>1066</v>
      </c>
      <c r="J1049" s="18">
        <f>VLOOKUP(A1049,[2]Export!$A:$B,2,0)</f>
        <v>2792.7041803717702</v>
      </c>
      <c r="K1049" s="18">
        <f>VLOOKUP(A1049,[2]Export!$A:$C,3,0)</f>
        <v>1761.5700000000002</v>
      </c>
      <c r="L1049" s="19">
        <f t="shared" si="34"/>
        <v>0.63077572353742695</v>
      </c>
      <c r="M1049" s="18">
        <f>VLOOKUP(A1049,[2]Export!$A:$G,7,0)</f>
        <v>108.55000000000001</v>
      </c>
      <c r="N1049" s="19">
        <f t="shared" si="35"/>
        <v>3.8869136503225925E-2</v>
      </c>
      <c r="O1049" s="17" t="s">
        <v>1025</v>
      </c>
      <c r="P1049" s="17" t="s">
        <v>1026</v>
      </c>
      <c r="Q1049" s="17" t="s">
        <v>1022</v>
      </c>
      <c r="R1049" s="17" t="str">
        <f>VLOOKUP(A1049,[1]Export!$A:$I,9,0)</f>
        <v>Comprou Marcas</v>
      </c>
      <c r="S1049" s="17" t="s">
        <v>1022</v>
      </c>
      <c r="T1049" s="20"/>
      <c r="U1049" s="17"/>
      <c r="V1049" s="17">
        <v>1</v>
      </c>
    </row>
    <row r="1050" spans="1:22" x14ac:dyDescent="0.35">
      <c r="A1050" s="4">
        <v>24092237000108</v>
      </c>
      <c r="B1050" s="7"/>
      <c r="C1050" s="4"/>
      <c r="D1050" s="1" t="s">
        <v>956</v>
      </c>
      <c r="E1050" s="1" t="s">
        <v>208</v>
      </c>
      <c r="F1050" s="1" t="s">
        <v>15</v>
      </c>
      <c r="G1050" s="10" t="s">
        <v>190</v>
      </c>
      <c r="H1050" s="1" t="s">
        <v>17</v>
      </c>
      <c r="I1050" s="21" t="s">
        <v>1067</v>
      </c>
      <c r="J1050" s="18">
        <f>VLOOKUP(A1050,[2]Export!$A:$B,2,0)</f>
        <v>1319.87597329558</v>
      </c>
      <c r="K1050" s="18">
        <f>VLOOKUP(A1050,[2]Export!$A:$C,3,0)</f>
        <v>182.92000000000002</v>
      </c>
      <c r="L1050" s="19">
        <f t="shared" si="34"/>
        <v>0.13858877932543132</v>
      </c>
      <c r="M1050" s="18">
        <f>VLOOKUP(A1050,[2]Export!$A:$G,7,0)</f>
        <v>0</v>
      </c>
      <c r="N1050" s="19">
        <f t="shared" si="35"/>
        <v>0</v>
      </c>
      <c r="O1050" s="17" t="s">
        <v>1027</v>
      </c>
      <c r="P1050" s="17" t="s">
        <v>1028</v>
      </c>
      <c r="Q1050" s="17" t="s">
        <v>1023</v>
      </c>
      <c r="R1050" s="17" t="str">
        <f>VLOOKUP(A1050,[1]Export!$A:$I,9,0)</f>
        <v>Não Comprou</v>
      </c>
      <c r="S1050" s="17" t="s">
        <v>1023</v>
      </c>
      <c r="T1050" s="20"/>
      <c r="U1050" s="17"/>
      <c r="V1050" s="17"/>
    </row>
    <row r="1051" spans="1:22" x14ac:dyDescent="0.35">
      <c r="A1051" s="5">
        <v>24622755000196</v>
      </c>
      <c r="B1051" s="7"/>
      <c r="C1051" s="4"/>
      <c r="D1051" s="6" t="s">
        <v>957</v>
      </c>
      <c r="E1051" s="6" t="s">
        <v>98</v>
      </c>
      <c r="F1051" s="6" t="s">
        <v>15</v>
      </c>
      <c r="G1051" s="11" t="s">
        <v>621</v>
      </c>
      <c r="H1051" s="6" t="s">
        <v>17</v>
      </c>
      <c r="I1051" s="21" t="s">
        <v>1073</v>
      </c>
      <c r="J1051" s="18">
        <f>VLOOKUP(A1051,[2]Export!$A:$B,2,0)</f>
        <v>3560.6784789011454</v>
      </c>
      <c r="K1051" s="18">
        <f>VLOOKUP(A1051,[2]Export!$A:$C,3,0)</f>
        <v>1874.93</v>
      </c>
      <c r="L1051" s="19">
        <f t="shared" si="34"/>
        <v>0.52656537542210746</v>
      </c>
      <c r="M1051" s="18">
        <f>VLOOKUP(A1051,[2]Export!$A:$G,7,0)</f>
        <v>828.32</v>
      </c>
      <c r="N1051" s="19">
        <f t="shared" si="35"/>
        <v>0.23262982179048819</v>
      </c>
      <c r="O1051" s="17" t="s">
        <v>1025</v>
      </c>
      <c r="P1051" s="17" t="s">
        <v>1026</v>
      </c>
      <c r="Q1051" s="17" t="s">
        <v>1022</v>
      </c>
      <c r="R1051" s="17" t="str">
        <f>VLOOKUP(A1051,[1]Export!$A:$I,9,0)</f>
        <v>Comprou Marcas</v>
      </c>
      <c r="S1051" s="17" t="s">
        <v>1023</v>
      </c>
      <c r="T1051" s="20"/>
      <c r="U1051" s="17"/>
      <c r="V1051" s="17"/>
    </row>
    <row r="1052" spans="1:22" x14ac:dyDescent="0.35">
      <c r="A1052" s="4">
        <v>24676884000248</v>
      </c>
      <c r="B1052" s="7"/>
      <c r="C1052" s="4"/>
      <c r="D1052" s="1" t="s">
        <v>958</v>
      </c>
      <c r="E1052" s="1" t="s">
        <v>146</v>
      </c>
      <c r="F1052" s="1" t="s">
        <v>8</v>
      </c>
      <c r="G1052" s="10" t="s">
        <v>20</v>
      </c>
      <c r="H1052" s="1" t="s">
        <v>17</v>
      </c>
      <c r="I1052" s="21" t="s">
        <v>1072</v>
      </c>
      <c r="J1052" s="18">
        <f>VLOOKUP(A1052,[2]Export!$A:$B,2,0)</f>
        <v>10738.475817990435</v>
      </c>
      <c r="K1052" s="18">
        <f>VLOOKUP(A1052,[2]Export!$A:$C,3,0)</f>
        <v>8160.369999999999</v>
      </c>
      <c r="L1052" s="19">
        <f t="shared" si="34"/>
        <v>0.75991883190058773</v>
      </c>
      <c r="M1052" s="18">
        <f>VLOOKUP(A1052,[2]Export!$A:$G,7,0)</f>
        <v>4339.8899999999994</v>
      </c>
      <c r="N1052" s="19">
        <f t="shared" si="35"/>
        <v>0.40414394682802879</v>
      </c>
      <c r="O1052" s="17" t="s">
        <v>1025</v>
      </c>
      <c r="P1052" s="17" t="s">
        <v>1026</v>
      </c>
      <c r="Q1052" s="17" t="s">
        <v>1023</v>
      </c>
      <c r="R1052" s="17" t="str">
        <f>VLOOKUP(A1052,[1]Export!$A:$I,9,0)</f>
        <v>Comprou Marcas</v>
      </c>
      <c r="S1052" s="17" t="s">
        <v>1022</v>
      </c>
      <c r="T1052" s="20">
        <v>4</v>
      </c>
      <c r="U1052" s="17"/>
      <c r="V1052" s="17">
        <v>6</v>
      </c>
    </row>
    <row r="1053" spans="1:22" x14ac:dyDescent="0.35">
      <c r="A1053" s="5">
        <v>26860338000107</v>
      </c>
      <c r="B1053" s="7"/>
      <c r="C1053" s="4"/>
      <c r="D1053" s="6" t="s">
        <v>959</v>
      </c>
      <c r="E1053" s="6" t="s">
        <v>960</v>
      </c>
      <c r="F1053" s="6" t="s">
        <v>15</v>
      </c>
      <c r="G1053" s="11" t="s">
        <v>36</v>
      </c>
      <c r="H1053" s="6" t="s">
        <v>17</v>
      </c>
      <c r="I1053" s="21" t="s">
        <v>1069</v>
      </c>
      <c r="J1053" s="18">
        <f>VLOOKUP(A1053,[2]Export!$A:$B,2,0)</f>
        <v>2534.1949727986221</v>
      </c>
      <c r="K1053" s="18">
        <f>VLOOKUP(A1053,[2]Export!$A:$C,3,0)</f>
        <v>853.42</v>
      </c>
      <c r="L1053" s="19">
        <f t="shared" si="34"/>
        <v>0.336761776090784</v>
      </c>
      <c r="M1053" s="18">
        <f>VLOOKUP(A1053,[2]Export!$A:$G,7,0)</f>
        <v>0</v>
      </c>
      <c r="N1053" s="19">
        <f t="shared" si="35"/>
        <v>0</v>
      </c>
      <c r="O1053" s="17"/>
      <c r="P1053" s="17"/>
      <c r="Q1053" s="17"/>
      <c r="R1053" s="17" t="str">
        <f>VLOOKUP(A1053,[1]Export!$A:$I,9,0)</f>
        <v>Não Comprou</v>
      </c>
      <c r="S1053" s="17"/>
      <c r="T1053" s="20"/>
      <c r="U1053" s="17"/>
      <c r="V1053" s="17"/>
    </row>
    <row r="1054" spans="1:22" x14ac:dyDescent="0.35">
      <c r="A1054" s="4">
        <v>13110601000107</v>
      </c>
      <c r="B1054" s="7"/>
      <c r="C1054" s="4"/>
      <c r="D1054" s="1" t="s">
        <v>233</v>
      </c>
      <c r="E1054" s="1" t="s">
        <v>45</v>
      </c>
      <c r="F1054" s="1" t="s">
        <v>8</v>
      </c>
      <c r="G1054" s="10" t="s">
        <v>20</v>
      </c>
      <c r="H1054" s="1" t="s">
        <v>17</v>
      </c>
      <c r="I1054" s="21" t="s">
        <v>1068</v>
      </c>
      <c r="J1054" s="18">
        <f>VLOOKUP(A1054,[2]Export!$A:$B,2,0)</f>
        <v>1829.2636077861857</v>
      </c>
      <c r="K1054" s="18">
        <f>VLOOKUP(A1054,[2]Export!$A:$C,3,0)</f>
        <v>770.40000000000009</v>
      </c>
      <c r="L1054" s="19">
        <f t="shared" si="34"/>
        <v>0.42115307860541479</v>
      </c>
      <c r="M1054" s="18">
        <f>VLOOKUP(A1054,[2]Export!$A:$G,7,0)</f>
        <v>0</v>
      </c>
      <c r="N1054" s="19">
        <f t="shared" si="35"/>
        <v>0</v>
      </c>
      <c r="O1054" s="17" t="s">
        <v>1027</v>
      </c>
      <c r="P1054" s="17" t="s">
        <v>1026</v>
      </c>
      <c r="Q1054" s="17" t="s">
        <v>1023</v>
      </c>
      <c r="R1054" s="17" t="str">
        <f>VLOOKUP(A1054,[1]Export!$A:$I,9,0)</f>
        <v>Não Comprou</v>
      </c>
      <c r="S1054" s="17" t="s">
        <v>1023</v>
      </c>
      <c r="T1054" s="20"/>
      <c r="U1054" s="17"/>
      <c r="V1054" s="17"/>
    </row>
    <row r="1055" spans="1:22" x14ac:dyDescent="0.35">
      <c r="A1055" s="5">
        <v>18723666000133</v>
      </c>
      <c r="B1055" s="7"/>
      <c r="C1055" s="4"/>
      <c r="D1055" s="6" t="s">
        <v>883</v>
      </c>
      <c r="E1055" s="6" t="s">
        <v>390</v>
      </c>
      <c r="F1055" s="6" t="s">
        <v>8</v>
      </c>
      <c r="G1055" s="11" t="s">
        <v>33</v>
      </c>
      <c r="H1055" s="6" t="s">
        <v>17</v>
      </c>
      <c r="I1055" s="21" t="s">
        <v>1068</v>
      </c>
      <c r="J1055" s="18">
        <f>VLOOKUP(A1055,[2]Export!$A:$B,2,0)</f>
        <v>7567.4330713901163</v>
      </c>
      <c r="K1055" s="18">
        <f>VLOOKUP(A1055,[2]Export!$A:$C,3,0)</f>
        <v>5182.7099999999991</v>
      </c>
      <c r="L1055" s="19">
        <f t="shared" si="34"/>
        <v>0.6848702791431428</v>
      </c>
      <c r="M1055" s="18">
        <f>VLOOKUP(A1055,[2]Export!$A:$G,7,0)</f>
        <v>2658.2600000000007</v>
      </c>
      <c r="N1055" s="19">
        <f t="shared" si="35"/>
        <v>0.35127631456034614</v>
      </c>
      <c r="O1055" s="17"/>
      <c r="P1055" s="17"/>
      <c r="Q1055" s="17"/>
      <c r="R1055" s="17" t="str">
        <f>VLOOKUP(A1055,[1]Export!$A:$I,9,0)</f>
        <v>Comprou Marcas e SG</v>
      </c>
      <c r="S1055" s="17"/>
      <c r="T1055" s="20"/>
      <c r="U1055" s="17"/>
      <c r="V1055" s="17"/>
    </row>
    <row r="1056" spans="1:22" x14ac:dyDescent="0.35">
      <c r="A1056" s="4">
        <v>60511756000127</v>
      </c>
      <c r="B1056" s="7"/>
      <c r="C1056" s="4"/>
      <c r="D1056" s="1" t="s">
        <v>961</v>
      </c>
      <c r="E1056" s="1" t="s">
        <v>584</v>
      </c>
      <c r="F1056" s="1" t="s">
        <v>48</v>
      </c>
      <c r="G1056" s="10" t="s">
        <v>80</v>
      </c>
      <c r="H1056" s="1" t="s">
        <v>17</v>
      </c>
      <c r="I1056" s="21" t="s">
        <v>1073</v>
      </c>
      <c r="J1056" s="18">
        <f>VLOOKUP(A1056,[2]Export!$A:$B,2,0)</f>
        <v>3801.5442265159113</v>
      </c>
      <c r="K1056" s="18">
        <f>VLOOKUP(A1056,[2]Export!$A:$C,3,0)</f>
        <v>3229.8399999999997</v>
      </c>
      <c r="L1056" s="19">
        <f t="shared" si="34"/>
        <v>0.84961263306414969</v>
      </c>
      <c r="M1056" s="18">
        <f>VLOOKUP(A1056,[2]Export!$A:$G,7,0)</f>
        <v>0</v>
      </c>
      <c r="N1056" s="19">
        <f t="shared" si="35"/>
        <v>0</v>
      </c>
      <c r="O1056" s="17"/>
      <c r="P1056" s="17"/>
      <c r="Q1056" s="17"/>
      <c r="R1056" s="17" t="str">
        <f>VLOOKUP(A1056,[1]Export!$A:$I,9,0)</f>
        <v>Não Comprou</v>
      </c>
      <c r="S1056" s="17"/>
      <c r="T1056" s="20"/>
      <c r="U1056" s="17"/>
      <c r="V1056" s="17"/>
    </row>
    <row r="1057" spans="1:22" x14ac:dyDescent="0.35">
      <c r="A1057" s="5">
        <v>61585281000186</v>
      </c>
      <c r="B1057" s="7"/>
      <c r="C1057" s="4"/>
      <c r="D1057" s="6" t="s">
        <v>962</v>
      </c>
      <c r="E1057" s="6" t="s">
        <v>61</v>
      </c>
      <c r="F1057" s="6" t="s">
        <v>8</v>
      </c>
      <c r="G1057" s="11" t="s">
        <v>16</v>
      </c>
      <c r="H1057" s="6" t="s">
        <v>17</v>
      </c>
      <c r="I1057" s="21" t="s">
        <v>1066</v>
      </c>
      <c r="J1057" s="18">
        <f>VLOOKUP(A1057,[2]Export!$A:$B,2,0)</f>
        <v>398.57773441198282</v>
      </c>
      <c r="K1057" s="18">
        <f>VLOOKUP(A1057,[2]Export!$A:$C,3,0)</f>
        <v>0</v>
      </c>
      <c r="L1057" s="19">
        <f t="shared" si="34"/>
        <v>0</v>
      </c>
      <c r="M1057" s="18">
        <f>VLOOKUP(A1057,[2]Export!$A:$G,7,0)</f>
        <v>0</v>
      </c>
      <c r="N1057" s="19">
        <f t="shared" si="35"/>
        <v>0</v>
      </c>
      <c r="O1057" s="17" t="s">
        <v>1025</v>
      </c>
      <c r="P1057" s="17" t="s">
        <v>1026</v>
      </c>
      <c r="Q1057" s="17" t="s">
        <v>1023</v>
      </c>
      <c r="R1057" s="17" t="str">
        <f>VLOOKUP(A1057,[1]Export!$A:$I,9,0)</f>
        <v>Não Comprou</v>
      </c>
      <c r="S1057" s="17" t="s">
        <v>1023</v>
      </c>
      <c r="T1057" s="20"/>
      <c r="U1057" s="17"/>
      <c r="V1057" s="17"/>
    </row>
    <row r="1058" spans="1:22" x14ac:dyDescent="0.35">
      <c r="A1058" s="4">
        <v>62668131000107</v>
      </c>
      <c r="B1058" s="7"/>
      <c r="C1058" s="4"/>
      <c r="D1058" s="1" t="s">
        <v>963</v>
      </c>
      <c r="E1058" s="1" t="s">
        <v>379</v>
      </c>
      <c r="F1058" s="1" t="s">
        <v>15</v>
      </c>
      <c r="G1058" s="10" t="s">
        <v>20</v>
      </c>
      <c r="H1058" s="1" t="s">
        <v>17</v>
      </c>
      <c r="I1058" s="21" t="s">
        <v>1073</v>
      </c>
      <c r="J1058" s="18">
        <f>VLOOKUP(A1058,[2]Export!$A:$B,2,0)</f>
        <v>948.63671221874677</v>
      </c>
      <c r="K1058" s="18">
        <f>VLOOKUP(A1058,[2]Export!$A:$C,3,0)</f>
        <v>369.14000000000004</v>
      </c>
      <c r="L1058" s="19">
        <f t="shared" si="34"/>
        <v>0.38912683353422634</v>
      </c>
      <c r="M1058" s="18">
        <f>VLOOKUP(A1058,[2]Export!$A:$G,7,0)</f>
        <v>0</v>
      </c>
      <c r="N1058" s="19">
        <f t="shared" si="35"/>
        <v>0</v>
      </c>
      <c r="O1058" s="17" t="s">
        <v>1025</v>
      </c>
      <c r="P1058" s="17" t="s">
        <v>1026</v>
      </c>
      <c r="Q1058" s="17" t="s">
        <v>1023</v>
      </c>
      <c r="R1058" s="17" t="str">
        <f>VLOOKUP(A1058,[1]Export!$A:$I,9,0)</f>
        <v>Não Comprou</v>
      </c>
      <c r="S1058" s="17" t="s">
        <v>1023</v>
      </c>
      <c r="T1058" s="20"/>
      <c r="U1058" s="17"/>
      <c r="V1058" s="17"/>
    </row>
    <row r="1059" spans="1:22" x14ac:dyDescent="0.35">
      <c r="A1059" s="5">
        <v>4578510000100</v>
      </c>
      <c r="B1059" s="7"/>
      <c r="C1059" s="4"/>
      <c r="D1059" s="6" t="s">
        <v>616</v>
      </c>
      <c r="E1059" s="6" t="s">
        <v>458</v>
      </c>
      <c r="F1059" s="6" t="s">
        <v>48</v>
      </c>
      <c r="G1059" s="11" t="s">
        <v>38</v>
      </c>
      <c r="H1059" s="6" t="s">
        <v>17</v>
      </c>
      <c r="I1059" s="21" t="s">
        <v>1073</v>
      </c>
      <c r="J1059" s="18">
        <f>VLOOKUP(A1059,[2]Export!$A:$B,2,0)</f>
        <v>1937.048395134186</v>
      </c>
      <c r="K1059" s="18">
        <f>VLOOKUP(A1059,[2]Export!$A:$C,3,0)</f>
        <v>2598.9400000000005</v>
      </c>
      <c r="L1059" s="19">
        <f t="shared" si="34"/>
        <v>1.341701119356888</v>
      </c>
      <c r="M1059" s="18">
        <f>VLOOKUP(A1059,[2]Export!$A:$G,7,0)</f>
        <v>2522.2400000000011</v>
      </c>
      <c r="N1059" s="19">
        <f t="shared" si="35"/>
        <v>1.3021047932182803</v>
      </c>
      <c r="O1059" s="17" t="s">
        <v>1027</v>
      </c>
      <c r="P1059" s="17" t="s">
        <v>1028</v>
      </c>
      <c r="Q1059" s="17" t="s">
        <v>1023</v>
      </c>
      <c r="R1059" s="17" t="str">
        <f>VLOOKUP(A1059,[1]Export!$A:$I,9,0)</f>
        <v>Comprou Marcas e SG</v>
      </c>
      <c r="S1059" s="17" t="s">
        <v>1022</v>
      </c>
      <c r="T1059" s="20"/>
      <c r="U1059" s="17"/>
      <c r="V1059" s="17"/>
    </row>
    <row r="1060" spans="1:22" x14ac:dyDescent="0.35">
      <c r="A1060" s="4">
        <v>59454115000107</v>
      </c>
      <c r="B1060" s="7"/>
      <c r="C1060" s="4"/>
      <c r="D1060" s="1" t="s">
        <v>965</v>
      </c>
      <c r="E1060" s="1" t="s">
        <v>166</v>
      </c>
      <c r="F1060" s="1" t="s">
        <v>8</v>
      </c>
      <c r="G1060" s="10" t="s">
        <v>36</v>
      </c>
      <c r="H1060" s="1" t="s">
        <v>17</v>
      </c>
      <c r="I1060" s="21" t="s">
        <v>1068</v>
      </c>
      <c r="J1060" s="18">
        <f>VLOOKUP(A1060,[2]Export!$A:$B,2,0)</f>
        <v>1261.0393328425444</v>
      </c>
      <c r="K1060" s="18">
        <f>VLOOKUP(A1060,[2]Export!$A:$C,3,0)</f>
        <v>916.32000000000016</v>
      </c>
      <c r="L1060" s="19">
        <f t="shared" ref="L1060:L1090" si="36">K1060/J1060</f>
        <v>0.72663871469773855</v>
      </c>
      <c r="M1060" s="18">
        <f>VLOOKUP(A1060,[2]Export!$A:$G,7,0)</f>
        <v>0</v>
      </c>
      <c r="N1060" s="19">
        <f t="shared" ref="N1060:N1090" si="37">M1060/J1060</f>
        <v>0</v>
      </c>
      <c r="O1060" s="17" t="s">
        <v>1025</v>
      </c>
      <c r="P1060" s="17" t="s">
        <v>1026</v>
      </c>
      <c r="Q1060" s="17" t="s">
        <v>1023</v>
      </c>
      <c r="R1060" s="17" t="str">
        <f>VLOOKUP(A1060,[1]Export!$A:$I,9,0)</f>
        <v>Não Comprou</v>
      </c>
      <c r="S1060" s="17" t="s">
        <v>1023</v>
      </c>
      <c r="T1060" s="20"/>
      <c r="U1060" s="17"/>
      <c r="V1060" s="17"/>
    </row>
    <row r="1061" spans="1:22" x14ac:dyDescent="0.35">
      <c r="A1061" s="5">
        <v>33184266000352</v>
      </c>
      <c r="B1061" s="7"/>
      <c r="C1061" s="4"/>
      <c r="D1061" s="6" t="s">
        <v>471</v>
      </c>
      <c r="E1061" s="6" t="s">
        <v>40</v>
      </c>
      <c r="F1061" s="6" t="s">
        <v>8</v>
      </c>
      <c r="G1061" s="11" t="s">
        <v>20</v>
      </c>
      <c r="H1061" s="6" t="s">
        <v>17</v>
      </c>
      <c r="I1061" s="21" t="s">
        <v>1070</v>
      </c>
      <c r="J1061" s="18">
        <f>VLOOKUP(A1061,[2]Export!$A:$B,2,0)</f>
        <v>6939.3925555481273</v>
      </c>
      <c r="K1061" s="18">
        <f>VLOOKUP(A1061,[2]Export!$A:$C,3,0)</f>
        <v>3438.349999999999</v>
      </c>
      <c r="L1061" s="19">
        <f t="shared" si="36"/>
        <v>0.49548284990031255</v>
      </c>
      <c r="M1061" s="18">
        <f>VLOOKUP(A1061,[2]Export!$A:$G,7,0)</f>
        <v>2419.6099999999997</v>
      </c>
      <c r="N1061" s="19">
        <f t="shared" si="37"/>
        <v>0.34867749311364327</v>
      </c>
      <c r="O1061" s="17" t="s">
        <v>1025</v>
      </c>
      <c r="P1061" s="17" t="s">
        <v>1026</v>
      </c>
      <c r="Q1061" s="17" t="s">
        <v>1023</v>
      </c>
      <c r="R1061" s="17" t="str">
        <f>VLOOKUP(A1061,[1]Export!$A:$I,9,0)</f>
        <v>Comprou Marcas</v>
      </c>
      <c r="S1061" s="17" t="s">
        <v>1022</v>
      </c>
      <c r="T1061" s="20"/>
      <c r="U1061" s="17"/>
      <c r="V1061" s="17"/>
    </row>
    <row r="1062" spans="1:22" x14ac:dyDescent="0.35">
      <c r="A1062" s="4">
        <v>51945744000110</v>
      </c>
      <c r="B1062" s="7"/>
      <c r="C1062" s="4"/>
      <c r="D1062" s="1" t="s">
        <v>202</v>
      </c>
      <c r="E1062" s="1" t="s">
        <v>22</v>
      </c>
      <c r="F1062" s="1" t="s">
        <v>8</v>
      </c>
      <c r="G1062" s="10" t="s">
        <v>74</v>
      </c>
      <c r="H1062" s="1" t="s">
        <v>17</v>
      </c>
      <c r="I1062" s="21" t="s">
        <v>1068</v>
      </c>
      <c r="J1062" s="18">
        <f>VLOOKUP(A1062,[2]Export!$A:$B,2,0)</f>
        <v>2899.033548311535</v>
      </c>
      <c r="K1062" s="18">
        <f>VLOOKUP(A1062,[2]Export!$A:$C,3,0)</f>
        <v>2774.7000000000003</v>
      </c>
      <c r="L1062" s="19">
        <f t="shared" si="36"/>
        <v>0.9571120698537795</v>
      </c>
      <c r="M1062" s="18">
        <f>VLOOKUP(A1062,[2]Export!$A:$G,7,0)</f>
        <v>779.43000000000006</v>
      </c>
      <c r="N1062" s="19">
        <f t="shared" si="37"/>
        <v>0.26885856510834732</v>
      </c>
      <c r="O1062" s="17" t="s">
        <v>1027</v>
      </c>
      <c r="P1062" s="17" t="s">
        <v>1028</v>
      </c>
      <c r="Q1062" s="17" t="s">
        <v>1023</v>
      </c>
      <c r="R1062" s="17" t="str">
        <f>VLOOKUP(A1062,[1]Export!$A:$I,9,0)</f>
        <v>Comprou Marcas</v>
      </c>
      <c r="S1062" s="17" t="s">
        <v>1023</v>
      </c>
      <c r="T1062" s="20"/>
      <c r="U1062" s="17"/>
      <c r="V1062" s="17"/>
    </row>
    <row r="1063" spans="1:22" x14ac:dyDescent="0.35">
      <c r="A1063" s="5">
        <v>53257815000117</v>
      </c>
      <c r="B1063" s="7"/>
      <c r="C1063" s="4"/>
      <c r="D1063" s="6" t="s">
        <v>966</v>
      </c>
      <c r="E1063" s="6" t="s">
        <v>584</v>
      </c>
      <c r="F1063" s="6" t="s">
        <v>48</v>
      </c>
      <c r="G1063" s="11" t="s">
        <v>20</v>
      </c>
      <c r="H1063" s="6" t="s">
        <v>17</v>
      </c>
      <c r="I1063" s="21" t="s">
        <v>1073</v>
      </c>
      <c r="J1063" s="18">
        <f>VLOOKUP(A1063,[2]Export!$A:$B,2,0)</f>
        <v>1224.6408624314283</v>
      </c>
      <c r="K1063" s="18">
        <f>VLOOKUP(A1063,[2]Export!$A:$C,3,0)</f>
        <v>508.59999999999997</v>
      </c>
      <c r="L1063" s="19">
        <f t="shared" si="36"/>
        <v>0.41530543002641163</v>
      </c>
      <c r="M1063" s="18">
        <f>VLOOKUP(A1063,[2]Export!$A:$G,7,0)</f>
        <v>0</v>
      </c>
      <c r="N1063" s="19">
        <f t="shared" si="37"/>
        <v>0</v>
      </c>
      <c r="O1063" s="17" t="s">
        <v>1025</v>
      </c>
      <c r="P1063" s="17" t="s">
        <v>1026</v>
      </c>
      <c r="Q1063" s="17" t="s">
        <v>1023</v>
      </c>
      <c r="R1063" s="17" t="str">
        <f>VLOOKUP(A1063,[1]Export!$A:$I,9,0)</f>
        <v>Não Comprou</v>
      </c>
      <c r="S1063" s="17" t="s">
        <v>1023</v>
      </c>
      <c r="T1063" s="20"/>
      <c r="U1063" s="17"/>
      <c r="V1063" s="17"/>
    </row>
    <row r="1064" spans="1:22" x14ac:dyDescent="0.35">
      <c r="A1064" s="4">
        <v>24127802000125</v>
      </c>
      <c r="B1064" s="7"/>
      <c r="C1064" s="4"/>
      <c r="D1064" s="1" t="s">
        <v>967</v>
      </c>
      <c r="E1064" s="1" t="s">
        <v>330</v>
      </c>
      <c r="F1064" s="1" t="s">
        <v>15</v>
      </c>
      <c r="G1064" s="10" t="s">
        <v>36</v>
      </c>
      <c r="H1064" s="1" t="s">
        <v>17</v>
      </c>
      <c r="I1064" s="21" t="s">
        <v>1069</v>
      </c>
      <c r="J1064" s="18">
        <f>VLOOKUP(A1064,[2]Export!$A:$B,2,0)</f>
        <v>1559.3665255502131</v>
      </c>
      <c r="K1064" s="18">
        <f>VLOOKUP(A1064,[2]Export!$A:$C,3,0)</f>
        <v>2265.3800000000006</v>
      </c>
      <c r="L1064" s="19">
        <f t="shared" si="36"/>
        <v>1.4527565924250394</v>
      </c>
      <c r="M1064" s="18">
        <f>VLOOKUP(A1064,[2]Export!$A:$G,7,0)</f>
        <v>2146.27</v>
      </c>
      <c r="N1064" s="19">
        <f t="shared" si="37"/>
        <v>1.3763730109845096</v>
      </c>
      <c r="O1064" s="17" t="s">
        <v>1025</v>
      </c>
      <c r="P1064" s="17" t="s">
        <v>1026</v>
      </c>
      <c r="Q1064" s="17" t="s">
        <v>1023</v>
      </c>
      <c r="R1064" s="17" t="str">
        <f>VLOOKUP(A1064,[1]Export!$A:$I,9,0)</f>
        <v>Comprou Marcas</v>
      </c>
      <c r="S1064" s="17" t="s">
        <v>1023</v>
      </c>
      <c r="T1064" s="20"/>
      <c r="U1064" s="17"/>
      <c r="V1064" s="17"/>
    </row>
    <row r="1065" spans="1:22" x14ac:dyDescent="0.35">
      <c r="A1065" s="5">
        <v>27201095000168</v>
      </c>
      <c r="B1065" s="7"/>
      <c r="C1065" s="4"/>
      <c r="D1065" s="6" t="s">
        <v>104</v>
      </c>
      <c r="E1065" s="6" t="s">
        <v>193</v>
      </c>
      <c r="F1065" s="6" t="s">
        <v>194</v>
      </c>
      <c r="G1065" s="11" t="s">
        <v>9</v>
      </c>
      <c r="H1065" s="6" t="s">
        <v>10</v>
      </c>
      <c r="I1065" s="21" t="s">
        <v>1068</v>
      </c>
      <c r="J1065" s="18">
        <f>VLOOKUP(A1065,[2]Export!$A:$B,2,0)</f>
        <v>3947.9986485042973</v>
      </c>
      <c r="K1065" s="18">
        <f>VLOOKUP(A1065,[2]Export!$A:$C,3,0)</f>
        <v>2511.5000000000005</v>
      </c>
      <c r="L1065" s="19">
        <f t="shared" si="36"/>
        <v>0.6361451012531335</v>
      </c>
      <c r="M1065" s="18">
        <f>VLOOKUP(A1065,[2]Export!$A:$G,7,0)</f>
        <v>2418.62</v>
      </c>
      <c r="N1065" s="19">
        <f t="shared" si="37"/>
        <v>0.61261925733340772</v>
      </c>
      <c r="O1065" s="17" t="s">
        <v>1027</v>
      </c>
      <c r="P1065" s="17" t="s">
        <v>1028</v>
      </c>
      <c r="Q1065" s="17" t="s">
        <v>1023</v>
      </c>
      <c r="R1065" s="17" t="str">
        <f>VLOOKUP(A1065,[1]Export!$A:$I,9,0)</f>
        <v>Comprou Marcas</v>
      </c>
      <c r="S1065" s="17" t="s">
        <v>1022</v>
      </c>
      <c r="T1065" s="20"/>
      <c r="U1065" s="17"/>
      <c r="V1065" s="17"/>
    </row>
    <row r="1066" spans="1:22" x14ac:dyDescent="0.35">
      <c r="A1066" s="4">
        <v>30455750000119</v>
      </c>
      <c r="B1066" s="7"/>
      <c r="C1066" s="4"/>
      <c r="D1066" s="1" t="s">
        <v>217</v>
      </c>
      <c r="E1066" s="1" t="s">
        <v>71</v>
      </c>
      <c r="F1066" s="1" t="s">
        <v>15</v>
      </c>
      <c r="G1066" s="10" t="s">
        <v>16</v>
      </c>
      <c r="H1066" s="1" t="s">
        <v>17</v>
      </c>
      <c r="I1066" s="21" t="s">
        <v>1069</v>
      </c>
      <c r="J1066" s="18">
        <f>VLOOKUP(A1066,[2]Export!$A:$B,2,0)</f>
        <v>1478.7775739130832</v>
      </c>
      <c r="K1066" s="18">
        <f>VLOOKUP(A1066,[2]Export!$A:$C,3,0)</f>
        <v>253.52999999999997</v>
      </c>
      <c r="L1066" s="19">
        <f t="shared" si="36"/>
        <v>0.17144566192542321</v>
      </c>
      <c r="M1066" s="18">
        <f>VLOOKUP(A1066,[2]Export!$A:$G,7,0)</f>
        <v>354.81</v>
      </c>
      <c r="N1066" s="19">
        <f t="shared" si="37"/>
        <v>0.23993466377848544</v>
      </c>
      <c r="O1066" s="17"/>
      <c r="P1066" s="17"/>
      <c r="Q1066" s="17"/>
      <c r="R1066" s="17" t="str">
        <f>VLOOKUP(A1066,[1]Export!$A:$I,9,0)</f>
        <v>Comprou Marcas</v>
      </c>
      <c r="S1066" s="17"/>
      <c r="T1066" s="20"/>
      <c r="U1066" s="17"/>
      <c r="V1066" s="17"/>
    </row>
    <row r="1067" spans="1:22" x14ac:dyDescent="0.35">
      <c r="A1067" s="5">
        <v>53933707000117</v>
      </c>
      <c r="B1067" s="7"/>
      <c r="C1067" s="4"/>
      <c r="D1067" s="6" t="s">
        <v>968</v>
      </c>
      <c r="E1067" s="6" t="s">
        <v>322</v>
      </c>
      <c r="F1067" s="6" t="s">
        <v>8</v>
      </c>
      <c r="G1067" s="11" t="s">
        <v>20</v>
      </c>
      <c r="H1067" s="6" t="s">
        <v>17</v>
      </c>
      <c r="I1067" s="21" t="s">
        <v>1066</v>
      </c>
      <c r="J1067" s="18">
        <f>VLOOKUP(A1067,[2]Export!$A:$B,2,0)</f>
        <v>2689.1745474065256</v>
      </c>
      <c r="K1067" s="18">
        <f>VLOOKUP(A1067,[2]Export!$A:$C,3,0)</f>
        <v>1339.1100000000001</v>
      </c>
      <c r="L1067" s="19">
        <f t="shared" si="36"/>
        <v>0.49796321376440772</v>
      </c>
      <c r="M1067" s="18">
        <f>VLOOKUP(A1067,[2]Export!$A:$G,7,0)</f>
        <v>0</v>
      </c>
      <c r="N1067" s="19">
        <f t="shared" si="37"/>
        <v>0</v>
      </c>
      <c r="O1067" s="17" t="s">
        <v>1025</v>
      </c>
      <c r="P1067" s="17" t="s">
        <v>1026</v>
      </c>
      <c r="Q1067" s="17" t="s">
        <v>1022</v>
      </c>
      <c r="R1067" s="17" t="str">
        <f>VLOOKUP(A1067,[1]Export!$A:$I,9,0)</f>
        <v>Não Comprou</v>
      </c>
      <c r="S1067" s="17" t="s">
        <v>1023</v>
      </c>
      <c r="T1067" s="20"/>
      <c r="U1067" s="17"/>
      <c r="V1067" s="17"/>
    </row>
    <row r="1068" spans="1:22" x14ac:dyDescent="0.35">
      <c r="A1068" s="4">
        <v>55288708000181</v>
      </c>
      <c r="B1068" s="7"/>
      <c r="C1068" s="4"/>
      <c r="D1068" s="1" t="s">
        <v>969</v>
      </c>
      <c r="E1068" s="1" t="s">
        <v>384</v>
      </c>
      <c r="F1068" s="1" t="s">
        <v>48</v>
      </c>
      <c r="G1068" s="10" t="s">
        <v>20</v>
      </c>
      <c r="H1068" s="1" t="s">
        <v>17</v>
      </c>
      <c r="I1068" s="21" t="s">
        <v>1071</v>
      </c>
      <c r="J1068" s="18">
        <f>VLOOKUP(A1068,[2]Export!$A:$B,2,0)</f>
        <v>9374.3682295533181</v>
      </c>
      <c r="K1068" s="18">
        <f>VLOOKUP(A1068,[2]Export!$A:$C,3,0)</f>
        <v>5672.4999999999991</v>
      </c>
      <c r="L1068" s="19">
        <f t="shared" si="36"/>
        <v>0.60510744416003059</v>
      </c>
      <c r="M1068" s="18">
        <f>VLOOKUP(A1068,[2]Export!$A:$G,7,0)</f>
        <v>5191.3299999999981</v>
      </c>
      <c r="N1068" s="19">
        <f t="shared" si="37"/>
        <v>0.553779185207808</v>
      </c>
      <c r="O1068" s="17" t="s">
        <v>1025</v>
      </c>
      <c r="P1068" s="17" t="s">
        <v>1026</v>
      </c>
      <c r="Q1068" s="17" t="s">
        <v>1023</v>
      </c>
      <c r="R1068" s="17" t="str">
        <f>VLOOKUP(A1068,[1]Export!$A:$I,9,0)</f>
        <v>Comprou Marcas e SG</v>
      </c>
      <c r="S1068" s="17" t="s">
        <v>1022</v>
      </c>
      <c r="T1068" s="20"/>
      <c r="U1068" s="17"/>
      <c r="V1068" s="17"/>
    </row>
    <row r="1069" spans="1:22" x14ac:dyDescent="0.35">
      <c r="A1069" s="5">
        <v>63102694000198</v>
      </c>
      <c r="B1069" s="7"/>
      <c r="C1069" s="4"/>
      <c r="D1069" s="6" t="s">
        <v>970</v>
      </c>
      <c r="E1069" s="6" t="s">
        <v>149</v>
      </c>
      <c r="F1069" s="6" t="s">
        <v>8</v>
      </c>
      <c r="G1069" s="11" t="s">
        <v>20</v>
      </c>
      <c r="H1069" s="6" t="s">
        <v>17</v>
      </c>
      <c r="I1069" s="21" t="s">
        <v>1072</v>
      </c>
      <c r="J1069" s="18">
        <f>VLOOKUP(A1069,[2]Export!$A:$B,2,0)</f>
        <v>13.784976826151809</v>
      </c>
      <c r="K1069" s="18">
        <f>VLOOKUP(A1069,[2]Export!$A:$C,3,0)</f>
        <v>0</v>
      </c>
      <c r="L1069" s="19">
        <f t="shared" si="36"/>
        <v>0</v>
      </c>
      <c r="M1069" s="18">
        <f>VLOOKUP(A1069,[2]Export!$A:$G,7,0)</f>
        <v>0</v>
      </c>
      <c r="N1069" s="19">
        <f t="shared" si="37"/>
        <v>0</v>
      </c>
      <c r="O1069" s="17" t="s">
        <v>1025</v>
      </c>
      <c r="P1069" s="17" t="s">
        <v>1026</v>
      </c>
      <c r="Q1069" s="17" t="s">
        <v>1023</v>
      </c>
      <c r="R1069" s="17" t="str">
        <f>VLOOKUP(A1069,[1]Export!$A:$I,9,0)</f>
        <v>Não Comprou</v>
      </c>
      <c r="S1069" s="17" t="s">
        <v>1023</v>
      </c>
      <c r="T1069" s="20"/>
      <c r="U1069" s="17"/>
      <c r="V1069" s="17"/>
    </row>
    <row r="1070" spans="1:22" x14ac:dyDescent="0.35">
      <c r="A1070" s="4">
        <v>66613327000147</v>
      </c>
      <c r="B1070" s="7"/>
      <c r="C1070" s="4"/>
      <c r="D1070" s="1" t="s">
        <v>971</v>
      </c>
      <c r="E1070" s="1" t="s">
        <v>98</v>
      </c>
      <c r="F1070" s="1" t="s">
        <v>15</v>
      </c>
      <c r="G1070" s="10" t="s">
        <v>36</v>
      </c>
      <c r="H1070" s="1" t="s">
        <v>17</v>
      </c>
      <c r="I1070" s="21" t="s">
        <v>1073</v>
      </c>
      <c r="J1070" s="18">
        <f>VLOOKUP(A1070,[2]Export!$A:$B,2,0)</f>
        <v>1437.2323276574921</v>
      </c>
      <c r="K1070" s="18">
        <f>VLOOKUP(A1070,[2]Export!$A:$C,3,0)</f>
        <v>3240.6200000000008</v>
      </c>
      <c r="L1070" s="19">
        <f t="shared" si="36"/>
        <v>2.2547642003584794</v>
      </c>
      <c r="M1070" s="18">
        <f>VLOOKUP(A1070,[2]Export!$A:$G,7,0)</f>
        <v>845.23</v>
      </c>
      <c r="N1070" s="19">
        <f t="shared" si="37"/>
        <v>0.58809559438286407</v>
      </c>
      <c r="O1070" s="17"/>
      <c r="P1070" s="17"/>
      <c r="Q1070" s="17"/>
      <c r="R1070" s="17" t="str">
        <f>VLOOKUP(A1070,[1]Export!$A:$I,9,0)</f>
        <v>Comprou Marcas</v>
      </c>
      <c r="S1070" s="17"/>
      <c r="T1070" s="20"/>
      <c r="U1070" s="17"/>
      <c r="V1070" s="17"/>
    </row>
    <row r="1071" spans="1:22" x14ac:dyDescent="0.35">
      <c r="A1071" s="5">
        <v>65675078000585</v>
      </c>
      <c r="B1071" s="7"/>
      <c r="C1071" s="4"/>
      <c r="D1071" s="6" t="s">
        <v>380</v>
      </c>
      <c r="E1071" s="6" t="s">
        <v>14</v>
      </c>
      <c r="F1071" s="6" t="s">
        <v>15</v>
      </c>
      <c r="G1071" s="11" t="s">
        <v>20</v>
      </c>
      <c r="H1071" s="6" t="s">
        <v>17</v>
      </c>
      <c r="I1071" s="21" t="s">
        <v>1067</v>
      </c>
      <c r="J1071" s="18">
        <f>VLOOKUP(A1071,[2]Export!$A:$B,2,0)</f>
        <v>631.70405021515842</v>
      </c>
      <c r="K1071" s="18">
        <f>VLOOKUP(A1071,[2]Export!$A:$C,3,0)</f>
        <v>1694.6300000000003</v>
      </c>
      <c r="L1071" s="19">
        <f t="shared" si="36"/>
        <v>2.6826327920848527</v>
      </c>
      <c r="M1071" s="18">
        <f>VLOOKUP(A1071,[2]Export!$A:$G,7,0)</f>
        <v>1461.7899999999995</v>
      </c>
      <c r="N1071" s="19">
        <f t="shared" si="37"/>
        <v>2.3140424689411345</v>
      </c>
      <c r="O1071" s="17"/>
      <c r="P1071" s="17"/>
      <c r="Q1071" s="17"/>
      <c r="R1071" s="17" t="str">
        <f>VLOOKUP(A1071,[1]Export!$A:$I,9,0)</f>
        <v>Comprou Marcas</v>
      </c>
      <c r="S1071" s="17"/>
      <c r="T1071" s="20"/>
      <c r="U1071" s="17"/>
      <c r="V1071" s="17"/>
    </row>
    <row r="1072" spans="1:22" x14ac:dyDescent="0.35">
      <c r="A1072" s="4">
        <v>28846852000113</v>
      </c>
      <c r="B1072" s="7"/>
      <c r="C1072" s="4"/>
      <c r="D1072" s="1" t="s">
        <v>972</v>
      </c>
      <c r="E1072" s="1" t="s">
        <v>82</v>
      </c>
      <c r="F1072" s="1" t="s">
        <v>8</v>
      </c>
      <c r="G1072" s="10" t="s">
        <v>20</v>
      </c>
      <c r="H1072" s="1" t="s">
        <v>17</v>
      </c>
      <c r="I1072" s="21" t="s">
        <v>1070</v>
      </c>
      <c r="J1072" s="18">
        <f>VLOOKUP(A1072,[2]Export!$A:$B,2,0)</f>
        <v>13096.239280570808</v>
      </c>
      <c r="K1072" s="18">
        <f>VLOOKUP(A1072,[2]Export!$A:$C,3,0)</f>
        <v>8214.869999999999</v>
      </c>
      <c r="L1072" s="19">
        <f t="shared" si="36"/>
        <v>0.62726938810497579</v>
      </c>
      <c r="M1072" s="18">
        <f>VLOOKUP(A1072,[2]Export!$A:$G,7,0)</f>
        <v>7147.2900000000009</v>
      </c>
      <c r="N1072" s="19">
        <f t="shared" si="37"/>
        <v>0.54575132958997685</v>
      </c>
      <c r="O1072" s="17" t="s">
        <v>1027</v>
      </c>
      <c r="P1072" s="17" t="s">
        <v>1026</v>
      </c>
      <c r="Q1072" s="17" t="s">
        <v>1023</v>
      </c>
      <c r="R1072" s="17" t="str">
        <f>VLOOKUP(A1072,[1]Export!$A:$I,9,0)</f>
        <v>Comprou Marcas</v>
      </c>
      <c r="S1072" s="17" t="s">
        <v>1022</v>
      </c>
      <c r="T1072" s="20">
        <v>1</v>
      </c>
      <c r="U1072" s="17"/>
      <c r="V1072" s="17"/>
    </row>
    <row r="1073" spans="1:22" x14ac:dyDescent="0.35">
      <c r="A1073" s="5">
        <v>30274933000138</v>
      </c>
      <c r="B1073" s="7"/>
      <c r="C1073" s="4"/>
      <c r="D1073" s="6" t="s">
        <v>154</v>
      </c>
      <c r="E1073" s="6" t="s">
        <v>146</v>
      </c>
      <c r="F1073" s="6" t="s">
        <v>8</v>
      </c>
      <c r="G1073" s="11" t="s">
        <v>36</v>
      </c>
      <c r="H1073" s="6" t="s">
        <v>17</v>
      </c>
      <c r="I1073" s="21" t="s">
        <v>1072</v>
      </c>
      <c r="J1073" s="18">
        <f>VLOOKUP(A1073,[2]Export!$A:$B,2,0)</f>
        <v>4208.0376928683309</v>
      </c>
      <c r="K1073" s="18">
        <f>VLOOKUP(A1073,[2]Export!$A:$C,3,0)</f>
        <v>1966.5600000000002</v>
      </c>
      <c r="L1073" s="19">
        <f t="shared" si="36"/>
        <v>0.46733421692796934</v>
      </c>
      <c r="M1073" s="18">
        <f>VLOOKUP(A1073,[2]Export!$A:$G,7,0)</f>
        <v>2426.6900000000005</v>
      </c>
      <c r="N1073" s="19">
        <f t="shared" si="37"/>
        <v>0.57667972036293536</v>
      </c>
      <c r="O1073" s="17" t="s">
        <v>1025</v>
      </c>
      <c r="P1073" s="17" t="s">
        <v>1026</v>
      </c>
      <c r="Q1073" s="17" t="s">
        <v>1023</v>
      </c>
      <c r="R1073" s="17" t="str">
        <f>VLOOKUP(A1073,[1]Export!$A:$I,9,0)</f>
        <v>Comprou Marcas</v>
      </c>
      <c r="S1073" s="17" t="s">
        <v>1022</v>
      </c>
      <c r="T1073" s="20"/>
      <c r="U1073" s="17"/>
      <c r="V1073" s="17"/>
    </row>
    <row r="1074" spans="1:22" x14ac:dyDescent="0.35">
      <c r="A1074" s="4">
        <v>18070710000153</v>
      </c>
      <c r="B1074" s="7"/>
      <c r="C1074" s="4"/>
      <c r="D1074" s="1" t="s">
        <v>973</v>
      </c>
      <c r="E1074" s="1" t="s">
        <v>61</v>
      </c>
      <c r="F1074" s="1" t="s">
        <v>8</v>
      </c>
      <c r="G1074" s="10" t="s">
        <v>20</v>
      </c>
      <c r="H1074" s="1" t="s">
        <v>17</v>
      </c>
      <c r="I1074" s="21" t="s">
        <v>1066</v>
      </c>
      <c r="J1074" s="18">
        <f>VLOOKUP(A1074,[2]Export!$A:$B,2,0)</f>
        <v>3264.7917731947155</v>
      </c>
      <c r="K1074" s="18">
        <f>VLOOKUP(A1074,[2]Export!$A:$C,3,0)</f>
        <v>2091.0300000000002</v>
      </c>
      <c r="L1074" s="19">
        <f t="shared" si="36"/>
        <v>0.64047882537815037</v>
      </c>
      <c r="M1074" s="18">
        <f>VLOOKUP(A1074,[2]Export!$A:$G,7,0)</f>
        <v>525.67999999999995</v>
      </c>
      <c r="N1074" s="19">
        <f t="shared" si="37"/>
        <v>0.16101486297412568</v>
      </c>
      <c r="O1074" s="17" t="s">
        <v>1025</v>
      </c>
      <c r="P1074" s="17" t="s">
        <v>1026</v>
      </c>
      <c r="Q1074" s="17" t="s">
        <v>1023</v>
      </c>
      <c r="R1074" s="17" t="str">
        <f>VLOOKUP(A1074,[1]Export!$A:$I,9,0)</f>
        <v>Comprou Marcas</v>
      </c>
      <c r="S1074" s="17" t="s">
        <v>1022</v>
      </c>
      <c r="T1074" s="20"/>
      <c r="U1074" s="17"/>
      <c r="V1074" s="17"/>
    </row>
    <row r="1075" spans="1:22" x14ac:dyDescent="0.35">
      <c r="A1075" s="5">
        <v>18465867000188</v>
      </c>
      <c r="B1075" s="7" t="s">
        <v>994</v>
      </c>
      <c r="C1075" s="4"/>
      <c r="D1075" s="6" t="s">
        <v>156</v>
      </c>
      <c r="E1075" s="6" t="s">
        <v>520</v>
      </c>
      <c r="F1075" s="6" t="s">
        <v>48</v>
      </c>
      <c r="G1075" s="11" t="s">
        <v>92</v>
      </c>
      <c r="H1075" s="6" t="s">
        <v>17</v>
      </c>
      <c r="I1075" s="21" t="s">
        <v>1071</v>
      </c>
      <c r="J1075" s="18">
        <f>VLOOKUP(A1075,[2]Export!$A:$B,2,0)</f>
        <v>17863.411448727737</v>
      </c>
      <c r="K1075" s="18">
        <f>VLOOKUP(A1075,[2]Export!$A:$C,3,0)</f>
        <v>21231.359999999993</v>
      </c>
      <c r="L1075" s="19">
        <f t="shared" si="36"/>
        <v>1.1885389339510584</v>
      </c>
      <c r="M1075" s="18">
        <f>VLOOKUP(A1075,[2]Export!$A:$G,7,0)</f>
        <v>10887.039999999999</v>
      </c>
      <c r="N1075" s="19">
        <f t="shared" si="37"/>
        <v>0.60946029437033389</v>
      </c>
      <c r="O1075" s="17" t="s">
        <v>1027</v>
      </c>
      <c r="P1075" s="17" t="s">
        <v>1028</v>
      </c>
      <c r="Q1075" s="17" t="s">
        <v>1023</v>
      </c>
      <c r="R1075" s="17" t="str">
        <f>VLOOKUP(A1075,[1]Export!$A:$I,9,0)</f>
        <v>Comprou Marcas e SG</v>
      </c>
      <c r="S1075" s="17" t="s">
        <v>1022</v>
      </c>
      <c r="T1075" s="20"/>
      <c r="U1075" s="17"/>
      <c r="V1075" s="17"/>
    </row>
    <row r="1076" spans="1:22" x14ac:dyDescent="0.35">
      <c r="A1076" s="4">
        <v>19934714000103</v>
      </c>
      <c r="B1076" s="7"/>
      <c r="C1076" s="4"/>
      <c r="D1076" s="1" t="s">
        <v>974</v>
      </c>
      <c r="E1076" s="1" t="s">
        <v>358</v>
      </c>
      <c r="F1076" s="1" t="s">
        <v>15</v>
      </c>
      <c r="G1076" s="10" t="s">
        <v>20</v>
      </c>
      <c r="H1076" s="1" t="s">
        <v>17</v>
      </c>
      <c r="I1076" s="21" t="s">
        <v>1069</v>
      </c>
      <c r="J1076" s="18">
        <f>VLOOKUP(A1076,[2]Export!$A:$B,2,0)</f>
        <v>6909.2279262094917</v>
      </c>
      <c r="K1076" s="18">
        <f>VLOOKUP(A1076,[2]Export!$A:$C,3,0)</f>
        <v>1736.9</v>
      </c>
      <c r="L1076" s="19">
        <f t="shared" si="36"/>
        <v>0.25138843566170932</v>
      </c>
      <c r="M1076" s="18">
        <f>VLOOKUP(A1076,[2]Export!$A:$G,7,0)</f>
        <v>2048.19</v>
      </c>
      <c r="N1076" s="19">
        <f t="shared" si="37"/>
        <v>0.29644267375091049</v>
      </c>
      <c r="O1076" s="17" t="s">
        <v>1025</v>
      </c>
      <c r="P1076" s="17" t="s">
        <v>1026</v>
      </c>
      <c r="Q1076" s="17" t="s">
        <v>1023</v>
      </c>
      <c r="R1076" s="17" t="str">
        <f>VLOOKUP(A1076,[1]Export!$A:$I,9,0)</f>
        <v>Comprou Marcas</v>
      </c>
      <c r="S1076" s="17" t="s">
        <v>1022</v>
      </c>
      <c r="T1076" s="20"/>
      <c r="U1076" s="17"/>
      <c r="V1076" s="17"/>
    </row>
    <row r="1077" spans="1:22" x14ac:dyDescent="0.35">
      <c r="A1077" s="5">
        <v>6350948000153</v>
      </c>
      <c r="B1077" s="7"/>
      <c r="C1077" s="4"/>
      <c r="D1077" s="6" t="s">
        <v>892</v>
      </c>
      <c r="E1077" s="6" t="s">
        <v>152</v>
      </c>
      <c r="F1077" s="6" t="s">
        <v>8</v>
      </c>
      <c r="G1077" s="11" t="s">
        <v>9</v>
      </c>
      <c r="H1077" s="6" t="s">
        <v>10</v>
      </c>
      <c r="I1077" s="21" t="s">
        <v>1068</v>
      </c>
      <c r="J1077" s="18">
        <f>VLOOKUP(A1077,[2]Export!$A:$B,2,0)</f>
        <v>7141.2822794525673</v>
      </c>
      <c r="K1077" s="18">
        <f>VLOOKUP(A1077,[2]Export!$A:$C,3,0)</f>
        <v>3035.7999999999993</v>
      </c>
      <c r="L1077" s="19">
        <f t="shared" si="36"/>
        <v>0.42510572768350446</v>
      </c>
      <c r="M1077" s="18">
        <f>VLOOKUP(A1077,[2]Export!$A:$G,7,0)</f>
        <v>0</v>
      </c>
      <c r="N1077" s="19">
        <f t="shared" si="37"/>
        <v>0</v>
      </c>
      <c r="O1077" s="17" t="s">
        <v>1027</v>
      </c>
      <c r="P1077" s="17" t="s">
        <v>1028</v>
      </c>
      <c r="Q1077" s="17" t="s">
        <v>1023</v>
      </c>
      <c r="R1077" s="17" t="str">
        <f>VLOOKUP(A1077,[1]Export!$A:$I,9,0)</f>
        <v>Não Comprou</v>
      </c>
      <c r="S1077" s="17" t="s">
        <v>1022</v>
      </c>
      <c r="T1077" s="20"/>
      <c r="U1077" s="17"/>
      <c r="V1077" s="17"/>
    </row>
    <row r="1078" spans="1:22" x14ac:dyDescent="0.35">
      <c r="A1078" s="4">
        <v>50346593000110</v>
      </c>
      <c r="B1078" s="7"/>
      <c r="C1078" s="4"/>
      <c r="D1078" s="1" t="s">
        <v>975</v>
      </c>
      <c r="E1078" s="1" t="s">
        <v>22</v>
      </c>
      <c r="F1078" s="1" t="s">
        <v>8</v>
      </c>
      <c r="G1078" s="10" t="s">
        <v>550</v>
      </c>
      <c r="H1078" s="1" t="s">
        <v>17</v>
      </c>
      <c r="I1078" s="21" t="s">
        <v>1068</v>
      </c>
      <c r="J1078" s="18">
        <f>VLOOKUP(A1078,[2]Export!$A:$B,2,0)</f>
        <v>2314.7342242878653</v>
      </c>
      <c r="K1078" s="18">
        <f>VLOOKUP(A1078,[2]Export!$A:$C,3,0)</f>
        <v>915.25</v>
      </c>
      <c r="L1078" s="19">
        <f t="shared" si="36"/>
        <v>0.39540176595504362</v>
      </c>
      <c r="M1078" s="18">
        <f>VLOOKUP(A1078,[2]Export!$A:$G,7,0)</f>
        <v>0</v>
      </c>
      <c r="N1078" s="19">
        <f t="shared" si="37"/>
        <v>0</v>
      </c>
      <c r="O1078" s="17" t="s">
        <v>1025</v>
      </c>
      <c r="P1078" s="17" t="s">
        <v>1026</v>
      </c>
      <c r="Q1078" s="17" t="s">
        <v>1022</v>
      </c>
      <c r="R1078" s="17" t="str">
        <f>VLOOKUP(A1078,[1]Export!$A:$I,9,0)</f>
        <v>Não Comprou</v>
      </c>
      <c r="S1078" s="17" t="s">
        <v>1022</v>
      </c>
      <c r="T1078" s="20"/>
      <c r="U1078" s="17"/>
      <c r="V1078" s="17"/>
    </row>
    <row r="1079" spans="1:22" x14ac:dyDescent="0.35">
      <c r="A1079" s="5">
        <v>58230920000186</v>
      </c>
      <c r="B1079" s="7"/>
      <c r="C1079" s="4"/>
      <c r="D1079" s="6" t="s">
        <v>976</v>
      </c>
      <c r="E1079" s="6" t="s">
        <v>14</v>
      </c>
      <c r="F1079" s="6" t="s">
        <v>15</v>
      </c>
      <c r="G1079" s="11" t="s">
        <v>36</v>
      </c>
      <c r="H1079" s="6" t="s">
        <v>17</v>
      </c>
      <c r="I1079" s="21" t="s">
        <v>1067</v>
      </c>
      <c r="J1079" s="18">
        <f>VLOOKUP(A1079,[2]Export!$A:$B,2,0)</f>
        <v>1199.0290767975462</v>
      </c>
      <c r="K1079" s="18">
        <f>VLOOKUP(A1079,[2]Export!$A:$C,3,0)</f>
        <v>309.18</v>
      </c>
      <c r="L1079" s="19">
        <f t="shared" si="36"/>
        <v>0.25785863410900789</v>
      </c>
      <c r="M1079" s="18">
        <f>VLOOKUP(A1079,[2]Export!$A:$G,7,0)</f>
        <v>0</v>
      </c>
      <c r="N1079" s="19">
        <f t="shared" si="37"/>
        <v>0</v>
      </c>
      <c r="O1079" s="17" t="s">
        <v>1025</v>
      </c>
      <c r="P1079" s="17" t="s">
        <v>1026</v>
      </c>
      <c r="Q1079" s="17" t="s">
        <v>1023</v>
      </c>
      <c r="R1079" s="17" t="str">
        <f>VLOOKUP(A1079,[1]Export!$A:$I,9,0)</f>
        <v>Não Comprou</v>
      </c>
      <c r="S1079" s="17" t="s">
        <v>1023</v>
      </c>
      <c r="T1079" s="20"/>
      <c r="U1079" s="17"/>
      <c r="V1079" s="17"/>
    </row>
    <row r="1080" spans="1:22" x14ac:dyDescent="0.35">
      <c r="A1080" s="4">
        <v>62210039000190</v>
      </c>
      <c r="B1080" s="7"/>
      <c r="C1080" s="4"/>
      <c r="D1080" s="1" t="s">
        <v>977</v>
      </c>
      <c r="E1080" s="1" t="s">
        <v>98</v>
      </c>
      <c r="F1080" s="1" t="s">
        <v>15</v>
      </c>
      <c r="G1080" s="10" t="s">
        <v>20</v>
      </c>
      <c r="H1080" s="1" t="s">
        <v>17</v>
      </c>
      <c r="I1080" s="21" t="s">
        <v>1073</v>
      </c>
      <c r="J1080" s="18">
        <f>VLOOKUP(A1080,[2]Export!$A:$B,2,0)</f>
        <v>4584.5559938167853</v>
      </c>
      <c r="K1080" s="18">
        <f>VLOOKUP(A1080,[2]Export!$A:$C,3,0)</f>
        <v>1459.3500000000001</v>
      </c>
      <c r="L1080" s="19">
        <f t="shared" si="36"/>
        <v>0.31831872093355018</v>
      </c>
      <c r="M1080" s="18">
        <f>VLOOKUP(A1080,[2]Export!$A:$G,7,0)</f>
        <v>0</v>
      </c>
      <c r="N1080" s="19">
        <f t="shared" si="37"/>
        <v>0</v>
      </c>
      <c r="O1080" s="17" t="s">
        <v>1025</v>
      </c>
      <c r="P1080" s="17" t="s">
        <v>1026</v>
      </c>
      <c r="Q1080" s="17" t="s">
        <v>1023</v>
      </c>
      <c r="R1080" s="17" t="str">
        <f>VLOOKUP(A1080,[1]Export!$A:$I,9,0)</f>
        <v>Não Comprou</v>
      </c>
      <c r="S1080" s="17" t="s">
        <v>1023</v>
      </c>
      <c r="T1080" s="20"/>
      <c r="U1080" s="17"/>
      <c r="V1080" s="17"/>
    </row>
    <row r="1081" spans="1:22" x14ac:dyDescent="0.35">
      <c r="A1081" s="5">
        <v>62670020000127</v>
      </c>
      <c r="B1081" s="7"/>
      <c r="C1081" s="4"/>
      <c r="D1081" s="6" t="s">
        <v>978</v>
      </c>
      <c r="E1081" s="6" t="s">
        <v>182</v>
      </c>
      <c r="F1081" s="6" t="s">
        <v>8</v>
      </c>
      <c r="G1081" s="11" t="s">
        <v>20</v>
      </c>
      <c r="H1081" s="6" t="s">
        <v>17</v>
      </c>
      <c r="I1081" s="21" t="s">
        <v>1072</v>
      </c>
      <c r="J1081" s="18">
        <f>VLOOKUP(A1081,[2]Export!$A:$B,2,0)</f>
        <v>1653.9917392327689</v>
      </c>
      <c r="K1081" s="18">
        <f>VLOOKUP(A1081,[2]Export!$A:$C,3,0)</f>
        <v>1426.18</v>
      </c>
      <c r="L1081" s="19">
        <f t="shared" si="36"/>
        <v>0.86226549152026422</v>
      </c>
      <c r="M1081" s="18">
        <f>VLOOKUP(A1081,[2]Export!$A:$G,7,0)</f>
        <v>0</v>
      </c>
      <c r="N1081" s="19">
        <f t="shared" si="37"/>
        <v>0</v>
      </c>
      <c r="O1081" s="17" t="s">
        <v>1025</v>
      </c>
      <c r="P1081" s="17" t="s">
        <v>1026</v>
      </c>
      <c r="Q1081" s="17" t="s">
        <v>1023</v>
      </c>
      <c r="R1081" s="17" t="str">
        <f>VLOOKUP(A1081,[1]Export!$A:$I,9,0)</f>
        <v>Não Comprou</v>
      </c>
      <c r="S1081" s="17" t="s">
        <v>1023</v>
      </c>
      <c r="T1081" s="20"/>
      <c r="U1081" s="17"/>
      <c r="V1081" s="17"/>
    </row>
    <row r="1082" spans="1:22" x14ac:dyDescent="0.35">
      <c r="A1082" s="4">
        <v>64494102000193</v>
      </c>
      <c r="B1082" s="7"/>
      <c r="C1082" s="4"/>
      <c r="D1082" s="1" t="s">
        <v>33</v>
      </c>
      <c r="E1082" s="1" t="s">
        <v>35</v>
      </c>
      <c r="F1082" s="1" t="s">
        <v>8</v>
      </c>
      <c r="G1082" s="10" t="s">
        <v>33</v>
      </c>
      <c r="H1082" s="1" t="s">
        <v>17</v>
      </c>
      <c r="I1082" s="21" t="s">
        <v>1070</v>
      </c>
      <c r="J1082" s="18">
        <f>VLOOKUP(A1082,[2]Export!$A:$B,2,0)</f>
        <v>6112.2278088370613</v>
      </c>
      <c r="K1082" s="18">
        <f>VLOOKUP(A1082,[2]Export!$A:$C,3,0)</f>
        <v>6537.4100000000017</v>
      </c>
      <c r="L1082" s="19">
        <f t="shared" si="36"/>
        <v>1.0695625563150988</v>
      </c>
      <c r="M1082" s="18">
        <f>VLOOKUP(A1082,[2]Export!$A:$G,7,0)</f>
        <v>5958.06</v>
      </c>
      <c r="N1082" s="19">
        <f t="shared" si="37"/>
        <v>0.97477714940301063</v>
      </c>
      <c r="O1082" s="17" t="s">
        <v>1025</v>
      </c>
      <c r="P1082" s="17" t="s">
        <v>1026</v>
      </c>
      <c r="Q1082" s="17" t="s">
        <v>1022</v>
      </c>
      <c r="R1082" s="17" t="str">
        <f>VLOOKUP(A1082,[1]Export!$A:$I,9,0)</f>
        <v>Comprou Marcas e SG</v>
      </c>
      <c r="S1082" s="17" t="s">
        <v>1022</v>
      </c>
      <c r="T1082" s="20">
        <v>5</v>
      </c>
      <c r="U1082" s="17"/>
      <c r="V1082" s="17"/>
    </row>
    <row r="1083" spans="1:22" x14ac:dyDescent="0.35">
      <c r="A1083" s="5">
        <v>96365630000139</v>
      </c>
      <c r="B1083" s="7"/>
      <c r="C1083" s="4">
        <v>48859</v>
      </c>
      <c r="D1083" s="6" t="s">
        <v>979</v>
      </c>
      <c r="E1083" s="6" t="s">
        <v>606</v>
      </c>
      <c r="F1083" s="6" t="s">
        <v>48</v>
      </c>
      <c r="G1083" s="11" t="s">
        <v>20</v>
      </c>
      <c r="H1083" s="6" t="s">
        <v>17</v>
      </c>
      <c r="I1083" s="21" t="s">
        <v>1071</v>
      </c>
      <c r="J1083" s="18">
        <f>VLOOKUP(A1083,[2]Export!$A:$B,2,0)</f>
        <v>49452.510375501261</v>
      </c>
      <c r="K1083" s="18">
        <f>VLOOKUP(A1083,[2]Export!$A:$C,3,0)</f>
        <v>39702.54</v>
      </c>
      <c r="L1083" s="19">
        <f t="shared" si="36"/>
        <v>0.80284175057104101</v>
      </c>
      <c r="M1083" s="18">
        <f>VLOOKUP(A1083,[2]Export!$A:$G,7,0)</f>
        <v>21129.209999999995</v>
      </c>
      <c r="N1083" s="19">
        <f t="shared" si="37"/>
        <v>0.42726263721623708</v>
      </c>
      <c r="O1083" s="17" t="s">
        <v>1025</v>
      </c>
      <c r="P1083" s="17" t="s">
        <v>1026</v>
      </c>
      <c r="Q1083" s="17" t="s">
        <v>1023</v>
      </c>
      <c r="R1083" s="17" t="str">
        <f>VLOOKUP(A1083,[1]Export!$A:$I,9,0)</f>
        <v>Comprou Marcas e SG</v>
      </c>
      <c r="S1083" s="17" t="s">
        <v>1022</v>
      </c>
      <c r="T1083" s="20">
        <v>8</v>
      </c>
      <c r="U1083" s="17"/>
      <c r="V1083" s="17">
        <v>4</v>
      </c>
    </row>
    <row r="1084" spans="1:22" x14ac:dyDescent="0.35">
      <c r="A1084" s="5">
        <v>9492647000314</v>
      </c>
      <c r="B1084" s="7"/>
      <c r="C1084" s="4"/>
      <c r="D1084" s="6" t="s">
        <v>104</v>
      </c>
      <c r="E1084" s="6" t="s">
        <v>909</v>
      </c>
      <c r="F1084" s="6" t="s">
        <v>8</v>
      </c>
      <c r="G1084" s="11" t="s">
        <v>9</v>
      </c>
      <c r="H1084" s="6" t="s">
        <v>10</v>
      </c>
      <c r="I1084" s="21" t="s">
        <v>1070</v>
      </c>
      <c r="J1084" s="18">
        <f>VLOOKUP(A1084,[2]Export!$A:$B,2,0)</f>
        <v>15024.364806250207</v>
      </c>
      <c r="K1084" s="18">
        <f>VLOOKUP(A1084,[2]Export!$A:$C,3,0)</f>
        <v>8657.8299999999963</v>
      </c>
      <c r="L1084" s="19">
        <f t="shared" si="36"/>
        <v>0.57625264772579921</v>
      </c>
      <c r="M1084" s="18">
        <f>VLOOKUP(A1084,[2]Export!$A:$G,7,0)</f>
        <v>15133.119999999997</v>
      </c>
      <c r="N1084" s="19">
        <f t="shared" si="37"/>
        <v>1.0072385884629578</v>
      </c>
      <c r="O1084" s="17" t="s">
        <v>1027</v>
      </c>
      <c r="P1084" s="17" t="s">
        <v>1028</v>
      </c>
      <c r="Q1084" s="17" t="s">
        <v>1023</v>
      </c>
      <c r="R1084" s="17" t="str">
        <f>VLOOKUP(A1084,[1]Export!$A:$I,9,0)</f>
        <v>Comprou Marcas</v>
      </c>
      <c r="S1084" s="17" t="s">
        <v>1022</v>
      </c>
      <c r="T1084" s="20"/>
      <c r="U1084" s="17"/>
      <c r="V1084" s="17"/>
    </row>
    <row r="1085" spans="1:22" x14ac:dyDescent="0.35">
      <c r="A1085" s="4">
        <v>9492647000667</v>
      </c>
      <c r="B1085" s="7"/>
      <c r="C1085" s="4"/>
      <c r="D1085" s="1" t="s">
        <v>104</v>
      </c>
      <c r="E1085" s="1" t="s">
        <v>910</v>
      </c>
      <c r="F1085" s="1" t="s">
        <v>8</v>
      </c>
      <c r="G1085" s="10" t="s">
        <v>9</v>
      </c>
      <c r="H1085" s="1" t="s">
        <v>10</v>
      </c>
      <c r="I1085" s="21" t="s">
        <v>1070</v>
      </c>
      <c r="J1085" s="18">
        <f>VLOOKUP(A1085,[2]Export!$A:$B,2,0)</f>
        <v>9725.4140496120617</v>
      </c>
      <c r="K1085" s="18">
        <f>VLOOKUP(A1085,[2]Export!$A:$C,3,0)</f>
        <v>6616.7</v>
      </c>
      <c r="L1085" s="19">
        <f t="shared" si="36"/>
        <v>0.68035149621870694</v>
      </c>
      <c r="M1085" s="18">
        <f>VLOOKUP(A1085,[2]Export!$A:$G,7,0)</f>
        <v>9813.4599999999955</v>
      </c>
      <c r="N1085" s="19">
        <f t="shared" si="37"/>
        <v>1.009053182716827</v>
      </c>
      <c r="O1085" s="17" t="s">
        <v>1027</v>
      </c>
      <c r="P1085" s="17" t="s">
        <v>1028</v>
      </c>
      <c r="Q1085" s="17" t="s">
        <v>1023</v>
      </c>
      <c r="R1085" s="17" t="str">
        <f>VLOOKUP(A1085,[1]Export!$A:$I,9,0)</f>
        <v>Comprou Marcas</v>
      </c>
      <c r="S1085" s="17" t="s">
        <v>1022</v>
      </c>
      <c r="T1085" s="20"/>
      <c r="U1085" s="17"/>
      <c r="V1085" s="17"/>
    </row>
    <row r="1086" spans="1:22" x14ac:dyDescent="0.35">
      <c r="A1086" s="4">
        <v>19797575000105</v>
      </c>
      <c r="B1086" s="7"/>
      <c r="C1086" s="4"/>
      <c r="D1086" s="1" t="s">
        <v>980</v>
      </c>
      <c r="E1086" s="1" t="s">
        <v>542</v>
      </c>
      <c r="F1086" s="1" t="s">
        <v>15</v>
      </c>
      <c r="G1086" s="10" t="s">
        <v>20</v>
      </c>
      <c r="H1086" s="1" t="s">
        <v>17</v>
      </c>
      <c r="I1086" s="21" t="s">
        <v>1073</v>
      </c>
      <c r="J1086" s="18">
        <f>VLOOKUP(A1086,[2]Export!$A:$B,2,0)</f>
        <v>3761.626307386407</v>
      </c>
      <c r="K1086" s="18">
        <f>VLOOKUP(A1086,[2]Export!$A:$C,3,0)</f>
        <v>1682.4699999999998</v>
      </c>
      <c r="L1086" s="19">
        <f t="shared" si="36"/>
        <v>0.44727196763173072</v>
      </c>
      <c r="M1086" s="18">
        <f>VLOOKUP(A1086,[2]Export!$A:$G,7,0)</f>
        <v>780.71000000000015</v>
      </c>
      <c r="N1086" s="19">
        <f t="shared" si="37"/>
        <v>0.20754586878206957</v>
      </c>
      <c r="O1086" s="17" t="s">
        <v>1025</v>
      </c>
      <c r="P1086" s="17" t="s">
        <v>1026</v>
      </c>
      <c r="Q1086" s="17" t="s">
        <v>1023</v>
      </c>
      <c r="R1086" s="17" t="str">
        <f>VLOOKUP(A1086,[1]Export!$A:$I,9,0)</f>
        <v>Não Comprou</v>
      </c>
      <c r="S1086" s="17" t="s">
        <v>1023</v>
      </c>
      <c r="T1086" s="20"/>
      <c r="U1086" s="17"/>
      <c r="V1086" s="17"/>
    </row>
    <row r="1087" spans="1:22" x14ac:dyDescent="0.35">
      <c r="A1087" s="5">
        <v>19955526000153</v>
      </c>
      <c r="B1087" s="7"/>
      <c r="C1087" s="4"/>
      <c r="D1087" s="6" t="s">
        <v>169</v>
      </c>
      <c r="E1087" s="6" t="s">
        <v>43</v>
      </c>
      <c r="F1087" s="6" t="s">
        <v>8</v>
      </c>
      <c r="G1087" s="11" t="s">
        <v>20</v>
      </c>
      <c r="H1087" s="6" t="s">
        <v>17</v>
      </c>
      <c r="I1087" s="21" t="s">
        <v>1068</v>
      </c>
      <c r="J1087" s="18">
        <f>VLOOKUP(A1087,[2]Export!$A:$B,2,0)</f>
        <v>2893.7092830816209</v>
      </c>
      <c r="K1087" s="18">
        <f>VLOOKUP(A1087,[2]Export!$A:$C,3,0)</f>
        <v>1111.25</v>
      </c>
      <c r="L1087" s="19">
        <f t="shared" si="36"/>
        <v>0.3840226820631365</v>
      </c>
      <c r="M1087" s="18">
        <f>VLOOKUP(A1087,[2]Export!$A:$G,7,0)</f>
        <v>35.96</v>
      </c>
      <c r="N1087" s="19">
        <f t="shared" si="37"/>
        <v>1.2426956712702263E-2</v>
      </c>
      <c r="O1087" s="17" t="s">
        <v>1027</v>
      </c>
      <c r="P1087" s="17" t="s">
        <v>1026</v>
      </c>
      <c r="Q1087" s="17" t="s">
        <v>1023</v>
      </c>
      <c r="R1087" s="17" t="str">
        <f>VLOOKUP(A1087,[1]Export!$A:$I,9,0)</f>
        <v>Comprou Marcas</v>
      </c>
      <c r="S1087" s="17" t="s">
        <v>1022</v>
      </c>
      <c r="T1087" s="20"/>
      <c r="U1087" s="17"/>
      <c r="V1087" s="17"/>
    </row>
    <row r="1088" spans="1:22" x14ac:dyDescent="0.35">
      <c r="A1088" s="4">
        <v>37563038000182</v>
      </c>
      <c r="B1088" s="7"/>
      <c r="C1088" s="4"/>
      <c r="D1088" s="1" t="s">
        <v>981</v>
      </c>
      <c r="E1088" s="1" t="s">
        <v>24</v>
      </c>
      <c r="F1088" s="1" t="s">
        <v>15</v>
      </c>
      <c r="G1088" s="10" t="s">
        <v>16</v>
      </c>
      <c r="H1088" s="1" t="s">
        <v>17</v>
      </c>
      <c r="I1088" s="21" t="s">
        <v>1069</v>
      </c>
      <c r="J1088" s="18">
        <f>VLOOKUP(A1088,[2]Export!$A:$B,2,0)</f>
        <v>1685.9241944161727</v>
      </c>
      <c r="K1088" s="18">
        <f>VLOOKUP(A1088,[2]Export!$A:$C,3,0)</f>
        <v>28.68</v>
      </c>
      <c r="L1088" s="19">
        <f t="shared" si="36"/>
        <v>1.7011441021481836E-2</v>
      </c>
      <c r="M1088" s="18">
        <f>VLOOKUP(A1088,[2]Export!$A:$G,7,0)</f>
        <v>0</v>
      </c>
      <c r="N1088" s="19">
        <f t="shared" si="37"/>
        <v>0</v>
      </c>
      <c r="O1088" s="17" t="s">
        <v>1025</v>
      </c>
      <c r="P1088" s="17" t="s">
        <v>1026</v>
      </c>
      <c r="Q1088" s="17" t="s">
        <v>1023</v>
      </c>
      <c r="R1088" s="17" t="str">
        <f>VLOOKUP(A1088,[1]Export!$A:$I,9,0)</f>
        <v>Não Comprou</v>
      </c>
      <c r="S1088" s="17" t="s">
        <v>1023</v>
      </c>
      <c r="T1088" s="20"/>
      <c r="U1088" s="17"/>
      <c r="V1088" s="17"/>
    </row>
    <row r="1089" spans="1:22" x14ac:dyDescent="0.35">
      <c r="A1089" s="5">
        <v>38872460000263</v>
      </c>
      <c r="B1089" s="7" t="s">
        <v>308</v>
      </c>
      <c r="C1089" s="4"/>
      <c r="D1089" s="6" t="s">
        <v>308</v>
      </c>
      <c r="E1089" s="6" t="s">
        <v>166</v>
      </c>
      <c r="F1089" s="6" t="s">
        <v>8</v>
      </c>
      <c r="G1089" s="11" t="s">
        <v>74</v>
      </c>
      <c r="H1089" s="6" t="s">
        <v>17</v>
      </c>
      <c r="I1089" s="21" t="s">
        <v>1068</v>
      </c>
      <c r="J1089" s="18">
        <f>VLOOKUP(A1089,[2]Export!$A:$B,2,0)</f>
        <v>2086.4905330834699</v>
      </c>
      <c r="K1089" s="18">
        <f>VLOOKUP(A1089,[2]Export!$A:$C,3,0)</f>
        <v>677.31999999999994</v>
      </c>
      <c r="L1089" s="19">
        <f t="shared" si="36"/>
        <v>0.32462165021139056</v>
      </c>
      <c r="M1089" s="18">
        <f>VLOOKUP(A1089,[2]Export!$A:$G,7,0)</f>
        <v>2329.0500000000002</v>
      </c>
      <c r="N1089" s="19">
        <f t="shared" si="37"/>
        <v>1.1162523687840891</v>
      </c>
      <c r="O1089" s="17" t="s">
        <v>1029</v>
      </c>
      <c r="P1089" s="17" t="s">
        <v>1026</v>
      </c>
      <c r="Q1089" s="17" t="s">
        <v>1022</v>
      </c>
      <c r="R1089" s="17" t="str">
        <f>VLOOKUP(A1089,[1]Export!$A:$I,9,0)</f>
        <v>Comprou Marcas e SG</v>
      </c>
      <c r="S1089" s="17" t="s">
        <v>1022</v>
      </c>
      <c r="T1089" s="20"/>
      <c r="U1089" s="17"/>
      <c r="V1089" s="17"/>
    </row>
    <row r="1090" spans="1:22" x14ac:dyDescent="0.35">
      <c r="A1090" s="4">
        <v>28760598000136</v>
      </c>
      <c r="B1090" s="7"/>
      <c r="C1090" s="4"/>
      <c r="D1090" s="1" t="s">
        <v>982</v>
      </c>
      <c r="E1090" s="1" t="s">
        <v>43</v>
      </c>
      <c r="F1090" s="1" t="s">
        <v>8</v>
      </c>
      <c r="G1090" s="10" t="s">
        <v>20</v>
      </c>
      <c r="H1090" s="1" t="s">
        <v>17</v>
      </c>
      <c r="I1090" s="21" t="s">
        <v>1068</v>
      </c>
      <c r="J1090" s="18">
        <f>VLOOKUP(A1090,[2]Export!$A:$B,2,0)</f>
        <v>3511.6412410848029</v>
      </c>
      <c r="K1090" s="18">
        <f>VLOOKUP(A1090,[2]Export!$A:$C,3,0)</f>
        <v>2026.8699999999997</v>
      </c>
      <c r="L1090" s="19">
        <f t="shared" si="36"/>
        <v>0.57718595404519935</v>
      </c>
      <c r="M1090" s="18">
        <f>VLOOKUP(A1090,[2]Export!$A:$G,7,0)</f>
        <v>395.15000000000003</v>
      </c>
      <c r="N1090" s="19">
        <f t="shared" si="37"/>
        <v>0.11252573166555356</v>
      </c>
      <c r="O1090" s="17" t="s">
        <v>1027</v>
      </c>
      <c r="P1090" s="17" t="s">
        <v>1026</v>
      </c>
      <c r="Q1090" s="17" t="s">
        <v>1023</v>
      </c>
      <c r="R1090" s="17" t="str">
        <f>VLOOKUP(A1090,[1]Export!$A:$I,9,0)</f>
        <v>Não Comprou</v>
      </c>
      <c r="S1090" s="17" t="s">
        <v>1023</v>
      </c>
      <c r="T1090" s="20"/>
      <c r="U1090" s="17"/>
      <c r="V1090" s="17"/>
    </row>
    <row r="1091" spans="1:22" x14ac:dyDescent="0.35">
      <c r="A1091" s="5">
        <v>32975740000130</v>
      </c>
      <c r="B1091" s="7"/>
      <c r="C1091" s="4"/>
      <c r="D1091" s="6" t="s">
        <v>983</v>
      </c>
      <c r="E1091" s="6" t="s">
        <v>152</v>
      </c>
      <c r="F1091" s="6" t="s">
        <v>8</v>
      </c>
      <c r="G1091" s="11" t="s">
        <v>20</v>
      </c>
      <c r="H1091" s="6" t="s">
        <v>17</v>
      </c>
      <c r="I1091" s="21" t="s">
        <v>1068</v>
      </c>
      <c r="J1091" s="18">
        <f>VLOOKUP(A1091,[2]Export!$A:$B,2,0)</f>
        <v>4861.6628781984473</v>
      </c>
      <c r="K1091" s="18">
        <f>VLOOKUP(A1091,[2]Export!$A:$C,3,0)</f>
        <v>1978.0800000000002</v>
      </c>
      <c r="L1091" s="19">
        <f t="shared" ref="L1091:L1098" si="38">K1091/J1091</f>
        <v>0.40687313159258043</v>
      </c>
      <c r="M1091" s="18">
        <f>VLOOKUP(A1091,[2]Export!$A:$G,7,0)</f>
        <v>0</v>
      </c>
      <c r="N1091" s="19">
        <f t="shared" ref="N1091:N1098" si="39">M1091/J1091</f>
        <v>0</v>
      </c>
      <c r="O1091" s="17" t="s">
        <v>1025</v>
      </c>
      <c r="P1091" s="17" t="s">
        <v>1026</v>
      </c>
      <c r="Q1091" s="17" t="s">
        <v>1023</v>
      </c>
      <c r="R1091" s="17" t="str">
        <f>VLOOKUP(A1091,[1]Export!$A:$I,9,0)</f>
        <v>Não Comprou</v>
      </c>
      <c r="S1091" s="17" t="s">
        <v>1022</v>
      </c>
      <c r="T1091" s="20"/>
      <c r="U1091" s="17"/>
      <c r="V1091" s="17"/>
    </row>
    <row r="1092" spans="1:22" x14ac:dyDescent="0.35">
      <c r="A1092" s="4">
        <v>13159261000109</v>
      </c>
      <c r="B1092" s="7"/>
      <c r="C1092" s="4"/>
      <c r="D1092" s="1" t="s">
        <v>179</v>
      </c>
      <c r="E1092" s="1" t="s">
        <v>984</v>
      </c>
      <c r="F1092" s="1" t="s">
        <v>15</v>
      </c>
      <c r="G1092" s="10" t="s">
        <v>36</v>
      </c>
      <c r="H1092" s="1" t="s">
        <v>17</v>
      </c>
      <c r="I1092" s="21" t="s">
        <v>1067</v>
      </c>
      <c r="J1092" s="18">
        <f>VLOOKUP(A1092,[2]Export!$A:$B,2,0)</f>
        <v>6408.2385661138214</v>
      </c>
      <c r="K1092" s="18">
        <f>VLOOKUP(A1092,[2]Export!$A:$C,3,0)</f>
        <v>7777.22</v>
      </c>
      <c r="L1092" s="19">
        <f t="shared" si="38"/>
        <v>1.2136283504058709</v>
      </c>
      <c r="M1092" s="18">
        <f>VLOOKUP(A1092,[2]Export!$A:$G,7,0)</f>
        <v>7159.2900000000018</v>
      </c>
      <c r="N1092" s="19">
        <f t="shared" si="39"/>
        <v>1.1172009166228098</v>
      </c>
      <c r="O1092" s="17" t="s">
        <v>1025</v>
      </c>
      <c r="P1092" s="17" t="s">
        <v>1026</v>
      </c>
      <c r="Q1092" s="17" t="s">
        <v>1022</v>
      </c>
      <c r="R1092" s="17" t="str">
        <f>VLOOKUP(A1092,[1]Export!$A:$I,9,0)</f>
        <v>Comprou Marcas</v>
      </c>
      <c r="S1092" s="17" t="s">
        <v>1022</v>
      </c>
      <c r="T1092" s="20"/>
      <c r="U1092" s="17"/>
      <c r="V1092" s="17"/>
    </row>
    <row r="1093" spans="1:22" x14ac:dyDescent="0.35">
      <c r="A1093" s="5">
        <v>13435712000185</v>
      </c>
      <c r="B1093" s="7"/>
      <c r="C1093" s="4"/>
      <c r="D1093" s="6" t="s">
        <v>985</v>
      </c>
      <c r="E1093" s="6" t="s">
        <v>474</v>
      </c>
      <c r="F1093" s="6" t="s">
        <v>8</v>
      </c>
      <c r="G1093" s="11" t="s">
        <v>74</v>
      </c>
      <c r="H1093" s="6" t="s">
        <v>17</v>
      </c>
      <c r="I1093" s="21" t="s">
        <v>1066</v>
      </c>
      <c r="J1093" s="18">
        <f>VLOOKUP(A1093,[2]Export!$A:$B,2,0)</f>
        <v>54670.826736833646</v>
      </c>
      <c r="K1093" s="18">
        <f>VLOOKUP(A1093,[2]Export!$A:$C,3,0)</f>
        <v>19797.149999999998</v>
      </c>
      <c r="L1093" s="19">
        <f t="shared" si="38"/>
        <v>0.3621154312389786</v>
      </c>
      <c r="M1093" s="18">
        <f>VLOOKUP(A1093,[2]Export!$A:$G,7,0)</f>
        <v>15729.540000000003</v>
      </c>
      <c r="N1093" s="19">
        <f t="shared" si="39"/>
        <v>0.28771359313288858</v>
      </c>
      <c r="O1093" s="17" t="s">
        <v>1029</v>
      </c>
      <c r="P1093" s="17" t="s">
        <v>1026</v>
      </c>
      <c r="Q1093" s="17" t="s">
        <v>1022</v>
      </c>
      <c r="R1093" s="17" t="str">
        <f>VLOOKUP(A1093,[1]Export!$A:$I,9,0)</f>
        <v>Comprou Marcas</v>
      </c>
      <c r="S1093" s="17" t="s">
        <v>1022</v>
      </c>
      <c r="T1093" s="20">
        <v>4</v>
      </c>
      <c r="U1093" s="17">
        <v>2</v>
      </c>
      <c r="V1093" s="17">
        <v>2</v>
      </c>
    </row>
    <row r="1094" spans="1:22" x14ac:dyDescent="0.35">
      <c r="A1094" s="4">
        <v>22166562000304</v>
      </c>
      <c r="B1094" s="7"/>
      <c r="C1094" s="4"/>
      <c r="D1094" s="1" t="s">
        <v>59</v>
      </c>
      <c r="E1094" s="1" t="s">
        <v>52</v>
      </c>
      <c r="F1094" s="1" t="s">
        <v>8</v>
      </c>
      <c r="G1094" s="10" t="s">
        <v>9</v>
      </c>
      <c r="H1094" s="1" t="s">
        <v>10</v>
      </c>
      <c r="I1094" s="21" t="s">
        <v>1072</v>
      </c>
      <c r="J1094" s="18">
        <f>VLOOKUP(A1094,[2]Export!$A:$B,2,0)</f>
        <v>15212.068976052677</v>
      </c>
      <c r="K1094" s="18">
        <f>VLOOKUP(A1094,[2]Export!$A:$C,3,0)</f>
        <v>9444.480000000005</v>
      </c>
      <c r="L1094" s="19">
        <f t="shared" si="38"/>
        <v>0.62085440283421056</v>
      </c>
      <c r="M1094" s="18">
        <f>VLOOKUP(A1094,[2]Export!$A:$G,7,0)</f>
        <v>6660.1500000000024</v>
      </c>
      <c r="N1094" s="19">
        <f t="shared" si="39"/>
        <v>0.43782012890453115</v>
      </c>
      <c r="O1094" s="17"/>
      <c r="P1094" s="17"/>
      <c r="Q1094" s="17"/>
      <c r="R1094" s="17" t="str">
        <f>VLOOKUP(A1094,[1]Export!$A:$I,9,0)</f>
        <v>Comprou Marcas</v>
      </c>
      <c r="S1094" s="17"/>
      <c r="T1094" s="20"/>
      <c r="U1094" s="17"/>
      <c r="V1094" s="17"/>
    </row>
    <row r="1095" spans="1:22" x14ac:dyDescent="0.35">
      <c r="A1095" s="5">
        <v>49687096000105</v>
      </c>
      <c r="B1095" s="7"/>
      <c r="C1095" s="4"/>
      <c r="D1095" s="6" t="s">
        <v>986</v>
      </c>
      <c r="E1095" s="6" t="s">
        <v>206</v>
      </c>
      <c r="F1095" s="6" t="s">
        <v>48</v>
      </c>
      <c r="G1095" s="11" t="s">
        <v>20</v>
      </c>
      <c r="H1095" s="6" t="s">
        <v>17</v>
      </c>
      <c r="I1095" s="21" t="s">
        <v>1073</v>
      </c>
      <c r="J1095" s="18">
        <f>VLOOKUP(A1095,[2]Export!$A:$B,2,0)</f>
        <v>1993.0371006902144</v>
      </c>
      <c r="K1095" s="18">
        <f>VLOOKUP(A1095,[2]Export!$A:$C,3,0)</f>
        <v>1357.89</v>
      </c>
      <c r="L1095" s="19">
        <f t="shared" si="38"/>
        <v>0.68131697073262976</v>
      </c>
      <c r="M1095" s="18">
        <f>VLOOKUP(A1095,[2]Export!$A:$G,7,0)</f>
        <v>0</v>
      </c>
      <c r="N1095" s="19">
        <f t="shared" si="39"/>
        <v>0</v>
      </c>
      <c r="O1095" s="17" t="s">
        <v>1025</v>
      </c>
      <c r="P1095" s="17" t="s">
        <v>1026</v>
      </c>
      <c r="Q1095" s="17" t="s">
        <v>1023</v>
      </c>
      <c r="R1095" s="17" t="str">
        <f>VLOOKUP(A1095,[1]Export!$A:$I,9,0)</f>
        <v>Não Comprou</v>
      </c>
      <c r="S1095" s="17" t="s">
        <v>1023</v>
      </c>
      <c r="T1095" s="20"/>
      <c r="U1095" s="17"/>
      <c r="V1095" s="17"/>
    </row>
    <row r="1096" spans="1:22" x14ac:dyDescent="0.35">
      <c r="A1096" s="4">
        <v>62623466000109</v>
      </c>
      <c r="B1096" s="7"/>
      <c r="C1096" s="4"/>
      <c r="D1096" s="1" t="s">
        <v>987</v>
      </c>
      <c r="E1096" s="1" t="s">
        <v>443</v>
      </c>
      <c r="F1096" s="1" t="s">
        <v>15</v>
      </c>
      <c r="G1096" s="10" t="s">
        <v>20</v>
      </c>
      <c r="H1096" s="1" t="s">
        <v>17</v>
      </c>
      <c r="I1096" s="21" t="s">
        <v>1069</v>
      </c>
      <c r="J1096" s="18">
        <f>VLOOKUP(A1096,[2]Export!$A:$B,2,0)</f>
        <v>454.70671250160689</v>
      </c>
      <c r="K1096" s="18">
        <f>VLOOKUP(A1096,[2]Export!$A:$C,3,0)</f>
        <v>390.28</v>
      </c>
      <c r="L1096" s="19">
        <f t="shared" si="38"/>
        <v>0.85831149897225401</v>
      </c>
      <c r="M1096" s="18">
        <f>VLOOKUP(A1096,[2]Export!$A:$G,7,0)</f>
        <v>57.93</v>
      </c>
      <c r="N1096" s="19">
        <f t="shared" si="39"/>
        <v>0.1274008023354071</v>
      </c>
      <c r="O1096" s="17" t="s">
        <v>1027</v>
      </c>
      <c r="P1096" s="17" t="s">
        <v>1028</v>
      </c>
      <c r="Q1096" s="17" t="s">
        <v>1023</v>
      </c>
      <c r="R1096" s="17" t="str">
        <f>VLOOKUP(A1096,[1]Export!$A:$I,9,0)</f>
        <v>Comprou Marcas</v>
      </c>
      <c r="S1096" s="17" t="s">
        <v>1023</v>
      </c>
      <c r="T1096" s="20"/>
      <c r="U1096" s="17"/>
      <c r="V1096" s="17"/>
    </row>
    <row r="1097" spans="1:22" x14ac:dyDescent="0.35">
      <c r="A1097" s="5">
        <v>62811078000143</v>
      </c>
      <c r="B1097" s="7"/>
      <c r="C1097" s="4"/>
      <c r="D1097" s="6" t="s">
        <v>988</v>
      </c>
      <c r="E1097" s="6" t="s">
        <v>129</v>
      </c>
      <c r="F1097" s="6" t="s">
        <v>15</v>
      </c>
      <c r="G1097" s="11" t="s">
        <v>16</v>
      </c>
      <c r="H1097" s="6" t="s">
        <v>17</v>
      </c>
      <c r="I1097" s="21" t="s">
        <v>1069</v>
      </c>
      <c r="J1097" s="18">
        <f>VLOOKUP(A1097,[2]Export!$A:$B,2,0)</f>
        <v>2213.8146998172888</v>
      </c>
      <c r="K1097" s="18">
        <f>VLOOKUP(A1097,[2]Export!$A:$C,3,0)</f>
        <v>1231.3500000000001</v>
      </c>
      <c r="L1097" s="19">
        <f t="shared" si="38"/>
        <v>0.55621186366755371</v>
      </c>
      <c r="M1097" s="18">
        <f>VLOOKUP(A1097,[2]Export!$A:$G,7,0)</f>
        <v>0</v>
      </c>
      <c r="N1097" s="19">
        <f t="shared" si="39"/>
        <v>0</v>
      </c>
      <c r="O1097" s="17"/>
      <c r="P1097" s="17"/>
      <c r="Q1097" s="17"/>
      <c r="R1097" s="17" t="str">
        <f>VLOOKUP(A1097,[1]Export!$A:$I,9,0)</f>
        <v>Não Comprou</v>
      </c>
      <c r="S1097" s="17"/>
      <c r="T1097" s="20"/>
      <c r="U1097" s="17"/>
      <c r="V1097" s="17"/>
    </row>
    <row r="1098" spans="1:22" x14ac:dyDescent="0.35">
      <c r="A1098" s="4">
        <v>63261786000110</v>
      </c>
      <c r="B1098" s="7"/>
      <c r="C1098" s="4"/>
      <c r="D1098" s="1" t="s">
        <v>59</v>
      </c>
      <c r="E1098" s="1" t="s">
        <v>436</v>
      </c>
      <c r="F1098" s="1" t="s">
        <v>8</v>
      </c>
      <c r="G1098" s="10" t="s">
        <v>9</v>
      </c>
      <c r="H1098" s="1" t="s">
        <v>10</v>
      </c>
      <c r="I1098" s="21" t="s">
        <v>1070</v>
      </c>
      <c r="J1098" s="18">
        <f>VLOOKUP(A1098,[2]Export!$A:$B,2,0)</f>
        <v>2667.0916276656844</v>
      </c>
      <c r="K1098" s="18">
        <f>VLOOKUP(A1098,[2]Export!$A:$C,3,0)</f>
        <v>3776.5000000000009</v>
      </c>
      <c r="L1098" s="19">
        <f t="shared" si="38"/>
        <v>1.415961851788835</v>
      </c>
      <c r="M1098" s="18">
        <f>VLOOKUP(A1098,[2]Export!$A:$G,7,0)</f>
        <v>6119.8899999999994</v>
      </c>
      <c r="N1098" s="19">
        <f t="shared" si="39"/>
        <v>2.2945930827866996</v>
      </c>
      <c r="O1098" s="17" t="s">
        <v>1027</v>
      </c>
      <c r="P1098" s="17" t="s">
        <v>1028</v>
      </c>
      <c r="Q1098" s="17" t="s">
        <v>1023</v>
      </c>
      <c r="R1098" s="17" t="str">
        <f>VLOOKUP(A1098,[1]Export!$A:$I,9,0)</f>
        <v>Comprou Marcas</v>
      </c>
      <c r="S1098" s="17" t="s">
        <v>1022</v>
      </c>
      <c r="T1098" s="20"/>
      <c r="U1098" s="17"/>
      <c r="V1098" s="17"/>
    </row>
  </sheetData>
  <autoFilter ref="A1:U1098" xr:uid="{D43A9C5C-ED47-4C76-AED3-72E15EBC0E52}">
    <sortState xmlns:xlrd2="http://schemas.microsoft.com/office/spreadsheetml/2017/richdata2" ref="A13:U1059">
      <sortCondition ref="I1:I1098"/>
    </sortState>
  </autoFilter>
  <conditionalFormatting sqref="O1:Q1">
    <cfRule type="iconSet" priority="2">
      <iconSet>
        <cfvo type="percent" val="0"/>
        <cfvo type="percent" val="33"/>
        <cfvo type="percent" val="67"/>
      </iconSet>
    </cfRule>
  </conditionalFormatting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B7744-6877-4684-929B-1DD937ED63B3}">
  <sheetPr codeName="Planilha3"/>
  <dimension ref="A1:K48"/>
  <sheetViews>
    <sheetView zoomScale="80" zoomScaleNormal="80" workbookViewId="0">
      <selection activeCell="B38" sqref="B38:G38"/>
    </sheetView>
  </sheetViews>
  <sheetFormatPr defaultRowHeight="14.5" x14ac:dyDescent="0.35"/>
  <cols>
    <col min="1" max="1" width="46.1796875" bestFit="1" customWidth="1"/>
    <col min="2" max="3" width="15.90625" bestFit="1" customWidth="1"/>
    <col min="4" max="4" width="16.08984375" bestFit="1" customWidth="1"/>
    <col min="5" max="5" width="15.54296875" bestFit="1" customWidth="1"/>
    <col min="6" max="6" width="8.90625" bestFit="1" customWidth="1"/>
    <col min="7" max="7" width="16.453125" bestFit="1" customWidth="1"/>
    <col min="8" max="8" width="10.7265625" bestFit="1" customWidth="1"/>
    <col min="9" max="10" width="15.90625" bestFit="1" customWidth="1"/>
  </cols>
  <sheetData>
    <row r="1" spans="1:10" x14ac:dyDescent="0.35">
      <c r="C1" s="22" t="s">
        <v>1102</v>
      </c>
      <c r="E1" s="22" t="s">
        <v>1103</v>
      </c>
      <c r="F1" s="23"/>
    </row>
    <row r="2" spans="1:10" x14ac:dyDescent="0.35">
      <c r="A2" s="24" t="s">
        <v>1032</v>
      </c>
      <c r="B2" s="24" t="s">
        <v>1033</v>
      </c>
      <c r="C2" s="24" t="s">
        <v>1034</v>
      </c>
      <c r="D2" s="24" t="s">
        <v>1035</v>
      </c>
      <c r="E2" s="24" t="s">
        <v>1036</v>
      </c>
      <c r="F2" s="24" t="s">
        <v>1037</v>
      </c>
      <c r="G2" s="25" t="s">
        <v>1038</v>
      </c>
      <c r="H2" s="26" t="s">
        <v>1039</v>
      </c>
      <c r="I2" s="26" t="s">
        <v>1040</v>
      </c>
      <c r="J2" s="25" t="s">
        <v>1041</v>
      </c>
    </row>
    <row r="3" spans="1:10" x14ac:dyDescent="0.35">
      <c r="A3" s="27" t="s">
        <v>1042</v>
      </c>
      <c r="B3" s="28">
        <v>942882.94171524898</v>
      </c>
      <c r="C3" s="28">
        <v>601572.06999999762</v>
      </c>
      <c r="D3" s="90">
        <v>0.63801352573591541</v>
      </c>
      <c r="E3" s="28">
        <v>320371.56000000099</v>
      </c>
      <c r="F3" s="30">
        <v>0.33977872101195922</v>
      </c>
      <c r="G3" s="31">
        <f t="shared" ref="G3:G10" si="0">C3-B3</f>
        <v>-341310.87171525136</v>
      </c>
      <c r="H3" s="29">
        <v>0.55000000000000004</v>
      </c>
      <c r="I3" s="62">
        <f>B3*H3</f>
        <v>518585.61794338695</v>
      </c>
      <c r="J3" s="63">
        <f t="shared" ref="J3:J11" si="1">E3-I3</f>
        <v>-198214.05794338597</v>
      </c>
    </row>
    <row r="4" spans="1:10" x14ac:dyDescent="0.35">
      <c r="A4" s="27" t="s">
        <v>1043</v>
      </c>
      <c r="B4" s="28">
        <v>848780.31891508726</v>
      </c>
      <c r="C4" s="28">
        <v>551319.07999999996</v>
      </c>
      <c r="D4" s="90">
        <v>0.6495427234984632</v>
      </c>
      <c r="E4" s="28">
        <v>355358.87000000244</v>
      </c>
      <c r="F4" s="30">
        <v>0.4186700163526681</v>
      </c>
      <c r="G4" s="31">
        <f t="shared" si="0"/>
        <v>-297461.23891508731</v>
      </c>
      <c r="H4" s="29">
        <v>0.55000000000000004</v>
      </c>
      <c r="I4" s="62">
        <f t="shared" ref="I4:I10" si="2">B4*H4</f>
        <v>466829.17540329805</v>
      </c>
      <c r="J4" s="63">
        <f t="shared" si="1"/>
        <v>-111470.30540329561</v>
      </c>
    </row>
    <row r="5" spans="1:10" x14ac:dyDescent="0.35">
      <c r="A5" s="32" t="s">
        <v>1044</v>
      </c>
      <c r="B5" s="33">
        <v>1122794.3616697376</v>
      </c>
      <c r="C5" s="33">
        <v>642063.66000000457</v>
      </c>
      <c r="D5" s="91">
        <v>0.5718443928104292</v>
      </c>
      <c r="E5" s="33">
        <v>364845.22000000073</v>
      </c>
      <c r="F5" s="34">
        <v>0.32494393671288979</v>
      </c>
      <c r="G5" s="31">
        <f t="shared" si="0"/>
        <v>-480730.70166973304</v>
      </c>
      <c r="H5" s="29">
        <v>0.7</v>
      </c>
      <c r="I5" s="62">
        <f t="shared" si="2"/>
        <v>785956.05316881626</v>
      </c>
      <c r="J5" s="63">
        <f t="shared" si="1"/>
        <v>-421110.83316881553</v>
      </c>
    </row>
    <row r="6" spans="1:10" x14ac:dyDescent="0.35">
      <c r="A6" s="32" t="s">
        <v>1045</v>
      </c>
      <c r="B6" s="33">
        <v>1060357.1144239285</v>
      </c>
      <c r="C6" s="33">
        <v>623319.08999999985</v>
      </c>
      <c r="D6" s="91">
        <v>0.58783883422014571</v>
      </c>
      <c r="E6" s="33">
        <v>453378.10000000335</v>
      </c>
      <c r="F6" s="34">
        <v>0.42757113979125316</v>
      </c>
      <c r="G6" s="31">
        <f t="shared" si="0"/>
        <v>-437038.0244239287</v>
      </c>
      <c r="H6" s="29">
        <v>0.7</v>
      </c>
      <c r="I6" s="62">
        <f t="shared" si="2"/>
        <v>742249.98009674996</v>
      </c>
      <c r="J6" s="63">
        <f t="shared" si="1"/>
        <v>-288871.88009674661</v>
      </c>
    </row>
    <row r="7" spans="1:10" x14ac:dyDescent="0.35">
      <c r="A7" s="27" t="s">
        <v>1046</v>
      </c>
      <c r="B7" s="28">
        <v>1363710.727558784</v>
      </c>
      <c r="C7" s="28">
        <v>833683.26999999641</v>
      </c>
      <c r="D7" s="90">
        <v>0.61133439310285087</v>
      </c>
      <c r="E7" s="28">
        <v>665222.68999999296</v>
      </c>
      <c r="F7" s="30">
        <v>0.48780337102049964</v>
      </c>
      <c r="G7" s="31">
        <f t="shared" si="0"/>
        <v>-530027.45755878754</v>
      </c>
      <c r="H7" s="29">
        <v>0.7</v>
      </c>
      <c r="I7" s="62">
        <f t="shared" si="2"/>
        <v>954597.50929114874</v>
      </c>
      <c r="J7" s="63">
        <f t="shared" si="1"/>
        <v>-289374.81929115579</v>
      </c>
    </row>
    <row r="8" spans="1:10" x14ac:dyDescent="0.35">
      <c r="A8" s="27" t="s">
        <v>1050</v>
      </c>
      <c r="B8" s="28">
        <v>556481.27167090122</v>
      </c>
      <c r="C8" s="28">
        <v>342442.41000000021</v>
      </c>
      <c r="D8" s="90">
        <v>0.61537095214682813</v>
      </c>
      <c r="E8" s="28">
        <v>161439.62999999974</v>
      </c>
      <c r="F8" s="30">
        <v>0.29010793034464222</v>
      </c>
      <c r="G8" s="31">
        <f t="shared" si="0"/>
        <v>-214038.86167090101</v>
      </c>
      <c r="H8" s="29">
        <v>0.55000000000000004</v>
      </c>
      <c r="I8" s="62">
        <f t="shared" si="2"/>
        <v>306064.6994189957</v>
      </c>
      <c r="J8" s="63">
        <f t="shared" si="1"/>
        <v>-144625.06941899596</v>
      </c>
    </row>
    <row r="9" spans="1:10" x14ac:dyDescent="0.35">
      <c r="A9" s="32" t="s">
        <v>1047</v>
      </c>
      <c r="B9" s="33">
        <v>1090998.1281434742</v>
      </c>
      <c r="C9" s="33">
        <v>680689.72999999975</v>
      </c>
      <c r="D9" s="91">
        <v>0.62391466350021463</v>
      </c>
      <c r="E9" s="33">
        <v>427251.61999999877</v>
      </c>
      <c r="F9" s="34">
        <v>0.39161535568080469</v>
      </c>
      <c r="G9" s="31">
        <f t="shared" si="0"/>
        <v>-410308.39814347448</v>
      </c>
      <c r="H9" s="29">
        <v>0.7</v>
      </c>
      <c r="I9" s="62">
        <f t="shared" si="2"/>
        <v>763698.68970043189</v>
      </c>
      <c r="J9" s="63">
        <f t="shared" si="1"/>
        <v>-336447.06970043312</v>
      </c>
    </row>
    <row r="10" spans="1:10" x14ac:dyDescent="0.35">
      <c r="A10" s="27" t="s">
        <v>1048</v>
      </c>
      <c r="B10" s="28">
        <v>1085968.4474262281</v>
      </c>
      <c r="C10" s="28">
        <v>638148.87000000069</v>
      </c>
      <c r="D10" s="90">
        <v>0.58763113377044163</v>
      </c>
      <c r="E10" s="28">
        <v>312093.47000000119</v>
      </c>
      <c r="F10" s="30">
        <v>0.28738723554967954</v>
      </c>
      <c r="G10" s="31">
        <f t="shared" si="0"/>
        <v>-447819.57742622739</v>
      </c>
      <c r="H10" s="29">
        <v>0.65</v>
      </c>
      <c r="I10" s="62">
        <f t="shared" si="2"/>
        <v>705879.49082704831</v>
      </c>
      <c r="J10" s="63">
        <f t="shared" si="1"/>
        <v>-393786.02082704712</v>
      </c>
    </row>
    <row r="11" spans="1:10" x14ac:dyDescent="0.35">
      <c r="A11" s="24" t="s">
        <v>1049</v>
      </c>
      <c r="B11" s="35">
        <f>SUM(B3:B10)</f>
        <v>8071973.31152339</v>
      </c>
      <c r="C11" s="35">
        <f>SUM(C3:C10)</f>
        <v>4913238.18</v>
      </c>
      <c r="D11" s="36">
        <f>C11/B11</f>
        <v>0.6086786948348748</v>
      </c>
      <c r="E11" s="35">
        <f>SUM(E3:E10)</f>
        <v>3059961.16</v>
      </c>
      <c r="F11" s="37">
        <f>E11/B11</f>
        <v>0.37908464781860218</v>
      </c>
      <c r="G11" s="38">
        <f>SUM(G3:G10)</f>
        <v>-3158735.1315233908</v>
      </c>
      <c r="H11" s="39">
        <f>AVERAGE(H3:H10)</f>
        <v>0.63750000000000007</v>
      </c>
      <c r="I11" s="35">
        <f>B11*H11</f>
        <v>5145882.9860961614</v>
      </c>
      <c r="J11" s="35">
        <f t="shared" si="1"/>
        <v>-2085921.8260961613</v>
      </c>
    </row>
    <row r="12" spans="1:10" ht="15" thickBot="1" x14ac:dyDescent="0.4"/>
    <row r="13" spans="1:10" ht="16.5" thickBot="1" x14ac:dyDescent="0.45">
      <c r="A13" s="53" t="s">
        <v>1074</v>
      </c>
    </row>
    <row r="14" spans="1:10" x14ac:dyDescent="0.35">
      <c r="A14" s="24" t="s">
        <v>1032</v>
      </c>
      <c r="B14" s="24" t="s">
        <v>1033</v>
      </c>
      <c r="C14" s="24" t="s">
        <v>1034</v>
      </c>
      <c r="D14" s="24" t="s">
        <v>1035</v>
      </c>
      <c r="E14" s="24" t="s">
        <v>1036</v>
      </c>
      <c r="F14" s="24" t="s">
        <v>1037</v>
      </c>
      <c r="G14" s="24" t="s">
        <v>1051</v>
      </c>
    </row>
    <row r="15" spans="1:10" x14ac:dyDescent="0.35">
      <c r="A15" s="32" t="s">
        <v>1042</v>
      </c>
      <c r="B15" s="40">
        <v>16544.962853859975</v>
      </c>
      <c r="C15" s="40">
        <v>9006.6100000000024</v>
      </c>
      <c r="D15" s="92">
        <v>0.54437172688476243</v>
      </c>
      <c r="E15" s="40">
        <v>6000.1</v>
      </c>
      <c r="F15" s="41">
        <v>0.36265418381402797</v>
      </c>
      <c r="G15" s="31">
        <f t="shared" ref="G15:G23" si="3">C15-B15</f>
        <v>-7538.352853859973</v>
      </c>
    </row>
    <row r="16" spans="1:10" x14ac:dyDescent="0.35">
      <c r="A16" s="32" t="s">
        <v>1043</v>
      </c>
      <c r="B16" s="40">
        <v>16950.730145210044</v>
      </c>
      <c r="C16" s="40">
        <v>9318.02</v>
      </c>
      <c r="D16" s="92">
        <v>0.54971201359329624</v>
      </c>
      <c r="E16" s="40">
        <v>9899.1300000000065</v>
      </c>
      <c r="F16" s="41">
        <v>0.58399431264601387</v>
      </c>
      <c r="G16" s="31">
        <f t="shared" si="3"/>
        <v>-7632.7101452100433</v>
      </c>
    </row>
    <row r="17" spans="1:11" x14ac:dyDescent="0.35">
      <c r="A17" s="32" t="s">
        <v>1044</v>
      </c>
      <c r="B17" s="40">
        <v>22637.825220460007</v>
      </c>
      <c r="C17" s="40">
        <v>6324.4599999999937</v>
      </c>
      <c r="D17" s="92">
        <v>0.27937577653369122</v>
      </c>
      <c r="E17" s="40">
        <v>5078.9300000000067</v>
      </c>
      <c r="F17" s="41">
        <v>0.22435591539993352</v>
      </c>
      <c r="G17" s="31">
        <f t="shared" si="3"/>
        <v>-16313.365220460013</v>
      </c>
    </row>
    <row r="18" spans="1:11" x14ac:dyDescent="0.35">
      <c r="A18" s="32" t="s">
        <v>1045</v>
      </c>
      <c r="B18" s="40">
        <v>17357.259244520032</v>
      </c>
      <c r="C18" s="40">
        <v>8392.75</v>
      </c>
      <c r="D18" s="92">
        <v>0.48352967952873821</v>
      </c>
      <c r="E18" s="40">
        <v>11526.679999999998</v>
      </c>
      <c r="F18" s="41">
        <v>0.66408410669093154</v>
      </c>
      <c r="G18" s="31">
        <f t="shared" si="3"/>
        <v>-8964.5092445200316</v>
      </c>
    </row>
    <row r="19" spans="1:11" x14ac:dyDescent="0.35">
      <c r="A19" s="85" t="s">
        <v>1046</v>
      </c>
      <c r="B19" s="86">
        <v>21783.333637209988</v>
      </c>
      <c r="C19" s="86">
        <v>17368.800000000003</v>
      </c>
      <c r="D19" s="66">
        <v>0.79734352368963679</v>
      </c>
      <c r="E19" s="86">
        <v>19660.630000000023</v>
      </c>
      <c r="F19" s="87">
        <v>0.90255377470856935</v>
      </c>
      <c r="G19" s="115">
        <f t="shared" si="3"/>
        <v>-4414.5336372099846</v>
      </c>
    </row>
    <row r="20" spans="1:11" x14ac:dyDescent="0.35">
      <c r="A20" s="32" t="s">
        <v>1052</v>
      </c>
      <c r="B20" s="40">
        <v>7180.4227216399995</v>
      </c>
      <c r="C20" s="40">
        <v>1670.15</v>
      </c>
      <c r="D20" s="92">
        <v>0.23259772644952859</v>
      </c>
      <c r="E20" s="40">
        <v>834.72000000000014</v>
      </c>
      <c r="F20" s="41">
        <v>0.11624942323860163</v>
      </c>
      <c r="G20" s="31">
        <f t="shared" si="3"/>
        <v>-5510.2727216399999</v>
      </c>
    </row>
    <row r="21" spans="1:11" x14ac:dyDescent="0.35">
      <c r="A21" s="32" t="s">
        <v>1047</v>
      </c>
      <c r="B21" s="40">
        <v>16635.414790140039</v>
      </c>
      <c r="C21" s="40">
        <v>4669.96</v>
      </c>
      <c r="D21" s="92">
        <v>0.28072398908669999</v>
      </c>
      <c r="E21" s="40">
        <v>4177.2899999999991</v>
      </c>
      <c r="F21" s="41">
        <v>0.25110825625315436</v>
      </c>
      <c r="G21" s="31">
        <f t="shared" si="3"/>
        <v>-11965.45479014004</v>
      </c>
    </row>
    <row r="22" spans="1:11" x14ac:dyDescent="0.35">
      <c r="A22" s="32" t="s">
        <v>1048</v>
      </c>
      <c r="B22" s="40">
        <v>16789.363340320007</v>
      </c>
      <c r="C22" s="40">
        <v>5982.5300000000034</v>
      </c>
      <c r="D22" s="92">
        <v>0.35632858010957641</v>
      </c>
      <c r="E22" s="40">
        <v>5072.1699999999992</v>
      </c>
      <c r="F22" s="41">
        <v>0.3021061547830749</v>
      </c>
      <c r="G22" s="31">
        <f t="shared" si="3"/>
        <v>-10806.833340320005</v>
      </c>
    </row>
    <row r="23" spans="1:11" x14ac:dyDescent="0.35">
      <c r="A23" s="24" t="s">
        <v>1049</v>
      </c>
      <c r="B23" s="42">
        <f>SUM(B15:B22)</f>
        <v>135879.3119533601</v>
      </c>
      <c r="C23" s="42">
        <f>SUM(C15:C22)</f>
        <v>62733.280000000006</v>
      </c>
      <c r="D23" s="36">
        <f>C23/B23</f>
        <v>0.46168382146012704</v>
      </c>
      <c r="E23" s="42">
        <f>SUM(E15:E22)</f>
        <v>62249.650000000031</v>
      </c>
      <c r="F23" s="36">
        <f>E23/B23</f>
        <v>0.4581245599872254</v>
      </c>
      <c r="G23" s="43">
        <f t="shared" si="3"/>
        <v>-73146.0319533601</v>
      </c>
    </row>
    <row r="25" spans="1:11" ht="15" thickBot="1" x14ac:dyDescent="0.4"/>
    <row r="26" spans="1:11" ht="16.5" thickBot="1" x14ac:dyDescent="0.45">
      <c r="A26" s="46" t="s">
        <v>1063</v>
      </c>
      <c r="B26" s="83"/>
      <c r="C26" s="82"/>
      <c r="D26" s="82"/>
      <c r="E26" s="82"/>
      <c r="F26" s="82"/>
      <c r="G26" s="82"/>
      <c r="H26" s="82"/>
      <c r="I26" s="84"/>
      <c r="J26" s="81" t="s">
        <v>1085</v>
      </c>
      <c r="K26" s="81"/>
    </row>
    <row r="27" spans="1:11" x14ac:dyDescent="0.35">
      <c r="A27" s="24" t="s">
        <v>1032</v>
      </c>
      <c r="B27" s="24" t="s">
        <v>1033</v>
      </c>
      <c r="C27" s="24" t="s">
        <v>1034</v>
      </c>
      <c r="D27" s="24" t="s">
        <v>1035</v>
      </c>
      <c r="E27" s="24" t="s">
        <v>1036</v>
      </c>
      <c r="F27" s="24" t="s">
        <v>1037</v>
      </c>
      <c r="G27" s="47" t="s">
        <v>1051</v>
      </c>
      <c r="H27" s="50" t="s">
        <v>1064</v>
      </c>
      <c r="I27" s="69" t="s">
        <v>1065</v>
      </c>
      <c r="J27" s="24" t="s">
        <v>1077</v>
      </c>
      <c r="K27" s="24" t="s">
        <v>1078</v>
      </c>
    </row>
    <row r="28" spans="1:11" x14ac:dyDescent="0.35">
      <c r="A28" s="32" t="s">
        <v>1042</v>
      </c>
      <c r="B28" s="40">
        <v>42061.438376240039</v>
      </c>
      <c r="C28" s="40">
        <v>4384.71</v>
      </c>
      <c r="D28" s="92">
        <v>0.1042453650961415</v>
      </c>
      <c r="E28" s="40">
        <v>2417.8200000000002</v>
      </c>
      <c r="F28" s="41">
        <v>5.7483055581042497E-2</v>
      </c>
      <c r="G28" s="48">
        <f t="shared" ref="G28:G36" si="4">C28-B28</f>
        <v>-37676.72837624004</v>
      </c>
      <c r="H28" s="51">
        <v>87.763481491680523</v>
      </c>
      <c r="I28" s="68">
        <v>10</v>
      </c>
      <c r="J28" s="79">
        <f>I28-H28</f>
        <v>-77.763481491680523</v>
      </c>
      <c r="K28" s="80">
        <f>J28/10</f>
        <v>-7.7763481491680526</v>
      </c>
    </row>
    <row r="29" spans="1:11" x14ac:dyDescent="0.35">
      <c r="A29" s="32" t="s">
        <v>1043</v>
      </c>
      <c r="B29" s="40">
        <v>32590.320166780002</v>
      </c>
      <c r="C29" s="40">
        <v>4384.71</v>
      </c>
      <c r="D29" s="92">
        <v>0.13454025543662584</v>
      </c>
      <c r="E29" s="40">
        <v>3828.2000000000003</v>
      </c>
      <c r="F29" s="41">
        <v>0.11746432622966881</v>
      </c>
      <c r="G29" s="48">
        <f t="shared" si="4"/>
        <v>-28205.610166780003</v>
      </c>
      <c r="H29" s="51">
        <v>68.001477628518188</v>
      </c>
      <c r="I29" s="68">
        <v>10</v>
      </c>
      <c r="J29" s="79">
        <f t="shared" ref="J29:J35" si="5">I29-H29</f>
        <v>-58.001477628518188</v>
      </c>
      <c r="K29" s="80">
        <f t="shared" ref="K29:K36" si="6">J29/10</f>
        <v>-5.800147762851819</v>
      </c>
    </row>
    <row r="30" spans="1:11" x14ac:dyDescent="0.35">
      <c r="A30" s="85" t="s">
        <v>1044</v>
      </c>
      <c r="B30" s="86">
        <v>29384.650264920005</v>
      </c>
      <c r="C30" s="86">
        <v>26410.23</v>
      </c>
      <c r="D30" s="66">
        <v>0.8987763938619705</v>
      </c>
      <c r="E30" s="86">
        <v>18939.539999999997</v>
      </c>
      <c r="F30" s="87">
        <v>0.64453855428765838</v>
      </c>
      <c r="G30" s="93">
        <f t="shared" si="4"/>
        <v>-2974.4202649200051</v>
      </c>
      <c r="H30" s="88">
        <v>61.312672823902446</v>
      </c>
      <c r="I30" s="89">
        <v>35</v>
      </c>
      <c r="J30" s="79">
        <f t="shared" si="5"/>
        <v>-26.312672823902446</v>
      </c>
      <c r="K30" s="80">
        <f t="shared" si="6"/>
        <v>-2.6312672823902448</v>
      </c>
    </row>
    <row r="31" spans="1:11" x14ac:dyDescent="0.35">
      <c r="A31" s="116" t="s">
        <v>1045</v>
      </c>
      <c r="B31" s="117">
        <v>36986.122949359982</v>
      </c>
      <c r="C31" s="117">
        <v>41501.789999999994</v>
      </c>
      <c r="D31" s="118">
        <v>1.1220908462566539</v>
      </c>
      <c r="E31" s="117">
        <v>27704.09</v>
      </c>
      <c r="F31" s="119">
        <v>0.74904012074829807</v>
      </c>
      <c r="G31" s="120">
        <f t="shared" si="4"/>
        <v>4515.6670506400114</v>
      </c>
      <c r="H31" s="121">
        <v>77.173559493576562</v>
      </c>
      <c r="I31" s="122">
        <v>80</v>
      </c>
      <c r="J31" s="123">
        <f t="shared" si="5"/>
        <v>2.8264405064234381</v>
      </c>
      <c r="K31" s="124">
        <f t="shared" si="6"/>
        <v>0.28264405064234382</v>
      </c>
    </row>
    <row r="32" spans="1:11" x14ac:dyDescent="0.35">
      <c r="A32" s="85" t="s">
        <v>1046</v>
      </c>
      <c r="B32" s="86">
        <v>29457.596012979997</v>
      </c>
      <c r="C32" s="86">
        <v>27633.87</v>
      </c>
      <c r="D32" s="66">
        <v>0.93808978804053111</v>
      </c>
      <c r="E32" s="86">
        <v>4331.91</v>
      </c>
      <c r="F32" s="87">
        <v>0.14705578819436643</v>
      </c>
      <c r="G32" s="94">
        <f t="shared" si="4"/>
        <v>-1823.7260129799979</v>
      </c>
      <c r="H32" s="88">
        <v>61.46487809924492</v>
      </c>
      <c r="I32" s="89">
        <v>45</v>
      </c>
      <c r="J32" s="79">
        <f t="shared" si="5"/>
        <v>-16.46487809924492</v>
      </c>
      <c r="K32" s="80">
        <f t="shared" si="6"/>
        <v>-1.646487809924492</v>
      </c>
    </row>
    <row r="33" spans="1:11" x14ac:dyDescent="0.35">
      <c r="A33" s="32" t="s">
        <v>1052</v>
      </c>
      <c r="B33" s="40">
        <v>16368.105831449995</v>
      </c>
      <c r="C33" s="40">
        <v>9177.2999999999993</v>
      </c>
      <c r="D33" s="92">
        <v>0.56068185864039055</v>
      </c>
      <c r="E33" s="40">
        <v>7857.9</v>
      </c>
      <c r="F33" s="41">
        <v>0.48007387543289698</v>
      </c>
      <c r="G33" s="48">
        <f t="shared" si="4"/>
        <v>-7190.8058314499958</v>
      </c>
      <c r="H33" s="51">
        <v>34.152944089601533</v>
      </c>
      <c r="I33" s="68">
        <v>22</v>
      </c>
      <c r="J33" s="79">
        <f t="shared" si="5"/>
        <v>-12.152944089601533</v>
      </c>
      <c r="K33" s="80">
        <f t="shared" si="6"/>
        <v>-1.2152944089601534</v>
      </c>
    </row>
    <row r="34" spans="1:11" x14ac:dyDescent="0.35">
      <c r="A34" s="116" t="s">
        <v>1047</v>
      </c>
      <c r="B34" s="117">
        <v>33634.561551380008</v>
      </c>
      <c r="C34" s="117">
        <v>34363.890000000007</v>
      </c>
      <c r="D34" s="118">
        <v>1.0216838993874167</v>
      </c>
      <c r="E34" s="117">
        <v>3365.0099999999998</v>
      </c>
      <c r="F34" s="119">
        <v>0.10004619786286274</v>
      </c>
      <c r="G34" s="120">
        <f t="shared" si="4"/>
        <v>729.32844861999911</v>
      </c>
      <c r="H34" s="121">
        <v>70.180344138275927</v>
      </c>
      <c r="I34" s="122">
        <v>62</v>
      </c>
      <c r="J34" s="125">
        <f t="shared" si="5"/>
        <v>-8.1803441382759274</v>
      </c>
      <c r="K34" s="124">
        <f t="shared" si="6"/>
        <v>-0.81803441382759279</v>
      </c>
    </row>
    <row r="35" spans="1:11" x14ac:dyDescent="0.35">
      <c r="A35" s="32" t="s">
        <v>1048</v>
      </c>
      <c r="B35" s="40">
        <v>59061.083522080058</v>
      </c>
      <c r="C35" s="40">
        <v>33854.04</v>
      </c>
      <c r="D35" s="92">
        <v>0.57320384221098186</v>
      </c>
      <c r="E35" s="40">
        <v>8311.2000000000007</v>
      </c>
      <c r="F35" s="41">
        <v>0.14072210505404711</v>
      </c>
      <c r="G35" s="48">
        <f t="shared" si="4"/>
        <v>-25207.043522080057</v>
      </c>
      <c r="H35" s="51">
        <v>123.23416674917453</v>
      </c>
      <c r="I35" s="68">
        <v>57</v>
      </c>
      <c r="J35" s="79">
        <f t="shared" si="5"/>
        <v>-66.234166749174534</v>
      </c>
      <c r="K35" s="80">
        <f t="shared" si="6"/>
        <v>-6.6234166749174532</v>
      </c>
    </row>
    <row r="36" spans="1:11" x14ac:dyDescent="0.35">
      <c r="A36" s="24" t="s">
        <v>1049</v>
      </c>
      <c r="B36" s="42">
        <f>SUM(B28:B35)</f>
        <v>279543.87867519009</v>
      </c>
      <c r="C36" s="42">
        <f>SUM(C28:C35)</f>
        <v>181710.54</v>
      </c>
      <c r="D36" s="36">
        <f>C36/B36</f>
        <v>0.65002510826264448</v>
      </c>
      <c r="E36" s="42">
        <f>SUM(E28:E35)</f>
        <v>76755.67</v>
      </c>
      <c r="F36" s="36">
        <f>E36/B36</f>
        <v>0.27457467630398225</v>
      </c>
      <c r="G36" s="49">
        <f t="shared" si="4"/>
        <v>-97833.338675190083</v>
      </c>
      <c r="H36" s="52">
        <f>SUM(H28:H35)</f>
        <v>583.28352451397461</v>
      </c>
      <c r="I36" s="69">
        <f>SUM(I28:I35)</f>
        <v>321</v>
      </c>
      <c r="J36" s="77">
        <f>I36-H36</f>
        <v>-262.28352451397461</v>
      </c>
      <c r="K36" s="78">
        <f t="shared" si="6"/>
        <v>-26.228352451397463</v>
      </c>
    </row>
    <row r="37" spans="1:11" ht="15" thickBot="1" x14ac:dyDescent="0.4"/>
    <row r="38" spans="1:11" ht="16.5" thickBot="1" x14ac:dyDescent="0.45">
      <c r="A38" s="54" t="s">
        <v>1075</v>
      </c>
      <c r="B38" s="83"/>
      <c r="C38" s="82"/>
      <c r="D38" s="82"/>
      <c r="E38" s="82"/>
      <c r="F38" s="82"/>
      <c r="G38" s="82"/>
    </row>
    <row r="39" spans="1:11" x14ac:dyDescent="0.35">
      <c r="A39" s="24" t="s">
        <v>1032</v>
      </c>
      <c r="B39" s="24" t="s">
        <v>1033</v>
      </c>
      <c r="C39" s="24" t="s">
        <v>1034</v>
      </c>
      <c r="D39" s="24" t="s">
        <v>1035</v>
      </c>
      <c r="E39" s="24" t="s">
        <v>1036</v>
      </c>
      <c r="F39" s="47" t="s">
        <v>1037</v>
      </c>
      <c r="G39" s="57" t="s">
        <v>1051</v>
      </c>
    </row>
    <row r="40" spans="1:11" x14ac:dyDescent="0.35">
      <c r="A40" s="32" t="s">
        <v>1042</v>
      </c>
      <c r="B40" s="40">
        <v>171023.80229134968</v>
      </c>
      <c r="C40" s="40">
        <v>119162.69000000016</v>
      </c>
      <c r="D40" s="92">
        <v>0.69676085084928185</v>
      </c>
      <c r="E40" s="40">
        <v>74863.819999999978</v>
      </c>
      <c r="F40" s="55">
        <v>0.43773918599040856</v>
      </c>
      <c r="G40" s="58">
        <f t="shared" ref="G40:G48" si="7">C40-B40</f>
        <v>-51861.11229134952</v>
      </c>
    </row>
    <row r="41" spans="1:11" x14ac:dyDescent="0.35">
      <c r="A41" s="32" t="s">
        <v>1043</v>
      </c>
      <c r="B41" s="40">
        <v>153051.77591002968</v>
      </c>
      <c r="C41" s="40">
        <v>111069.05000000003</v>
      </c>
      <c r="D41" s="92">
        <v>0.725695924399408</v>
      </c>
      <c r="E41" s="40">
        <v>80852.61</v>
      </c>
      <c r="F41" s="55">
        <v>0.52826966246722018</v>
      </c>
      <c r="G41" s="58">
        <f t="shared" si="7"/>
        <v>-41982.725910029651</v>
      </c>
    </row>
    <row r="42" spans="1:11" x14ac:dyDescent="0.35">
      <c r="A42" s="32" t="s">
        <v>1044</v>
      </c>
      <c r="B42" s="40">
        <v>199946.41615327974</v>
      </c>
      <c r="C42" s="40">
        <v>118720.29999999987</v>
      </c>
      <c r="D42" s="92">
        <v>0.59376057987950337</v>
      </c>
      <c r="E42" s="40">
        <v>67378.429999999993</v>
      </c>
      <c r="F42" s="55">
        <v>0.33698243407547457</v>
      </c>
      <c r="G42" s="58">
        <f t="shared" si="7"/>
        <v>-81226.116153279872</v>
      </c>
    </row>
    <row r="43" spans="1:11" x14ac:dyDescent="0.35">
      <c r="A43" s="32" t="s">
        <v>1045</v>
      </c>
      <c r="B43" s="40">
        <v>162299.79752080987</v>
      </c>
      <c r="C43" s="40">
        <v>87586.780000000013</v>
      </c>
      <c r="D43" s="92">
        <v>0.53966043912513051</v>
      </c>
      <c r="E43" s="40">
        <v>68947.059999999983</v>
      </c>
      <c r="F43" s="55">
        <v>0.42481297606769769</v>
      </c>
      <c r="G43" s="58">
        <f t="shared" si="7"/>
        <v>-74713.017520809852</v>
      </c>
    </row>
    <row r="44" spans="1:11" x14ac:dyDescent="0.35">
      <c r="A44" s="32" t="s">
        <v>1046</v>
      </c>
      <c r="B44" s="40">
        <v>233087.3399796694</v>
      </c>
      <c r="C44" s="40">
        <v>145270.43000000046</v>
      </c>
      <c r="D44" s="92">
        <v>0.6232446172866849</v>
      </c>
      <c r="E44" s="40">
        <v>122509.41999999993</v>
      </c>
      <c r="F44" s="55">
        <v>0.52559448321253988</v>
      </c>
      <c r="G44" s="58">
        <f t="shared" si="7"/>
        <v>-87816.909979668941</v>
      </c>
    </row>
    <row r="45" spans="1:11" x14ac:dyDescent="0.35">
      <c r="A45" s="32" t="s">
        <v>1052</v>
      </c>
      <c r="B45" s="40">
        <v>95226.803183090058</v>
      </c>
      <c r="C45" s="40">
        <v>56175.929999999993</v>
      </c>
      <c r="D45" s="92">
        <v>0.58991720946456661</v>
      </c>
      <c r="E45" s="40">
        <v>34749.589999999997</v>
      </c>
      <c r="F45" s="55">
        <v>0.36491396159952866</v>
      </c>
      <c r="G45" s="58">
        <f t="shared" si="7"/>
        <v>-39050.873183090065</v>
      </c>
    </row>
    <row r="46" spans="1:11" x14ac:dyDescent="0.35">
      <c r="A46" s="32" t="s">
        <v>1047</v>
      </c>
      <c r="B46" s="40">
        <v>228012.82156408962</v>
      </c>
      <c r="C46" s="40">
        <v>139193.96000000037</v>
      </c>
      <c r="D46" s="92">
        <v>0.61046549507688919</v>
      </c>
      <c r="E46" s="40">
        <v>90047.910000000455</v>
      </c>
      <c r="F46" s="55">
        <v>0.39492476511760494</v>
      </c>
      <c r="G46" s="58">
        <f t="shared" si="7"/>
        <v>-88818.861564089253</v>
      </c>
    </row>
    <row r="47" spans="1:11" x14ac:dyDescent="0.35">
      <c r="A47" s="32" t="s">
        <v>1048</v>
      </c>
      <c r="B47" s="40">
        <v>191639.54536119942</v>
      </c>
      <c r="C47" s="40">
        <v>114597.18000000001</v>
      </c>
      <c r="D47" s="92">
        <v>0.5979829464947275</v>
      </c>
      <c r="E47" s="40">
        <v>64700.229999999938</v>
      </c>
      <c r="F47" s="55">
        <v>0.33761419063092585</v>
      </c>
      <c r="G47" s="58">
        <f t="shared" si="7"/>
        <v>-77042.365361199409</v>
      </c>
    </row>
    <row r="48" spans="1:11" x14ac:dyDescent="0.35">
      <c r="A48" s="24" t="s">
        <v>1049</v>
      </c>
      <c r="B48" s="42">
        <f>SUM(B40:B47)</f>
        <v>1434288.3019635174</v>
      </c>
      <c r="C48" s="42">
        <f>SUM(C40:C47)</f>
        <v>891776.32000000088</v>
      </c>
      <c r="D48" s="36">
        <f>C48/B48</f>
        <v>0.62175527666172381</v>
      </c>
      <c r="E48" s="42">
        <f>SUM(E40:E47)</f>
        <v>604049.07000000041</v>
      </c>
      <c r="F48" s="56">
        <f>E48/B48</f>
        <v>0.42114899018075169</v>
      </c>
      <c r="G48" s="59">
        <f t="shared" si="7"/>
        <v>-542511.98196351656</v>
      </c>
    </row>
  </sheetData>
  <mergeCells count="3">
    <mergeCell ref="B26:I26"/>
    <mergeCell ref="J26:K26"/>
    <mergeCell ref="B38:G38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904BC-C343-44C1-AA97-F9D907206F66}">
  <sheetPr codeName="Planilha4"/>
  <dimension ref="A1:I10"/>
  <sheetViews>
    <sheetView zoomScale="90" zoomScaleNormal="90" workbookViewId="0">
      <selection activeCell="F38" sqref="F38"/>
    </sheetView>
  </sheetViews>
  <sheetFormatPr defaultColWidth="41.54296875" defaultRowHeight="14.5" x14ac:dyDescent="0.35"/>
  <cols>
    <col min="1" max="1" width="40.81640625" customWidth="1"/>
    <col min="2" max="2" width="15" bestFit="1" customWidth="1"/>
    <col min="3" max="3" width="13.26953125" bestFit="1" customWidth="1"/>
    <col min="4" max="4" width="15.7265625" bestFit="1" customWidth="1"/>
    <col min="5" max="5" width="8.90625" bestFit="1" customWidth="1"/>
    <col min="6" max="6" width="20" bestFit="1" customWidth="1"/>
    <col min="7" max="8" width="16.81640625" bestFit="1" customWidth="1"/>
    <col min="9" max="9" width="15.6328125" bestFit="1" customWidth="1"/>
  </cols>
  <sheetData>
    <row r="1" spans="1:9" x14ac:dyDescent="0.35">
      <c r="A1" s="24" t="s">
        <v>1053</v>
      </c>
      <c r="B1" s="24" t="s">
        <v>1054</v>
      </c>
      <c r="C1" s="24" t="s">
        <v>1055</v>
      </c>
      <c r="D1" s="24" t="s">
        <v>1056</v>
      </c>
      <c r="E1" s="24" t="s">
        <v>1057</v>
      </c>
      <c r="F1" s="24" t="s">
        <v>1058</v>
      </c>
      <c r="G1" s="24" t="s">
        <v>1059</v>
      </c>
      <c r="H1" s="24" t="s">
        <v>1060</v>
      </c>
      <c r="I1" s="24" t="s">
        <v>1061</v>
      </c>
    </row>
    <row r="2" spans="1:9" x14ac:dyDescent="0.35">
      <c r="A2" s="44" t="s">
        <v>1042</v>
      </c>
      <c r="B2" s="95">
        <v>114.4</v>
      </c>
      <c r="C2" s="95">
        <v>88</v>
      </c>
      <c r="D2" s="96">
        <v>0.76923076923076916</v>
      </c>
      <c r="E2" s="97">
        <f>C2-B2</f>
        <v>-26.400000000000006</v>
      </c>
      <c r="F2" s="100">
        <v>490299.12969193101</v>
      </c>
      <c r="G2" s="100">
        <v>326585.34999999998</v>
      </c>
      <c r="H2" s="96">
        <v>0.66609408465644826</v>
      </c>
      <c r="I2" s="101">
        <f>G2-F2</f>
        <v>-163713.77969193103</v>
      </c>
    </row>
    <row r="3" spans="1:9" x14ac:dyDescent="0.35">
      <c r="A3" s="44" t="s">
        <v>1043</v>
      </c>
      <c r="B3" s="95">
        <v>112</v>
      </c>
      <c r="C3" s="95">
        <v>93</v>
      </c>
      <c r="D3" s="96">
        <v>0.8303571428571429</v>
      </c>
      <c r="E3" s="97">
        <f t="shared" ref="E3:E9" si="0">C3-B3</f>
        <v>-19</v>
      </c>
      <c r="F3" s="100">
        <v>441365.76583584753</v>
      </c>
      <c r="G3" s="100">
        <v>347742.29999999987</v>
      </c>
      <c r="H3" s="96">
        <v>0.78787782586955768</v>
      </c>
      <c r="I3" s="101">
        <f t="shared" ref="I3:I9" si="1">G3-F3</f>
        <v>-93623.465835847659</v>
      </c>
    </row>
    <row r="4" spans="1:9" x14ac:dyDescent="0.35">
      <c r="A4" s="44" t="s">
        <v>1044</v>
      </c>
      <c r="B4" s="95">
        <v>111.2</v>
      </c>
      <c r="C4" s="95">
        <v>96</v>
      </c>
      <c r="D4" s="96">
        <v>0.86330935251798557</v>
      </c>
      <c r="E4" s="97">
        <f t="shared" si="0"/>
        <v>-15.200000000000003</v>
      </c>
      <c r="F4" s="100">
        <v>583853.06806826347</v>
      </c>
      <c r="G4" s="100">
        <v>367933.3899999992</v>
      </c>
      <c r="H4" s="96">
        <v>0.63018147907887812</v>
      </c>
      <c r="I4" s="101">
        <f t="shared" si="1"/>
        <v>-215919.67806826427</v>
      </c>
    </row>
    <row r="5" spans="1:9" x14ac:dyDescent="0.35">
      <c r="A5" s="104" t="s">
        <v>1045</v>
      </c>
      <c r="B5" s="65">
        <v>104</v>
      </c>
      <c r="C5" s="65">
        <v>103</v>
      </c>
      <c r="D5" s="66">
        <v>0.99038461538461542</v>
      </c>
      <c r="E5" s="67">
        <f t="shared" si="0"/>
        <v>-1</v>
      </c>
      <c r="F5" s="100">
        <v>551385.69950044504</v>
      </c>
      <c r="G5" s="100">
        <v>452458.77000000008</v>
      </c>
      <c r="H5" s="96">
        <v>0.82058488352151193</v>
      </c>
      <c r="I5" s="101">
        <f t="shared" si="1"/>
        <v>-98926.929500444967</v>
      </c>
    </row>
    <row r="6" spans="1:9" x14ac:dyDescent="0.35">
      <c r="A6" s="104" t="s">
        <v>1046</v>
      </c>
      <c r="B6" s="65">
        <v>112</v>
      </c>
      <c r="C6" s="65">
        <v>102</v>
      </c>
      <c r="D6" s="66">
        <v>0.9107142857142857</v>
      </c>
      <c r="E6" s="67">
        <f t="shared" si="0"/>
        <v>-10</v>
      </c>
      <c r="F6" s="86">
        <v>709129.57833056583</v>
      </c>
      <c r="G6" s="86">
        <v>655971.14</v>
      </c>
      <c r="H6" s="66">
        <v>0.92503705957984228</v>
      </c>
      <c r="I6" s="114">
        <f t="shared" si="1"/>
        <v>-53158.438330565812</v>
      </c>
    </row>
    <row r="7" spans="1:9" x14ac:dyDescent="0.35">
      <c r="A7" s="44" t="s">
        <v>1062</v>
      </c>
      <c r="B7" s="95">
        <v>105.60000000000001</v>
      </c>
      <c r="C7" s="95">
        <v>45</v>
      </c>
      <c r="D7" s="96">
        <v>0.42613636363636359</v>
      </c>
      <c r="E7" s="97">
        <f t="shared" si="0"/>
        <v>-60.600000000000009</v>
      </c>
      <c r="F7" s="100">
        <v>289370.26126887085</v>
      </c>
      <c r="G7" s="100">
        <v>160847.11999999991</v>
      </c>
      <c r="H7" s="96">
        <v>0.5558522817607281</v>
      </c>
      <c r="I7" s="101">
        <f t="shared" si="1"/>
        <v>-128523.14126887094</v>
      </c>
    </row>
    <row r="8" spans="1:9" x14ac:dyDescent="0.35">
      <c r="A8" s="104" t="s">
        <v>1047</v>
      </c>
      <c r="B8" s="65">
        <v>108</v>
      </c>
      <c r="C8" s="65">
        <v>100</v>
      </c>
      <c r="D8" s="66">
        <v>0.92592592592592593</v>
      </c>
      <c r="E8" s="67">
        <f t="shared" si="0"/>
        <v>-8</v>
      </c>
      <c r="F8" s="100">
        <v>567319.02663460572</v>
      </c>
      <c r="G8" s="100">
        <v>462106.90000000008</v>
      </c>
      <c r="H8" s="96">
        <v>0.8145450413346178</v>
      </c>
      <c r="I8" s="101">
        <f t="shared" si="1"/>
        <v>-105212.12663460564</v>
      </c>
    </row>
    <row r="9" spans="1:9" x14ac:dyDescent="0.35">
      <c r="A9" s="45" t="s">
        <v>1048</v>
      </c>
      <c r="B9" s="98">
        <v>110.4</v>
      </c>
      <c r="C9" s="98">
        <v>92</v>
      </c>
      <c r="D9" s="96">
        <v>0.83333333333333326</v>
      </c>
      <c r="E9" s="99">
        <f t="shared" si="0"/>
        <v>-18.400000000000006</v>
      </c>
      <c r="F9" s="102">
        <v>564703.592661637</v>
      </c>
      <c r="G9" s="102">
        <v>303762.07999999984</v>
      </c>
      <c r="H9" s="96">
        <v>0.53791419772675342</v>
      </c>
      <c r="I9" s="103">
        <f t="shared" si="1"/>
        <v>-260941.51266163716</v>
      </c>
    </row>
    <row r="10" spans="1:9" x14ac:dyDescent="0.35">
      <c r="A10" s="24" t="s">
        <v>1049</v>
      </c>
      <c r="B10" s="60">
        <f>SUM(B2:B9)</f>
        <v>877.6</v>
      </c>
      <c r="C10" s="24">
        <f>SUM(C2:C9)</f>
        <v>719</v>
      </c>
      <c r="D10" s="36">
        <f>C10/B10</f>
        <v>0.81927985414767546</v>
      </c>
      <c r="E10" s="61">
        <f>SUM(E2:E9)</f>
        <v>-158.60000000000002</v>
      </c>
      <c r="F10" s="42">
        <f>SUM(F2:F9)</f>
        <v>4197426.1219921662</v>
      </c>
      <c r="G10" s="42">
        <f>SUM(G2:G9)</f>
        <v>3077407.0499999989</v>
      </c>
      <c r="H10" s="36">
        <f>G10/F10</f>
        <v>0.73316526856210917</v>
      </c>
      <c r="I10" s="43">
        <f>SUM(I2:I9)</f>
        <v>-1120019.0719921673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76900-1DE1-49B4-B88D-4E83E1A96C22}">
  <dimension ref="A3:D36"/>
  <sheetViews>
    <sheetView workbookViewId="0">
      <selection activeCell="F11" sqref="F11"/>
    </sheetView>
  </sheetViews>
  <sheetFormatPr defaultRowHeight="14.5" x14ac:dyDescent="0.35"/>
  <cols>
    <col min="1" max="1" width="25.1796875" bestFit="1" customWidth="1"/>
    <col min="2" max="2" width="16.26953125" bestFit="1" customWidth="1"/>
    <col min="3" max="3" width="16.6328125" bestFit="1" customWidth="1"/>
    <col min="4" max="4" width="5.36328125" bestFit="1" customWidth="1"/>
  </cols>
  <sheetData>
    <row r="3" spans="1:4" x14ac:dyDescent="0.35">
      <c r="A3" s="71" t="s">
        <v>1079</v>
      </c>
      <c r="B3" s="72" t="s">
        <v>1080</v>
      </c>
      <c r="C3" s="72" t="s">
        <v>1082</v>
      </c>
      <c r="D3" s="75" t="s">
        <v>1084</v>
      </c>
    </row>
    <row r="4" spans="1:4" x14ac:dyDescent="0.35">
      <c r="A4" s="73" t="s">
        <v>509</v>
      </c>
      <c r="B4" s="74">
        <v>20386.659921812425</v>
      </c>
      <c r="C4" s="74">
        <v>7825.66</v>
      </c>
      <c r="D4" s="70">
        <f>GETPIVOTDATA("Soma de mdtr total",$A$3,"G. E.","CAASP")/GETPIVOTDATA("Soma de cota total",$A$3,"G. E.","CAASP")</f>
        <v>0.38386180129620168</v>
      </c>
    </row>
    <row r="5" spans="1:4" x14ac:dyDescent="0.35">
      <c r="A5" s="73" t="s">
        <v>227</v>
      </c>
      <c r="B5" s="74">
        <v>49355.925737869104</v>
      </c>
      <c r="C5" s="74">
        <v>28397.359999999993</v>
      </c>
      <c r="D5" s="70">
        <f>GETPIVOTDATA("Soma de mdtr total",$A$3,"G. E.","CENTRAL FARMA")/GETPIVOTDATA("Soma de cota total",$A$3,"G. E.","CENTRAL FARMA")</f>
        <v>0.57535867427184484</v>
      </c>
    </row>
    <row r="6" spans="1:4" x14ac:dyDescent="0.35">
      <c r="A6" s="73" t="s">
        <v>1010</v>
      </c>
      <c r="B6" s="74">
        <v>57825.001532164359</v>
      </c>
      <c r="C6" s="74">
        <v>41372.36</v>
      </c>
      <c r="D6" s="70">
        <f>GETPIVOTDATA("Soma de mdtr total",$A$3,"G. E.","DROGAO MS")/GETPIVOTDATA("Soma de cota total",$A$3,"G. E.","DROGAO MS")</f>
        <v>0.71547529448809777</v>
      </c>
    </row>
    <row r="7" spans="1:4" x14ac:dyDescent="0.35">
      <c r="A7" s="73" t="s">
        <v>60</v>
      </c>
      <c r="B7" s="74">
        <v>42295.632976952031</v>
      </c>
      <c r="C7" s="74">
        <v>14671.98</v>
      </c>
      <c r="D7" s="70">
        <f>GETPIVOTDATA("Soma de mdtr total",$A$3,"G. E.","DROGAPLUS POPULAR")/GETPIVOTDATA("Soma de cota total",$A$3,"G. E.","DROGAPLUS POPULAR")</f>
        <v>0.34689113195197091</v>
      </c>
    </row>
    <row r="8" spans="1:4" x14ac:dyDescent="0.35">
      <c r="A8" s="73" t="s">
        <v>950</v>
      </c>
      <c r="B8" s="74">
        <v>70343.958172734579</v>
      </c>
      <c r="C8" s="74">
        <v>56464.469999999979</v>
      </c>
      <c r="D8" s="70">
        <f>GETPIVOTDATA("Soma de mdtr total",$A$3,"G. E.","DROGARIA + ECONOMICA")/GETPIVOTDATA("Soma de cota total",$A$3,"G. E.","DROGARIA + ECONOMICA")</f>
        <v>0.80269111188408626</v>
      </c>
    </row>
    <row r="9" spans="1:4" x14ac:dyDescent="0.35">
      <c r="A9" s="73" t="s">
        <v>1003</v>
      </c>
      <c r="B9" s="74">
        <v>27250.98456528582</v>
      </c>
      <c r="C9" s="74">
        <v>9073.010000000002</v>
      </c>
      <c r="D9" s="70">
        <f>GETPIVOTDATA("Soma de mdtr total",$A$3,"G. E.","DROGARIA CIDADE - MT")/GETPIVOTDATA("Soma de cota total",$A$3,"G. E.","DROGARIA CIDADE - MT")</f>
        <v>0.33294246592315152</v>
      </c>
    </row>
    <row r="10" spans="1:4" x14ac:dyDescent="0.35">
      <c r="A10" s="73" t="s">
        <v>1004</v>
      </c>
      <c r="B10" s="74">
        <v>150211.17074046683</v>
      </c>
      <c r="C10" s="74">
        <v>60920.570000000036</v>
      </c>
      <c r="D10" s="70">
        <f>GETPIVOTDATA("Soma de mdtr total",$A$3,"G. E.","DROGARIA NEBRASCA")/GETPIVOTDATA("Soma de cota total",$A$3,"G. E.","DROGARIA NEBRASCA")</f>
        <v>0.40556617526973354</v>
      </c>
    </row>
    <row r="11" spans="1:4" x14ac:dyDescent="0.35">
      <c r="A11" s="73" t="s">
        <v>308</v>
      </c>
      <c r="B11" s="74">
        <v>20324.008778964348</v>
      </c>
      <c r="C11" s="74">
        <v>24094.369999999988</v>
      </c>
      <c r="D11" s="70">
        <f>GETPIVOTDATA("Soma de mdtr total",$A$3,"G. E.","DROGARIA POUPE MAIS")/GETPIVOTDATA("Soma de cota total",$A$3,"G. E.","DROGARIA POUPE MAIS")</f>
        <v>1.1855126742977016</v>
      </c>
    </row>
    <row r="12" spans="1:4" x14ac:dyDescent="0.35">
      <c r="A12" s="73" t="s">
        <v>147</v>
      </c>
      <c r="B12" s="74">
        <v>3215.5586095894701</v>
      </c>
      <c r="C12" s="74">
        <v>1334.25</v>
      </c>
      <c r="D12" s="70">
        <f>GETPIVOTDATA("Soma de mdtr total",$A$3,"G. E.","DROGARIA TALHAMARES")/GETPIVOTDATA("Soma de cota total",$A$3,"G. E.","DROGARIA TALHAMARES")</f>
        <v>0.41493568054427205</v>
      </c>
    </row>
    <row r="13" spans="1:4" x14ac:dyDescent="0.35">
      <c r="A13" s="73" t="s">
        <v>999</v>
      </c>
      <c r="B13" s="74">
        <v>96997.887814269896</v>
      </c>
      <c r="C13" s="74">
        <v>42072.409999999989</v>
      </c>
      <c r="D13" s="70">
        <f>GETPIVOTDATA("Soma de mdtr total",$A$3,"G. E.","ECONOMIZE - MAYCON")/GETPIVOTDATA("Soma de cota total",$A$3,"G. E.","ECONOMIZE - MAYCON")</f>
        <v>0.43374563042609349</v>
      </c>
    </row>
    <row r="14" spans="1:4" x14ac:dyDescent="0.35">
      <c r="A14" s="73" t="s">
        <v>1008</v>
      </c>
      <c r="B14" s="74">
        <v>42262.195688580221</v>
      </c>
      <c r="C14" s="74">
        <v>41612.069999999992</v>
      </c>
      <c r="D14" s="70">
        <f>GETPIVOTDATA("Soma de mdtr total",$A$3,"G. E.","ECONOMIZE LRV")/GETPIVOTDATA("Soma de cota total",$A$3,"G. E.","ECONOMIZE LRV")</f>
        <v>0.98461685016626099</v>
      </c>
    </row>
    <row r="15" spans="1:4" x14ac:dyDescent="0.35">
      <c r="A15" s="73" t="s">
        <v>346</v>
      </c>
      <c r="B15" s="74">
        <v>21949.493216322138</v>
      </c>
      <c r="C15" s="74">
        <v>13191.14</v>
      </c>
      <c r="D15" s="70">
        <f>GETPIVOTDATA("Soma de mdtr total",$A$3,"G. E.","FARMA FACIL")/GETPIVOTDATA("Soma de cota total",$A$3,"G. E.","FARMA FACIL")</f>
        <v>0.6009769733631376</v>
      </c>
    </row>
    <row r="16" spans="1:4" x14ac:dyDescent="0.35">
      <c r="A16" s="73" t="s">
        <v>319</v>
      </c>
      <c r="B16" s="74">
        <v>15315.605727810635</v>
      </c>
      <c r="C16" s="74">
        <v>6693.380000000001</v>
      </c>
      <c r="D16" s="70">
        <f>GETPIVOTDATA("Soma de mdtr total",$A$3,"G. E.","FARMACIA ROMANA")/GETPIVOTDATA("Soma de cota total",$A$3,"G. E.","FARMACIA ROMANA")</f>
        <v>0.43703005411310097</v>
      </c>
    </row>
    <row r="17" spans="1:4" x14ac:dyDescent="0.35">
      <c r="A17" s="73" t="s">
        <v>414</v>
      </c>
      <c r="B17" s="74">
        <v>35601.747421415748</v>
      </c>
      <c r="C17" s="74">
        <v>31564.449999999997</v>
      </c>
      <c r="D17" s="70">
        <f>GETPIVOTDATA("Soma de mdtr total",$A$3,"G. E.","FUZAFARMA")/GETPIVOTDATA("Soma de cota total",$A$3,"G. E.","FUZAFARMA")</f>
        <v>0.88659833536746091</v>
      </c>
    </row>
    <row r="18" spans="1:4" x14ac:dyDescent="0.35">
      <c r="A18" s="73" t="s">
        <v>1002</v>
      </c>
      <c r="B18" s="74">
        <v>32769.04083425564</v>
      </c>
      <c r="C18" s="74">
        <v>16822.400000000001</v>
      </c>
      <c r="D18" s="70">
        <f>GETPIVOTDATA("Soma de mdtr total",$A$3,"G. E.","MEGA POPULAR MT")/GETPIVOTDATA("Soma de cota total",$A$3,"G. E.","MEGA POPULAR MT")</f>
        <v>0.51336259993348465</v>
      </c>
    </row>
    <row r="19" spans="1:4" x14ac:dyDescent="0.35">
      <c r="A19" s="73" t="s">
        <v>1001</v>
      </c>
      <c r="B19" s="74">
        <v>112227.07511580175</v>
      </c>
      <c r="C19" s="74">
        <v>70923.5</v>
      </c>
      <c r="D19" s="70">
        <f>GETPIVOTDATA("Soma de mdtr total",$A$3,"G. E.","REDE ECONOMIZAR")/GETPIVOTDATA("Soma de cota total",$A$3,"G. E.","REDE ECONOMIZAR")</f>
        <v>0.6319642557450369</v>
      </c>
    </row>
    <row r="20" spans="1:4" x14ac:dyDescent="0.35">
      <c r="A20" s="73" t="s">
        <v>135</v>
      </c>
      <c r="B20" s="74">
        <v>182363.57307854056</v>
      </c>
      <c r="C20" s="74">
        <v>161308.56</v>
      </c>
      <c r="D20" s="70">
        <f>GETPIVOTDATA("Soma de mdtr total",$A$3,"G. E.","REDE MADEIRA")/GETPIVOTDATA("Soma de cota total",$A$3,"G. E.","REDE MADEIRA")</f>
        <v>0.88454375661156537</v>
      </c>
    </row>
    <row r="21" spans="1:4" x14ac:dyDescent="0.35">
      <c r="A21" s="73" t="s">
        <v>1006</v>
      </c>
      <c r="B21" s="74">
        <v>190308.77672744996</v>
      </c>
      <c r="C21" s="74">
        <v>129949.49000000002</v>
      </c>
      <c r="D21" s="70">
        <f>GETPIVOTDATA("Soma de mdtr total",$A$3,"G. E.","REDE ODEON")/GETPIVOTDATA("Soma de cota total",$A$3,"G. E.","REDE ODEON")</f>
        <v>0.68283498131096032</v>
      </c>
    </row>
    <row r="22" spans="1:4" x14ac:dyDescent="0.35">
      <c r="A22" s="73" t="s">
        <v>994</v>
      </c>
      <c r="B22" s="74">
        <v>395139.60200716514</v>
      </c>
      <c r="C22" s="74">
        <v>270411.60000000003</v>
      </c>
      <c r="D22" s="70">
        <f>GETPIVOTDATA("Soma de mdtr total",$A$3,"G. E.","SANTA CATARINA ")/GETPIVOTDATA("Soma de cota total",$A$3,"G. E.","SANTA CATARINA ")</f>
        <v>0.68434446617450562</v>
      </c>
    </row>
    <row r="23" spans="1:4" x14ac:dyDescent="0.35">
      <c r="A23" s="73" t="s">
        <v>1007</v>
      </c>
      <c r="B23" s="74">
        <v>134653.12327793552</v>
      </c>
      <c r="C23" s="74">
        <v>107380.09</v>
      </c>
      <c r="D23" s="70">
        <f>GETPIVOTDATA("Soma de mdtr total",$A$3,"G. E.","ULTRA NACIONAL MT")/GETPIVOTDATA("Soma de cota total",$A$3,"G. E.","ULTRA NACIONAL MT")</f>
        <v>0.79745710597709896</v>
      </c>
    </row>
    <row r="24" spans="1:4" x14ac:dyDescent="0.35">
      <c r="A24" s="73" t="s">
        <v>997</v>
      </c>
      <c r="B24" s="74">
        <v>52724.189265158129</v>
      </c>
      <c r="C24" s="74">
        <v>30320.910000000003</v>
      </c>
      <c r="D24" s="70">
        <f>GETPIVOTDATA("Soma de mdtr total",$A$3,"G. E.","ULTRA POPOLAR - MOLINA")/GETPIVOTDATA("Soma de cota total",$A$3,"G. E.","ULTRA POPOLAR - MOLINA")</f>
        <v>0.57508537205781285</v>
      </c>
    </row>
    <row r="25" spans="1:4" x14ac:dyDescent="0.35">
      <c r="A25" s="73" t="s">
        <v>1005</v>
      </c>
      <c r="B25" s="74">
        <v>29347.663466327482</v>
      </c>
      <c r="C25" s="74">
        <v>19590.679999999997</v>
      </c>
      <c r="D25" s="70">
        <f>GETPIVOTDATA("Soma de mdtr total",$A$3,"G. E.","ULTRA POPULAR - ANDREIA")/GETPIVOTDATA("Soma de cota total",$A$3,"G. E.","ULTRA POPULAR - ANDREIA")</f>
        <v>0.6675379804077991</v>
      </c>
    </row>
    <row r="26" spans="1:4" x14ac:dyDescent="0.35">
      <c r="A26" s="73" t="s">
        <v>993</v>
      </c>
      <c r="B26" s="74">
        <v>74109.908925976371</v>
      </c>
      <c r="C26" s="74">
        <v>46033.35</v>
      </c>
      <c r="D26" s="70">
        <f>GETPIVOTDATA("Soma de mdtr total",$A$3,"G. E.","ULTRA POPULAR - DÉBORA")/GETPIVOTDATA("Soma de cota total",$A$3,"G. E.","ULTRA POPULAR - DÉBORA")</f>
        <v>0.62114973108359584</v>
      </c>
    </row>
    <row r="27" spans="1:4" x14ac:dyDescent="0.35">
      <c r="A27" s="73" t="s">
        <v>995</v>
      </c>
      <c r="B27" s="74">
        <v>540540.1435206118</v>
      </c>
      <c r="C27" s="74">
        <v>330702.11000000004</v>
      </c>
      <c r="D27" s="70">
        <f>GETPIVOTDATA("Soma de mdtr total",$A$3,"G. E.","ULTRA POPULAR - DMD")/GETPIVOTDATA("Soma de cota total",$A$3,"G. E.","ULTRA POPULAR - DMD")</f>
        <v>0.61179935285859066</v>
      </c>
    </row>
    <row r="28" spans="1:4" x14ac:dyDescent="0.35">
      <c r="A28" s="73" t="s">
        <v>996</v>
      </c>
      <c r="B28" s="74">
        <v>88457.140288813564</v>
      </c>
      <c r="C28" s="74">
        <v>56231.670000000013</v>
      </c>
      <c r="D28" s="70">
        <f>GETPIVOTDATA("Soma de mdtr total",$A$3,"G. E.","ULTRA POPULAR - ERICK")/GETPIVOTDATA("Soma de cota total",$A$3,"G. E.","ULTRA POPULAR - ERICK")</f>
        <v>0.63569396225565256</v>
      </c>
    </row>
    <row r="29" spans="1:4" x14ac:dyDescent="0.35">
      <c r="A29" s="73" t="s">
        <v>1011</v>
      </c>
      <c r="B29" s="74">
        <v>32932.213824675753</v>
      </c>
      <c r="C29" s="74">
        <v>18481.179999999997</v>
      </c>
      <c r="D29" s="70">
        <f>GETPIVOTDATA("Soma de mdtr total",$A$3,"G. E.","ULTRA POPULAR - FAHD")/GETPIVOTDATA("Soma de cota total",$A$3,"G. E.","ULTRA POPULAR - FAHD")</f>
        <v>0.56118850977920731</v>
      </c>
    </row>
    <row r="30" spans="1:4" x14ac:dyDescent="0.35">
      <c r="A30" s="73" t="s">
        <v>992</v>
      </c>
      <c r="B30" s="74">
        <v>61224.70052133008</v>
      </c>
      <c r="C30" s="74">
        <v>35509.58</v>
      </c>
      <c r="D30" s="70">
        <f>GETPIVOTDATA("Soma de mdtr total",$A$3,"G. E.","ULTRA POPULAR - FERNANDA")/GETPIVOTDATA("Soma de cota total",$A$3,"G. E.","ULTRA POPULAR - FERNANDA")</f>
        <v>0.57998781043655434</v>
      </c>
    </row>
    <row r="31" spans="1:4" x14ac:dyDescent="0.35">
      <c r="A31" s="73" t="s">
        <v>991</v>
      </c>
      <c r="B31" s="74">
        <v>61496.740763300724</v>
      </c>
      <c r="C31" s="74">
        <v>54996.509999999995</v>
      </c>
      <c r="D31" s="70">
        <f>GETPIVOTDATA("Soma de mdtr total",$A$3,"G. E.","ULTRA POPULAR - GABRIELA")/GETPIVOTDATA("Soma de cota total",$A$3,"G. E.","ULTRA POPULAR - GABRIELA")</f>
        <v>0.89429958917140118</v>
      </c>
    </row>
    <row r="32" spans="1:4" x14ac:dyDescent="0.35">
      <c r="A32" s="73" t="s">
        <v>1000</v>
      </c>
      <c r="B32" s="74">
        <v>97719.199097198973</v>
      </c>
      <c r="C32" s="74">
        <v>59673.679999999978</v>
      </c>
      <c r="D32" s="70">
        <f>GETPIVOTDATA("Soma de mdtr total",$A$3,"G. E.","ULTRA POPULAR - MAX")/GETPIVOTDATA("Soma de cota total",$A$3,"G. E.","ULTRA POPULAR - MAX")</f>
        <v>0.61066484939816157</v>
      </c>
    </row>
    <row r="33" spans="1:4" x14ac:dyDescent="0.35">
      <c r="A33" s="73" t="s">
        <v>998</v>
      </c>
      <c r="B33" s="74">
        <v>70981.747535531293</v>
      </c>
      <c r="C33" s="74">
        <v>41056.719999999994</v>
      </c>
      <c r="D33" s="70">
        <f>GETPIVOTDATA("Soma de mdtr total",$A$3,"G. E.","ULTRA POPULAR - MAYKEL")/GETPIVOTDATA("Soma de cota total",$A$3,"G. E.","ULTRA POPULAR - MAYKEL")</f>
        <v>0.57841235846508643</v>
      </c>
    </row>
    <row r="34" spans="1:4" x14ac:dyDescent="0.35">
      <c r="A34" s="73" t="s">
        <v>1009</v>
      </c>
      <c r="B34" s="74">
        <v>96840.356151352113</v>
      </c>
      <c r="C34" s="74">
        <v>56365.68</v>
      </c>
      <c r="D34" s="70">
        <f>GETPIVOTDATA("Soma de mdtr total",$A$3,"G. E.","ULTRA POPULAR - MIRANDA")/GETPIVOTDATA("Soma de cota total",$A$3,"G. E.","ULTRA POPULAR - MIRANDA")</f>
        <v>0.58204742568176737</v>
      </c>
    </row>
    <row r="35" spans="1:4" x14ac:dyDescent="0.35">
      <c r="A35" s="73" t="s">
        <v>1083</v>
      </c>
      <c r="B35" s="74">
        <v>5164802.2862177351</v>
      </c>
      <c r="C35" s="74">
        <v>3028192.990000003</v>
      </c>
      <c r="D35" s="70">
        <f>GETPIVOTDATA("Soma de mdtr total",$A$3,"G. E.",)/GETPIVOTDATA("Soma de cota total",$A$3,"G. E.",)</f>
        <v>0.5863134389637199</v>
      </c>
    </row>
    <row r="36" spans="1:4" x14ac:dyDescent="0.35">
      <c r="A36" s="73" t="s">
        <v>1081</v>
      </c>
      <c r="B36" s="74">
        <v>8071973.3115233975</v>
      </c>
      <c r="C36" s="74">
        <v>4913238.1800000034</v>
      </c>
      <c r="D36" s="76">
        <f>GETPIVOTDATA("Soma de mdtr total",$A$3)/GETPIVOTDATA("Soma de cota total",$A$3)</f>
        <v>0.6086786948348748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CAMPANHA REBATE</vt:lpstr>
      <vt:lpstr>BASE 600</vt:lpstr>
      <vt:lpstr>RESUMO</vt:lpstr>
      <vt:lpstr>HYMPAR</vt:lpstr>
      <vt:lpstr>Dinâmica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Cabral Neto</dc:creator>
  <cp:lastModifiedBy>Jose Cabral Neto</cp:lastModifiedBy>
  <dcterms:created xsi:type="dcterms:W3CDTF">2026-10-05T11:09:15Z</dcterms:created>
  <dcterms:modified xsi:type="dcterms:W3CDTF">2026-10-23T10:48:54Z</dcterms:modified>
</cp:coreProperties>
</file>
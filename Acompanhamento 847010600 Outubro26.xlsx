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hypermarcas-my.sharepoint.com/personal/jose_cabral_hypera_com_br/Documents/Documentos/Aula IA/"/>
    </mc:Choice>
  </mc:AlternateContent>
  <xr:revisionPtr revIDLastSave="0" documentId="8_{48498E39-6B3F-437C-B0DC-1F28E340F905}" xr6:coauthVersionLast="47" xr6:coauthVersionMax="47" xr10:uidLastSave="{00000000-0000-0000-0000-000000000000}"/>
  <bookViews>
    <workbookView xWindow="-110" yWindow="-110" windowWidth="19420" windowHeight="10300" xr2:uid="{B95500C0-538B-4397-A33D-DAF8FB36ADE9}"/>
  </bookViews>
  <sheets>
    <sheet name="BASE 600" sheetId="1" r:id="rId1"/>
    <sheet name="RESUMO" sheetId="2" r:id="rId2"/>
    <sheet name="HYMPAR" sheetId="3" r:id="rId3"/>
  </sheets>
  <externalReferences>
    <externalReference r:id="rId4"/>
    <externalReference r:id="rId5"/>
  </externalReferences>
  <definedNames>
    <definedName name="_xlnm._FilterDatabase" localSheetId="0" hidden="1">'BASE 600'!$A$1:$U$1098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2" i="1"/>
  <c r="G10" i="3"/>
  <c r="F10" i="3"/>
  <c r="H10" i="3" s="1"/>
  <c r="B10" i="3"/>
  <c r="E47" i="2"/>
  <c r="C47" i="2"/>
  <c r="B47" i="2"/>
  <c r="G46" i="2"/>
  <c r="G45" i="2"/>
  <c r="G44" i="2"/>
  <c r="G43" i="2"/>
  <c r="G42" i="2"/>
  <c r="G41" i="2"/>
  <c r="G40" i="2"/>
  <c r="G39" i="2"/>
  <c r="I35" i="2"/>
  <c r="H35" i="2"/>
  <c r="E35" i="2"/>
  <c r="C35" i="2"/>
  <c r="B35" i="2"/>
  <c r="G34" i="2"/>
  <c r="G33" i="2"/>
  <c r="G32" i="2"/>
  <c r="G31" i="2"/>
  <c r="G30" i="2"/>
  <c r="G29" i="2"/>
  <c r="G28" i="2"/>
  <c r="G27" i="2"/>
  <c r="F47" i="2" l="1"/>
  <c r="G47" i="2"/>
  <c r="D47" i="2"/>
  <c r="D35" i="2"/>
  <c r="F35" i="2"/>
  <c r="G35" i="2"/>
  <c r="C10" i="3"/>
  <c r="D10" i="3" s="1"/>
  <c r="I9" i="3"/>
  <c r="E9" i="3"/>
  <c r="I8" i="3"/>
  <c r="E8" i="3"/>
  <c r="I7" i="3"/>
  <c r="E7" i="3"/>
  <c r="I6" i="3"/>
  <c r="E6" i="3"/>
  <c r="I5" i="3"/>
  <c r="E5" i="3"/>
  <c r="I4" i="3"/>
  <c r="E4" i="3"/>
  <c r="I3" i="3"/>
  <c r="E3" i="3"/>
  <c r="I2" i="3"/>
  <c r="E2" i="3"/>
  <c r="E23" i="2"/>
  <c r="C23" i="2"/>
  <c r="B23" i="2"/>
  <c r="G22" i="2"/>
  <c r="G21" i="2"/>
  <c r="G20" i="2"/>
  <c r="G19" i="2"/>
  <c r="G18" i="2"/>
  <c r="G17" i="2"/>
  <c r="G16" i="2"/>
  <c r="G15" i="2"/>
  <c r="H11" i="2"/>
  <c r="E11" i="2"/>
  <c r="C11" i="2"/>
  <c r="B11" i="2"/>
  <c r="I10" i="2"/>
  <c r="J10" i="2" s="1"/>
  <c r="G10" i="2"/>
  <c r="I9" i="2"/>
  <c r="J9" i="2" s="1"/>
  <c r="G9" i="2"/>
  <c r="I8" i="2"/>
  <c r="J8" i="2" s="1"/>
  <c r="G8" i="2"/>
  <c r="I7" i="2"/>
  <c r="J7" i="2" s="1"/>
  <c r="G7" i="2"/>
  <c r="I6" i="2"/>
  <c r="J6" i="2" s="1"/>
  <c r="G6" i="2"/>
  <c r="I5" i="2"/>
  <c r="J5" i="2" s="1"/>
  <c r="G5" i="2"/>
  <c r="I4" i="2"/>
  <c r="J4" i="2" s="1"/>
  <c r="G4" i="2"/>
  <c r="I3" i="2"/>
  <c r="J3" i="2" s="1"/>
  <c r="G3" i="2"/>
  <c r="E10" i="3" l="1"/>
  <c r="I10" i="3"/>
  <c r="F23" i="2"/>
  <c r="D11" i="2"/>
  <c r="G23" i="2"/>
  <c r="I11" i="2"/>
  <c r="J11" i="2" s="1"/>
  <c r="G11" i="2"/>
  <c r="L166" i="1"/>
  <c r="L86" i="1"/>
  <c r="L408" i="1"/>
  <c r="L288" i="1"/>
  <c r="L256" i="1"/>
  <c r="L240" i="1"/>
  <c r="L224" i="1"/>
  <c r="L208" i="1"/>
  <c r="L184" i="1"/>
  <c r="L176" i="1"/>
  <c r="L104" i="1"/>
  <c r="N88" i="1"/>
  <c r="N80" i="1"/>
  <c r="N56" i="1"/>
  <c r="N40" i="1"/>
  <c r="N32" i="1"/>
  <c r="N24" i="1"/>
  <c r="L69" i="1"/>
  <c r="L61" i="1"/>
  <c r="L299" i="1"/>
  <c r="L267" i="1"/>
  <c r="L51" i="1"/>
  <c r="N29" i="1"/>
  <c r="N5" i="1"/>
  <c r="L369" i="1"/>
  <c r="L1087" i="1"/>
  <c r="L1063" i="1"/>
  <c r="L999" i="1"/>
  <c r="L991" i="1"/>
  <c r="L967" i="1"/>
  <c r="L959" i="1"/>
  <c r="L935" i="1"/>
  <c r="L310" i="1"/>
  <c r="L919" i="1"/>
  <c r="L911" i="1"/>
  <c r="L903" i="1"/>
  <c r="L895" i="1"/>
  <c r="L871" i="1"/>
  <c r="L863" i="1"/>
  <c r="L855" i="1"/>
  <c r="L847" i="1"/>
  <c r="L839" i="1"/>
  <c r="L831" i="1"/>
  <c r="L807" i="1"/>
  <c r="L799" i="1"/>
  <c r="L791" i="1"/>
  <c r="L783" i="1"/>
  <c r="L775" i="1"/>
  <c r="L767" i="1"/>
  <c r="L743" i="1"/>
  <c r="L735" i="1"/>
  <c r="L727" i="1"/>
  <c r="L719" i="1"/>
  <c r="L711" i="1"/>
  <c r="L703" i="1"/>
  <c r="L679" i="1"/>
  <c r="L671" i="1"/>
  <c r="L663" i="1"/>
  <c r="L655" i="1"/>
  <c r="L647" i="1"/>
  <c r="L639" i="1"/>
  <c r="L615" i="1"/>
  <c r="L607" i="1"/>
  <c r="L599" i="1"/>
  <c r="L591" i="1"/>
  <c r="L583" i="1"/>
  <c r="L575" i="1"/>
  <c r="L551" i="1"/>
  <c r="L543" i="1"/>
  <c r="L535" i="1"/>
  <c r="L527" i="1"/>
  <c r="L519" i="1"/>
  <c r="L511" i="1"/>
  <c r="L514" i="1"/>
  <c r="L479" i="1"/>
  <c r="L471" i="1"/>
  <c r="L463" i="1"/>
  <c r="L455" i="1"/>
  <c r="L447" i="1"/>
  <c r="L423" i="1"/>
  <c r="L415" i="1"/>
  <c r="L407" i="1"/>
  <c r="L399" i="1"/>
  <c r="L391" i="1"/>
  <c r="L383" i="1"/>
  <c r="L359" i="1"/>
  <c r="L351" i="1"/>
  <c r="L343" i="1"/>
  <c r="L335" i="1"/>
  <c r="L311" i="1"/>
  <c r="L303" i="1"/>
  <c r="L366" i="1"/>
  <c r="L279" i="1"/>
  <c r="L271" i="1"/>
  <c r="L247" i="1"/>
  <c r="L239" i="1"/>
  <c r="L231" i="1"/>
  <c r="L215" i="1"/>
  <c r="L207" i="1"/>
  <c r="L199" i="1"/>
  <c r="L183" i="1"/>
  <c r="L175" i="1"/>
  <c r="L167" i="1"/>
  <c r="L151" i="1"/>
  <c r="L143" i="1"/>
  <c r="L241" i="1"/>
  <c r="L71" i="1"/>
  <c r="L23" i="1"/>
  <c r="L7" i="1"/>
  <c r="L1086" i="1"/>
  <c r="L1070" i="1"/>
  <c r="L1054" i="1"/>
  <c r="L1038" i="1"/>
  <c r="L638" i="1"/>
  <c r="L590" i="1"/>
  <c r="L582" i="1"/>
  <c r="L534" i="1"/>
  <c r="L198" i="1"/>
  <c r="L158" i="1"/>
  <c r="L142" i="1"/>
  <c r="L110" i="1"/>
  <c r="L78" i="1"/>
  <c r="L6" i="1"/>
  <c r="L1094" i="1"/>
  <c r="L1078" i="1"/>
  <c r="L1062" i="1"/>
  <c r="L1046" i="1"/>
  <c r="L1030" i="1"/>
  <c r="L630" i="1"/>
  <c r="L446" i="1"/>
  <c r="L564" i="1"/>
  <c r="L516" i="1"/>
  <c r="L460" i="1"/>
  <c r="L452" i="1"/>
  <c r="L428" i="1"/>
  <c r="L396" i="1"/>
  <c r="L388" i="1"/>
  <c r="L372" i="1"/>
  <c r="L748" i="1"/>
  <c r="L356" i="1"/>
  <c r="L340" i="1"/>
  <c r="L324" i="1"/>
  <c r="L308" i="1"/>
  <c r="L284" i="1"/>
  <c r="L268" i="1"/>
  <c r="L260" i="1"/>
  <c r="L188" i="1"/>
  <c r="L172" i="1"/>
  <c r="L156" i="1"/>
  <c r="L148" i="1"/>
  <c r="L132" i="1"/>
  <c r="L124" i="1"/>
  <c r="L116" i="1"/>
  <c r="L76" i="1"/>
  <c r="L68" i="1"/>
  <c r="L44" i="1"/>
  <c r="L20" i="1"/>
  <c r="D23" i="2"/>
  <c r="F11" i="2"/>
  <c r="N111" i="1"/>
  <c r="L111" i="1"/>
  <c r="N103" i="1"/>
  <c r="L103" i="1"/>
  <c r="N87" i="1"/>
  <c r="L87" i="1"/>
  <c r="N79" i="1"/>
  <c r="L79" i="1"/>
  <c r="N39" i="1"/>
  <c r="L39" i="1"/>
  <c r="L912" i="1"/>
  <c r="L816" i="1"/>
  <c r="L776" i="1"/>
  <c r="L736" i="1"/>
  <c r="L680" i="1"/>
  <c r="N21" i="1"/>
  <c r="L21" i="1"/>
  <c r="N254" i="1"/>
  <c r="L254" i="1"/>
  <c r="L1022" i="1"/>
  <c r="L220" i="1"/>
  <c r="L1006" i="1"/>
  <c r="L998" i="1"/>
  <c r="L990" i="1"/>
  <c r="L982" i="1"/>
  <c r="L974" i="1"/>
  <c r="L966" i="1"/>
  <c r="L958" i="1"/>
  <c r="L194" i="1"/>
  <c r="L942" i="1"/>
  <c r="L934" i="1"/>
  <c r="L926" i="1"/>
  <c r="L918" i="1"/>
  <c r="L910" i="1"/>
  <c r="L902" i="1"/>
  <c r="L894" i="1"/>
  <c r="L886" i="1"/>
  <c r="L878" i="1"/>
  <c r="L870" i="1"/>
  <c r="L862" i="1"/>
  <c r="L854" i="1"/>
  <c r="L846" i="1"/>
  <c r="L838" i="1"/>
  <c r="L830" i="1"/>
  <c r="L822" i="1"/>
  <c r="L814" i="1"/>
  <c r="L806" i="1"/>
  <c r="L798" i="1"/>
  <c r="L790" i="1"/>
  <c r="L782" i="1"/>
  <c r="L774" i="1"/>
  <c r="L766" i="1"/>
  <c r="L758" i="1"/>
  <c r="L750" i="1"/>
  <c r="L742" i="1"/>
  <c r="L734" i="1"/>
  <c r="L726" i="1"/>
  <c r="L718" i="1"/>
  <c r="L710" i="1"/>
  <c r="L1093" i="1"/>
  <c r="L1085" i="1"/>
  <c r="L1077" i="1"/>
  <c r="L1069" i="1"/>
  <c r="L1061" i="1"/>
  <c r="L1053" i="1"/>
  <c r="L1045" i="1"/>
  <c r="L1037" i="1"/>
  <c r="L1029" i="1"/>
  <c r="L1021" i="1"/>
  <c r="L1013" i="1"/>
  <c r="L1005" i="1"/>
  <c r="L997" i="1"/>
  <c r="L989" i="1"/>
  <c r="L981" i="1"/>
  <c r="L973" i="1"/>
  <c r="L965" i="1"/>
  <c r="L957" i="1"/>
  <c r="L949" i="1"/>
  <c r="L941" i="1"/>
  <c r="L933" i="1"/>
  <c r="L925" i="1"/>
  <c r="L917" i="1"/>
  <c r="L909" i="1"/>
  <c r="L901" i="1"/>
  <c r="L1014" i="1"/>
  <c r="L885" i="1"/>
  <c r="L877" i="1"/>
  <c r="L869" i="1"/>
  <c r="L861" i="1"/>
  <c r="L853" i="1"/>
  <c r="L845" i="1"/>
  <c r="L837" i="1"/>
  <c r="L829" i="1"/>
  <c r="L821" i="1"/>
  <c r="L813" i="1"/>
  <c r="L805" i="1"/>
  <c r="L797" i="1"/>
  <c r="L789" i="1"/>
  <c r="L781" i="1"/>
  <c r="L773" i="1"/>
  <c r="L765" i="1"/>
  <c r="L757" i="1"/>
  <c r="L749" i="1"/>
  <c r="L741" i="1"/>
  <c r="L733" i="1"/>
  <c r="L725" i="1"/>
  <c r="L929" i="1"/>
  <c r="L709" i="1"/>
  <c r="L701" i="1"/>
  <c r="L693" i="1"/>
  <c r="L685" i="1"/>
  <c r="L525" i="1"/>
  <c r="L501" i="1"/>
  <c r="L461" i="1"/>
  <c r="L325" i="1"/>
  <c r="L1076" i="1"/>
  <c r="L940" i="1"/>
  <c r="L844" i="1"/>
  <c r="L2" i="1"/>
  <c r="L1091" i="1"/>
  <c r="L1083" i="1"/>
  <c r="L1075" i="1"/>
  <c r="L1067" i="1"/>
  <c r="L108" i="1"/>
  <c r="L1051" i="1"/>
  <c r="L1043" i="1"/>
  <c r="L1035" i="1"/>
  <c r="L1027" i="1"/>
  <c r="L1019" i="1"/>
  <c r="L1011" i="1"/>
  <c r="L1003" i="1"/>
  <c r="L995" i="1"/>
  <c r="L987" i="1"/>
  <c r="L979" i="1"/>
  <c r="L971" i="1"/>
  <c r="L963" i="1"/>
  <c r="L955" i="1"/>
  <c r="L947" i="1"/>
  <c r="L939" i="1"/>
  <c r="L931" i="1"/>
  <c r="L923" i="1"/>
  <c r="L915" i="1"/>
  <c r="L907" i="1"/>
  <c r="L899" i="1"/>
  <c r="L1098" i="1"/>
  <c r="L1090" i="1"/>
  <c r="L1082" i="1"/>
  <c r="L1074" i="1"/>
  <c r="L1066" i="1"/>
  <c r="L1058" i="1"/>
  <c r="L1050" i="1"/>
  <c r="L1042" i="1"/>
  <c r="L1034" i="1"/>
  <c r="L1026" i="1"/>
  <c r="L1018" i="1"/>
  <c r="L1010" i="1"/>
  <c r="L1002" i="1"/>
  <c r="L994" i="1"/>
  <c r="L986" i="1"/>
  <c r="L978" i="1"/>
  <c r="L970" i="1"/>
  <c r="L962" i="1"/>
  <c r="L954" i="1"/>
  <c r="L946" i="1"/>
  <c r="L938" i="1"/>
  <c r="L930" i="1"/>
  <c r="L922" i="1"/>
  <c r="L914" i="1"/>
  <c r="L906" i="1"/>
  <c r="L898" i="1"/>
  <c r="L890" i="1"/>
  <c r="L882" i="1"/>
  <c r="L874" i="1"/>
  <c r="L866" i="1"/>
  <c r="L858" i="1"/>
  <c r="L850" i="1"/>
  <c r="L842" i="1"/>
  <c r="L834" i="1"/>
  <c r="L826" i="1"/>
  <c r="L818" i="1"/>
  <c r="L810" i="1"/>
  <c r="L802" i="1"/>
  <c r="L552" i="1"/>
  <c r="L786" i="1"/>
  <c r="L778" i="1"/>
  <c r="L770" i="1"/>
  <c r="L762" i="1"/>
  <c r="L754" i="1"/>
  <c r="L746" i="1"/>
  <c r="L738" i="1"/>
  <c r="L730" i="1"/>
  <c r="L722" i="1"/>
  <c r="L714" i="1"/>
  <c r="L706" i="1"/>
  <c r="L698" i="1"/>
  <c r="L690" i="1"/>
  <c r="L682" i="1"/>
  <c r="L674" i="1"/>
  <c r="L666" i="1"/>
  <c r="L658" i="1"/>
  <c r="L554" i="1"/>
  <c r="L282" i="1"/>
  <c r="L300" i="1"/>
  <c r="L122" i="1"/>
  <c r="L1057" i="1"/>
  <c r="L1049" i="1"/>
  <c r="L1017" i="1"/>
  <c r="L977" i="1"/>
  <c r="L953" i="1"/>
  <c r="L881" i="1"/>
  <c r="L745" i="1"/>
  <c r="N16" i="1"/>
  <c r="L16" i="1"/>
  <c r="L1097" i="1"/>
  <c r="L1089" i="1"/>
  <c r="L1081" i="1"/>
  <c r="L1073" i="1"/>
  <c r="L1065" i="1"/>
  <c r="L1041" i="1"/>
  <c r="L1033" i="1"/>
  <c r="L1025" i="1"/>
  <c r="L1009" i="1"/>
  <c r="L1001" i="1"/>
  <c r="L993" i="1"/>
  <c r="L985" i="1"/>
  <c r="L969" i="1"/>
  <c r="L961" i="1"/>
  <c r="L945" i="1"/>
  <c r="L937" i="1"/>
  <c r="L73" i="1"/>
  <c r="L1059" i="1"/>
  <c r="L913" i="1"/>
  <c r="L905" i="1"/>
  <c r="L897" i="1"/>
  <c r="L889" i="1"/>
  <c r="L873" i="1"/>
  <c r="L865" i="1"/>
  <c r="L857" i="1"/>
  <c r="L849" i="1"/>
  <c r="L841" i="1"/>
  <c r="L833" i="1"/>
  <c r="L825" i="1"/>
  <c r="L817" i="1"/>
  <c r="L809" i="1"/>
  <c r="L801" i="1"/>
  <c r="L793" i="1"/>
  <c r="L785" i="1"/>
  <c r="L777" i="1"/>
  <c r="L769" i="1"/>
  <c r="L761" i="1"/>
  <c r="L753" i="1"/>
  <c r="L737" i="1"/>
  <c r="L729" i="1"/>
  <c r="L721" i="1"/>
  <c r="L713" i="1"/>
  <c r="L705" i="1"/>
  <c r="L697" i="1"/>
  <c r="L689" i="1"/>
  <c r="L681" i="1"/>
  <c r="L673" i="1"/>
  <c r="L665" i="1"/>
  <c r="L657" i="1"/>
  <c r="L649" i="1"/>
  <c r="L641" i="1"/>
  <c r="L633" i="1"/>
  <c r="L625" i="1"/>
  <c r="L617" i="1"/>
  <c r="L609" i="1"/>
  <c r="L601" i="1"/>
  <c r="L593" i="1"/>
  <c r="L585" i="1"/>
  <c r="L577" i="1"/>
  <c r="L921" i="1"/>
  <c r="L561" i="1"/>
  <c r="L553" i="1"/>
  <c r="L545" i="1"/>
  <c r="L537" i="1"/>
  <c r="L529" i="1"/>
  <c r="L521" i="1"/>
  <c r="L513" i="1"/>
  <c r="L505" i="1"/>
  <c r="L497" i="1"/>
  <c r="L489" i="1"/>
  <c r="L481" i="1"/>
  <c r="L473" i="1"/>
  <c r="L465" i="1"/>
  <c r="L457" i="1"/>
  <c r="L449" i="1"/>
  <c r="L441" i="1"/>
  <c r="L433" i="1"/>
  <c r="L425" i="1"/>
  <c r="L417" i="1"/>
  <c r="L409" i="1"/>
  <c r="L401" i="1"/>
  <c r="L393" i="1"/>
  <c r="L385" i="1"/>
  <c r="L377" i="1"/>
  <c r="N31" i="1"/>
  <c r="L31" i="1"/>
  <c r="N15" i="1"/>
  <c r="L15" i="1"/>
  <c r="L1096" i="1"/>
  <c r="L1088" i="1"/>
  <c r="L1080" i="1"/>
  <c r="L1072" i="1"/>
  <c r="L1064" i="1"/>
  <c r="L1056" i="1"/>
  <c r="L1048" i="1"/>
  <c r="L1040" i="1"/>
  <c r="L1032" i="1"/>
  <c r="L1024" i="1"/>
  <c r="L1016" i="1"/>
  <c r="L1008" i="1"/>
  <c r="L1000" i="1"/>
  <c r="L992" i="1"/>
  <c r="L984" i="1"/>
  <c r="L976" i="1"/>
  <c r="L968" i="1"/>
  <c r="L960" i="1"/>
  <c r="L952" i="1"/>
  <c r="L944" i="1"/>
  <c r="L936" i="1"/>
  <c r="L928" i="1"/>
  <c r="L920" i="1"/>
  <c r="L904" i="1"/>
  <c r="L896" i="1"/>
  <c r="L888" i="1"/>
  <c r="L880" i="1"/>
  <c r="L872" i="1"/>
  <c r="L864" i="1"/>
  <c r="L856" i="1"/>
  <c r="L848" i="1"/>
  <c r="L840" i="1"/>
  <c r="L832" i="1"/>
  <c r="L824" i="1"/>
  <c r="L808" i="1"/>
  <c r="L800" i="1"/>
  <c r="L792" i="1"/>
  <c r="L784" i="1"/>
  <c r="L768" i="1"/>
  <c r="L760" i="1"/>
  <c r="L752" i="1"/>
  <c r="L744" i="1"/>
  <c r="L728" i="1"/>
  <c r="L720" i="1"/>
  <c r="L712" i="1"/>
  <c r="L704" i="1"/>
  <c r="L696" i="1"/>
  <c r="L688" i="1"/>
  <c r="L672" i="1"/>
  <c r="L664" i="1"/>
  <c r="L656" i="1"/>
  <c r="L648" i="1"/>
  <c r="L640" i="1"/>
  <c r="L632" i="1"/>
  <c r="L624" i="1"/>
  <c r="L616" i="1"/>
  <c r="L608" i="1"/>
  <c r="L600" i="1"/>
  <c r="L592" i="1"/>
  <c r="L584" i="1"/>
  <c r="L576" i="1"/>
  <c r="L568" i="1"/>
  <c r="L560" i="1"/>
  <c r="L99" i="1"/>
  <c r="L544" i="1"/>
  <c r="L536" i="1"/>
  <c r="L528" i="1"/>
  <c r="L520" i="1"/>
  <c r="L512" i="1"/>
  <c r="L504" i="1"/>
  <c r="L496" i="1"/>
  <c r="L28" i="1"/>
  <c r="L480" i="1"/>
  <c r="L472" i="1"/>
  <c r="L464" i="1"/>
  <c r="L456" i="1"/>
  <c r="L448" i="1"/>
  <c r="L440" i="1"/>
  <c r="L432" i="1"/>
  <c r="L424" i="1"/>
  <c r="L416" i="1"/>
  <c r="L400" i="1"/>
  <c r="L392" i="1"/>
  <c r="L384" i="1"/>
  <c r="L376" i="1"/>
  <c r="L368" i="1"/>
  <c r="L360" i="1"/>
  <c r="L352" i="1"/>
  <c r="L344" i="1"/>
  <c r="L336" i="1"/>
  <c r="L328" i="1"/>
  <c r="L320" i="1"/>
  <c r="L312" i="1"/>
  <c r="L304" i="1"/>
  <c r="L296" i="1"/>
  <c r="L280" i="1"/>
  <c r="L272" i="1"/>
  <c r="L168" i="1"/>
  <c r="L152" i="1"/>
  <c r="L144" i="1"/>
  <c r="L120" i="1"/>
  <c r="L80" i="1"/>
  <c r="L56" i="1"/>
  <c r="L32" i="1"/>
  <c r="L24" i="1"/>
  <c r="L1047" i="1"/>
  <c r="L1039" i="1"/>
  <c r="L702" i="1"/>
  <c r="L694" i="1"/>
  <c r="L686" i="1"/>
  <c r="L678" i="1"/>
  <c r="L670" i="1"/>
  <c r="L662" i="1"/>
  <c r="L654" i="1"/>
  <c r="L646" i="1"/>
  <c r="L622" i="1"/>
  <c r="L614" i="1"/>
  <c r="L606" i="1"/>
  <c r="L598" i="1"/>
  <c r="L574" i="1"/>
  <c r="L566" i="1"/>
  <c r="L558" i="1"/>
  <c r="L550" i="1"/>
  <c r="L542" i="1"/>
  <c r="L526" i="1"/>
  <c r="L518" i="1"/>
  <c r="L764" i="1"/>
  <c r="L502" i="1"/>
  <c r="L494" i="1"/>
  <c r="L486" i="1"/>
  <c r="L478" i="1"/>
  <c r="L470" i="1"/>
  <c r="L462" i="1"/>
  <c r="L454" i="1"/>
  <c r="L438" i="1"/>
  <c r="L430" i="1"/>
  <c r="L422" i="1"/>
  <c r="L414" i="1"/>
  <c r="L406" i="1"/>
  <c r="L398" i="1"/>
  <c r="L390" i="1"/>
  <c r="L382" i="1"/>
  <c r="L374" i="1"/>
  <c r="L510" i="1"/>
  <c r="L358" i="1"/>
  <c r="L350" i="1"/>
  <c r="L342" i="1"/>
  <c r="L334" i="1"/>
  <c r="L326" i="1"/>
  <c r="L318" i="1"/>
  <c r="L19" i="1"/>
  <c r="L302" i="1"/>
  <c r="L294" i="1"/>
  <c r="L286" i="1"/>
  <c r="L278" i="1"/>
  <c r="N1094" i="1"/>
  <c r="N1086" i="1"/>
  <c r="N1078" i="1"/>
  <c r="N1070" i="1"/>
  <c r="N1062" i="1"/>
  <c r="N1054" i="1"/>
  <c r="N1046" i="1"/>
  <c r="N1038" i="1"/>
  <c r="N1030" i="1"/>
  <c r="N1022" i="1"/>
  <c r="N220" i="1"/>
  <c r="N1006" i="1"/>
  <c r="N998" i="1"/>
  <c r="N990" i="1"/>
  <c r="N982" i="1"/>
  <c r="N974" i="1"/>
  <c r="N966" i="1"/>
  <c r="N958" i="1"/>
  <c r="N194" i="1"/>
  <c r="N942" i="1"/>
  <c r="N934" i="1"/>
  <c r="N926" i="1"/>
  <c r="N918" i="1"/>
  <c r="L677" i="1"/>
  <c r="L669" i="1"/>
  <c r="L661" i="1"/>
  <c r="L653" i="1"/>
  <c r="L645" i="1"/>
  <c r="L637" i="1"/>
  <c r="L629" i="1"/>
  <c r="L621" i="1"/>
  <c r="L613" i="1"/>
  <c r="L927" i="1"/>
  <c r="L597" i="1"/>
  <c r="L589" i="1"/>
  <c r="L581" i="1"/>
  <c r="L573" i="1"/>
  <c r="L565" i="1"/>
  <c r="L557" i="1"/>
  <c r="L549" i="1"/>
  <c r="L541" i="1"/>
  <c r="L533" i="1"/>
  <c r="L517" i="1"/>
  <c r="L509" i="1"/>
  <c r="L493" i="1"/>
  <c r="L485" i="1"/>
  <c r="L477" i="1"/>
  <c r="L469" i="1"/>
  <c r="L453" i="1"/>
  <c r="L445" i="1"/>
  <c r="L437" i="1"/>
  <c r="L429" i="1"/>
  <c r="L421" i="1"/>
  <c r="L413" i="1"/>
  <c r="L405" i="1"/>
  <c r="L397" i="1"/>
  <c r="L389" i="1"/>
  <c r="L381" i="1"/>
  <c r="L373" i="1"/>
  <c r="L365" i="1"/>
  <c r="L357" i="1"/>
  <c r="L349" i="1"/>
  <c r="L341" i="1"/>
  <c r="L333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41" i="1"/>
  <c r="L133" i="1"/>
  <c r="L125" i="1"/>
  <c r="L117" i="1"/>
  <c r="L109" i="1"/>
  <c r="L93" i="1"/>
  <c r="L53" i="1"/>
  <c r="L5" i="1"/>
  <c r="L1092" i="1"/>
  <c r="L1084" i="1"/>
  <c r="L1068" i="1"/>
  <c r="L1060" i="1"/>
  <c r="L1052" i="1"/>
  <c r="L1044" i="1"/>
  <c r="L1036" i="1"/>
  <c r="L1028" i="1"/>
  <c r="L1020" i="1"/>
  <c r="L1012" i="1"/>
  <c r="L1004" i="1"/>
  <c r="L996" i="1"/>
  <c r="L988" i="1"/>
  <c r="L980" i="1"/>
  <c r="L972" i="1"/>
  <c r="L964" i="1"/>
  <c r="L956" i="1"/>
  <c r="L948" i="1"/>
  <c r="L932" i="1"/>
  <c r="L924" i="1"/>
  <c r="L916" i="1"/>
  <c r="L908" i="1"/>
  <c r="L900" i="1"/>
  <c r="L892" i="1"/>
  <c r="L884" i="1"/>
  <c r="L876" i="1"/>
  <c r="L868" i="1"/>
  <c r="L860" i="1"/>
  <c r="L852" i="1"/>
  <c r="L836" i="1"/>
  <c r="L828" i="1"/>
  <c r="L820" i="1"/>
  <c r="L812" i="1"/>
  <c r="L804" i="1"/>
  <c r="L796" i="1"/>
  <c r="L788" i="1"/>
  <c r="L780" i="1"/>
  <c r="L772" i="1"/>
  <c r="L539" i="1"/>
  <c r="L756" i="1"/>
  <c r="L950" i="1"/>
  <c r="L740" i="1"/>
  <c r="L732" i="1"/>
  <c r="L724" i="1"/>
  <c r="L716" i="1"/>
  <c r="L708" i="1"/>
  <c r="L700" i="1"/>
  <c r="L692" i="1"/>
  <c r="L684" i="1"/>
  <c r="L676" i="1"/>
  <c r="L668" i="1"/>
  <c r="L660" i="1"/>
  <c r="L652" i="1"/>
  <c r="L644" i="1"/>
  <c r="L636" i="1"/>
  <c r="L628" i="1"/>
  <c r="L620" i="1"/>
  <c r="L612" i="1"/>
  <c r="L588" i="1"/>
  <c r="L548" i="1"/>
  <c r="L891" i="1"/>
  <c r="L883" i="1"/>
  <c r="L875" i="1"/>
  <c r="L867" i="1"/>
  <c r="L859" i="1"/>
  <c r="L851" i="1"/>
  <c r="L843" i="1"/>
  <c r="L835" i="1"/>
  <c r="L827" i="1"/>
  <c r="L819" i="1"/>
  <c r="L811" i="1"/>
  <c r="L803" i="1"/>
  <c r="L795" i="1"/>
  <c r="L787" i="1"/>
  <c r="L779" i="1"/>
  <c r="L771" i="1"/>
  <c r="L763" i="1"/>
  <c r="L755" i="1"/>
  <c r="L747" i="1"/>
  <c r="L739" i="1"/>
  <c r="L731" i="1"/>
  <c r="L723" i="1"/>
  <c r="L715" i="1"/>
  <c r="L707" i="1"/>
  <c r="L699" i="1"/>
  <c r="L691" i="1"/>
  <c r="L683" i="1"/>
  <c r="L675" i="1"/>
  <c r="L667" i="1"/>
  <c r="L659" i="1"/>
  <c r="L651" i="1"/>
  <c r="L643" i="1"/>
  <c r="L635" i="1"/>
  <c r="L627" i="1"/>
  <c r="L619" i="1"/>
  <c r="L611" i="1"/>
  <c r="L603" i="1"/>
  <c r="L595" i="1"/>
  <c r="L587" i="1"/>
  <c r="L579" i="1"/>
  <c r="L571" i="1"/>
  <c r="L563" i="1"/>
  <c r="L555" i="1"/>
  <c r="L547" i="1"/>
  <c r="L893" i="1"/>
  <c r="L531" i="1"/>
  <c r="L523" i="1"/>
  <c r="L515" i="1"/>
  <c r="L507" i="1"/>
  <c r="L499" i="1"/>
  <c r="L491" i="1"/>
  <c r="L483" i="1"/>
  <c r="L475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23" i="1"/>
  <c r="L315" i="1"/>
  <c r="L115" i="1"/>
  <c r="L67" i="1"/>
  <c r="N2" i="1"/>
  <c r="N1091" i="1"/>
  <c r="N1083" i="1"/>
  <c r="N1075" i="1"/>
  <c r="N1067" i="1"/>
  <c r="L650" i="1"/>
  <c r="L642" i="1"/>
  <c r="L634" i="1"/>
  <c r="L626" i="1"/>
  <c r="L618" i="1"/>
  <c r="L610" i="1"/>
  <c r="L602" i="1"/>
  <c r="L594" i="1"/>
  <c r="L586" i="1"/>
  <c r="L578" i="1"/>
  <c r="L570" i="1"/>
  <c r="L562" i="1"/>
  <c r="L546" i="1"/>
  <c r="L538" i="1"/>
  <c r="L530" i="1"/>
  <c r="L522" i="1"/>
  <c r="L794" i="1"/>
  <c r="L506" i="1"/>
  <c r="L498" i="1"/>
  <c r="L490" i="1"/>
  <c r="L482" i="1"/>
  <c r="L474" i="1"/>
  <c r="L466" i="1"/>
  <c r="L458" i="1"/>
  <c r="L450" i="1"/>
  <c r="L442" i="1"/>
  <c r="L434" i="1"/>
  <c r="L426" i="1"/>
  <c r="L418" i="1"/>
  <c r="L410" i="1"/>
  <c r="L402" i="1"/>
  <c r="L394" i="1"/>
  <c r="L386" i="1"/>
  <c r="L378" i="1"/>
  <c r="L370" i="1"/>
  <c r="L362" i="1"/>
  <c r="L354" i="1"/>
  <c r="L346" i="1"/>
  <c r="L338" i="1"/>
  <c r="L330" i="1"/>
  <c r="L322" i="1"/>
  <c r="L314" i="1"/>
  <c r="L306" i="1"/>
  <c r="L298" i="1"/>
  <c r="L290" i="1"/>
  <c r="L274" i="1"/>
  <c r="L266" i="1"/>
  <c r="L258" i="1"/>
  <c r="L250" i="1"/>
  <c r="L242" i="1"/>
  <c r="L234" i="1"/>
  <c r="L226" i="1"/>
  <c r="L218" i="1"/>
  <c r="L210" i="1"/>
  <c r="L202" i="1"/>
  <c r="L186" i="1"/>
  <c r="L178" i="1"/>
  <c r="L170" i="1"/>
  <c r="L162" i="1"/>
  <c r="L154" i="1"/>
  <c r="L146" i="1"/>
  <c r="L138" i="1"/>
  <c r="L130" i="1"/>
  <c r="L114" i="1"/>
  <c r="L106" i="1"/>
  <c r="L98" i="1"/>
  <c r="L90" i="1"/>
  <c r="L82" i="1"/>
  <c r="L74" i="1"/>
  <c r="L66" i="1"/>
  <c r="L58" i="1"/>
  <c r="L50" i="1"/>
  <c r="L42" i="1"/>
  <c r="L34" i="1"/>
  <c r="L26" i="1"/>
  <c r="L18" i="1"/>
  <c r="L10" i="1"/>
  <c r="L355" i="1"/>
  <c r="L347" i="1"/>
  <c r="L339" i="1"/>
  <c r="L331" i="1"/>
  <c r="L307" i="1"/>
  <c r="L291" i="1"/>
  <c r="L283" i="1"/>
  <c r="L275" i="1"/>
  <c r="L259" i="1"/>
  <c r="L251" i="1"/>
  <c r="L243" i="1"/>
  <c r="L235" i="1"/>
  <c r="L227" i="1"/>
  <c r="L219" i="1"/>
  <c r="L211" i="1"/>
  <c r="L203" i="1"/>
  <c r="L195" i="1"/>
  <c r="L187" i="1"/>
  <c r="L179" i="1"/>
  <c r="L171" i="1"/>
  <c r="L163" i="1"/>
  <c r="L155" i="1"/>
  <c r="L147" i="1"/>
  <c r="L139" i="1"/>
  <c r="L131" i="1"/>
  <c r="L123" i="1"/>
  <c r="L107" i="1"/>
  <c r="L488" i="1"/>
  <c r="L91" i="1"/>
  <c r="L83" i="1"/>
  <c r="L75" i="1"/>
  <c r="L59" i="1"/>
  <c r="L43" i="1"/>
  <c r="L35" i="1"/>
  <c r="L27" i="1"/>
  <c r="L487" i="1"/>
  <c r="L11" i="1"/>
  <c r="L3" i="1"/>
  <c r="N1096" i="1"/>
  <c r="N1088" i="1"/>
  <c r="N1080" i="1"/>
  <c r="N1072" i="1"/>
  <c r="N1064" i="1"/>
  <c r="N1056" i="1"/>
  <c r="N1048" i="1"/>
  <c r="N1040" i="1"/>
  <c r="N1032" i="1"/>
  <c r="N1024" i="1"/>
  <c r="N1016" i="1"/>
  <c r="N1008" i="1"/>
  <c r="N1000" i="1"/>
  <c r="L361" i="1"/>
  <c r="L353" i="1"/>
  <c r="L345" i="1"/>
  <c r="L337" i="1"/>
  <c r="L329" i="1"/>
  <c r="L321" i="1"/>
  <c r="L313" i="1"/>
  <c r="L305" i="1"/>
  <c r="L297" i="1"/>
  <c r="L289" i="1"/>
  <c r="L281" i="1"/>
  <c r="L273" i="1"/>
  <c r="L265" i="1"/>
  <c r="L257" i="1"/>
  <c r="L249" i="1"/>
  <c r="L364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37" i="1"/>
  <c r="L129" i="1"/>
  <c r="L121" i="1"/>
  <c r="L113" i="1"/>
  <c r="L105" i="1"/>
  <c r="L97" i="1"/>
  <c r="L89" i="1"/>
  <c r="L81" i="1"/>
  <c r="L569" i="1"/>
  <c r="L65" i="1"/>
  <c r="L57" i="1"/>
  <c r="L49" i="1"/>
  <c r="L41" i="1"/>
  <c r="L33" i="1"/>
  <c r="L25" i="1"/>
  <c r="L17" i="1"/>
  <c r="L9" i="1"/>
  <c r="N910" i="1"/>
  <c r="N902" i="1"/>
  <c r="N894" i="1"/>
  <c r="N886" i="1"/>
  <c r="N878" i="1"/>
  <c r="N870" i="1"/>
  <c r="N862" i="1"/>
  <c r="N854" i="1"/>
  <c r="N846" i="1"/>
  <c r="N838" i="1"/>
  <c r="N830" i="1"/>
  <c r="N822" i="1"/>
  <c r="N814" i="1"/>
  <c r="N806" i="1"/>
  <c r="N798" i="1"/>
  <c r="N790" i="1"/>
  <c r="N782" i="1"/>
  <c r="N774" i="1"/>
  <c r="N766" i="1"/>
  <c r="N758" i="1"/>
  <c r="L1095" i="1"/>
  <c r="L1079" i="1"/>
  <c r="L1071" i="1"/>
  <c r="L1055" i="1"/>
  <c r="L1031" i="1"/>
  <c r="L1023" i="1"/>
  <c r="L1015" i="1"/>
  <c r="L1007" i="1"/>
  <c r="L983" i="1"/>
  <c r="L975" i="1"/>
  <c r="L951" i="1"/>
  <c r="L943" i="1"/>
  <c r="L887" i="1"/>
  <c r="L879" i="1"/>
  <c r="L823" i="1"/>
  <c r="L815" i="1"/>
  <c r="L759" i="1"/>
  <c r="L751" i="1"/>
  <c r="L695" i="1"/>
  <c r="L687" i="1"/>
  <c r="L631" i="1"/>
  <c r="L623" i="1"/>
  <c r="L567" i="1"/>
  <c r="L559" i="1"/>
  <c r="L503" i="1"/>
  <c r="L495" i="1"/>
  <c r="L439" i="1"/>
  <c r="L431" i="1"/>
  <c r="L375" i="1"/>
  <c r="L367" i="1"/>
  <c r="L327" i="1"/>
  <c r="L295" i="1"/>
  <c r="L263" i="1"/>
  <c r="L223" i="1"/>
  <c r="L159" i="1"/>
  <c r="L119" i="1"/>
  <c r="L95" i="1"/>
  <c r="L47" i="1"/>
  <c r="L270" i="1"/>
  <c r="L262" i="1"/>
  <c r="L717" i="1"/>
  <c r="L246" i="1"/>
  <c r="L238" i="1"/>
  <c r="L230" i="1"/>
  <c r="L222" i="1"/>
  <c r="L214" i="1"/>
  <c r="L206" i="1"/>
  <c r="L190" i="1"/>
  <c r="L182" i="1"/>
  <c r="L174" i="1"/>
  <c r="L150" i="1"/>
  <c r="L134" i="1"/>
  <c r="L126" i="1"/>
  <c r="L118" i="1"/>
  <c r="L102" i="1"/>
  <c r="L94" i="1"/>
  <c r="L70" i="1"/>
  <c r="L62" i="1"/>
  <c r="L54" i="1"/>
  <c r="L46" i="1"/>
  <c r="L38" i="1"/>
  <c r="L30" i="1"/>
  <c r="L22" i="1"/>
  <c r="L14" i="1"/>
  <c r="N108" i="1"/>
  <c r="N1051" i="1"/>
  <c r="N1043" i="1"/>
  <c r="N1035" i="1"/>
  <c r="N1027" i="1"/>
  <c r="N1019" i="1"/>
  <c r="N1011" i="1"/>
  <c r="N1003" i="1"/>
  <c r="N995" i="1"/>
  <c r="N987" i="1"/>
  <c r="N979" i="1"/>
  <c r="N971" i="1"/>
  <c r="N963" i="1"/>
  <c r="N955" i="1"/>
  <c r="N947" i="1"/>
  <c r="N939" i="1"/>
  <c r="N931" i="1"/>
  <c r="N923" i="1"/>
  <c r="N915" i="1"/>
  <c r="L604" i="1"/>
  <c r="L596" i="1"/>
  <c r="L580" i="1"/>
  <c r="L572" i="1"/>
  <c r="L556" i="1"/>
  <c r="L540" i="1"/>
  <c r="L524" i="1"/>
  <c r="L500" i="1"/>
  <c r="L492" i="1"/>
  <c r="L484" i="1"/>
  <c r="L436" i="1"/>
  <c r="L420" i="1"/>
  <c r="L252" i="1"/>
  <c r="L236" i="1"/>
  <c r="L605" i="1"/>
  <c r="L204" i="1"/>
  <c r="L532" i="1"/>
  <c r="L508" i="1"/>
  <c r="L476" i="1"/>
  <c r="L468" i="1"/>
  <c r="L444" i="1"/>
  <c r="L412" i="1"/>
  <c r="L404" i="1"/>
  <c r="L380" i="1"/>
  <c r="L348" i="1"/>
  <c r="L332" i="1"/>
  <c r="L316" i="1"/>
  <c r="L13" i="1"/>
  <c r="L292" i="1"/>
  <c r="L276" i="1"/>
  <c r="L244" i="1"/>
  <c r="L228" i="1"/>
  <c r="L212" i="1"/>
  <c r="L196" i="1"/>
  <c r="L180" i="1"/>
  <c r="L164" i="1"/>
  <c r="L140" i="1"/>
  <c r="L135" i="1"/>
  <c r="L100" i="1"/>
  <c r="L92" i="1"/>
  <c r="L84" i="1"/>
  <c r="L60" i="1"/>
  <c r="L52" i="1"/>
  <c r="L36" i="1"/>
  <c r="L287" i="1"/>
  <c r="L12" i="1"/>
  <c r="L4" i="1"/>
  <c r="N992" i="1"/>
  <c r="N984" i="1"/>
  <c r="N976" i="1"/>
  <c r="N968" i="1"/>
  <c r="N960" i="1"/>
  <c r="N952" i="1"/>
  <c r="N944" i="1"/>
  <c r="N936" i="1"/>
  <c r="N928" i="1"/>
  <c r="N920" i="1"/>
  <c r="N912" i="1"/>
  <c r="N904" i="1"/>
  <c r="N896" i="1"/>
  <c r="N888" i="1"/>
  <c r="N880" i="1"/>
  <c r="N872" i="1"/>
  <c r="N864" i="1"/>
  <c r="N856" i="1"/>
  <c r="N848" i="1"/>
  <c r="N840" i="1"/>
  <c r="N1095" i="1"/>
  <c r="N1087" i="1"/>
  <c r="N1079" i="1"/>
  <c r="N1071" i="1"/>
  <c r="N1063" i="1"/>
  <c r="N1055" i="1"/>
  <c r="N1047" i="1"/>
  <c r="N1039" i="1"/>
  <c r="N1031" i="1"/>
  <c r="N1023" i="1"/>
  <c r="N1015" i="1"/>
  <c r="N1007" i="1"/>
  <c r="N999" i="1"/>
  <c r="N991" i="1"/>
  <c r="N983" i="1"/>
  <c r="N975" i="1"/>
  <c r="N967" i="1"/>
  <c r="N959" i="1"/>
  <c r="N951" i="1"/>
  <c r="N943" i="1"/>
  <c r="N935" i="1"/>
  <c r="N310" i="1"/>
  <c r="N919" i="1"/>
  <c r="N911" i="1"/>
  <c r="N750" i="1"/>
  <c r="N742" i="1"/>
  <c r="N734" i="1"/>
  <c r="N726" i="1"/>
  <c r="N718" i="1"/>
  <c r="N710" i="1"/>
  <c r="N702" i="1"/>
  <c r="N694" i="1"/>
  <c r="N686" i="1"/>
  <c r="N678" i="1"/>
  <c r="N670" i="1"/>
  <c r="N662" i="1"/>
  <c r="N654" i="1"/>
  <c r="N646" i="1"/>
  <c r="N638" i="1"/>
  <c r="N630" i="1"/>
  <c r="N622" i="1"/>
  <c r="N614" i="1"/>
  <c r="N606" i="1"/>
  <c r="N598" i="1"/>
  <c r="N590" i="1"/>
  <c r="N582" i="1"/>
  <c r="N574" i="1"/>
  <c r="N566" i="1"/>
  <c r="N558" i="1"/>
  <c r="N550" i="1"/>
  <c r="N542" i="1"/>
  <c r="N534" i="1"/>
  <c r="N526" i="1"/>
  <c r="N518" i="1"/>
  <c r="N764" i="1"/>
  <c r="N502" i="1"/>
  <c r="N494" i="1"/>
  <c r="N486" i="1"/>
  <c r="N478" i="1"/>
  <c r="N470" i="1"/>
  <c r="N462" i="1"/>
  <c r="N454" i="1"/>
  <c r="N446" i="1"/>
  <c r="N438" i="1"/>
  <c r="N430" i="1"/>
  <c r="N422" i="1"/>
  <c r="N414" i="1"/>
  <c r="N406" i="1"/>
  <c r="N398" i="1"/>
  <c r="N390" i="1"/>
  <c r="N382" i="1"/>
  <c r="N374" i="1"/>
  <c r="N510" i="1"/>
  <c r="N358" i="1"/>
  <c r="N350" i="1"/>
  <c r="N342" i="1"/>
  <c r="N334" i="1"/>
  <c r="N326" i="1"/>
  <c r="N318" i="1"/>
  <c r="N19" i="1"/>
  <c r="N302" i="1"/>
  <c r="N294" i="1"/>
  <c r="N286" i="1"/>
  <c r="N278" i="1"/>
  <c r="N270" i="1"/>
  <c r="N262" i="1"/>
  <c r="N717" i="1"/>
  <c r="N246" i="1"/>
  <c r="N238" i="1"/>
  <c r="N230" i="1"/>
  <c r="N222" i="1"/>
  <c r="N214" i="1"/>
  <c r="N206" i="1"/>
  <c r="N198" i="1"/>
  <c r="N190" i="1"/>
  <c r="N182" i="1"/>
  <c r="N174" i="1"/>
  <c r="N166" i="1"/>
  <c r="L264" i="1"/>
  <c r="L248" i="1"/>
  <c r="L232" i="1"/>
  <c r="L216" i="1"/>
  <c r="L200" i="1"/>
  <c r="L192" i="1"/>
  <c r="L160" i="1"/>
  <c r="L136" i="1"/>
  <c r="L128" i="1"/>
  <c r="L112" i="1"/>
  <c r="L96" i="1"/>
  <c r="L88" i="1"/>
  <c r="L72" i="1"/>
  <c r="L64" i="1"/>
  <c r="L48" i="1"/>
  <c r="L40" i="1"/>
  <c r="N1092" i="1"/>
  <c r="N1084" i="1"/>
  <c r="N1076" i="1"/>
  <c r="N1068" i="1"/>
  <c r="N1060" i="1"/>
  <c r="N1052" i="1"/>
  <c r="N1044" i="1"/>
  <c r="N1036" i="1"/>
  <c r="N1028" i="1"/>
  <c r="N1020" i="1"/>
  <c r="N1012" i="1"/>
  <c r="N1004" i="1"/>
  <c r="N996" i="1"/>
  <c r="N988" i="1"/>
  <c r="N980" i="1"/>
  <c r="N972" i="1"/>
  <c r="N964" i="1"/>
  <c r="N956" i="1"/>
  <c r="N948" i="1"/>
  <c r="N940" i="1"/>
  <c r="N932" i="1"/>
  <c r="N924" i="1"/>
  <c r="N916" i="1"/>
  <c r="N908" i="1"/>
  <c r="N900" i="1"/>
  <c r="N892" i="1"/>
  <c r="N884" i="1"/>
  <c r="N876" i="1"/>
  <c r="N868" i="1"/>
  <c r="N860" i="1"/>
  <c r="N852" i="1"/>
  <c r="N844" i="1"/>
  <c r="N836" i="1"/>
  <c r="N828" i="1"/>
  <c r="N820" i="1"/>
  <c r="N812" i="1"/>
  <c r="N804" i="1"/>
  <c r="N796" i="1"/>
  <c r="N788" i="1"/>
  <c r="N780" i="1"/>
  <c r="N772" i="1"/>
  <c r="N907" i="1"/>
  <c r="N899" i="1"/>
  <c r="N891" i="1"/>
  <c r="N883" i="1"/>
  <c r="N875" i="1"/>
  <c r="N867" i="1"/>
  <c r="N859" i="1"/>
  <c r="N851" i="1"/>
  <c r="N843" i="1"/>
  <c r="N835" i="1"/>
  <c r="N827" i="1"/>
  <c r="N819" i="1"/>
  <c r="N811" i="1"/>
  <c r="N803" i="1"/>
  <c r="N795" i="1"/>
  <c r="N787" i="1"/>
  <c r="N779" i="1"/>
  <c r="N771" i="1"/>
  <c r="N763" i="1"/>
  <c r="N755" i="1"/>
  <c r="L101" i="1"/>
  <c r="L85" i="1"/>
  <c r="L77" i="1"/>
  <c r="L45" i="1"/>
  <c r="L37" i="1"/>
  <c r="L29" i="1"/>
  <c r="L319" i="1"/>
  <c r="L255" i="1"/>
  <c r="L191" i="1"/>
  <c r="L127" i="1"/>
  <c r="L63" i="1"/>
  <c r="L55" i="1"/>
  <c r="N832" i="1"/>
  <c r="N824" i="1"/>
  <c r="N816" i="1"/>
  <c r="N808" i="1"/>
  <c r="N800" i="1"/>
  <c r="N792" i="1"/>
  <c r="N784" i="1"/>
  <c r="N776" i="1"/>
  <c r="N768" i="1"/>
  <c r="N760" i="1"/>
  <c r="N752" i="1"/>
  <c r="N744" i="1"/>
  <c r="N736" i="1"/>
  <c r="N728" i="1"/>
  <c r="N720" i="1"/>
  <c r="N712" i="1"/>
  <c r="N704" i="1"/>
  <c r="N696" i="1"/>
  <c r="N688" i="1"/>
  <c r="N680" i="1"/>
  <c r="N672" i="1"/>
  <c r="N664" i="1"/>
  <c r="N656" i="1"/>
  <c r="N648" i="1"/>
  <c r="N640" i="1"/>
  <c r="N632" i="1"/>
  <c r="N624" i="1"/>
  <c r="N616" i="1"/>
  <c r="N608" i="1"/>
  <c r="N600" i="1"/>
  <c r="N592" i="1"/>
  <c r="N584" i="1"/>
  <c r="N576" i="1"/>
  <c r="N568" i="1"/>
  <c r="N560" i="1"/>
  <c r="N99" i="1"/>
  <c r="N544" i="1"/>
  <c r="N536" i="1"/>
  <c r="N528" i="1"/>
  <c r="N520" i="1"/>
  <c r="N512" i="1"/>
  <c r="N504" i="1"/>
  <c r="N496" i="1"/>
  <c r="N28" i="1"/>
  <c r="N480" i="1"/>
  <c r="N472" i="1"/>
  <c r="N464" i="1"/>
  <c r="N456" i="1"/>
  <c r="N448" i="1"/>
  <c r="N440" i="1"/>
  <c r="N432" i="1"/>
  <c r="N424" i="1"/>
  <c r="N416" i="1"/>
  <c r="N408" i="1"/>
  <c r="N400" i="1"/>
  <c r="N392" i="1"/>
  <c r="N384" i="1"/>
  <c r="N376" i="1"/>
  <c r="N368" i="1"/>
  <c r="N360" i="1"/>
  <c r="N352" i="1"/>
  <c r="N344" i="1"/>
  <c r="N336" i="1"/>
  <c r="N328" i="1"/>
  <c r="N320" i="1"/>
  <c r="N312" i="1"/>
  <c r="N304" i="1"/>
  <c r="N296" i="1"/>
  <c r="N288" i="1"/>
  <c r="N280" i="1"/>
  <c r="N272" i="1"/>
  <c r="N264" i="1"/>
  <c r="N256" i="1"/>
  <c r="N248" i="1"/>
  <c r="N240" i="1"/>
  <c r="N232" i="1"/>
  <c r="N224" i="1"/>
  <c r="N903" i="1"/>
  <c r="N895" i="1"/>
  <c r="N887" i="1"/>
  <c r="N879" i="1"/>
  <c r="N871" i="1"/>
  <c r="N863" i="1"/>
  <c r="N855" i="1"/>
  <c r="N847" i="1"/>
  <c r="N839" i="1"/>
  <c r="N831" i="1"/>
  <c r="N823" i="1"/>
  <c r="N815" i="1"/>
  <c r="N807" i="1"/>
  <c r="N799" i="1"/>
  <c r="N791" i="1"/>
  <c r="N783" i="1"/>
  <c r="N775" i="1"/>
  <c r="N767" i="1"/>
  <c r="N759" i="1"/>
  <c r="N751" i="1"/>
  <c r="N743" i="1"/>
  <c r="N735" i="1"/>
  <c r="N727" i="1"/>
  <c r="N719" i="1"/>
  <c r="N711" i="1"/>
  <c r="N703" i="1"/>
  <c r="N695" i="1"/>
  <c r="N687" i="1"/>
  <c r="N679" i="1"/>
  <c r="N671" i="1"/>
  <c r="N663" i="1"/>
  <c r="N655" i="1"/>
  <c r="N647" i="1"/>
  <c r="N639" i="1"/>
  <c r="N631" i="1"/>
  <c r="N623" i="1"/>
  <c r="N615" i="1"/>
  <c r="N607" i="1"/>
  <c r="N599" i="1"/>
  <c r="N591" i="1"/>
  <c r="N583" i="1"/>
  <c r="N575" i="1"/>
  <c r="N567" i="1"/>
  <c r="N559" i="1"/>
  <c r="N551" i="1"/>
  <c r="N543" i="1"/>
  <c r="N535" i="1"/>
  <c r="N527" i="1"/>
  <c r="N519" i="1"/>
  <c r="N511" i="1"/>
  <c r="N503" i="1"/>
  <c r="N495" i="1"/>
  <c r="N514" i="1"/>
  <c r="N479" i="1"/>
  <c r="N471" i="1"/>
  <c r="N463" i="1"/>
  <c r="N455" i="1"/>
  <c r="N447" i="1"/>
  <c r="N439" i="1"/>
  <c r="N431" i="1"/>
  <c r="N423" i="1"/>
  <c r="N415" i="1"/>
  <c r="N407" i="1"/>
  <c r="N399" i="1"/>
  <c r="N391" i="1"/>
  <c r="N383" i="1"/>
  <c r="N375" i="1"/>
  <c r="N367" i="1"/>
  <c r="N359" i="1"/>
  <c r="N351" i="1"/>
  <c r="N343" i="1"/>
  <c r="N335" i="1"/>
  <c r="N327" i="1"/>
  <c r="N319" i="1"/>
  <c r="N311" i="1"/>
  <c r="N303" i="1"/>
  <c r="N295" i="1"/>
  <c r="N158" i="1"/>
  <c r="N1093" i="1"/>
  <c r="N1085" i="1"/>
  <c r="N1077" i="1"/>
  <c r="N1069" i="1"/>
  <c r="N1061" i="1"/>
  <c r="N1053" i="1"/>
  <c r="N1045" i="1"/>
  <c r="N1037" i="1"/>
  <c r="N1029" i="1"/>
  <c r="N1021" i="1"/>
  <c r="N1013" i="1"/>
  <c r="N1005" i="1"/>
  <c r="N997" i="1"/>
  <c r="N989" i="1"/>
  <c r="N981" i="1"/>
  <c r="N973" i="1"/>
  <c r="N965" i="1"/>
  <c r="N957" i="1"/>
  <c r="N949" i="1"/>
  <c r="N941" i="1"/>
  <c r="N933" i="1"/>
  <c r="N925" i="1"/>
  <c r="N917" i="1"/>
  <c r="N909" i="1"/>
  <c r="N901" i="1"/>
  <c r="N1014" i="1"/>
  <c r="N885" i="1"/>
  <c r="N877" i="1"/>
  <c r="N869" i="1"/>
  <c r="N861" i="1"/>
  <c r="N853" i="1"/>
  <c r="N845" i="1"/>
  <c r="N837" i="1"/>
  <c r="N829" i="1"/>
  <c r="N821" i="1"/>
  <c r="N813" i="1"/>
  <c r="N805" i="1"/>
  <c r="N797" i="1"/>
  <c r="N789" i="1"/>
  <c r="N781" i="1"/>
  <c r="N773" i="1"/>
  <c r="N765" i="1"/>
  <c r="N757" i="1"/>
  <c r="N749" i="1"/>
  <c r="N741" i="1"/>
  <c r="N733" i="1"/>
  <c r="N725" i="1"/>
  <c r="N929" i="1"/>
  <c r="N709" i="1"/>
  <c r="N701" i="1"/>
  <c r="N693" i="1"/>
  <c r="N685" i="1"/>
  <c r="N677" i="1"/>
  <c r="N669" i="1"/>
  <c r="N661" i="1"/>
  <c r="N653" i="1"/>
  <c r="N645" i="1"/>
  <c r="N637" i="1"/>
  <c r="N629" i="1"/>
  <c r="N621" i="1"/>
  <c r="N613" i="1"/>
  <c r="N927" i="1"/>
  <c r="N597" i="1"/>
  <c r="N589" i="1"/>
  <c r="N581" i="1"/>
  <c r="N573" i="1"/>
  <c r="N565" i="1"/>
  <c r="N557" i="1"/>
  <c r="N549" i="1"/>
  <c r="N541" i="1"/>
  <c r="N533" i="1"/>
  <c r="N525" i="1"/>
  <c r="N517" i="1"/>
  <c r="N509" i="1"/>
  <c r="N501" i="1"/>
  <c r="N493" i="1"/>
  <c r="N485" i="1"/>
  <c r="N477" i="1"/>
  <c r="N469" i="1"/>
  <c r="N461" i="1"/>
  <c r="N453" i="1"/>
  <c r="N445" i="1"/>
  <c r="N437" i="1"/>
  <c r="N429" i="1"/>
  <c r="N421" i="1"/>
  <c r="N413" i="1"/>
  <c r="N405" i="1"/>
  <c r="N397" i="1"/>
  <c r="N389" i="1"/>
  <c r="N381" i="1"/>
  <c r="N373" i="1"/>
  <c r="N365" i="1"/>
  <c r="N357" i="1"/>
  <c r="N349" i="1"/>
  <c r="N341" i="1"/>
  <c r="N333" i="1"/>
  <c r="N325" i="1"/>
  <c r="N317" i="1"/>
  <c r="N309" i="1"/>
  <c r="N301" i="1"/>
  <c r="N293" i="1"/>
  <c r="N285" i="1"/>
  <c r="N277" i="1"/>
  <c r="N269" i="1"/>
  <c r="N261" i="1"/>
  <c r="N253" i="1"/>
  <c r="N245" i="1"/>
  <c r="N237" i="1"/>
  <c r="N229" i="1"/>
  <c r="N221" i="1"/>
  <c r="N213" i="1"/>
  <c r="N205" i="1"/>
  <c r="N197" i="1"/>
  <c r="N539" i="1"/>
  <c r="N756" i="1"/>
  <c r="N950" i="1"/>
  <c r="N740" i="1"/>
  <c r="N732" i="1"/>
  <c r="N724" i="1"/>
  <c r="N716" i="1"/>
  <c r="N708" i="1"/>
  <c r="N700" i="1"/>
  <c r="N692" i="1"/>
  <c r="N684" i="1"/>
  <c r="N676" i="1"/>
  <c r="N668" i="1"/>
  <c r="N660" i="1"/>
  <c r="N652" i="1"/>
  <c r="N644" i="1"/>
  <c r="N636" i="1"/>
  <c r="N628" i="1"/>
  <c r="N620" i="1"/>
  <c r="N612" i="1"/>
  <c r="N604" i="1"/>
  <c r="N596" i="1"/>
  <c r="N588" i="1"/>
  <c r="N580" i="1"/>
  <c r="N572" i="1"/>
  <c r="N564" i="1"/>
  <c r="N556" i="1"/>
  <c r="N548" i="1"/>
  <c r="N540" i="1"/>
  <c r="N532" i="1"/>
  <c r="N524" i="1"/>
  <c r="N516" i="1"/>
  <c r="N508" i="1"/>
  <c r="N500" i="1"/>
  <c r="N492" i="1"/>
  <c r="N484" i="1"/>
  <c r="N476" i="1"/>
  <c r="N468" i="1"/>
  <c r="N460" i="1"/>
  <c r="N452" i="1"/>
  <c r="N444" i="1"/>
  <c r="N436" i="1"/>
  <c r="N428" i="1"/>
  <c r="N420" i="1"/>
  <c r="N412" i="1"/>
  <c r="N404" i="1"/>
  <c r="N396" i="1"/>
  <c r="N388" i="1"/>
  <c r="N380" i="1"/>
  <c r="N372" i="1"/>
  <c r="N748" i="1"/>
  <c r="N356" i="1"/>
  <c r="N348" i="1"/>
  <c r="N340" i="1"/>
  <c r="N332" i="1"/>
  <c r="N324" i="1"/>
  <c r="N316" i="1"/>
  <c r="N308" i="1"/>
  <c r="N13" i="1"/>
  <c r="N292" i="1"/>
  <c r="N284" i="1"/>
  <c r="N276" i="1"/>
  <c r="N268" i="1"/>
  <c r="N260" i="1"/>
  <c r="N252" i="1"/>
  <c r="N244" i="1"/>
  <c r="N236" i="1"/>
  <c r="N228" i="1"/>
  <c r="N605" i="1"/>
  <c r="N212" i="1"/>
  <c r="N204" i="1"/>
  <c r="N196" i="1"/>
  <c r="N188" i="1"/>
  <c r="N180" i="1"/>
  <c r="N172" i="1"/>
  <c r="N164" i="1"/>
  <c r="N156" i="1"/>
  <c r="N148" i="1"/>
  <c r="N140" i="1"/>
  <c r="N132" i="1"/>
  <c r="N747" i="1"/>
  <c r="N739" i="1"/>
  <c r="N731" i="1"/>
  <c r="N723" i="1"/>
  <c r="N715" i="1"/>
  <c r="N707" i="1"/>
  <c r="N699" i="1"/>
  <c r="N691" i="1"/>
  <c r="N683" i="1"/>
  <c r="N675" i="1"/>
  <c r="N667" i="1"/>
  <c r="N659" i="1"/>
  <c r="N651" i="1"/>
  <c r="N643" i="1"/>
  <c r="N635" i="1"/>
  <c r="N627" i="1"/>
  <c r="N619" i="1"/>
  <c r="N611" i="1"/>
  <c r="N603" i="1"/>
  <c r="N595" i="1"/>
  <c r="N587" i="1"/>
  <c r="N579" i="1"/>
  <c r="N571" i="1"/>
  <c r="N563" i="1"/>
  <c r="N555" i="1"/>
  <c r="N547" i="1"/>
  <c r="N893" i="1"/>
  <c r="N531" i="1"/>
  <c r="N523" i="1"/>
  <c r="N515" i="1"/>
  <c r="N507" i="1"/>
  <c r="N499" i="1"/>
  <c r="N491" i="1"/>
  <c r="N483" i="1"/>
  <c r="N475" i="1"/>
  <c r="N467" i="1"/>
  <c r="N459" i="1"/>
  <c r="N451" i="1"/>
  <c r="N443" i="1"/>
  <c r="N435" i="1"/>
  <c r="N427" i="1"/>
  <c r="N419" i="1"/>
  <c r="N411" i="1"/>
  <c r="N403" i="1"/>
  <c r="N395" i="1"/>
  <c r="N387" i="1"/>
  <c r="N379" i="1"/>
  <c r="N371" i="1"/>
  <c r="N363" i="1"/>
  <c r="N355" i="1"/>
  <c r="N347" i="1"/>
  <c r="N339" i="1"/>
  <c r="N331" i="1"/>
  <c r="N323" i="1"/>
  <c r="N315" i="1"/>
  <c r="N307" i="1"/>
  <c r="N299" i="1"/>
  <c r="N291" i="1"/>
  <c r="N283" i="1"/>
  <c r="N275" i="1"/>
  <c r="N267" i="1"/>
  <c r="N259" i="1"/>
  <c r="N251" i="1"/>
  <c r="N243" i="1"/>
  <c r="N235" i="1"/>
  <c r="N227" i="1"/>
  <c r="N219" i="1"/>
  <c r="N211" i="1"/>
  <c r="N203" i="1"/>
  <c r="N195" i="1"/>
  <c r="N187" i="1"/>
  <c r="N179" i="1"/>
  <c r="N171" i="1"/>
  <c r="N163" i="1"/>
  <c r="N155" i="1"/>
  <c r="N147" i="1"/>
  <c r="N139" i="1"/>
  <c r="N131" i="1"/>
  <c r="N123" i="1"/>
  <c r="N115" i="1"/>
  <c r="L8" i="1"/>
  <c r="N1097" i="1"/>
  <c r="N1089" i="1"/>
  <c r="N1081" i="1"/>
  <c r="N1073" i="1"/>
  <c r="N1065" i="1"/>
  <c r="N1057" i="1"/>
  <c r="N1049" i="1"/>
  <c r="N1041" i="1"/>
  <c r="N1033" i="1"/>
  <c r="N1025" i="1"/>
  <c r="N1017" i="1"/>
  <c r="N1009" i="1"/>
  <c r="N1001" i="1"/>
  <c r="N993" i="1"/>
  <c r="N985" i="1"/>
  <c r="N961" i="1"/>
  <c r="N953" i="1"/>
  <c r="N945" i="1"/>
  <c r="N73" i="1"/>
  <c r="N1059" i="1"/>
  <c r="N897" i="1"/>
  <c r="N889" i="1"/>
  <c r="N881" i="1"/>
  <c r="N865" i="1"/>
  <c r="N857" i="1"/>
  <c r="N833" i="1"/>
  <c r="N825" i="1"/>
  <c r="N817" i="1"/>
  <c r="N801" i="1"/>
  <c r="N793" i="1"/>
  <c r="N769" i="1"/>
  <c r="N761" i="1"/>
  <c r="N753" i="1"/>
  <c r="N737" i="1"/>
  <c r="N729" i="1"/>
  <c r="N721" i="1"/>
  <c r="N705" i="1"/>
  <c r="N697" i="1"/>
  <c r="N689" i="1"/>
  <c r="N216" i="1"/>
  <c r="N208" i="1"/>
  <c r="N184" i="1"/>
  <c r="N160" i="1"/>
  <c r="N152" i="1"/>
  <c r="N112" i="1"/>
  <c r="N104" i="1"/>
  <c r="N366" i="1"/>
  <c r="N279" i="1"/>
  <c r="N271" i="1"/>
  <c r="N263" i="1"/>
  <c r="N255" i="1"/>
  <c r="N247" i="1"/>
  <c r="N239" i="1"/>
  <c r="N231" i="1"/>
  <c r="N223" i="1"/>
  <c r="N215" i="1"/>
  <c r="N207" i="1"/>
  <c r="N175" i="1"/>
  <c r="N167" i="1"/>
  <c r="N159" i="1"/>
  <c r="N241" i="1"/>
  <c r="N150" i="1"/>
  <c r="N142" i="1"/>
  <c r="N134" i="1"/>
  <c r="N126" i="1"/>
  <c r="N102" i="1"/>
  <c r="N94" i="1"/>
  <c r="N86" i="1"/>
  <c r="N62" i="1"/>
  <c r="N38" i="1"/>
  <c r="N14" i="1"/>
  <c r="N189" i="1"/>
  <c r="N181" i="1"/>
  <c r="N173" i="1"/>
  <c r="N165" i="1"/>
  <c r="N157" i="1"/>
  <c r="N149" i="1"/>
  <c r="N141" i="1"/>
  <c r="N125" i="1"/>
  <c r="N117" i="1"/>
  <c r="N93" i="1"/>
  <c r="N77" i="1"/>
  <c r="N69" i="1"/>
  <c r="N61" i="1"/>
  <c r="N124" i="1"/>
  <c r="N116" i="1"/>
  <c r="N76" i="1"/>
  <c r="N68" i="1"/>
  <c r="N52" i="1"/>
  <c r="N44" i="1"/>
  <c r="N20" i="1"/>
  <c r="N107" i="1"/>
  <c r="N488" i="1"/>
  <c r="N75" i="1"/>
  <c r="N51" i="1"/>
  <c r="N43" i="1"/>
  <c r="N1098" i="1"/>
  <c r="N1090" i="1"/>
  <c r="N1082" i="1"/>
  <c r="N1074" i="1"/>
  <c r="N1066" i="1"/>
  <c r="N1058" i="1"/>
  <c r="N1034" i="1"/>
  <c r="N1026" i="1"/>
  <c r="N1018" i="1"/>
  <c r="N1010" i="1"/>
  <c r="N1002" i="1"/>
  <c r="N994" i="1"/>
  <c r="N970" i="1"/>
  <c r="N962" i="1"/>
  <c r="N954" i="1"/>
  <c r="N938" i="1"/>
  <c r="N930" i="1"/>
  <c r="N906" i="1"/>
  <c r="N898" i="1"/>
  <c r="N890" i="1"/>
  <c r="N874" i="1"/>
  <c r="N866" i="1"/>
  <c r="N842" i="1"/>
  <c r="N834" i="1"/>
  <c r="N826" i="1"/>
  <c r="N810" i="1"/>
  <c r="N802" i="1"/>
  <c r="N778" i="1"/>
  <c r="N770" i="1"/>
  <c r="N754" i="1"/>
  <c r="N738" i="1"/>
  <c r="N722" i="1"/>
  <c r="N706" i="1"/>
  <c r="N690" i="1"/>
  <c r="N674" i="1"/>
  <c r="N666" i="1"/>
  <c r="N642" i="1"/>
  <c r="N626" i="1"/>
  <c r="N618" i="1"/>
  <c r="N610" i="1"/>
  <c r="N578" i="1"/>
  <c r="N570" i="1"/>
  <c r="N562" i="1"/>
  <c r="N538" i="1"/>
  <c r="N794" i="1"/>
  <c r="N490" i="1"/>
  <c r="N482" i="1"/>
  <c r="N442" i="1"/>
  <c r="N434" i="1"/>
  <c r="N418" i="1"/>
  <c r="N410" i="1"/>
  <c r="N386" i="1"/>
  <c r="N370" i="1"/>
  <c r="N362" i="1"/>
  <c r="N354" i="1"/>
  <c r="N322" i="1"/>
  <c r="N314" i="1"/>
  <c r="N306" i="1"/>
  <c r="N282" i="1"/>
  <c r="N258" i="1"/>
  <c r="N234" i="1"/>
  <c r="N226" i="1"/>
  <c r="N186" i="1"/>
  <c r="N178" i="1"/>
  <c r="N162" i="1"/>
  <c r="N154" i="1"/>
  <c r="N130" i="1"/>
  <c r="N114" i="1"/>
  <c r="N106" i="1"/>
  <c r="N98" i="1"/>
  <c r="N66" i="1"/>
  <c r="N58" i="1"/>
  <c r="N50" i="1"/>
  <c r="N26" i="1"/>
  <c r="N1050" i="1"/>
  <c r="N1042" i="1"/>
  <c r="N986" i="1"/>
  <c r="N978" i="1"/>
  <c r="N946" i="1"/>
  <c r="N922" i="1"/>
  <c r="N914" i="1"/>
  <c r="N882" i="1"/>
  <c r="N858" i="1"/>
  <c r="N850" i="1"/>
  <c r="N818" i="1"/>
  <c r="N552" i="1"/>
  <c r="N786" i="1"/>
  <c r="N762" i="1"/>
  <c r="N746" i="1"/>
  <c r="N730" i="1"/>
  <c r="N714" i="1"/>
  <c r="N698" i="1"/>
  <c r="N682" i="1"/>
  <c r="N658" i="1"/>
  <c r="N650" i="1"/>
  <c r="N634" i="1"/>
  <c r="N602" i="1"/>
  <c r="N594" i="1"/>
  <c r="N586" i="1"/>
  <c r="N554" i="1"/>
  <c r="N546" i="1"/>
  <c r="N530" i="1"/>
  <c r="N522" i="1"/>
  <c r="N506" i="1"/>
  <c r="N498" i="1"/>
  <c r="N474" i="1"/>
  <c r="N466" i="1"/>
  <c r="N458" i="1"/>
  <c r="N450" i="1"/>
  <c r="N426" i="1"/>
  <c r="N402" i="1"/>
  <c r="N394" i="1"/>
  <c r="N378" i="1"/>
  <c r="N346" i="1"/>
  <c r="N338" i="1"/>
  <c r="N330" i="1"/>
  <c r="N298" i="1"/>
  <c r="N290" i="1"/>
  <c r="N274" i="1"/>
  <c r="N266" i="1"/>
  <c r="N250" i="1"/>
  <c r="N242" i="1"/>
  <c r="N218" i="1"/>
  <c r="N210" i="1"/>
  <c r="N202" i="1"/>
  <c r="N300" i="1"/>
  <c r="N170" i="1"/>
  <c r="N146" i="1"/>
  <c r="N138" i="1"/>
  <c r="N122" i="1"/>
  <c r="N90" i="1"/>
  <c r="N82" i="1"/>
  <c r="N74" i="1"/>
  <c r="N42" i="1"/>
  <c r="N34" i="1"/>
  <c r="N18" i="1"/>
  <c r="N10" i="1"/>
  <c r="N977" i="1"/>
  <c r="N969" i="1"/>
  <c r="N937" i="1"/>
  <c r="N913" i="1"/>
  <c r="N905" i="1"/>
  <c r="N873" i="1"/>
  <c r="N849" i="1"/>
  <c r="N841" i="1"/>
  <c r="N809" i="1"/>
  <c r="N785" i="1"/>
  <c r="N777" i="1"/>
  <c r="N745" i="1"/>
  <c r="N713" i="1"/>
  <c r="N681" i="1"/>
  <c r="N673" i="1"/>
  <c r="N665" i="1"/>
  <c r="N657" i="1"/>
  <c r="N649" i="1"/>
  <c r="N641" i="1"/>
  <c r="N633" i="1"/>
  <c r="N625" i="1"/>
  <c r="N617" i="1"/>
  <c r="N609" i="1"/>
  <c r="N601" i="1"/>
  <c r="N593" i="1"/>
  <c r="N585" i="1"/>
  <c r="N577" i="1"/>
  <c r="N921" i="1"/>
  <c r="N561" i="1"/>
  <c r="N553" i="1"/>
  <c r="N545" i="1"/>
  <c r="N537" i="1"/>
  <c r="N529" i="1"/>
  <c r="N521" i="1"/>
  <c r="N513" i="1"/>
  <c r="N505" i="1"/>
  <c r="N497" i="1"/>
  <c r="N489" i="1"/>
  <c r="N481" i="1"/>
  <c r="N473" i="1"/>
  <c r="N465" i="1"/>
  <c r="N457" i="1"/>
  <c r="N449" i="1"/>
  <c r="N441" i="1"/>
  <c r="N433" i="1"/>
  <c r="N425" i="1"/>
  <c r="N417" i="1"/>
  <c r="N409" i="1"/>
  <c r="N401" i="1"/>
  <c r="N393" i="1"/>
  <c r="N385" i="1"/>
  <c r="N377" i="1"/>
  <c r="N369" i="1"/>
  <c r="N361" i="1"/>
  <c r="N353" i="1"/>
  <c r="N345" i="1"/>
  <c r="N337" i="1"/>
  <c r="N329" i="1"/>
  <c r="N321" i="1"/>
  <c r="N313" i="1"/>
  <c r="N305" i="1"/>
  <c r="N297" i="1"/>
  <c r="N289" i="1"/>
  <c r="N281" i="1"/>
  <c r="N273" i="1"/>
  <c r="N265" i="1"/>
  <c r="N257" i="1"/>
  <c r="N249" i="1"/>
  <c r="N364" i="1"/>
  <c r="N233" i="1"/>
  <c r="N225" i="1"/>
  <c r="N217" i="1"/>
  <c r="N209" i="1"/>
  <c r="N201" i="1"/>
  <c r="N193" i="1"/>
  <c r="N185" i="1"/>
  <c r="N177" i="1"/>
  <c r="N169" i="1"/>
  <c r="N161" i="1"/>
  <c r="N153" i="1"/>
  <c r="N145" i="1"/>
  <c r="N137" i="1"/>
  <c r="N129" i="1"/>
  <c r="N121" i="1"/>
  <c r="N113" i="1"/>
  <c r="N105" i="1"/>
  <c r="N97" i="1"/>
  <c r="N89" i="1"/>
  <c r="N81" i="1"/>
  <c r="N569" i="1"/>
  <c r="N65" i="1"/>
  <c r="N57" i="1"/>
  <c r="N49" i="1"/>
  <c r="N41" i="1"/>
  <c r="N33" i="1"/>
  <c r="N25" i="1"/>
  <c r="N17" i="1"/>
  <c r="N9" i="1"/>
  <c r="N200" i="1"/>
  <c r="N192" i="1"/>
  <c r="N176" i="1"/>
  <c r="N168" i="1"/>
  <c r="N144" i="1"/>
  <c r="N136" i="1"/>
  <c r="N128" i="1"/>
  <c r="N120" i="1"/>
  <c r="N96" i="1"/>
  <c r="N48" i="1"/>
  <c r="N199" i="1"/>
  <c r="N191" i="1"/>
  <c r="N183" i="1"/>
  <c r="N151" i="1"/>
  <c r="N143" i="1"/>
  <c r="N127" i="1"/>
  <c r="N95" i="1"/>
  <c r="N71" i="1"/>
  <c r="N47" i="1"/>
  <c r="N23" i="1"/>
  <c r="N7" i="1"/>
  <c r="N118" i="1"/>
  <c r="N110" i="1"/>
  <c r="N78" i="1"/>
  <c r="N70" i="1"/>
  <c r="N54" i="1"/>
  <c r="N46" i="1"/>
  <c r="N30" i="1"/>
  <c r="N22" i="1"/>
  <c r="N6" i="1"/>
  <c r="N133" i="1"/>
  <c r="N109" i="1"/>
  <c r="N101" i="1"/>
  <c r="N85" i="1"/>
  <c r="N53" i="1"/>
  <c r="N45" i="1"/>
  <c r="N37" i="1"/>
  <c r="N135" i="1"/>
  <c r="N100" i="1"/>
  <c r="N92" i="1"/>
  <c r="N84" i="1"/>
  <c r="N60" i="1"/>
  <c r="N36" i="1"/>
  <c r="N287" i="1"/>
  <c r="N12" i="1"/>
  <c r="N4" i="1"/>
  <c r="N91" i="1"/>
  <c r="N83" i="1"/>
  <c r="N67" i="1"/>
  <c r="N59" i="1"/>
  <c r="N35" i="1"/>
  <c r="N27" i="1"/>
  <c r="N487" i="1"/>
  <c r="N11" i="1"/>
  <c r="N3" i="1"/>
  <c r="N72" i="1"/>
  <c r="N64" i="1"/>
  <c r="N8" i="1"/>
  <c r="N119" i="1"/>
  <c r="N63" i="1"/>
  <c r="N55" i="1"/>
</calcChain>
</file>

<file path=xl/sharedStrings.xml><?xml version="1.0" encoding="utf-8"?>
<sst xmlns="http://schemas.openxmlformats.org/spreadsheetml/2006/main" count="10993" uniqueCount="1081">
  <si>
    <t>cnpj</t>
  </si>
  <si>
    <t>razao_social</t>
  </si>
  <si>
    <t>cidade</t>
  </si>
  <si>
    <t>uf</t>
  </si>
  <si>
    <t>rede</t>
  </si>
  <si>
    <t>tipo_informante</t>
  </si>
  <si>
    <t>ULTRA POPULAR BRASNORTE</t>
  </si>
  <si>
    <t>BRASNORTE</t>
  </si>
  <si>
    <t>MT</t>
  </si>
  <si>
    <t>FARMARCAS</t>
  </si>
  <si>
    <t>SELL OUT</t>
  </si>
  <si>
    <t>C. J. DA SILVA &amp; CIA</t>
  </si>
  <si>
    <t>DIAMANTINO</t>
  </si>
  <si>
    <t>DROGARIA SEMPRE POPULAR</t>
  </si>
  <si>
    <t>CAMPO GRANDE</t>
  </si>
  <si>
    <t>MS</t>
  </si>
  <si>
    <t>MASTERFARMA</t>
  </si>
  <si>
    <t>SELL IN</t>
  </si>
  <si>
    <t>DROGAMED POPULAR</t>
  </si>
  <si>
    <t>COXIM</t>
  </si>
  <si>
    <t>INDEPENDENTES VIN</t>
  </si>
  <si>
    <t>DROGABEL</t>
  </si>
  <si>
    <t>CANARANA</t>
  </si>
  <si>
    <t>FCIA DROGAMARA</t>
  </si>
  <si>
    <t>MARACAJU</t>
  </si>
  <si>
    <t>DROGARIA ULTRAPOPULAR</t>
  </si>
  <si>
    <t>ARENAPOLIS</t>
  </si>
  <si>
    <t>FARMACIA GAUCHA</t>
  </si>
  <si>
    <t>IGUATEMI</t>
  </si>
  <si>
    <t>ULTRAPOPULAR</t>
  </si>
  <si>
    <t>MUNDO NOVO</t>
  </si>
  <si>
    <t>FCIA MARIALVA LTDA</t>
  </si>
  <si>
    <t>AQUIDAUANA</t>
  </si>
  <si>
    <t>HIPER SAUDE</t>
  </si>
  <si>
    <t>FARMACIAS SUPRAVITA</t>
  </si>
  <si>
    <t>SINOP</t>
  </si>
  <si>
    <t>ASSOCIADAS</t>
  </si>
  <si>
    <t>DROGARIA FARMALUZ</t>
  </si>
  <si>
    <t>DSG FARMA</t>
  </si>
  <si>
    <t>FARMACIA POPULAR</t>
  </si>
  <si>
    <t>SORRISO</t>
  </si>
  <si>
    <t>DROG NOSSO LAR</t>
  </si>
  <si>
    <t>DROGACERTA</t>
  </si>
  <si>
    <t>BARRA DO GARCAS</t>
  </si>
  <si>
    <t>DROGARIA CENTRAL</t>
  </si>
  <si>
    <t>RIBEIRAO CASCALHEIRA</t>
  </si>
  <si>
    <t>REAL FARMA</t>
  </si>
  <si>
    <t>TEODORO SAMPAIO</t>
  </si>
  <si>
    <t>SP</t>
  </si>
  <si>
    <t>DROGARIA MARE MANSA</t>
  </si>
  <si>
    <t>PRESIDENTE PRUDENTE</t>
  </si>
  <si>
    <t>DROGARIA DR FABIO</t>
  </si>
  <si>
    <t>CUIABA</t>
  </si>
  <si>
    <t>DROGARIA SAO JORGE</t>
  </si>
  <si>
    <t>JUTI</t>
  </si>
  <si>
    <t>DROGARIA MAX PROMISSAO</t>
  </si>
  <si>
    <t>PROMISSAO</t>
  </si>
  <si>
    <t>FARMACIA ULTRA POPULAR</t>
  </si>
  <si>
    <t>BARRA DO BUGRES</t>
  </si>
  <si>
    <t>DROGARIA ULTRA POPULAR</t>
  </si>
  <si>
    <t>DROGAPLUS POPULAR</t>
  </si>
  <si>
    <t>TANGARA DA SERRA</t>
  </si>
  <si>
    <t>DROGASHOP</t>
  </si>
  <si>
    <t>FARMACIAS DESCONTO FACIL</t>
  </si>
  <si>
    <t>ECONOMIZE RONDONOPOLIS</t>
  </si>
  <si>
    <t>FARMA SAUDE</t>
  </si>
  <si>
    <t>FARMACIA FLOR DE MAIO</t>
  </si>
  <si>
    <t>DROGARIA A MAIS POPULAR</t>
  </si>
  <si>
    <t>SETE QUEDAS</t>
  </si>
  <si>
    <t>DROGARIAS FARMARELA</t>
  </si>
  <si>
    <t>FCIA BIOFARMA</t>
  </si>
  <si>
    <t>AMAMBAI</t>
  </si>
  <si>
    <t>DROGARIA SANTA MARIA</t>
  </si>
  <si>
    <t>DROGARIA EVANGELICA</t>
  </si>
  <si>
    <t>COMPRE BEM</t>
  </si>
  <si>
    <t>BIOFARDROGAS</t>
  </si>
  <si>
    <t>DROGA SERV</t>
  </si>
  <si>
    <t>DROGARIAS BEM POPULAR BRASIL</t>
  </si>
  <si>
    <t>DROGARIA NOVA FORMULA</t>
  </si>
  <si>
    <t>CLEMENTINA</t>
  </si>
  <si>
    <t>DROGARIA TOTAL</t>
  </si>
  <si>
    <t>DROG MATO GROSSO</t>
  </si>
  <si>
    <t>LUCAS DO RIO VERDE</t>
  </si>
  <si>
    <t>POSTO DE MEDICAMENTOS NIAGARA</t>
  </si>
  <si>
    <t>SAO JOSE DO POVO</t>
  </si>
  <si>
    <t>FARMACIA VIDEIRA</t>
  </si>
  <si>
    <t>VALPARAISO</t>
  </si>
  <si>
    <t>MULTIDROGAS</t>
  </si>
  <si>
    <t>FARMACIA DO JOAO E DROGARIA</t>
  </si>
  <si>
    <t>AGUA CLARA</t>
  </si>
  <si>
    <t>FARMACIA ECONOMIZE</t>
  </si>
  <si>
    <t>FARMACIA SANTA CATARINA DE PRESIDENTE PRUDENTE</t>
  </si>
  <si>
    <t>REDE SANTA CATARINA</t>
  </si>
  <si>
    <t>FARMA REAL</t>
  </si>
  <si>
    <t>DOURADOS</t>
  </si>
  <si>
    <t>FARMACIA FLOR DE LIS</t>
  </si>
  <si>
    <t>PORTO ESPERIDIAO</t>
  </si>
  <si>
    <t>FCIA INOFARMA</t>
  </si>
  <si>
    <t>INOCENCIA</t>
  </si>
  <si>
    <t>DROGA LIDER</t>
  </si>
  <si>
    <t>PARANAIBA</t>
  </si>
  <si>
    <t>NAIARA BELON DE ALBUQUERQUE CARNIATO - DROGARIA</t>
  </si>
  <si>
    <t>SANTO ANASTACIO</t>
  </si>
  <si>
    <t>FARMAIS</t>
  </si>
  <si>
    <t>DROGARIAS ULTRA POPULAR</t>
  </si>
  <si>
    <t xml:space="preserve">SINOP                                             </t>
  </si>
  <si>
    <t>ASTOLFI DROGARIA</t>
  </si>
  <si>
    <t>TRIUNFO FARMACIAS</t>
  </si>
  <si>
    <t>SCALLA PRODUTOS MEDICOS E HOSPITALARES</t>
  </si>
  <si>
    <t>NOVA PHARMA</t>
  </si>
  <si>
    <t>IVINHEMA</t>
  </si>
  <si>
    <t>DROGARIA EXTRA POPULAR</t>
  </si>
  <si>
    <t>DROGARIA TALHAMARES II</t>
  </si>
  <si>
    <t>CACERES</t>
  </si>
  <si>
    <t>DORGA NOSSA</t>
  </si>
  <si>
    <t>JUINA</t>
  </si>
  <si>
    <t>REDE POPULAR DROGA10</t>
  </si>
  <si>
    <t>DROGA 10</t>
  </si>
  <si>
    <t>DROGARIA PRIMAVERAS</t>
  </si>
  <si>
    <t>DROGARIA MAIS POPULAR</t>
  </si>
  <si>
    <t>NIOAQUE</t>
  </si>
  <si>
    <t>FCIA DROGACITY</t>
  </si>
  <si>
    <t>CAMPO NOVO DO PARECIS</t>
  </si>
  <si>
    <t>ULTRA POPULAR BRASNORTE FILIAL LL</t>
  </si>
  <si>
    <t>FARMACIA + ECONOMICA</t>
  </si>
  <si>
    <t>CORUMBA</t>
  </si>
  <si>
    <t>DROGA CERTA</t>
  </si>
  <si>
    <t>AGUA BOA</t>
  </si>
  <si>
    <t>FARMACIA AVENIDA</t>
  </si>
  <si>
    <t>DEODAPOLIS</t>
  </si>
  <si>
    <t>DROGARIA DENISE</t>
  </si>
  <si>
    <t>DENISE</t>
  </si>
  <si>
    <t>FCIA ALTERNATIVA</t>
  </si>
  <si>
    <t>SELVIRIA</t>
  </si>
  <si>
    <t>FARMACIA MADEIRA</t>
  </si>
  <si>
    <t>REDE MADEIRA</t>
  </si>
  <si>
    <t>DROGARIA POUPE JA - MAX FARMA</t>
  </si>
  <si>
    <t>FCIA MARLEY ZEILINGER</t>
  </si>
  <si>
    <t>NOVA ANDRADINA</t>
  </si>
  <si>
    <t>FARMACIA FARMAMED</t>
  </si>
  <si>
    <t>DROGAO + INTERIOR</t>
  </si>
  <si>
    <t>DROGARIA DO AIRTON</t>
  </si>
  <si>
    <t>DROGARIA PROGRESSO</t>
  </si>
  <si>
    <t>MURUTINGA DO SUL</t>
  </si>
  <si>
    <t>QUATA</t>
  </si>
  <si>
    <t>DROGARIAS ULTRAFORT POPULAR</t>
  </si>
  <si>
    <t>RONDONOPOLIS</t>
  </si>
  <si>
    <t>DROGARIA TALHAMARES</t>
  </si>
  <si>
    <t>FARMACIA PRO VIDA</t>
  </si>
  <si>
    <t>MIRASSOL D'OESTE</t>
  </si>
  <si>
    <t>HIPER POPULAR</t>
  </si>
  <si>
    <t>FARMACIA ULTRA POPULAR DE ALTO ARAGUAIA</t>
  </si>
  <si>
    <t>ALTO ARAGUAIA</t>
  </si>
  <si>
    <t>LC COMERCIO DE MED LTDA ME</t>
  </si>
  <si>
    <t>FARMA VIDA</t>
  </si>
  <si>
    <t>CAARAPO</t>
  </si>
  <si>
    <t>DROGARIA SANTA CATARINA</t>
  </si>
  <si>
    <t>MARTINOPOLIS</t>
  </si>
  <si>
    <t>FARMA POPULAR</t>
  </si>
  <si>
    <t>DROGARIA BOM PRECO</t>
  </si>
  <si>
    <t>ALTO GARCAS</t>
  </si>
  <si>
    <t>DROGARIA POLO CENTRO</t>
  </si>
  <si>
    <t>NOBRES</t>
  </si>
  <si>
    <t>DROGARIA TOTAL - SATO</t>
  </si>
  <si>
    <t>DROGARIA ECONOMIA JURUMIRIM</t>
  </si>
  <si>
    <t>DROGARIA HIPER POPULAR</t>
  </si>
  <si>
    <t>PRIMAVERA DO LESTE</t>
  </si>
  <si>
    <t>FARMACIA MINI PRECO</t>
  </si>
  <si>
    <t>ULTRA MAX POPULAR</t>
  </si>
  <si>
    <t>DROGACENTER</t>
  </si>
  <si>
    <t>ULTRAFARMA</t>
  </si>
  <si>
    <t>PEIXOTO DE AZEVEDO</t>
  </si>
  <si>
    <t>FCIA FARMA</t>
  </si>
  <si>
    <t>FARMAR</t>
  </si>
  <si>
    <t>GUARARAPES</t>
  </si>
  <si>
    <t>FCIA EDMILSON N SANTOS</t>
  </si>
  <si>
    <t>CAIABU</t>
  </si>
  <si>
    <t>FCIA DROG VIDA</t>
  </si>
  <si>
    <t>CASSILANDIA</t>
  </si>
  <si>
    <t>FARMAVIDA</t>
  </si>
  <si>
    <t>NOVA ALVORADA DO SUL</t>
  </si>
  <si>
    <t>FARMAIS PARANAIBA</t>
  </si>
  <si>
    <t>VARZEA GRANDE</t>
  </si>
  <si>
    <t>FARMACIA GALENA MANIPULACAO DE FORMULAS</t>
  </si>
  <si>
    <t>DROGARIA FARMAFLORES</t>
  </si>
  <si>
    <t>FARMACIA SAO JOAO</t>
  </si>
  <si>
    <t>PEDRO GOMES</t>
  </si>
  <si>
    <t>FARMA LIFE</t>
  </si>
  <si>
    <t>REDES DROGARIAS ECONOMICAS</t>
  </si>
  <si>
    <t>FARMACIA FARMA +</t>
  </si>
  <si>
    <t>FARMA &amp; FARMA</t>
  </si>
  <si>
    <t>FARMA NOSSA</t>
  </si>
  <si>
    <t>DROGARIA MED FARMA</t>
  </si>
  <si>
    <t>ARAGARCAS</t>
  </si>
  <si>
    <t>GO</t>
  </si>
  <si>
    <t>DROGARIA MEGA POPULAR</t>
  </si>
  <si>
    <t>FLORIDA PAULISTA</t>
  </si>
  <si>
    <t>REDE INOVA</t>
  </si>
  <si>
    <t>FCIA BRASIL</t>
  </si>
  <si>
    <t>ELDORADO</t>
  </si>
  <si>
    <t>DROGARIA AMERICAURILIA</t>
  </si>
  <si>
    <t>ABRE FARMA</t>
  </si>
  <si>
    <t>DROGARIA BEM POPULAR BRASIL</t>
  </si>
  <si>
    <t>PONTES E LACERDA</t>
  </si>
  <si>
    <t>MAXIFARMA POPULAR</t>
  </si>
  <si>
    <t>FARMACIA E DROGARIA XAVIER</t>
  </si>
  <si>
    <t>ANDRADINA</t>
  </si>
  <si>
    <t>DROGAMED</t>
  </si>
  <si>
    <t>SAO GABRIEL DO OESTE</t>
  </si>
  <si>
    <t>DROGARIA BOM JESUS</t>
  </si>
  <si>
    <t>PONTE BRANCA</t>
  </si>
  <si>
    <t>DROGA BRASILEIRA</t>
  </si>
  <si>
    <t>BANDEIRANTES</t>
  </si>
  <si>
    <t>DROG PALMEIRA</t>
  </si>
  <si>
    <t>DROG VELASQUES</t>
  </si>
  <si>
    <t>SUPER POPULAR</t>
  </si>
  <si>
    <t>BRASILANDIA</t>
  </si>
  <si>
    <t>FARMACIA BEM ESTAR</t>
  </si>
  <si>
    <t>REDE DE FARMACIAS ECONOMIZAR</t>
  </si>
  <si>
    <t>GUARANTA DO NORTE</t>
  </si>
  <si>
    <t>BIOFARMA</t>
  </si>
  <si>
    <t>APARECIDA DO TABOADO</t>
  </si>
  <si>
    <t>DROGARIA AVENIDA</t>
  </si>
  <si>
    <t>DROGARIA MODELO</t>
  </si>
  <si>
    <t>FARMACIA PIONEIRA</t>
  </si>
  <si>
    <t>FCIA NAJA III</t>
  </si>
  <si>
    <t>GLORIA DE DOURADOS</t>
  </si>
  <si>
    <t>CENTRAL FARMA</t>
  </si>
  <si>
    <t>DROGARIA COMPRE CERTO</t>
  </si>
  <si>
    <t>REDE COMPRE CERTO</t>
  </si>
  <si>
    <t>MAX FARMA</t>
  </si>
  <si>
    <t>MULTI+FARMA</t>
  </si>
  <si>
    <t>QUERENCIA</t>
  </si>
  <si>
    <t>DROGARIA REGIANE</t>
  </si>
  <si>
    <t>FARMA LIMA</t>
  </si>
  <si>
    <t>DROG NACIONAL</t>
  </si>
  <si>
    <t>FARMA LISBOA POPULAR</t>
  </si>
  <si>
    <t>IORI FARMA</t>
  </si>
  <si>
    <t>FARMACIA POPULAR DOM ANTONIO LTDA</t>
  </si>
  <si>
    <t>DROGARIA A</t>
  </si>
  <si>
    <t>TORIXOREU</t>
  </si>
  <si>
    <t>JAQUINTA &amp; SILVA</t>
  </si>
  <si>
    <t>IDEAL FARMA</t>
  </si>
  <si>
    <t>SLC DROGARIA - EIRELLI</t>
  </si>
  <si>
    <t>ARAL FARMA</t>
  </si>
  <si>
    <t>ARAL MOREIRA</t>
  </si>
  <si>
    <t>DROGATOP</t>
  </si>
  <si>
    <t>FARMATOTAL</t>
  </si>
  <si>
    <t>DROG SAN MARINO</t>
  </si>
  <si>
    <t>FCIA MODERNA</t>
  </si>
  <si>
    <t>DROGAVITA</t>
  </si>
  <si>
    <t>DROG ITAPORA LTDA</t>
  </si>
  <si>
    <t>ITAPORA</t>
  </si>
  <si>
    <t>DROG CATARINENSE</t>
  </si>
  <si>
    <t>NOVA ESPERANCA</t>
  </si>
  <si>
    <t>PR</t>
  </si>
  <si>
    <t>DROGARIA VITORIA</t>
  </si>
  <si>
    <t>ARAPUTANGA</t>
  </si>
  <si>
    <t>FARMACIA FARMACLIN</t>
  </si>
  <si>
    <t>PONTA PORA</t>
  </si>
  <si>
    <t>NOVA MUTUM</t>
  </si>
  <si>
    <t>DROG LUCIA</t>
  </si>
  <si>
    <t>DOSE UNICA MEDICAMENTOS</t>
  </si>
  <si>
    <t>FARMACIA DOIS IRMAOS</t>
  </si>
  <si>
    <t>TOP FARMA POPULAR</t>
  </si>
  <si>
    <t>JARDIM</t>
  </si>
  <si>
    <t>DROGARIA BEM-ESTTAR</t>
  </si>
  <si>
    <t>DROG LIMA</t>
  </si>
  <si>
    <t>DROG BRASIL</t>
  </si>
  <si>
    <t>DROGAPLIS</t>
  </si>
  <si>
    <t>PENAPOLIS</t>
  </si>
  <si>
    <t>DROG FARMALAR</t>
  </si>
  <si>
    <t>ADAMANTINA</t>
  </si>
  <si>
    <t>GT COMERCIO DE MEDICAMENTOS</t>
  </si>
  <si>
    <t>FARMACIA SANRIVAL III</t>
  </si>
  <si>
    <t>CHAPADAO DO SUL</t>
  </si>
  <si>
    <t>REDE SMALLFARMA</t>
  </si>
  <si>
    <t>FARMACIA ALAMEDA</t>
  </si>
  <si>
    <t>FARMACIA VITA FARMA</t>
  </si>
  <si>
    <t>ASFAR FARMACIAS</t>
  </si>
  <si>
    <t>DROGARIA DOS TRABALHADORES</t>
  </si>
  <si>
    <t>DROGA VIDA POPULAR</t>
  </si>
  <si>
    <t>DROGARIA ALVORADA</t>
  </si>
  <si>
    <t>DROGARIA DAVI PAJU</t>
  </si>
  <si>
    <t>FARMACIA AMARELINHA POPULAR</t>
  </si>
  <si>
    <t>NOVA OLIMPIA</t>
  </si>
  <si>
    <t>BEM POPULAR BRASIL</t>
  </si>
  <si>
    <t>DROGARIA FELIPE</t>
  </si>
  <si>
    <t>FARMACIA UNIAO</t>
  </si>
  <si>
    <t>DROGARIA FARMALIMA</t>
  </si>
  <si>
    <t>PARANAITA</t>
  </si>
  <si>
    <t>COMODORO</t>
  </si>
  <si>
    <t>FCIA NSA SRA APARECIDA</t>
  </si>
  <si>
    <t>MIRANDA</t>
  </si>
  <si>
    <t>DROGARIA DELTA MED</t>
  </si>
  <si>
    <t>PRESIDENTE BERNARDES</t>
  </si>
  <si>
    <t>ALTO PARAGUAI</t>
  </si>
  <si>
    <t>M. G. DROGARIA</t>
  </si>
  <si>
    <t>FCIA FARMAUTIL</t>
  </si>
  <si>
    <t>PREVI SAUDE</t>
  </si>
  <si>
    <t>DROG NATALIA</t>
  </si>
  <si>
    <t>DROG MIRASSOL</t>
  </si>
  <si>
    <t>DROG POPULAR</t>
  </si>
  <si>
    <t>JUNQUEIROPOLIS</t>
  </si>
  <si>
    <t>FARMACIA BRASIL</t>
  </si>
  <si>
    <t>ITAQUIRAI</t>
  </si>
  <si>
    <t>DROGARIA CONCORDIA</t>
  </si>
  <si>
    <t>PARANATINGA</t>
  </si>
  <si>
    <t>DROGARIA POUPE MAIS</t>
  </si>
  <si>
    <t>DROGARIA ESTRELA</t>
  </si>
  <si>
    <t>DROGARIA FARMAX</t>
  </si>
  <si>
    <t>DROG BOM JESUS PREVER</t>
  </si>
  <si>
    <t>AVANHANDAVA</t>
  </si>
  <si>
    <t>DROGARIA ULTRA POPULAR DE PARANATINGA</t>
  </si>
  <si>
    <t>VITOR FARMA</t>
  </si>
  <si>
    <t>ANAFARMA</t>
  </si>
  <si>
    <t>PIRAPOZINHO</t>
  </si>
  <si>
    <t>FARMACIAS MEIO PRECO INGAS</t>
  </si>
  <si>
    <t>DROGA PRACA</t>
  </si>
  <si>
    <t>FARMACIA ROMANA</t>
  </si>
  <si>
    <t>DROGALAB</t>
  </si>
  <si>
    <t>DROGARIA NOSSA SENHORA SANTANA</t>
  </si>
  <si>
    <t>NORTELANDIA</t>
  </si>
  <si>
    <t>DROG SIDRO</t>
  </si>
  <si>
    <t>SIDROLANDIA</t>
  </si>
  <si>
    <t>FCIA PARANA</t>
  </si>
  <si>
    <t>FCIA PROGRESSO</t>
  </si>
  <si>
    <t>RIO BRILHANTE</t>
  </si>
  <si>
    <t>FARMACIA E DROGARIA BIOTEC</t>
  </si>
  <si>
    <t>ALTA FLORESTA</t>
  </si>
  <si>
    <t>NAVIRAI</t>
  </si>
  <si>
    <t>ALTA FARMA</t>
  </si>
  <si>
    <t>CAMPO VERDE</t>
  </si>
  <si>
    <t>DROGA CENTER</t>
  </si>
  <si>
    <t>SONORA</t>
  </si>
  <si>
    <t>DROGARIA FLORAIS</t>
  </si>
  <si>
    <t>CONCEITO</t>
  </si>
  <si>
    <t>DROGARIA CONFIANCA</t>
  </si>
  <si>
    <t>MAIS HIPER POPULAR</t>
  </si>
  <si>
    <t>VILA BELA DA SANTISSIMA TRINDADE</t>
  </si>
  <si>
    <t>TRI FARMA</t>
  </si>
  <si>
    <t>DROGARIA SEMPREAMERICA</t>
  </si>
  <si>
    <t>FARMACIA GERALDO TOMAS</t>
  </si>
  <si>
    <t>ARAGUAIANA</t>
  </si>
  <si>
    <t>DROGARIAS MAXI POPULAR</t>
  </si>
  <si>
    <t>DROGA BOX</t>
  </si>
  <si>
    <t>FARMA FACIL</t>
  </si>
  <si>
    <t>JP MEDICAMENTOS E PERFUMARIAS</t>
  </si>
  <si>
    <t>DROGARIA IMPERATRIZ</t>
  </si>
  <si>
    <t>FARMANIA</t>
  </si>
  <si>
    <t>DROGARIA DROGA BARAO</t>
  </si>
  <si>
    <t>FARMACIA SAO MATEUS</t>
  </si>
  <si>
    <t>BIODROGAS</t>
  </si>
  <si>
    <t>ESSENCIAL VIDA</t>
  </si>
  <si>
    <t>BIRIGUI</t>
  </si>
  <si>
    <t>FCIA ANHANI &amp; LISBOA</t>
  </si>
  <si>
    <t>MIRANDOPOLIS</t>
  </si>
  <si>
    <t>FARMACIA PROGRESSO</t>
  </si>
  <si>
    <t>FATIMA DO SUL</t>
  </si>
  <si>
    <t>DROGARIA TOTAL PIACATU</t>
  </si>
  <si>
    <t>PIACATU</t>
  </si>
  <si>
    <t>OSVALDO CRUZ</t>
  </si>
  <si>
    <t>FARMA MIL</t>
  </si>
  <si>
    <t>DROGARIA PARANATINGA</t>
  </si>
  <si>
    <t>NOVO DIAMANTINO (DIAMANTINO)</t>
  </si>
  <si>
    <t>FARMACIA CENTRAL</t>
  </si>
  <si>
    <t>DROGARIA DMD</t>
  </si>
  <si>
    <t>DROGARIA ESPIRITO SANTO EIRELI</t>
  </si>
  <si>
    <t>DROGARIA MAIS GERAL</t>
  </si>
  <si>
    <t>DROGARIA RIO FARMA</t>
  </si>
  <si>
    <t>PANORAMA</t>
  </si>
  <si>
    <t>DROGARIA SAO LUIZ</t>
  </si>
  <si>
    <t>DROGARIA CENTRALFARMA</t>
  </si>
  <si>
    <t>FARMACIA PRIVATIVA UNIMED</t>
  </si>
  <si>
    <t>DRACENA</t>
  </si>
  <si>
    <t>UNIMED</t>
  </si>
  <si>
    <t>DROGARIA MS POPULAR</t>
  </si>
  <si>
    <t>PRESIDENTE VENCESLAU</t>
  </si>
  <si>
    <t>FARMACIA ODEON</t>
  </si>
  <si>
    <t>TRES LAGOAS</t>
  </si>
  <si>
    <t>DROGARIA RODRIGUES</t>
  </si>
  <si>
    <t>DROGARIA BETEL</t>
  </si>
  <si>
    <t>DROGARIA NOVA VIDA</t>
  </si>
  <si>
    <t>EMILIANOPOLIS</t>
  </si>
  <si>
    <t>PRESIDENTE EPITACIO</t>
  </si>
  <si>
    <t>DROG SANTO ANTONIO</t>
  </si>
  <si>
    <t>ROSARIO OESTE</t>
  </si>
  <si>
    <t>DROGARIA DO RUBENS</t>
  </si>
  <si>
    <t>COLIDER</t>
  </si>
  <si>
    <t>DROGA VIDA</t>
  </si>
  <si>
    <t>NOVA XAVANTINA</t>
  </si>
  <si>
    <t>GUIRATINGA</t>
  </si>
  <si>
    <t>DROGARIA NANDA</t>
  </si>
  <si>
    <t>DROGARIA BIOFARMA</t>
  </si>
  <si>
    <t>POCONE</t>
  </si>
  <si>
    <t>FARMACIA MATOGROSSENSE</t>
  </si>
  <si>
    <t>FCIA NAJA</t>
  </si>
  <si>
    <t>DROGARIA BEM ESTAR</t>
  </si>
  <si>
    <t>PONTAL DO ARAGUAIA</t>
  </si>
  <si>
    <t>DROGARIA SAO LUCAS</t>
  </si>
  <si>
    <t>PEDRA PRETA</t>
  </si>
  <si>
    <t>DROG RIZZO</t>
  </si>
  <si>
    <t>DROGARIA MEGA SAUDE POPULAR</t>
  </si>
  <si>
    <t>DROGARIA DROGAMED</t>
  </si>
  <si>
    <t>FARMACIA MODERNA</t>
  </si>
  <si>
    <t>LUCELIA</t>
  </si>
  <si>
    <t>TARABAI</t>
  </si>
  <si>
    <t>DROG MACHADO</t>
  </si>
  <si>
    <t>DROGARIA SILVA</t>
  </si>
  <si>
    <t>FCIA SANTA TEREZINHA</t>
  </si>
  <si>
    <t>DROG NOSSA SENHORA APAREC</t>
  </si>
  <si>
    <t>BELLA PHARMA - FARMACIA E MANIPULACAO</t>
  </si>
  <si>
    <t>JOTAFARMA</t>
  </si>
  <si>
    <t>FARMACIA VITA FARMA II</t>
  </si>
  <si>
    <t>FUZAFARMA</t>
  </si>
  <si>
    <t>DROGARIA NOVA FARMA</t>
  </si>
  <si>
    <t>DROGAMIX</t>
  </si>
  <si>
    <t>FARMACIA ECCOCHAPADA</t>
  </si>
  <si>
    <t>DROGARIA LIDER</t>
  </si>
  <si>
    <t>DROGARIA CUSTO POPULAR</t>
  </si>
  <si>
    <t>DROG DROGATEM</t>
  </si>
  <si>
    <t>DROGA SOL</t>
  </si>
  <si>
    <t>PACAEMBU</t>
  </si>
  <si>
    <t>BETAFARMA</t>
  </si>
  <si>
    <t>DROGARIAS COMPRE MAIS VG</t>
  </si>
  <si>
    <t>DROGARIAS COMPRE MAIS</t>
  </si>
  <si>
    <t>DROGARIA DROGANOSSA</t>
  </si>
  <si>
    <t>GUARACAI</t>
  </si>
  <si>
    <t>DROG AGUAPE</t>
  </si>
  <si>
    <t>DROGARIA AMERICANA</t>
  </si>
  <si>
    <t>SAO JOSE DO RIO CLARO</t>
  </si>
  <si>
    <t>FCIA DO EDSON</t>
  </si>
  <si>
    <t>DROG L S DO NASCIMENTO</t>
  </si>
  <si>
    <t>FARMINEI POPULAR</t>
  </si>
  <si>
    <t>FARMACIA PLANALTO</t>
  </si>
  <si>
    <t>DROGARIA DO FERNANDINHO</t>
  </si>
  <si>
    <t>CARLINDA</t>
  </si>
  <si>
    <t>DROGARIA AQUIDAUANA</t>
  </si>
  <si>
    <t>DROGARIA NS</t>
  </si>
  <si>
    <t>FARMACIA MARACAJU FARMA</t>
  </si>
  <si>
    <t xml:space="preserve">MATUPA                                            </t>
  </si>
  <si>
    <t>DROG MILENA</t>
  </si>
  <si>
    <t>FARMACIA VASCO</t>
  </si>
  <si>
    <t>BONITO</t>
  </si>
  <si>
    <t>DROGARIA PARANA</t>
  </si>
  <si>
    <t>DROGARIA DO POVO</t>
  </si>
  <si>
    <t>RIO VERDE DE MATO GROSSO</t>
  </si>
  <si>
    <t>FARMAZIL</t>
  </si>
  <si>
    <t>DROGA VIVA</t>
  </si>
  <si>
    <t>DROGARIA POUPE JA</t>
  </si>
  <si>
    <t>DROGARIA ATIVA</t>
  </si>
  <si>
    <t>MEGA FARMA</t>
  </si>
  <si>
    <t>CULTURAMA (FATIMA DO SUL)</t>
  </si>
  <si>
    <t>DROGARIA ATIVA SAUDE</t>
  </si>
  <si>
    <t>DROGARIAS MOURA</t>
  </si>
  <si>
    <t>FARMACIA MAIS ECONOMICA</t>
  </si>
  <si>
    <t>FARMACIA E DROGARIA DROGACERTA</t>
  </si>
  <si>
    <t>CLAUDINEI SARTORI DROGARIA</t>
  </si>
  <si>
    <t>ARACATUBA</t>
  </si>
  <si>
    <t>TIAGO DE JESUS MOREIRA</t>
  </si>
  <si>
    <t>SEVEN PHARMA</t>
  </si>
  <si>
    <t>DROGARIA MAIS AMERICA</t>
  </si>
  <si>
    <t>DROG NEIDE M S P CAMARGO</t>
  </si>
  <si>
    <t>FARMACIA SANTA CATARINA DE PRESIDENTE PRUDENTE LTD</t>
  </si>
  <si>
    <t>NARANDIBA</t>
  </si>
  <si>
    <t>DROG SOLUCAO</t>
  </si>
  <si>
    <t>FARMACIA CENTRO AMERICA</t>
  </si>
  <si>
    <t>BENTO DE ABREU</t>
  </si>
  <si>
    <t>DROGARIA BRASNORTE</t>
  </si>
  <si>
    <t>FARMASUL</t>
  </si>
  <si>
    <t>FARMACIA POPULAR MENDONCA</t>
  </si>
  <si>
    <t>DROGARIA MAIS VIDA</t>
  </si>
  <si>
    <t>ODEON</t>
  </si>
  <si>
    <t>DROGARIA LIBERAL</t>
  </si>
  <si>
    <t>JUARA</t>
  </si>
  <si>
    <t>FCIA SAO MARCOS</t>
  </si>
  <si>
    <t>DROGA MERY</t>
  </si>
  <si>
    <t>DROGARIA SEIS IRMAOS</t>
  </si>
  <si>
    <t>DROGAFARMA</t>
  </si>
  <si>
    <t>DROGAVIDA CENTRO</t>
  </si>
  <si>
    <t>FARMACIA ECONOMIZE SINOP</t>
  </si>
  <si>
    <t>NOVA MONTE VERDE</t>
  </si>
  <si>
    <t>FARMACIA DO ZENILDO</t>
  </si>
  <si>
    <t>DROGA LUZ</t>
  </si>
  <si>
    <t>SZOCHALEWICZ, VALESSI &amp; CIA</t>
  </si>
  <si>
    <t>FARMACIA POUP AQUI</t>
  </si>
  <si>
    <t>REDE POUPE AQUI</t>
  </si>
  <si>
    <t>FARMACIA + SAUDE</t>
  </si>
  <si>
    <t>DROGARIAS FL DO LUIZINHO</t>
  </si>
  <si>
    <t>EDU FARMA</t>
  </si>
  <si>
    <t>FARMACIA POPULAR SANTA LUZIA</t>
  </si>
  <si>
    <t>DROGARIA DROGA VIDA</t>
  </si>
  <si>
    <t>DROGAZE</t>
  </si>
  <si>
    <t>FARMACIAS MAIS ECONOMICA</t>
  </si>
  <si>
    <t xml:space="preserve">BARRA DO BUGRES                                   </t>
  </si>
  <si>
    <t>DROGARIA BEM POPULAR</t>
  </si>
  <si>
    <t>DROG OPERARIA</t>
  </si>
  <si>
    <t>DROG SAO LUCAS</t>
  </si>
  <si>
    <t>DROGARIA E CIRURGICA SANTA CECILIA</t>
  </si>
  <si>
    <t>FARMA LIVIA</t>
  </si>
  <si>
    <t>MIRANTE DO PARANAPANEMA</t>
  </si>
  <si>
    <t>DROGARIA NEBRASCA 24H</t>
  </si>
  <si>
    <t>DROGARIA BOM PASTOR</t>
  </si>
  <si>
    <t>DROGARIA LOCATELLI</t>
  </si>
  <si>
    <t>FARMACIA DO POLACO</t>
  </si>
  <si>
    <t>PRAMYM DROGARIAS</t>
  </si>
  <si>
    <t>DROGARIA NOVAPHARMA</t>
  </si>
  <si>
    <t>DROGARIA SANTA LUZIA</t>
  </si>
  <si>
    <t>ESPACO FARMACIA SAUDE</t>
  </si>
  <si>
    <t>CAASP</t>
  </si>
  <si>
    <t>J.F MEDICAMENTOS E PERFUMARIA</t>
  </si>
  <si>
    <t>FARMACIA MAIS VIDA</t>
  </si>
  <si>
    <t>NOVA FARMA</t>
  </si>
  <si>
    <t>FARMACIA MACHADO</t>
  </si>
  <si>
    <t>DROGA VITA</t>
  </si>
  <si>
    <t>BIG FARMA POPULAR</t>
  </si>
  <si>
    <t>FARMACIA SANTA LUCIA</t>
  </si>
  <si>
    <t>GRUPO MULTIFARMA - UNIDADE PRACA</t>
  </si>
  <si>
    <t>GRUPO MF</t>
  </si>
  <si>
    <t>REDE MARIA S - FARMACIA GLOBO</t>
  </si>
  <si>
    <t>RANCHARIA</t>
  </si>
  <si>
    <t>ROSANA</t>
  </si>
  <si>
    <t>FARMACIA LUZ E VIDA</t>
  </si>
  <si>
    <t>FCIA FARMASSIST</t>
  </si>
  <si>
    <t>GUIA LOPES DA LAGUNA</t>
  </si>
  <si>
    <t>FARMACIA FARMAVIDA</t>
  </si>
  <si>
    <t>FARMACIA UNIVERSAL</t>
  </si>
  <si>
    <t>DROGARIA SAO JOAO</t>
  </si>
  <si>
    <t>DROGA MASTER</t>
  </si>
  <si>
    <t>MOREIRA FARMA</t>
  </si>
  <si>
    <t>INDIANA</t>
  </si>
  <si>
    <t>FARMACIA UNIFARMA</t>
  </si>
  <si>
    <t>FARMACIAS POPULAR BAIRRO</t>
  </si>
  <si>
    <t>INOVA FARMA</t>
  </si>
  <si>
    <t>DROGARIA PLANALTO</t>
  </si>
  <si>
    <t>FARMACIA PRO SAUDE</t>
  </si>
  <si>
    <t>DROGARIA ULTRA POPULAR PENAPOLIS</t>
  </si>
  <si>
    <t>DROGARIA ULTRA NACIONAL</t>
  </si>
  <si>
    <t>DROGARIA DROGAGIL</t>
  </si>
  <si>
    <t>FARMACIA DO ADILSON</t>
  </si>
  <si>
    <t>ITIQUIRA</t>
  </si>
  <si>
    <t>FCIA SAO JOAO</t>
  </si>
  <si>
    <t>BATAGUASSU</t>
  </si>
  <si>
    <t>FARMACIA SAO JOSE</t>
  </si>
  <si>
    <t>COSTA RICA</t>
  </si>
  <si>
    <t>FARMACIA MEGA POPULAR</t>
  </si>
  <si>
    <t>CLAUDIA</t>
  </si>
  <si>
    <t>DROGARIA TALHAMARES III</t>
  </si>
  <si>
    <t>FARMACIA SUPER POPULAR</t>
  </si>
  <si>
    <t>DROGARIA FARMELHOR</t>
  </si>
  <si>
    <t>FARMELHOR</t>
  </si>
  <si>
    <t>RINOPOLIS</t>
  </si>
  <si>
    <t>FARMACIA BIOFARMA</t>
  </si>
  <si>
    <t>FARMAIS TEODORO SAMPAIO</t>
  </si>
  <si>
    <t>FARMACIA FLORAL</t>
  </si>
  <si>
    <t>FCIA SANTA ISABEL</t>
  </si>
  <si>
    <t>MONTE CASTELO</t>
  </si>
  <si>
    <t>TARUMA</t>
  </si>
  <si>
    <t>FCIA SANTO ANTONIO</t>
  </si>
  <si>
    <t>ULTRA POPULAR</t>
  </si>
  <si>
    <t>DROGARIA IGUATEMI</t>
  </si>
  <si>
    <t>DROGARIA COHAB LTDA ME</t>
  </si>
  <si>
    <t>DROGARIA SANTOS TORRES E OLIVEIRA</t>
  </si>
  <si>
    <t>CENTROFARMA</t>
  </si>
  <si>
    <t>FARMACIA PLURI PHARMA</t>
  </si>
  <si>
    <t>DROGARIA PALMIER</t>
  </si>
  <si>
    <t>DROGARIA VIDA E SAUDE TOTAL UNIDADE LEONOR</t>
  </si>
  <si>
    <t>FARMACIA POPULAR EM CASA</t>
  </si>
  <si>
    <t>SUPREMA FARMA SORRISO</t>
  </si>
  <si>
    <t>FARMACIA MODERNA + POPULAR DOIS</t>
  </si>
  <si>
    <t>FARMABEM</t>
  </si>
  <si>
    <t>DROGARIA SAUDE POPULAR</t>
  </si>
  <si>
    <t>FARMACIA FAR MED</t>
  </si>
  <si>
    <t>W M S DROGARIA</t>
  </si>
  <si>
    <t>DROGARIA NOSSA SENHORA DAS GRACAS</t>
  </si>
  <si>
    <t>PHARMA VIDA III</t>
  </si>
  <si>
    <t>FARMARCIA GERIZIM</t>
  </si>
  <si>
    <t>RIBAS DO RIO PARDO</t>
  </si>
  <si>
    <t>MEDEIROS &amp; GALINDO</t>
  </si>
  <si>
    <t>DROGARIA DO LAR</t>
  </si>
  <si>
    <t>LABOR/FARMACIA ANA JACINTA</t>
  </si>
  <si>
    <t>DROG DROGA NOVA</t>
  </si>
  <si>
    <t>DROG SANTA EFIGENIA</t>
  </si>
  <si>
    <t>DROG JANINI</t>
  </si>
  <si>
    <t>CASTILHO</t>
  </si>
  <si>
    <t>DROG LIVRAMENTO</t>
  </si>
  <si>
    <t>NOSSA SENHORA DO LIVRAMENTO</t>
  </si>
  <si>
    <t>FARMAVIDA FARMACIA</t>
  </si>
  <si>
    <t>SAPEZAL</t>
  </si>
  <si>
    <t>DROG PRUDENFARMA</t>
  </si>
  <si>
    <t>DROG DROGA BOM JESUS</t>
  </si>
  <si>
    <t>DROGARIA VIOLETAS</t>
  </si>
  <si>
    <t>DROGARIA I&amp;E KROLING</t>
  </si>
  <si>
    <t>COMERCIAL DE MEDICAMENTOS E PERFUMARIA CANAZUE</t>
  </si>
  <si>
    <t>FARMA DELTA</t>
  </si>
  <si>
    <t>CAMPOS DE JULIO</t>
  </si>
  <si>
    <t>REGENTE FEIJO</t>
  </si>
  <si>
    <t>7 PHARMA</t>
  </si>
  <si>
    <t>FARMASUSI</t>
  </si>
  <si>
    <t>ALVARES MACHADO</t>
  </si>
  <si>
    <t>G S C TREIS</t>
  </si>
  <si>
    <t>DROGARIA BRASIL SUL</t>
  </si>
  <si>
    <t>FARMACIA ESSENCIAL</t>
  </si>
  <si>
    <t>FCIA RANGDORF</t>
  </si>
  <si>
    <t>DR DIELGUE FARMA</t>
  </si>
  <si>
    <t>VGFARMA</t>
  </si>
  <si>
    <t>PARAGUACU PAULISTA</t>
  </si>
  <si>
    <t>FCIA MARCONDENSE</t>
  </si>
  <si>
    <t>ALFREDO MARCONDES</t>
  </si>
  <si>
    <t>DROGARIA CORACAO DE JESUS</t>
  </si>
  <si>
    <t>DROG SANTA RITA</t>
  </si>
  <si>
    <t>DROGARIA G PHARMA</t>
  </si>
  <si>
    <t>FARMACIA POPULAR BOA SAUDE</t>
  </si>
  <si>
    <t>LIDER FARMA</t>
  </si>
  <si>
    <t>SISFARMA</t>
  </si>
  <si>
    <t>FARMA 10</t>
  </si>
  <si>
    <t>DROGARIA MAIS SAUDE</t>
  </si>
  <si>
    <t>DROGARIA BEM MAIS POPULAR</t>
  </si>
  <si>
    <t>DROGARIA PORTO X LTDA</t>
  </si>
  <si>
    <t>FARMANOVA</t>
  </si>
  <si>
    <t>DROGARIA DROGA FACIL</t>
  </si>
  <si>
    <t>REDE SOMA</t>
  </si>
  <si>
    <t>DROGARIA FAMILIA</t>
  </si>
  <si>
    <t>FARMALINE</t>
  </si>
  <si>
    <t>DROGALIN</t>
  </si>
  <si>
    <t>FCIA SANRIVAL</t>
  </si>
  <si>
    <t>FARMACIA MAIS</t>
  </si>
  <si>
    <t>FARMACIA ROMA</t>
  </si>
  <si>
    <t>DROGARIA MENOR PRECO</t>
  </si>
  <si>
    <t>FCIA ANTONINHO LTDA</t>
  </si>
  <si>
    <t>ANTONIO CLAUDIO TALON</t>
  </si>
  <si>
    <t>FARMACIA KASPEICHAKI</t>
  </si>
  <si>
    <t>DROGARIA NOVA AMERICA</t>
  </si>
  <si>
    <t>FARMA TCHE</t>
  </si>
  <si>
    <t>FARMACIA SANTA CRUZ</t>
  </si>
  <si>
    <t>MARACAI</t>
  </si>
  <si>
    <t>DROGARIA POPULAR</t>
  </si>
  <si>
    <t>DROGARIA DR. FABIO</t>
  </si>
  <si>
    <t>REDE MASTER FARMA</t>
  </si>
  <si>
    <t>DROGARIA ECONOMIZE</t>
  </si>
  <si>
    <t>DISC FARMA</t>
  </si>
  <si>
    <t>FARMACIA INDEPENDENCIA</t>
  </si>
  <si>
    <t>MATUPA</t>
  </si>
  <si>
    <t>DROGARIA MERIDIONAL</t>
  </si>
  <si>
    <t>DROGARIA ARARAS</t>
  </si>
  <si>
    <t>VISTA BELA DROGARIA</t>
  </si>
  <si>
    <t>LUCREMAIS</t>
  </si>
  <si>
    <t>FARMACIA CV POPULAR</t>
  </si>
  <si>
    <t>M. A. GIACOMETTI DROGARIA</t>
  </si>
  <si>
    <t>J FARMA POPULAR</t>
  </si>
  <si>
    <t>AMERICANA SAUDE</t>
  </si>
  <si>
    <t>DROGARIA SAO GERONIMO</t>
  </si>
  <si>
    <t>TACIBA</t>
  </si>
  <si>
    <t>FARMACIA SANRIVAL II</t>
  </si>
  <si>
    <t>DROGARIA CRISTAL</t>
  </si>
  <si>
    <t>DROGARIA PRIMAVERA</t>
  </si>
  <si>
    <t>DROGARIA AVENIDA LTDA</t>
  </si>
  <si>
    <t>DROGARIA SONORA SUPER POPULAR</t>
  </si>
  <si>
    <t>DROGARIA ULTRA ECONOMICA</t>
  </si>
  <si>
    <t>DIVINA FARMA</t>
  </si>
  <si>
    <t>DROGARIA DOS AMIGOS FILIAL III</t>
  </si>
  <si>
    <t>DROGARIA POLIFARMA</t>
  </si>
  <si>
    <t>DROG AVENIDA</t>
  </si>
  <si>
    <t>FARMACIA SANTO ANTONIO</t>
  </si>
  <si>
    <t>FARMACIA ALMEIDA + POPULAR</t>
  </si>
  <si>
    <t>DROGARIA UNIFARMA</t>
  </si>
  <si>
    <t>DROG ARENAPOLIS</t>
  </si>
  <si>
    <t>FARMA JARDIM</t>
  </si>
  <si>
    <t>DROGARIA RONDONOPOLIS</t>
  </si>
  <si>
    <t>DROGARIA BELA VISTA</t>
  </si>
  <si>
    <t>DROGAO POPULAR</t>
  </si>
  <si>
    <t>FARMA POP</t>
  </si>
  <si>
    <t>PARAISO DAS AGUAS</t>
  </si>
  <si>
    <t>DROGARIA SAO GERALDO</t>
  </si>
  <si>
    <t>DROGARIA POUPA LAR</t>
  </si>
  <si>
    <t>POUPE MAIS FARMA</t>
  </si>
  <si>
    <t>SANTA RITA DO PARDO</t>
  </si>
  <si>
    <t>GRUPO MELHOR COMPRA</t>
  </si>
  <si>
    <t>BEC COMERCIO DE MEDICAMENTOS FARMACIA</t>
  </si>
  <si>
    <t>FARMACIA DROGACITY</t>
  </si>
  <si>
    <t>FCIA DROGA CRUZ</t>
  </si>
  <si>
    <t>DROG SAO JOSE MANIP</t>
  </si>
  <si>
    <t>DROGARIA VIDA &amp; SAUDE</t>
  </si>
  <si>
    <t>SANTO EXPEDITO</t>
  </si>
  <si>
    <t>DROGARIA DOSE CERTA</t>
  </si>
  <si>
    <t>DROGARIA MEIO PRECO</t>
  </si>
  <si>
    <t>DROGARIA ULTRA POPULAR DE AGUA BOA</t>
  </si>
  <si>
    <t>DROGARIA NIPON</t>
  </si>
  <si>
    <t>DROGARIA DESTRO</t>
  </si>
  <si>
    <t>FARMACIA DO CLOVIS</t>
  </si>
  <si>
    <t>TUPI PAULISTA</t>
  </si>
  <si>
    <t>MARCELANDIA</t>
  </si>
  <si>
    <t>DROGARIAS VIP</t>
  </si>
  <si>
    <t>DROGARIA POPULAR JD. AEROPORTO</t>
  </si>
  <si>
    <t>USIFARMA</t>
  </si>
  <si>
    <t>DROGARIA BARAO</t>
  </si>
  <si>
    <t>HIPERPOPULAR DROGARIA AF</t>
  </si>
  <si>
    <t>FCIA HILDA F S OLIVEIRA</t>
  </si>
  <si>
    <t>FARMACIA IRAPURU</t>
  </si>
  <si>
    <t>IRAPURU</t>
  </si>
  <si>
    <t>DROGA BEM</t>
  </si>
  <si>
    <t>DROGARIA FARMACIL II</t>
  </si>
  <si>
    <t>DROGA ASSIS</t>
  </si>
  <si>
    <t>DROGARIA NEDER</t>
  </si>
  <si>
    <t>DROGA FARMAKO</t>
  </si>
  <si>
    <t>DROGARIA DROGANORTE</t>
  </si>
  <si>
    <t>TAPURAH</t>
  </si>
  <si>
    <t>FORMULA FARMA</t>
  </si>
  <si>
    <t>DROGARIA VIVA MAIS</t>
  </si>
  <si>
    <t>DROGARIA MEGA ECONOMICA</t>
  </si>
  <si>
    <t>TABAPORA</t>
  </si>
  <si>
    <t>FARMACIA BEM MAIS POPULAR</t>
  </si>
  <si>
    <t>FARMACIA POPULAR MAIS SAUDE</t>
  </si>
  <si>
    <t>NAYARA F. S. BRITTO</t>
  </si>
  <si>
    <t>FARMACIA + POPULAR</t>
  </si>
  <si>
    <t>DROGARIA TOTAL JUSSARA</t>
  </si>
  <si>
    <t>DROGARIA UNIVERSO</t>
  </si>
  <si>
    <t>DROGARIA LIDER II</t>
  </si>
  <si>
    <t>FARMACIA MOURA E ASSIS</t>
  </si>
  <si>
    <t>FDA PRODUTOS FARMACEUTICOS</t>
  </si>
  <si>
    <t>CARLOS EDUARDO MARCILIO ANHANI &amp; CIA (FARMACIA)</t>
  </si>
  <si>
    <t>UP 2</t>
  </si>
  <si>
    <t>DROGARIA BIG MAIS</t>
  </si>
  <si>
    <t>DROGARIA ELDORADO PENAPOLIS</t>
  </si>
  <si>
    <t>PANTANAL COMERCIO DE MEDICAMENTOS</t>
  </si>
  <si>
    <t>DROGARIA CERTA</t>
  </si>
  <si>
    <t>F. H. S. MATRICARDI DROGARIA PIRAPOZINHO</t>
  </si>
  <si>
    <t>DROGARIA NOVA ESPERANCA</t>
  </si>
  <si>
    <t>VENCESLAU FARMA</t>
  </si>
  <si>
    <t>PFR COMERCIO DE MEDICAMENTOS E PERFUMARIA</t>
  </si>
  <si>
    <t>VICENTINA</t>
  </si>
  <si>
    <t>MINAS FARMA CARMINDO</t>
  </si>
  <si>
    <t>FARMACIA HIPER POPULAR</t>
  </si>
  <si>
    <t>DROGARIA GLOBO</t>
  </si>
  <si>
    <t>DROGARIA CLAUDIAFARMA</t>
  </si>
  <si>
    <t>FCIA MANIP ALQUIMIA</t>
  </si>
  <si>
    <t>DROG ODEON II</t>
  </si>
  <si>
    <t>DROGARIA OPERARIA II</t>
  </si>
  <si>
    <t>MASTER FARMA</t>
  </si>
  <si>
    <t>PRIME FARMA</t>
  </si>
  <si>
    <t>DROGARIA PARAISO</t>
  </si>
  <si>
    <t>DROGARIA MAIS SAUDE POPULAR</t>
  </si>
  <si>
    <t>HIPER POPULAR DROGARIA</t>
  </si>
  <si>
    <t>DROGARIA POPULAR SAUDE FARMA FILIAL 2</t>
  </si>
  <si>
    <t>FARMAVOCE</t>
  </si>
  <si>
    <t>DROGARIA BEM MAIS POPULAR BRASIL</t>
  </si>
  <si>
    <t>INOVEFARMA</t>
  </si>
  <si>
    <t>DROGARIA SAO LOURENCO</t>
  </si>
  <si>
    <t>DROGARIA MONTALVAO</t>
  </si>
  <si>
    <t>DROGARIA PRO VIDA</t>
  </si>
  <si>
    <t>CRIS FARMA</t>
  </si>
  <si>
    <t>REDE ANAFARMA - UNIDADE PRESIDENTE</t>
  </si>
  <si>
    <t>DROGARIA ULTRA + VIDA</t>
  </si>
  <si>
    <t>DROGARIAS MATOS</t>
  </si>
  <si>
    <t>DROGARIA DINAMICA</t>
  </si>
  <si>
    <t>DROGARIA UNIAO</t>
  </si>
  <si>
    <t>DROGARIA RODOVIARIA</t>
  </si>
  <si>
    <t>DRUGSTORE NEBRASCA 24H</t>
  </si>
  <si>
    <t>DROGARIA SANTO ANTONIO</t>
  </si>
  <si>
    <t>FCIA CENTRAL</t>
  </si>
  <si>
    <t>BRAUNA</t>
  </si>
  <si>
    <t>DROGARIA MAXIMO</t>
  </si>
  <si>
    <t>FLEXXI FARMA E BENEFICIOS</t>
  </si>
  <si>
    <t>FCIA VICENTE L LENTE</t>
  </si>
  <si>
    <t>FARMACIA SANTA CATARINA</t>
  </si>
  <si>
    <t>FCIA VALDIR JACINTO</t>
  </si>
  <si>
    <t>INDAPOLIS (DOURADOS)</t>
  </si>
  <si>
    <t>DROGALAR</t>
  </si>
  <si>
    <t>FCIA POPULAR</t>
  </si>
  <si>
    <t>DROGARIA TARUMA</t>
  </si>
  <si>
    <t>DROGARIA POPULAR II</t>
  </si>
  <si>
    <t>DROGARIA OPCAO</t>
  </si>
  <si>
    <t>DROGARIA DROGA TEM</t>
  </si>
  <si>
    <t>FARMAIVI</t>
  </si>
  <si>
    <t>FARMACIA REZENFARMA</t>
  </si>
  <si>
    <t>FCIA CITELI &amp; CIA</t>
  </si>
  <si>
    <t>FARMARELA</t>
  </si>
  <si>
    <t>CONSULTE FARMA</t>
  </si>
  <si>
    <t>DROG LEITE BARBOSA</t>
  </si>
  <si>
    <t>DROGARIA DO PAULINHO</t>
  </si>
  <si>
    <t>DROGARIA IBIRAPUERA</t>
  </si>
  <si>
    <t>FCIA FARMA FACIL</t>
  </si>
  <si>
    <t>FARMAJULIA</t>
  </si>
  <si>
    <t>MULTI FARMA</t>
  </si>
  <si>
    <t>DROGARIA ESTRELA GUIA</t>
  </si>
  <si>
    <t>FAMARCIA CENTRAL</t>
  </si>
  <si>
    <t>SANTOPOLIS DO AGUAPEI</t>
  </si>
  <si>
    <t>ALVORADA FARMA</t>
  </si>
  <si>
    <t>AMPLA FARMA</t>
  </si>
  <si>
    <t>L. I. MEGA POPULAR</t>
  </si>
  <si>
    <t>ULTRA POPULAR SAO JOSE DO RIO CLARO</t>
  </si>
  <si>
    <t>ULTRA POPULAR COLIDER FILIAL 05</t>
  </si>
  <si>
    <t>RM FARMA RONDONOPOLIS</t>
  </si>
  <si>
    <t>DROGARIA+SAUDE</t>
  </si>
  <si>
    <t>FARMACIA DOM ORIONE</t>
  </si>
  <si>
    <t>FARMAMIL</t>
  </si>
  <si>
    <t>MEGA DESCONTAO FARMA</t>
  </si>
  <si>
    <t>DROG RODOFARMA</t>
  </si>
  <si>
    <t>TUPA</t>
  </si>
  <si>
    <t>DROG ATUAL</t>
  </si>
  <si>
    <t>DROG SILVA</t>
  </si>
  <si>
    <t>PAULICEIA</t>
  </si>
  <si>
    <t>SAO JOSE I</t>
  </si>
  <si>
    <t>DROG BOA ESPERANCA</t>
  </si>
  <si>
    <t>OLIVEIRA FARMA</t>
  </si>
  <si>
    <t>FARMACIA MEDICAMENTO BARATO</t>
  </si>
  <si>
    <t>ATUAL FARMA</t>
  </si>
  <si>
    <t>DROGA MAIS SUPER POPULAR</t>
  </si>
  <si>
    <t>IRMAS GONCALVES PENAPOLIS</t>
  </si>
  <si>
    <t>DROGARIA ULTRAPOPULAR II</t>
  </si>
  <si>
    <t>DROGARIA GOIAS</t>
  </si>
  <si>
    <t>FARMACIA NAKAYAMA LTDA</t>
  </si>
  <si>
    <t>DROGARELLI</t>
  </si>
  <si>
    <t>NOVA GUATAPORANGA</t>
  </si>
  <si>
    <t>DROG SAO PAULO</t>
  </si>
  <si>
    <t>DROG SANTA LUZIA</t>
  </si>
  <si>
    <t>FCIA SANTA MONICA</t>
  </si>
  <si>
    <t>FARMA VIDA II</t>
  </si>
  <si>
    <t>DROG FABIANA</t>
  </si>
  <si>
    <t>EDUFARMA</t>
  </si>
  <si>
    <t>FCIA NAVIRAI</t>
  </si>
  <si>
    <t>DROGARIA BRASIL</t>
  </si>
  <si>
    <t>FCIA FARMA E CIA</t>
  </si>
  <si>
    <t>DROGARIA OPCAO POPULAR</t>
  </si>
  <si>
    <t>DROGARIA FARMA CENTER</t>
  </si>
  <si>
    <t>SUPER PRECO POPULAR</t>
  </si>
  <si>
    <t>DROGASUPER</t>
  </si>
  <si>
    <t>DROGARIA PAJU</t>
  </si>
  <si>
    <t>ABRE FARMA COMERCIO DE MEDICAMENTOS E PERFUMARIA</t>
  </si>
  <si>
    <t>DROGARIA FL DO LUIZINHO</t>
  </si>
  <si>
    <t>FARMACIA IMPERIAL</t>
  </si>
  <si>
    <t>ULTRAPOPULAR CACHOEIRA</t>
  </si>
  <si>
    <t>NERES &amp; NERES LTDA ME</t>
  </si>
  <si>
    <t>FSJ COMERCIO DE MEDICAMENTOS</t>
  </si>
  <si>
    <t>CIRURGICA VIANA LTDA</t>
  </si>
  <si>
    <t>ULTRAFARMA - FRANQUIA</t>
  </si>
  <si>
    <t>FCIA FUTURA</t>
  </si>
  <si>
    <t>ACAO FARMA</t>
  </si>
  <si>
    <t>DROGA SANTOS</t>
  </si>
  <si>
    <t>DROGACAN</t>
  </si>
  <si>
    <t>BASTOS</t>
  </si>
  <si>
    <t>FCIA GENERICO FARMA</t>
  </si>
  <si>
    <t>DROG SANTA ANA</t>
  </si>
  <si>
    <t>PRUDEN MEDICAMENTOS</t>
  </si>
  <si>
    <t>DROG CERTA</t>
  </si>
  <si>
    <t>QUEIROZ E SANTOS</t>
  </si>
  <si>
    <t>DROGARIA OURO FINO POPULAR</t>
  </si>
  <si>
    <t>DROGASETE FCIA LTDA</t>
  </si>
  <si>
    <t>FARMA KILL</t>
  </si>
  <si>
    <t>DROGARIA INTERNACIONAL</t>
  </si>
  <si>
    <t>FARMACIA FAVORITA</t>
  </si>
  <si>
    <t>FARMUTUM</t>
  </si>
  <si>
    <t>VIVAMAIS FARMA</t>
  </si>
  <si>
    <t>DROG SAUDE</t>
  </si>
  <si>
    <t>DROGARIA NOVAFARMA</t>
  </si>
  <si>
    <t>NOVA INDEPENDENCIA</t>
  </si>
  <si>
    <t>MAXPHARMA</t>
  </si>
  <si>
    <t>FARMACIA DROGANOSSA</t>
  </si>
  <si>
    <t>DROGARIA + SINOP</t>
  </si>
  <si>
    <t>DIFARMA</t>
  </si>
  <si>
    <t>DROGARIA LIDERANCA</t>
  </si>
  <si>
    <t>GLORIA D'OESTE</t>
  </si>
  <si>
    <t>DROGAVIDA CIDADE NOVA</t>
  </si>
  <si>
    <t>FCIA OURO PRETO</t>
  </si>
  <si>
    <t>FCIA SANTA LUZIA II</t>
  </si>
  <si>
    <t>DROGARIA SAO CRISTOVAO</t>
  </si>
  <si>
    <t>DROG E PERF AMERICA</t>
  </si>
  <si>
    <t>FARMACIA SAO VICENTE II</t>
  </si>
  <si>
    <t>FARMACIA PROGRESSO 2</t>
  </si>
  <si>
    <t>DROGARIA MAXIPOPULAR</t>
  </si>
  <si>
    <t>FCIA DO POVO</t>
  </si>
  <si>
    <t>PARAPUA</t>
  </si>
  <si>
    <t>FARMACIA &amp; SAUDE</t>
  </si>
  <si>
    <t>DROG CONFIANCA</t>
  </si>
  <si>
    <t>DROG FLAVIO ASANO</t>
  </si>
  <si>
    <t>DROGARIA DROGAO POPULAR</t>
  </si>
  <si>
    <t>DROGARIA AVIACAO</t>
  </si>
  <si>
    <t>FARMACIA + ECONOMICA LADARIO</t>
  </si>
  <si>
    <t>LADARIO</t>
  </si>
  <si>
    <t>ULTRA MAXI POPULAR</t>
  </si>
  <si>
    <t>MAXI POPULAR SINOP</t>
  </si>
  <si>
    <t>FARMACIA POUPE MAIS</t>
  </si>
  <si>
    <t>POPULAR FARMA</t>
  </si>
  <si>
    <t>DROGA MAIS</t>
  </si>
  <si>
    <t>DROGARIA DROGAO</t>
  </si>
  <si>
    <t>DROGA FACIL</t>
  </si>
  <si>
    <t>DROGARIA SUL AMERICA</t>
  </si>
  <si>
    <t>DROGARIA SEMPRE AMERICA</t>
  </si>
  <si>
    <t>MS PHARMA</t>
  </si>
  <si>
    <t>DROGARIA LEVERGER</t>
  </si>
  <si>
    <t>SANTO ANTONIO DO LEVERGER</t>
  </si>
  <si>
    <t>DROG BIOFARMA</t>
  </si>
  <si>
    <t>DROGARIA ACAO</t>
  </si>
  <si>
    <t>FCIA MANIP ANASFARMA</t>
  </si>
  <si>
    <t>DROGARIA MARTINS</t>
  </si>
  <si>
    <t>DROGARIA DENIZ FARMA</t>
  </si>
  <si>
    <t>FCIA MUNDO NOVO</t>
  </si>
  <si>
    <t>DROGARIA SAO JOSE</t>
  </si>
  <si>
    <t>DROGARIA G FARMA</t>
  </si>
  <si>
    <t>DROGARIA P. S. OLGEARIO</t>
  </si>
  <si>
    <t>FARMACIA DO POVO</t>
  </si>
  <si>
    <t>FARMACIAS POPULAR</t>
  </si>
  <si>
    <t>DROGARIA TRES IRMAOS</t>
  </si>
  <si>
    <t>DROGARIA ULTRAMED</t>
  </si>
  <si>
    <t>DROGARIA ESPERANCA</t>
  </si>
  <si>
    <t>DROGARIA UNIAO POPULAR</t>
  </si>
  <si>
    <t>LARIFARMA</t>
  </si>
  <si>
    <t>DROGARIA BONFIM</t>
  </si>
  <si>
    <t>CAMAPUA</t>
  </si>
  <si>
    <t>TERRA NOVA DO NORTE</t>
  </si>
  <si>
    <t>NOVA CANAA DO NORTE</t>
  </si>
  <si>
    <t>DROGARIA BIODROGAS</t>
  </si>
  <si>
    <t>DROGARIA BELLA FARMA</t>
  </si>
  <si>
    <t>FARMACIA POPULAR SANTA LUZIA - COMPER</t>
  </si>
  <si>
    <t>FARMACIA CONFIANCA</t>
  </si>
  <si>
    <t>POP CENTER POPULAR</t>
  </si>
  <si>
    <t>HIPER POPULAR DROGARIAS</t>
  </si>
  <si>
    <t>PHARMA SINOP</t>
  </si>
  <si>
    <t>REDE BEM DROGARIAS</t>
  </si>
  <si>
    <t>FARMACIA MAIS POPULAR</t>
  </si>
  <si>
    <t>FARMACIA NAJA V</t>
  </si>
  <si>
    <t>DROG REALEZA</t>
  </si>
  <si>
    <t>DROGARIA FARMABRAZ</t>
  </si>
  <si>
    <t>DOGRARIA MALACRIDA</t>
  </si>
  <si>
    <t>DROG NOGUCHI &amp; KATO LTDA</t>
  </si>
  <si>
    <t>OURO VERDE</t>
  </si>
  <si>
    <t>FCIA LUCINEIA FERREIRA</t>
  </si>
  <si>
    <t>FCIA SANTA TERESA</t>
  </si>
  <si>
    <t>DROGARIA NACIONAL 3</t>
  </si>
  <si>
    <t>DROGAMIL</t>
  </si>
  <si>
    <t>M &amp; G DROGARIA</t>
  </si>
  <si>
    <t>FARMACIA FARMA 1000</t>
  </si>
  <si>
    <t>VIVER MAIS</t>
  </si>
  <si>
    <t>DROG STO ANTONIO</t>
  </si>
  <si>
    <t>FARMACIA SANTA MONICA</t>
  </si>
  <si>
    <t>FCIA SANTA GEMA</t>
  </si>
  <si>
    <t>DROGARIA PRUDENTE LTDA</t>
  </si>
  <si>
    <t>FARMACIDADE</t>
  </si>
  <si>
    <t>DROGARIA CIDADE</t>
  </si>
  <si>
    <t>DROGA MAX</t>
  </si>
  <si>
    <t>DROGARIA POPULAR DO TRABALHADOR</t>
  </si>
  <si>
    <t>DROG FARMAVIDA</t>
  </si>
  <si>
    <t>ULTRA POPULAR 00129</t>
  </si>
  <si>
    <t>DROGAFIC</t>
  </si>
  <si>
    <t>DROGARIA AMERICA</t>
  </si>
  <si>
    <t>DROGARIA DROGADON</t>
  </si>
  <si>
    <t>DROGARIA ECONOMICA I I</t>
  </si>
  <si>
    <t>PEREIRA BARRETO</t>
  </si>
  <si>
    <t>FCIA DE MANIP ANGPHARMA</t>
  </si>
  <si>
    <t>FARMACIA POPULAR MAIS</t>
  </si>
  <si>
    <t>DROGARIA + ECONOMICA</t>
  </si>
  <si>
    <t>DROGARIA TREVAO</t>
  </si>
  <si>
    <t>DROG NSA SRA APARECIDA</t>
  </si>
  <si>
    <t>FARMACIA ECONOMICA</t>
  </si>
  <si>
    <t>DROGARIA REAL</t>
  </si>
  <si>
    <t>DROGARIA MENINO JESUS</t>
  </si>
  <si>
    <t>FARMACIA SAO PEDRO</t>
  </si>
  <si>
    <t>FCIA SAO JOSE</t>
  </si>
  <si>
    <t>FARMACIA UNIMED</t>
  </si>
  <si>
    <t>FCIA COMETE</t>
  </si>
  <si>
    <t>VILA VARGAS (DOURADOS)</t>
  </si>
  <si>
    <t>DROGACENTER RIBEIRO</t>
  </si>
  <si>
    <t>DROGARIA OLIRA</t>
  </si>
  <si>
    <t>IPE FARMA</t>
  </si>
  <si>
    <t>FARMACIA CRISTO REI LTDA-</t>
  </si>
  <si>
    <t>NEOFARMA POPULAR</t>
  </si>
  <si>
    <t>DROGAMAQ</t>
  </si>
  <si>
    <t>DROGARIA MARCELO</t>
  </si>
  <si>
    <t>MAIS DROGARIA AVENIDA</t>
  </si>
  <si>
    <t>FCIA SAO PAULO</t>
  </si>
  <si>
    <t>DROGARIA COHAB</t>
  </si>
  <si>
    <t>FARMACIA GERIZIM</t>
  </si>
  <si>
    <t>FARMACIA PRECO POPULAR</t>
  </si>
  <si>
    <t>DROGARIA PARECIS</t>
  </si>
  <si>
    <t>FARMACIA FARMALITTER</t>
  </si>
  <si>
    <t>BRANCO FARMA</t>
  </si>
  <si>
    <t>DROGARIAS FL DO LUIZINHO PIONEIRA</t>
  </si>
  <si>
    <t>PERRONI FARMA</t>
  </si>
  <si>
    <t>DROGARIAS POUPAQUI.</t>
  </si>
  <si>
    <t>DROGARIA SAO MARCOS</t>
  </si>
  <si>
    <t>FARMACIA SANTA LAURA</t>
  </si>
  <si>
    <t>FARMASINTESE</t>
  </si>
  <si>
    <t>ARAGUAIA FARMA</t>
  </si>
  <si>
    <t>DROGARIA FARMOVIDA</t>
  </si>
  <si>
    <t>DOIS IRMAOS DO BURITI</t>
  </si>
  <si>
    <t>NEI DROGAS II</t>
  </si>
  <si>
    <t>DROGARIA FARMACIA DO GILMAR</t>
  </si>
  <si>
    <t>FARMACIA SAGRADA FAMILIA</t>
  </si>
  <si>
    <t>FARMA PLUS</t>
  </si>
  <si>
    <t>G. E.</t>
  </si>
  <si>
    <t>SAP</t>
  </si>
  <si>
    <t>ULTRA POPULAR - GABRIELA</t>
  </si>
  <si>
    <t>ULTRA POPULAR - FERNANDA</t>
  </si>
  <si>
    <t>ULTRA POPULAR - DÉBORA</t>
  </si>
  <si>
    <t xml:space="preserve">SANTA CATARINA </t>
  </si>
  <si>
    <t>ULTRA POPULAR - DMD</t>
  </si>
  <si>
    <t>ULTRA POPULAR - ERICK</t>
  </si>
  <si>
    <t>ULTRA POPOLAR - MOLINA</t>
  </si>
  <si>
    <t>ULTRA POPULAR - MAYKEL</t>
  </si>
  <si>
    <t>ECONOMIZE - MAYCON</t>
  </si>
  <si>
    <t>ULTRA POPULAR - MAX</t>
  </si>
  <si>
    <t>REDE ECONOMIZAR</t>
  </si>
  <si>
    <t>MEGA POPULAR MT</t>
  </si>
  <si>
    <t>DROGARIA CIDADE - MT</t>
  </si>
  <si>
    <t>DROGARIA NEBRASCA</t>
  </si>
  <si>
    <t>ULTRA POPULAR - ANDREIA</t>
  </si>
  <si>
    <t>REDE ODEON</t>
  </si>
  <si>
    <t>ULTRA NACIONAL MT</t>
  </si>
  <si>
    <t>ECONOMIZE LRV</t>
  </si>
  <si>
    <t>ULTRA POPULAR - MIRANDA</t>
  </si>
  <si>
    <t>DROGAO MS</t>
  </si>
  <si>
    <t>ULTRA POPULAR - FAHD</t>
  </si>
  <si>
    <t>cota total</t>
  </si>
  <si>
    <t>mdtr total</t>
  </si>
  <si>
    <t>% MDTR</t>
  </si>
  <si>
    <t>sales total</t>
  </si>
  <si>
    <t>intermediação cota</t>
  </si>
  <si>
    <t>STATUS SCANTECH</t>
  </si>
  <si>
    <t>CLUBE DE PROMO</t>
  </si>
  <si>
    <t>TIRO CERTO</t>
  </si>
  <si>
    <t>POS. HYMPAR</t>
  </si>
  <si>
    <t>CLIENTES COM PBM</t>
  </si>
  <si>
    <t>SIM</t>
  </si>
  <si>
    <t>NÃO</t>
  </si>
  <si>
    <t>setor</t>
  </si>
  <si>
    <t>FORA SCANN</t>
  </si>
  <si>
    <t>Não</t>
  </si>
  <si>
    <t>ATIVO</t>
  </si>
  <si>
    <t>Sim</t>
  </si>
  <si>
    <t>TERMO DEVOLVIDO</t>
  </si>
  <si>
    <t>FILA DE ATIVAÇÃO</t>
  </si>
  <si>
    <t>NÃO HOMOLOGADO</t>
  </si>
  <si>
    <t>MDTR Set</t>
  </si>
  <si>
    <t>SALES Out</t>
  </si>
  <si>
    <t>CONSULTOR</t>
  </si>
  <si>
    <t>COTA (RS)</t>
  </si>
  <si>
    <t>MDTR (RS)</t>
  </si>
  <si>
    <t>COB. MDTR RS (%)</t>
  </si>
  <si>
    <t>FAT BRUTO (RS)</t>
  </si>
  <si>
    <t>COB. (RS)</t>
  </si>
  <si>
    <t>GAP MÊS MDTR</t>
  </si>
  <si>
    <t>Meta Inter.</t>
  </si>
  <si>
    <t>Meta Inter. R$</t>
  </si>
  <si>
    <t>GAP Intermed.</t>
  </si>
  <si>
    <t>847010601-RAFAEL DE OLIVEIRA NASCIMENTO</t>
  </si>
  <si>
    <t>847010602-WELLINGTON DE MORAIS DO NASCIMENTO</t>
  </si>
  <si>
    <t>847010603-ERIVALDO DA SILVA MACIEL</t>
  </si>
  <si>
    <t>847010604-LEONARDO MAZZUCO</t>
  </si>
  <si>
    <t>847010605-ISABELA CAMILA CRUCCITTI</t>
  </si>
  <si>
    <t>847010607-MANUEL ARIEDE ARTERO</t>
  </si>
  <si>
    <t>847010608-VALTER PEREIRA DA SILVA JUNIOR</t>
  </si>
  <si>
    <t>JOSE CABRAL NETO</t>
  </si>
  <si>
    <t>847010606-PRICILA MOREIRA</t>
  </si>
  <si>
    <t>DIF. COTA X MDTR</t>
  </si>
  <si>
    <t>847010606 - PRICILA MOREIRA</t>
  </si>
  <si>
    <t>Nome</t>
  </si>
  <si>
    <t>Meta Positivação</t>
  </si>
  <si>
    <t>Positivação PH</t>
  </si>
  <si>
    <t>Ating. Positivação</t>
  </si>
  <si>
    <t>gap Posit.</t>
  </si>
  <si>
    <t>Meta Faturamento (R$)</t>
  </si>
  <si>
    <t>Valor Faturado (R$)</t>
  </si>
  <si>
    <t>Ating. Faturamento</t>
  </si>
  <si>
    <t>gap Faturamento</t>
  </si>
  <si>
    <t>847010606-PRICILA MOREIRA DOS SANTOS</t>
  </si>
  <si>
    <t>SEMAVY</t>
  </si>
  <si>
    <t>COTA (UN)</t>
  </si>
  <si>
    <t>MDTR (UN)</t>
  </si>
  <si>
    <t>847010604 - LEONARDO MAZZUCO</t>
  </si>
  <si>
    <t>847010602 - WELLINGTON DE MORAIS DO NASCIMENTO</t>
  </si>
  <si>
    <t>847010606 - PRICILA MOREIRA DOS SANTOS</t>
  </si>
  <si>
    <t>847010601 - RAFAEL DE OLIVEIRA NASCIMENTO</t>
  </si>
  <si>
    <t>847010605 - ISABELA CAMILA CRUCCITTI</t>
  </si>
  <si>
    <t>847010607 - MANUEL ARIEDE ARTERO</t>
  </si>
  <si>
    <t>847010603 - ERIVALDO DA SILVA MACIEL</t>
  </si>
  <si>
    <t>847010608 - VALTER PEREIRA DA SILVA JUNIOR</t>
  </si>
  <si>
    <t xml:space="preserve">LANÇAMENTO
</t>
  </si>
  <si>
    <t>FOCO</t>
  </si>
  <si>
    <t>847164 - LEONARDO MAZZUCO</t>
  </si>
  <si>
    <t>MDTR 14.10.2026</t>
  </si>
  <si>
    <t>SALES 19.10.2026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</si>
</sst>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0.0%;\-0.0%;0.0%"/>
    <numFmt numFmtId="165" formatCode="0.0%"/>
    <numFmt numFmtId="166" formatCode="0%;\-0%;0%"/>
    <numFmt numFmtId="167" formatCode="0.0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</font>
    <font>
      <b/>
      <sz val="11"/>
      <color rgb="FFFF0000"/>
      <name val="Aptos Narrow"/>
      <family val="2"/>
    </font>
    <font>
      <sz val="11"/>
      <color rgb="FFFF0000"/>
      <name val="Aptos Narrow"/>
      <family val="2"/>
    </font>
    <font>
      <b/>
      <sz val="12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0" fillId="3" borderId="1" xfId="0" applyFill="1" applyBorder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1" fontId="0" fillId="3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0" fillId="4" borderId="1" xfId="0" applyFill="1" applyBorder="1"/>
    <xf numFmtId="1" fontId="0" fillId="3" borderId="1" xfId="0" applyNumberFormat="1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2" xfId="0" applyFont="1" applyFill="1" applyBorder="1" applyAlignment="1">
      <alignment horizontal="center"/>
    </xf>
    <xf numFmtId="0" fontId="0" fillId="3" borderId="2" xfId="0" applyFill="1" applyBorder="1"/>
    <xf numFmtId="0" fontId="0" fillId="4" borderId="2" xfId="0" applyFill="1" applyBorder="1"/>
    <xf numFmtId="0" fontId="2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2" fillId="6" borderId="1" xfId="0" applyFont="1" applyFill="1" applyBorder="1"/>
    <xf numFmtId="0" fontId="0" fillId="0" borderId="1" xfId="0" applyBorder="1" applyAlignment="1">
      <alignment horizontal="center"/>
    </xf>
    <xf numFmtId="44" fontId="0" fillId="0" borderId="1" xfId="2" applyFont="1" applyBorder="1"/>
    <xf numFmtId="9" fontId="0" fillId="0" borderId="1" xfId="1" applyFont="1" applyBorder="1" applyAlignment="1">
      <alignment horizontal="center"/>
    </xf>
    <xf numFmtId="1" fontId="0" fillId="0" borderId="1" xfId="2" applyNumberFormat="1" applyFont="1" applyBorder="1" applyAlignment="1">
      <alignment horizontal="center"/>
    </xf>
    <xf numFmtId="0" fontId="3" fillId="8" borderId="1" xfId="0" applyFont="1" applyFill="1" applyBorder="1"/>
    <xf numFmtId="0" fontId="2" fillId="9" borderId="0" xfId="0" applyFont="1" applyFill="1"/>
    <xf numFmtId="0" fontId="0" fillId="0" borderId="0" xfId="0" applyAlignment="1">
      <alignment horizontal="center"/>
    </xf>
    <xf numFmtId="0" fontId="3" fillId="10" borderId="3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0" fontId="0" fillId="4" borderId="3" xfId="0" applyFill="1" applyBorder="1"/>
    <xf numFmtId="44" fontId="1" fillId="4" borderId="3" xfId="2" applyFont="1" applyFill="1" applyBorder="1"/>
    <xf numFmtId="9" fontId="1" fillId="11" borderId="3" xfId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44" fontId="5" fillId="4" borderId="3" xfId="0" applyNumberFormat="1" applyFont="1" applyFill="1" applyBorder="1"/>
    <xf numFmtId="0" fontId="8" fillId="4" borderId="3" xfId="0" applyFont="1" applyFill="1" applyBorder="1"/>
    <xf numFmtId="44" fontId="8" fillId="4" borderId="3" xfId="2" applyFont="1" applyFill="1" applyBorder="1"/>
    <xf numFmtId="164" fontId="8" fillId="4" borderId="3" xfId="1" applyNumberFormat="1" applyFont="1" applyFill="1" applyBorder="1" applyAlignment="1">
      <alignment horizontal="center"/>
    </xf>
    <xf numFmtId="9" fontId="1" fillId="4" borderId="3" xfId="1" applyFont="1" applyFill="1" applyBorder="1" applyAlignment="1">
      <alignment horizontal="center"/>
    </xf>
    <xf numFmtId="44" fontId="9" fillId="10" borderId="3" xfId="2" applyFont="1" applyFill="1" applyBorder="1"/>
    <xf numFmtId="9" fontId="3" fillId="10" borderId="3" xfId="1" applyFont="1" applyFill="1" applyBorder="1" applyAlignment="1">
      <alignment horizontal="center"/>
    </xf>
    <xf numFmtId="164" fontId="9" fillId="10" borderId="3" xfId="0" applyNumberFormat="1" applyFont="1" applyFill="1" applyBorder="1" applyAlignment="1">
      <alignment horizontal="center"/>
    </xf>
    <xf numFmtId="44" fontId="10" fillId="10" borderId="3" xfId="2" applyFont="1" applyFill="1" applyBorder="1"/>
    <xf numFmtId="165" fontId="3" fillId="11" borderId="3" xfId="0" applyNumberFormat="1" applyFont="1" applyFill="1" applyBorder="1" applyAlignment="1">
      <alignment horizontal="center"/>
    </xf>
    <xf numFmtId="44" fontId="8" fillId="4" borderId="3" xfId="2" applyFont="1" applyFill="1" applyBorder="1" applyAlignment="1">
      <alignment horizontal="center"/>
    </xf>
    <xf numFmtId="164" fontId="8" fillId="4" borderId="3" xfId="0" applyNumberFormat="1" applyFont="1" applyFill="1" applyBorder="1" applyAlignment="1">
      <alignment horizontal="center"/>
    </xf>
    <xf numFmtId="44" fontId="3" fillId="10" borderId="3" xfId="2" applyFont="1" applyFill="1" applyBorder="1" applyAlignment="1">
      <alignment horizontal="center"/>
    </xf>
    <xf numFmtId="9" fontId="8" fillId="4" borderId="3" xfId="1" applyFont="1" applyFill="1" applyBorder="1" applyAlignment="1">
      <alignment horizontal="center"/>
    </xf>
    <xf numFmtId="44" fontId="6" fillId="10" borderId="3" xfId="2" applyFont="1" applyFill="1" applyBorder="1" applyAlignment="1">
      <alignment horizontal="center"/>
    </xf>
    <xf numFmtId="0" fontId="8" fillId="4" borderId="5" xfId="0" applyFont="1" applyFill="1" applyBorder="1"/>
    <xf numFmtId="0" fontId="8" fillId="4" borderId="7" xfId="0" applyFont="1" applyFill="1" applyBorder="1"/>
    <xf numFmtId="0" fontId="4" fillId="12" borderId="4" xfId="0" applyFont="1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44" fontId="5" fillId="4" borderId="10" xfId="0" applyNumberFormat="1" applyFont="1" applyFill="1" applyBorder="1"/>
    <xf numFmtId="44" fontId="6" fillId="10" borderId="10" xfId="2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0" fillId="0" borderId="0" xfId="0" applyNumberFormat="1"/>
    <xf numFmtId="3" fontId="3" fillId="10" borderId="1" xfId="0" applyNumberFormat="1" applyFont="1" applyFill="1" applyBorder="1" applyAlignment="1">
      <alignment horizontal="center" vertical="center"/>
    </xf>
    <xf numFmtId="0" fontId="12" fillId="11" borderId="4" xfId="0" applyFont="1" applyFill="1" applyBorder="1" applyAlignment="1">
      <alignment horizontal="center"/>
    </xf>
    <xf numFmtId="0" fontId="4" fillId="13" borderId="4" xfId="0" applyFont="1" applyFill="1" applyBorder="1" applyAlignment="1">
      <alignment horizontal="center"/>
    </xf>
    <xf numFmtId="164" fontId="8" fillId="4" borderId="10" xfId="0" applyNumberFormat="1" applyFont="1" applyFill="1" applyBorder="1" applyAlignment="1">
      <alignment horizontal="center"/>
    </xf>
    <xf numFmtId="9" fontId="3" fillId="10" borderId="10" xfId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44" fontId="5" fillId="4" borderId="1" xfId="0" applyNumberFormat="1" applyFont="1" applyFill="1" applyBorder="1"/>
    <xf numFmtId="44" fontId="6" fillId="10" borderId="1" xfId="2" applyFont="1" applyFill="1" applyBorder="1" applyAlignment="1">
      <alignment horizontal="center"/>
    </xf>
    <xf numFmtId="3" fontId="3" fillId="10" borderId="3" xfId="0" applyNumberFormat="1" applyFont="1" applyFill="1" applyBorder="1" applyAlignment="1">
      <alignment horizontal="center"/>
    </xf>
    <xf numFmtId="3" fontId="6" fillId="10" borderId="3" xfId="0" applyNumberFormat="1" applyFont="1" applyFill="1" applyBorder="1" applyAlignment="1">
      <alignment horizontal="center"/>
    </xf>
    <xf numFmtId="44" fontId="0" fillId="14" borderId="3" xfId="0" applyNumberFormat="1" applyFill="1" applyBorder="1"/>
    <xf numFmtId="44" fontId="5" fillId="14" borderId="3" xfId="0" applyNumberFormat="1" applyFont="1" applyFill="1" applyBorder="1"/>
    <xf numFmtId="44" fontId="8" fillId="14" borderId="3" xfId="2" applyFont="1" applyFill="1" applyBorder="1" applyAlignment="1">
      <alignment horizontal="center"/>
    </xf>
    <xf numFmtId="166" fontId="8" fillId="14" borderId="3" xfId="0" applyNumberFormat="1" applyFont="1" applyFill="1" applyBorder="1" applyAlignment="1">
      <alignment horizontal="center"/>
    </xf>
    <xf numFmtId="44" fontId="11" fillId="14" borderId="6" xfId="2" applyFont="1" applyFill="1" applyBorder="1" applyAlignment="1">
      <alignment horizontal="center"/>
    </xf>
    <xf numFmtId="44" fontId="8" fillId="14" borderId="8" xfId="2" applyFont="1" applyFill="1" applyBorder="1" applyAlignment="1">
      <alignment horizontal="center"/>
    </xf>
    <xf numFmtId="44" fontId="11" fillId="14" borderId="9" xfId="2" applyFont="1" applyFill="1" applyBorder="1" applyAlignment="1">
      <alignment horizontal="center"/>
    </xf>
    <xf numFmtId="3" fontId="8" fillId="15" borderId="3" xfId="0" applyNumberFormat="1" applyFont="1" applyFill="1" applyBorder="1" applyAlignment="1">
      <alignment horizontal="center"/>
    </xf>
    <xf numFmtId="166" fontId="8" fillId="15" borderId="3" xfId="0" applyNumberFormat="1" applyFont="1" applyFill="1" applyBorder="1" applyAlignment="1">
      <alignment horizontal="center"/>
    </xf>
    <xf numFmtId="3" fontId="11" fillId="15" borderId="3" xfId="0" applyNumberFormat="1" applyFont="1" applyFill="1" applyBorder="1" applyAlignment="1">
      <alignment horizontal="center"/>
    </xf>
    <xf numFmtId="3" fontId="8" fillId="15" borderId="8" xfId="0" applyNumberFormat="1" applyFont="1" applyFill="1" applyBorder="1" applyAlignment="1">
      <alignment horizontal="center"/>
    </xf>
    <xf numFmtId="3" fontId="11" fillId="15" borderId="8" xfId="0" applyNumberFormat="1" applyFont="1" applyFill="1" applyBorder="1" applyAlignment="1">
      <alignment horizontal="center"/>
    </xf>
    <xf numFmtId="1" fontId="0" fillId="0" borderId="11" xfId="0" applyNumberFormat="1" applyBorder="1"/>
    <xf numFmtId="3" fontId="8" fillId="11" borderId="3" xfId="0" applyNumberFormat="1" applyFont="1" applyFill="1" applyBorder="1" applyAlignment="1">
      <alignment horizontal="center"/>
    </xf>
    <xf numFmtId="166" fontId="8" fillId="11" borderId="3" xfId="0" applyNumberFormat="1" applyFont="1" applyFill="1" applyBorder="1" applyAlignment="1">
      <alignment horizontal="center"/>
    </xf>
    <xf numFmtId="3" fontId="11" fillId="11" borderId="3" xfId="0" applyNumberFormat="1" applyFont="1" applyFill="1" applyBorder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.cabral\Downloads\data%20-%202026-10-19T074015.503.xlsx" TargetMode="External"/><Relationship Id="rId1" Type="http://schemas.openxmlformats.org/officeDocument/2006/relationships/externalLinkPath" Target="file:///C:\Users\jose.cabral\Downloads\data%20-%202026-10-19T074015.50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.cabral\Downloads\data%20-%202026-10-19T074147.817.xlsx" TargetMode="External"/><Relationship Id="rId1" Type="http://schemas.openxmlformats.org/officeDocument/2006/relationships/externalLinkPath" Target="file:///C:\Users\jose.cabral\Downloads\data%20-%202026-10-19T074147.81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CNPJ PDV</v>
          </cell>
          <cell r="B1" t="str">
            <v>COTA (RS)</v>
          </cell>
          <cell r="C1" t="str">
            <v>MDTR (RS)</v>
          </cell>
          <cell r="D1" t="str">
            <v>COB. MDTR RS (%)</v>
          </cell>
          <cell r="E1" t="str">
            <v>SOLICITADO BRUTO (RS)</v>
          </cell>
          <cell r="F1" t="str">
            <v>NAO FAT BRUTO (RS)</v>
          </cell>
          <cell r="G1" t="str">
            <v>FAT BRUTO (RS)</v>
          </cell>
        </row>
        <row r="2">
          <cell r="A2">
            <v>14324344000160</v>
          </cell>
          <cell r="B2">
            <v>2615.3872434696013</v>
          </cell>
          <cell r="C2">
            <v>325.27</v>
          </cell>
          <cell r="D2">
            <v>0.12436781620472127</v>
          </cell>
          <cell r="E2">
            <v>0</v>
          </cell>
          <cell r="F2">
            <v>0</v>
          </cell>
          <cell r="G2">
            <v>0</v>
          </cell>
        </row>
        <row r="3">
          <cell r="A3">
            <v>23312338000184</v>
          </cell>
          <cell r="B3">
            <v>2432.3726812038117</v>
          </cell>
          <cell r="C3">
            <v>692.91</v>
          </cell>
          <cell r="D3">
            <v>0.28486999765885801</v>
          </cell>
          <cell r="E3">
            <v>636.83000000000004</v>
          </cell>
          <cell r="F3">
            <v>0</v>
          </cell>
          <cell r="G3">
            <v>636.83000000000004</v>
          </cell>
        </row>
        <row r="4">
          <cell r="A4">
            <v>68204486000202</v>
          </cell>
          <cell r="B4">
            <v>9861.2796559612398</v>
          </cell>
          <cell r="C4">
            <v>2708.6800000000003</v>
          </cell>
          <cell r="D4">
            <v>0.27467834748633019</v>
          </cell>
          <cell r="E4">
            <v>914.95</v>
          </cell>
          <cell r="F4">
            <v>72.880000000000109</v>
          </cell>
          <cell r="G4">
            <v>842.06999999999994</v>
          </cell>
        </row>
        <row r="5">
          <cell r="A5">
            <v>44053810000181</v>
          </cell>
          <cell r="B5">
            <v>26982.518715370577</v>
          </cell>
          <cell r="C5">
            <v>8564.51</v>
          </cell>
          <cell r="D5">
            <v>0.3174095824909493</v>
          </cell>
          <cell r="E5">
            <v>11076.79</v>
          </cell>
          <cell r="F5">
            <v>929.8600000000024</v>
          </cell>
          <cell r="G5">
            <v>10146.929999999998</v>
          </cell>
        </row>
        <row r="6">
          <cell r="A6">
            <v>58694365000143</v>
          </cell>
          <cell r="B6">
            <v>3876.5100431236692</v>
          </cell>
          <cell r="C6">
            <v>1365.62</v>
          </cell>
          <cell r="D6">
            <v>0.3522807847286244</v>
          </cell>
          <cell r="E6">
            <v>1789.52</v>
          </cell>
          <cell r="F6">
            <v>45.7199999999998</v>
          </cell>
          <cell r="G6">
            <v>1743.8000000000002</v>
          </cell>
        </row>
        <row r="7">
          <cell r="A7">
            <v>1987999000177</v>
          </cell>
          <cell r="B7">
            <v>3352.1939228006431</v>
          </cell>
          <cell r="C7">
            <v>793</v>
          </cell>
          <cell r="D7">
            <v>0.23656149323768111</v>
          </cell>
          <cell r="E7">
            <v>467.65</v>
          </cell>
          <cell r="F7">
            <v>0</v>
          </cell>
          <cell r="G7">
            <v>467.65</v>
          </cell>
        </row>
        <row r="8">
          <cell r="A8">
            <v>24622755000196</v>
          </cell>
          <cell r="B8">
            <v>3560.6784789011449</v>
          </cell>
          <cell r="C8">
            <v>529.55999999999995</v>
          </cell>
          <cell r="D8">
            <v>0.14872446449122431</v>
          </cell>
          <cell r="E8">
            <v>828.32</v>
          </cell>
          <cell r="F8">
            <v>0</v>
          </cell>
          <cell r="G8">
            <v>828.32</v>
          </cell>
        </row>
        <row r="9">
          <cell r="A9">
            <v>4433837000185</v>
          </cell>
          <cell r="B9">
            <v>1456.1492804160737</v>
          </cell>
          <cell r="C9">
            <v>120.42000000000002</v>
          </cell>
          <cell r="D9">
            <v>8.2697565160071873E-2</v>
          </cell>
          <cell r="E9">
            <v>0</v>
          </cell>
          <cell r="F9">
            <v>0</v>
          </cell>
          <cell r="G9">
            <v>0</v>
          </cell>
        </row>
        <row r="10">
          <cell r="A10">
            <v>7832402000100</v>
          </cell>
          <cell r="B10">
            <v>2680.8963606454427</v>
          </cell>
          <cell r="C10">
            <v>1283.2199999999998</v>
          </cell>
          <cell r="D10">
            <v>0.47865334103816548</v>
          </cell>
          <cell r="E10">
            <v>1412.69</v>
          </cell>
          <cell r="F10">
            <v>200.1099999999999</v>
          </cell>
          <cell r="G10">
            <v>1212.5800000000002</v>
          </cell>
        </row>
        <row r="11">
          <cell r="A11">
            <v>6213559000186</v>
          </cell>
          <cell r="B11">
            <v>738.41619361115579</v>
          </cell>
          <cell r="C11">
            <v>207.12</v>
          </cell>
          <cell r="D11">
            <v>0.28049222348049935</v>
          </cell>
          <cell r="E11">
            <v>0</v>
          </cell>
          <cell r="F11">
            <v>0</v>
          </cell>
          <cell r="G11">
            <v>0</v>
          </cell>
        </row>
        <row r="12">
          <cell r="A12">
            <v>49182677000187</v>
          </cell>
          <cell r="B12">
            <v>2109.387252455469</v>
          </cell>
          <cell r="C12">
            <v>158.99</v>
          </cell>
          <cell r="D12">
            <v>7.5372599229906662E-2</v>
          </cell>
          <cell r="E12">
            <v>0</v>
          </cell>
          <cell r="F12">
            <v>0</v>
          </cell>
          <cell r="G12">
            <v>0</v>
          </cell>
        </row>
        <row r="13">
          <cell r="A13">
            <v>2025871000195</v>
          </cell>
          <cell r="B13">
            <v>8586.7630668873262</v>
          </cell>
          <cell r="C13">
            <v>3266.57</v>
          </cell>
          <cell r="D13">
            <v>0.3804192539790342</v>
          </cell>
          <cell r="E13">
            <v>3452.2399999999989</v>
          </cell>
          <cell r="F13">
            <v>2147.9499999999985</v>
          </cell>
          <cell r="G13">
            <v>1304.2900000000004</v>
          </cell>
        </row>
        <row r="14">
          <cell r="A14">
            <v>12040504000114</v>
          </cell>
          <cell r="B14">
            <v>7697.798398672423</v>
          </cell>
          <cell r="C14">
            <v>920.38000000000011</v>
          </cell>
          <cell r="D14">
            <v>0.1195640561538648</v>
          </cell>
          <cell r="E14">
            <v>1913.7800000000002</v>
          </cell>
          <cell r="F14">
            <v>1193.4000000000003</v>
          </cell>
          <cell r="G14">
            <v>720.37999999999988</v>
          </cell>
        </row>
        <row r="15">
          <cell r="A15">
            <v>15303440000195</v>
          </cell>
          <cell r="B15">
            <v>22597.464046858349</v>
          </cell>
          <cell r="C15">
            <v>7586.39</v>
          </cell>
          <cell r="D15">
            <v>0.33571864454651984</v>
          </cell>
          <cell r="E15">
            <v>8439.119999999999</v>
          </cell>
          <cell r="F15">
            <v>3863.6899999999978</v>
          </cell>
          <cell r="G15">
            <v>4575.4300000000012</v>
          </cell>
        </row>
        <row r="16">
          <cell r="A16">
            <v>18465867000188</v>
          </cell>
          <cell r="B16">
            <v>17863.411448727733</v>
          </cell>
          <cell r="C16">
            <v>17082.429999999997</v>
          </cell>
          <cell r="D16">
            <v>0.95628038625380485</v>
          </cell>
          <cell r="E16">
            <v>12379.400000000001</v>
          </cell>
          <cell r="F16">
            <v>4553.3600000000015</v>
          </cell>
          <cell r="G16">
            <v>7826.04</v>
          </cell>
        </row>
        <row r="17">
          <cell r="A17">
            <v>19671223000109</v>
          </cell>
          <cell r="B17">
            <v>20020.363440446479</v>
          </cell>
          <cell r="C17">
            <v>7854.22</v>
          </cell>
          <cell r="D17">
            <v>0.3923115593462394</v>
          </cell>
          <cell r="E17">
            <v>7801.3300000000036</v>
          </cell>
          <cell r="F17">
            <v>4682.4500000000025</v>
          </cell>
          <cell r="G17">
            <v>3118.8800000000006</v>
          </cell>
        </row>
        <row r="18">
          <cell r="A18">
            <v>4834843001540</v>
          </cell>
          <cell r="B18">
            <v>14599.6584233133</v>
          </cell>
          <cell r="C18">
            <v>7682.49</v>
          </cell>
          <cell r="D18">
            <v>0.52621025624355033</v>
          </cell>
          <cell r="E18">
            <v>10340.640000000001</v>
          </cell>
          <cell r="F18">
            <v>4132.6900000000023</v>
          </cell>
          <cell r="G18">
            <v>6207.9499999999989</v>
          </cell>
        </row>
        <row r="19">
          <cell r="A19">
            <v>4834843002864</v>
          </cell>
          <cell r="B19">
            <v>6079.3335109697337</v>
          </cell>
          <cell r="C19">
            <v>1727.71</v>
          </cell>
          <cell r="D19">
            <v>0.28419398226507359</v>
          </cell>
          <cell r="E19">
            <v>2597.63</v>
          </cell>
          <cell r="F19">
            <v>735.50000000000023</v>
          </cell>
          <cell r="G19">
            <v>1862.1299999999999</v>
          </cell>
        </row>
        <row r="20">
          <cell r="A20">
            <v>4834843000144</v>
          </cell>
          <cell r="B20">
            <v>9320.8642371830938</v>
          </cell>
          <cell r="C20">
            <v>2950.5400000000004</v>
          </cell>
          <cell r="D20">
            <v>0.31655219139761853</v>
          </cell>
          <cell r="E20">
            <v>3739.27</v>
          </cell>
          <cell r="F20">
            <v>1925.08</v>
          </cell>
          <cell r="G20">
            <v>1814.19</v>
          </cell>
        </row>
        <row r="21">
          <cell r="A21">
            <v>4834843000225</v>
          </cell>
          <cell r="B21">
            <v>20490.174640322879</v>
          </cell>
          <cell r="C21">
            <v>9593.67</v>
          </cell>
          <cell r="D21">
            <v>0.46820830805026392</v>
          </cell>
          <cell r="E21">
            <v>8942.5100000000039</v>
          </cell>
          <cell r="F21">
            <v>3996.8300000000027</v>
          </cell>
          <cell r="G21">
            <v>4945.6800000000012</v>
          </cell>
        </row>
        <row r="22">
          <cell r="A22">
            <v>4834843000306</v>
          </cell>
          <cell r="B22">
            <v>22293.434257244953</v>
          </cell>
          <cell r="C22">
            <v>9190.3599999999988</v>
          </cell>
          <cell r="D22">
            <v>0.41224514329878548</v>
          </cell>
          <cell r="E22">
            <v>8152.1900000000032</v>
          </cell>
          <cell r="F22">
            <v>4849.5500000000029</v>
          </cell>
          <cell r="G22">
            <v>3302.64</v>
          </cell>
        </row>
        <row r="23">
          <cell r="A23">
            <v>4834843000497</v>
          </cell>
          <cell r="B23">
            <v>22395.194126538547</v>
          </cell>
          <cell r="C23">
            <v>7359.7300000000014</v>
          </cell>
          <cell r="D23">
            <v>0.32862988185838682</v>
          </cell>
          <cell r="E23">
            <v>8555.6700000000019</v>
          </cell>
          <cell r="F23">
            <v>5086.5200000000023</v>
          </cell>
          <cell r="G23">
            <v>3469.1499999999996</v>
          </cell>
        </row>
        <row r="24">
          <cell r="A24">
            <v>4834843000578</v>
          </cell>
          <cell r="B24">
            <v>6227.5562485674063</v>
          </cell>
          <cell r="C24">
            <v>2459.3000000000006</v>
          </cell>
          <cell r="D24">
            <v>0.39490610792407382</v>
          </cell>
          <cell r="E24">
            <v>6392.3199999999988</v>
          </cell>
          <cell r="F24">
            <v>3375.1199999999981</v>
          </cell>
          <cell r="G24">
            <v>3017.2000000000007</v>
          </cell>
        </row>
        <row r="25">
          <cell r="A25">
            <v>4834843000659</v>
          </cell>
          <cell r="B25">
            <v>10723.979410472792</v>
          </cell>
          <cell r="C25">
            <v>2113.4100000000003</v>
          </cell>
          <cell r="D25">
            <v>0.19707329892260822</v>
          </cell>
          <cell r="E25">
            <v>5785.5899999999992</v>
          </cell>
          <cell r="F25">
            <v>2288.6099999999988</v>
          </cell>
          <cell r="G25">
            <v>3496.9800000000005</v>
          </cell>
        </row>
        <row r="26">
          <cell r="A26">
            <v>4834843000730</v>
          </cell>
          <cell r="B26">
            <v>10907.616514440379</v>
          </cell>
          <cell r="C26">
            <v>3136.5600000000004</v>
          </cell>
          <cell r="D26">
            <v>0.2875568641277011</v>
          </cell>
          <cell r="E26">
            <v>8531.130000000001</v>
          </cell>
          <cell r="F26">
            <v>3748.8599999999997</v>
          </cell>
          <cell r="G26">
            <v>4782.2700000000013</v>
          </cell>
        </row>
        <row r="27">
          <cell r="A27">
            <v>4834843000810</v>
          </cell>
          <cell r="B27">
            <v>4688.807181125956</v>
          </cell>
          <cell r="C27">
            <v>1588.18</v>
          </cell>
          <cell r="D27">
            <v>0.33871727683598613</v>
          </cell>
          <cell r="E27">
            <v>2563.8099999999995</v>
          </cell>
          <cell r="F27">
            <v>517.44999999999936</v>
          </cell>
          <cell r="G27">
            <v>2046.3600000000001</v>
          </cell>
        </row>
        <row r="28">
          <cell r="A28">
            <v>4834843000900</v>
          </cell>
          <cell r="B28">
            <v>8982.6240795125213</v>
          </cell>
          <cell r="C28">
            <v>4181.8900000000012</v>
          </cell>
          <cell r="D28">
            <v>0.46555326850847673</v>
          </cell>
          <cell r="E28">
            <v>6400.8899999999985</v>
          </cell>
          <cell r="F28">
            <v>1579.0500000000002</v>
          </cell>
          <cell r="G28">
            <v>4821.8399999999983</v>
          </cell>
        </row>
        <row r="29">
          <cell r="A29">
            <v>4834843001035</v>
          </cell>
          <cell r="B29">
            <v>17788.738593008395</v>
          </cell>
          <cell r="C29">
            <v>6012.590000000002</v>
          </cell>
          <cell r="D29">
            <v>0.33799979512674178</v>
          </cell>
          <cell r="E29">
            <v>12211.180000000004</v>
          </cell>
          <cell r="F29">
            <v>4927.470000000003</v>
          </cell>
          <cell r="G29">
            <v>7283.7100000000009</v>
          </cell>
        </row>
        <row r="30">
          <cell r="A30">
            <v>4834843001116</v>
          </cell>
          <cell r="B30">
            <v>7156.6243776662577</v>
          </cell>
          <cell r="C30">
            <v>4461.28</v>
          </cell>
          <cell r="D30">
            <v>0.6233776938080412</v>
          </cell>
          <cell r="E30">
            <v>7007.7499999999991</v>
          </cell>
          <cell r="F30">
            <v>1905.9300000000003</v>
          </cell>
          <cell r="G30">
            <v>5101.8199999999988</v>
          </cell>
        </row>
        <row r="31">
          <cell r="A31">
            <v>4834843001205</v>
          </cell>
          <cell r="B31">
            <v>12314.180224979471</v>
          </cell>
          <cell r="C31">
            <v>5776.4699999999993</v>
          </cell>
          <cell r="D31">
            <v>0.46909090937960746</v>
          </cell>
          <cell r="E31">
            <v>6595.77</v>
          </cell>
          <cell r="F31">
            <v>2377.7199999999993</v>
          </cell>
          <cell r="G31">
            <v>4218.0500000000011</v>
          </cell>
        </row>
        <row r="32">
          <cell r="A32">
            <v>4834843001388</v>
          </cell>
          <cell r="B32">
            <v>5752.6982582331648</v>
          </cell>
          <cell r="C32">
            <v>1442.08</v>
          </cell>
          <cell r="D32">
            <v>0.25067888758742374</v>
          </cell>
          <cell r="E32">
            <v>2858.2699999999995</v>
          </cell>
          <cell r="F32">
            <v>863.90999999999917</v>
          </cell>
          <cell r="G32">
            <v>1994.3600000000004</v>
          </cell>
        </row>
        <row r="33">
          <cell r="A33">
            <v>4834843001469</v>
          </cell>
          <cell r="B33">
            <v>5788.6244183784165</v>
          </cell>
          <cell r="C33">
            <v>2152.06</v>
          </cell>
          <cell r="D33">
            <v>0.37177399058183541</v>
          </cell>
          <cell r="E33">
            <v>2837.7199999999993</v>
          </cell>
          <cell r="F33">
            <v>266.60999999999922</v>
          </cell>
          <cell r="G33">
            <v>2571.11</v>
          </cell>
        </row>
        <row r="34">
          <cell r="A34">
            <v>4834843001620</v>
          </cell>
          <cell r="B34">
            <v>7244.0068679043252</v>
          </cell>
          <cell r="C34">
            <v>2814.7000000000003</v>
          </cell>
          <cell r="D34">
            <v>0.38855567800065971</v>
          </cell>
          <cell r="E34">
            <v>5240.7400000000007</v>
          </cell>
          <cell r="F34">
            <v>1809.1700000000005</v>
          </cell>
          <cell r="G34">
            <v>3431.57</v>
          </cell>
        </row>
        <row r="35">
          <cell r="A35">
            <v>4834843001701</v>
          </cell>
          <cell r="B35">
            <v>5774.8768224918849</v>
          </cell>
          <cell r="C35">
            <v>2279.5500000000002</v>
          </cell>
          <cell r="D35">
            <v>0.39473569221799681</v>
          </cell>
          <cell r="E35">
            <v>3623.76</v>
          </cell>
          <cell r="F35">
            <v>982.82000000000016</v>
          </cell>
          <cell r="G35">
            <v>2640.94</v>
          </cell>
        </row>
        <row r="36">
          <cell r="A36">
            <v>4834843001892</v>
          </cell>
          <cell r="B36">
            <v>9162.9330138946461</v>
          </cell>
          <cell r="C36">
            <v>2437.900000000001</v>
          </cell>
          <cell r="D36">
            <v>0.26606109597256428</v>
          </cell>
          <cell r="E36">
            <v>5949.11</v>
          </cell>
          <cell r="F36">
            <v>2015.7900000000013</v>
          </cell>
          <cell r="G36">
            <v>3933.3199999999983</v>
          </cell>
        </row>
        <row r="37">
          <cell r="A37">
            <v>4834843001973</v>
          </cell>
          <cell r="B37">
            <v>12375.623459339813</v>
          </cell>
          <cell r="C37">
            <v>2379.8599999999997</v>
          </cell>
          <cell r="D37">
            <v>0.19230223089923867</v>
          </cell>
          <cell r="E37">
            <v>5880.0000000000009</v>
          </cell>
          <cell r="F37">
            <v>2051.0100000000011</v>
          </cell>
          <cell r="G37">
            <v>3828.99</v>
          </cell>
        </row>
        <row r="38">
          <cell r="A38">
            <v>4834843002007</v>
          </cell>
          <cell r="B38">
            <v>4514.8315353889257</v>
          </cell>
          <cell r="C38">
            <v>1076.7699999999998</v>
          </cell>
          <cell r="D38">
            <v>0.23849616349134553</v>
          </cell>
          <cell r="E38">
            <v>2355.27</v>
          </cell>
          <cell r="F38">
            <v>688.90000000000009</v>
          </cell>
          <cell r="G38">
            <v>1666.37</v>
          </cell>
        </row>
        <row r="39">
          <cell r="A39">
            <v>4834843002198</v>
          </cell>
          <cell r="B39">
            <v>9001.7860464774112</v>
          </cell>
          <cell r="C39">
            <v>3626.2300000000005</v>
          </cell>
          <cell r="D39">
            <v>0.40283450209517263</v>
          </cell>
          <cell r="E39">
            <v>5531.3999999999987</v>
          </cell>
          <cell r="F39">
            <v>2277.9999999999986</v>
          </cell>
          <cell r="G39">
            <v>3253.4</v>
          </cell>
        </row>
        <row r="40">
          <cell r="A40">
            <v>4834843002279</v>
          </cell>
          <cell r="B40">
            <v>19825.793681531533</v>
          </cell>
          <cell r="C40">
            <v>5495.2000000000007</v>
          </cell>
          <cell r="D40">
            <v>0.27717427550549889</v>
          </cell>
          <cell r="E40">
            <v>11789.51</v>
          </cell>
          <cell r="F40">
            <v>5207.9699999999984</v>
          </cell>
          <cell r="G40">
            <v>6581.5400000000018</v>
          </cell>
        </row>
        <row r="41">
          <cell r="A41">
            <v>4834843002350</v>
          </cell>
          <cell r="B41">
            <v>11143.578068045184</v>
          </cell>
          <cell r="C41">
            <v>4100.7200000000012</v>
          </cell>
          <cell r="D41">
            <v>0.36798952499458309</v>
          </cell>
          <cell r="E41">
            <v>6472.5999999999976</v>
          </cell>
          <cell r="F41">
            <v>1986.8399999999974</v>
          </cell>
          <cell r="G41">
            <v>4485.76</v>
          </cell>
        </row>
        <row r="42">
          <cell r="A42">
            <v>4834843002430</v>
          </cell>
          <cell r="B42">
            <v>12360.582361648756</v>
          </cell>
          <cell r="C42">
            <v>5008.7700000000004</v>
          </cell>
          <cell r="D42">
            <v>0.40522119860151068</v>
          </cell>
          <cell r="E42">
            <v>7829.2099999999991</v>
          </cell>
          <cell r="F42">
            <v>2931.6800000000003</v>
          </cell>
          <cell r="G42">
            <v>4897.5299999999988</v>
          </cell>
        </row>
        <row r="43">
          <cell r="A43">
            <v>4834843002511</v>
          </cell>
          <cell r="B43">
            <v>13865.005408956407</v>
          </cell>
          <cell r="C43">
            <v>4997.300000000002</v>
          </cell>
          <cell r="D43">
            <v>0.36042539130723206</v>
          </cell>
          <cell r="E43">
            <v>7570.3900000000012</v>
          </cell>
          <cell r="F43">
            <v>3087.6400000000012</v>
          </cell>
          <cell r="G43">
            <v>4482.75</v>
          </cell>
        </row>
        <row r="44">
          <cell r="A44">
            <v>4834843002600</v>
          </cell>
          <cell r="B44">
            <v>7657.0218330299631</v>
          </cell>
          <cell r="C44">
            <v>3269.88</v>
          </cell>
          <cell r="D44">
            <v>0.42704331674944102</v>
          </cell>
          <cell r="E44">
            <v>7736.6000000000031</v>
          </cell>
          <cell r="F44">
            <v>2556.7500000000018</v>
          </cell>
          <cell r="G44">
            <v>5179.8500000000013</v>
          </cell>
        </row>
        <row r="45">
          <cell r="A45">
            <v>4834843002783</v>
          </cell>
          <cell r="B45">
            <v>3511.8275288576092</v>
          </cell>
          <cell r="C45">
            <v>966.44999999999993</v>
          </cell>
          <cell r="D45">
            <v>0.2751985944806305</v>
          </cell>
          <cell r="E45">
            <v>1889.54</v>
          </cell>
          <cell r="F45">
            <v>533.13000000000011</v>
          </cell>
          <cell r="G45">
            <v>1356.4099999999999</v>
          </cell>
        </row>
        <row r="46">
          <cell r="A46">
            <v>4834843002945</v>
          </cell>
          <cell r="B46">
            <v>4551.4157960586208</v>
          </cell>
          <cell r="C46">
            <v>2035.2799999999997</v>
          </cell>
          <cell r="D46">
            <v>0.44717514092263039</v>
          </cell>
          <cell r="E46">
            <v>2797.0299999999993</v>
          </cell>
          <cell r="F46">
            <v>1044.8299999999995</v>
          </cell>
          <cell r="G46">
            <v>1752.1999999999998</v>
          </cell>
        </row>
        <row r="47">
          <cell r="A47">
            <v>4834843003089</v>
          </cell>
          <cell r="B47">
            <v>2893.723051267596</v>
          </cell>
          <cell r="C47">
            <v>653.48</v>
          </cell>
          <cell r="D47">
            <v>0.22582672509511337</v>
          </cell>
          <cell r="E47">
            <v>1936.0600000000004</v>
          </cell>
          <cell r="F47">
            <v>850.04000000000042</v>
          </cell>
          <cell r="G47">
            <v>1086.02</v>
          </cell>
        </row>
        <row r="48">
          <cell r="A48">
            <v>4834843003160</v>
          </cell>
          <cell r="B48">
            <v>4674.4851446365328</v>
          </cell>
          <cell r="C48">
            <v>1484.3600000000001</v>
          </cell>
          <cell r="D48">
            <v>0.31754513151103775</v>
          </cell>
          <cell r="E48">
            <v>2922.65</v>
          </cell>
          <cell r="F48">
            <v>1231.8499999999999</v>
          </cell>
          <cell r="G48">
            <v>1690.8000000000002</v>
          </cell>
        </row>
        <row r="49">
          <cell r="A49">
            <v>4834843003240</v>
          </cell>
          <cell r="B49">
            <v>3079.9245745104176</v>
          </cell>
          <cell r="C49">
            <v>1911.8300000000002</v>
          </cell>
          <cell r="D49">
            <v>0.6207392271299057</v>
          </cell>
          <cell r="E49">
            <v>1518.42</v>
          </cell>
          <cell r="F49">
            <v>58</v>
          </cell>
          <cell r="G49">
            <v>1460.42</v>
          </cell>
        </row>
        <row r="50">
          <cell r="A50">
            <v>4834843003321</v>
          </cell>
          <cell r="B50">
            <v>1226.2779095757796</v>
          </cell>
          <cell r="C50">
            <v>1034.78</v>
          </cell>
          <cell r="D50">
            <v>0.84383808263982618</v>
          </cell>
          <cell r="E50">
            <v>1526.39</v>
          </cell>
          <cell r="F50">
            <v>956.65</v>
          </cell>
          <cell r="G50">
            <v>569.74000000000012</v>
          </cell>
        </row>
        <row r="51">
          <cell r="A51">
            <v>62569939000129</v>
          </cell>
          <cell r="B51">
            <v>701.75541114768964</v>
          </cell>
          <cell r="C51">
            <v>116.36000000000001</v>
          </cell>
          <cell r="D51">
            <v>0.16581275776655349</v>
          </cell>
          <cell r="E51">
            <v>0</v>
          </cell>
          <cell r="F51">
            <v>0</v>
          </cell>
          <cell r="G51">
            <v>0</v>
          </cell>
        </row>
        <row r="52">
          <cell r="A52">
            <v>38335229000150</v>
          </cell>
          <cell r="B52">
            <v>2607.1299808243411</v>
          </cell>
          <cell r="C52">
            <v>1543.6400000000006</v>
          </cell>
          <cell r="D52">
            <v>0.59208402011161765</v>
          </cell>
          <cell r="E52">
            <v>705.46999999999991</v>
          </cell>
          <cell r="F52">
            <v>0</v>
          </cell>
          <cell r="G52">
            <v>705.46999999999991</v>
          </cell>
        </row>
        <row r="53">
          <cell r="A53">
            <v>30539610000129</v>
          </cell>
          <cell r="B53">
            <v>1994.5967163091716</v>
          </cell>
          <cell r="C53">
            <v>620.72</v>
          </cell>
          <cell r="D53">
            <v>0.31120075297656591</v>
          </cell>
          <cell r="E53">
            <v>0</v>
          </cell>
          <cell r="F53">
            <v>0</v>
          </cell>
          <cell r="G53">
            <v>0</v>
          </cell>
        </row>
        <row r="54">
          <cell r="A54">
            <v>27855189000150</v>
          </cell>
          <cell r="B54">
            <v>4782.0080793479683</v>
          </cell>
          <cell r="C54">
            <v>126.78</v>
          </cell>
          <cell r="D54">
            <v>2.6511874906176777E-2</v>
          </cell>
          <cell r="E54">
            <v>0</v>
          </cell>
          <cell r="F54">
            <v>0</v>
          </cell>
          <cell r="G54">
            <v>0</v>
          </cell>
        </row>
        <row r="55">
          <cell r="A55">
            <v>4972853000146</v>
          </cell>
          <cell r="B55">
            <v>11873.430065890458</v>
          </cell>
          <cell r="C55">
            <v>6755.0200000000013</v>
          </cell>
          <cell r="D55">
            <v>0.56891900339781076</v>
          </cell>
          <cell r="E55">
            <v>17107.319999999996</v>
          </cell>
          <cell r="F55">
            <v>1213.5900000000001</v>
          </cell>
          <cell r="G55">
            <v>15893.729999999996</v>
          </cell>
        </row>
        <row r="56">
          <cell r="A56">
            <v>4972853000227</v>
          </cell>
          <cell r="B56">
            <v>16505.783694397596</v>
          </cell>
          <cell r="C56">
            <v>5569.9200000000019</v>
          </cell>
          <cell r="D56">
            <v>0.33745262285792271</v>
          </cell>
          <cell r="E56">
            <v>18059.410000000003</v>
          </cell>
          <cell r="F56">
            <v>4075.3399999999983</v>
          </cell>
          <cell r="G56">
            <v>13984.070000000005</v>
          </cell>
        </row>
        <row r="57">
          <cell r="A57">
            <v>4972853000308</v>
          </cell>
          <cell r="B57">
            <v>27410.243024066564</v>
          </cell>
          <cell r="C57">
            <v>9061.7299999999977</v>
          </cell>
          <cell r="D57">
            <v>0.33059648511848932</v>
          </cell>
          <cell r="E57">
            <v>21681.770000000011</v>
          </cell>
          <cell r="F57">
            <v>2674.450000000008</v>
          </cell>
          <cell r="G57">
            <v>19007.320000000003</v>
          </cell>
        </row>
        <row r="58">
          <cell r="A58">
            <v>4972853000499</v>
          </cell>
          <cell r="B58">
            <v>4520.1129601150096</v>
          </cell>
          <cell r="C58">
            <v>1351.7400000000002</v>
          </cell>
          <cell r="D58">
            <v>0.29905004851153244</v>
          </cell>
          <cell r="E58">
            <v>3476.6</v>
          </cell>
          <cell r="F58">
            <v>294.92999999999984</v>
          </cell>
          <cell r="G58">
            <v>3181.67</v>
          </cell>
        </row>
        <row r="59">
          <cell r="A59">
            <v>4972853000570</v>
          </cell>
          <cell r="B59">
            <v>13423.754819641861</v>
          </cell>
          <cell r="C59">
            <v>4345.08</v>
          </cell>
          <cell r="D59">
            <v>0.32368588806778614</v>
          </cell>
          <cell r="E59">
            <v>9628.7400000000016</v>
          </cell>
          <cell r="F59">
            <v>556.88000000000102</v>
          </cell>
          <cell r="G59">
            <v>9071.86</v>
          </cell>
        </row>
        <row r="60">
          <cell r="A60">
            <v>4972853000650</v>
          </cell>
          <cell r="B60">
            <v>13967.334051092912</v>
          </cell>
          <cell r="C60">
            <v>6217.1699999999983</v>
          </cell>
          <cell r="D60">
            <v>0.44512216699746787</v>
          </cell>
          <cell r="E60">
            <v>10240.18</v>
          </cell>
          <cell r="F60">
            <v>738.68999999999869</v>
          </cell>
          <cell r="G60">
            <v>9501.4900000000016</v>
          </cell>
        </row>
        <row r="61">
          <cell r="A61">
            <v>4972853000731</v>
          </cell>
          <cell r="B61">
            <v>7011.4789383484122</v>
          </cell>
          <cell r="C61">
            <v>2756.2500000000005</v>
          </cell>
          <cell r="D61">
            <v>0.39310536681855146</v>
          </cell>
          <cell r="E61">
            <v>5450.0599999999986</v>
          </cell>
          <cell r="F61">
            <v>698.00999999999931</v>
          </cell>
          <cell r="G61">
            <v>4752.0499999999993</v>
          </cell>
        </row>
        <row r="62">
          <cell r="A62">
            <v>4972853000812</v>
          </cell>
          <cell r="B62">
            <v>44175.319068929413</v>
          </cell>
          <cell r="C62">
            <v>13134.430000000006</v>
          </cell>
          <cell r="D62">
            <v>0.29732507374775408</v>
          </cell>
          <cell r="E62">
            <v>33706.659999999989</v>
          </cell>
          <cell r="F62">
            <v>3772.78999999999</v>
          </cell>
          <cell r="G62">
            <v>29933.87</v>
          </cell>
        </row>
        <row r="63">
          <cell r="A63">
            <v>1357742000131</v>
          </cell>
          <cell r="B63">
            <v>43476.116456058342</v>
          </cell>
          <cell r="C63">
            <v>19428.960000000003</v>
          </cell>
          <cell r="D63">
            <v>0.4468881211972327</v>
          </cell>
          <cell r="E63">
            <v>32732.930000000004</v>
          </cell>
          <cell r="F63">
            <v>16397.19000000001</v>
          </cell>
          <cell r="G63">
            <v>16335.739999999994</v>
          </cell>
        </row>
        <row r="64">
          <cell r="A64">
            <v>42569761000109</v>
          </cell>
          <cell r="B64">
            <v>6673.5765250154573</v>
          </cell>
          <cell r="C64">
            <v>831.49</v>
          </cell>
          <cell r="D64">
            <v>0.12459436059258706</v>
          </cell>
          <cell r="E64">
            <v>2210.5</v>
          </cell>
          <cell r="F64">
            <v>0</v>
          </cell>
          <cell r="G64">
            <v>2210.5</v>
          </cell>
        </row>
        <row r="65">
          <cell r="A65">
            <v>23019388000178</v>
          </cell>
          <cell r="B65">
            <v>5561.2478892780055</v>
          </cell>
          <cell r="C65">
            <v>1833.4700000000003</v>
          </cell>
          <cell r="D65">
            <v>0.32968679629169206</v>
          </cell>
          <cell r="E65">
            <v>0</v>
          </cell>
          <cell r="F65">
            <v>0</v>
          </cell>
          <cell r="G65">
            <v>0</v>
          </cell>
        </row>
        <row r="66">
          <cell r="A66">
            <v>15056307000181</v>
          </cell>
          <cell r="B66">
            <v>3422.2466306673541</v>
          </cell>
          <cell r="C66">
            <v>3425.2799999999993</v>
          </cell>
          <cell r="D66">
            <v>1.0008863678337683</v>
          </cell>
          <cell r="E66">
            <v>0</v>
          </cell>
          <cell r="F66">
            <v>0</v>
          </cell>
          <cell r="G66">
            <v>0</v>
          </cell>
        </row>
        <row r="67">
          <cell r="A67">
            <v>6940115000142</v>
          </cell>
          <cell r="B67">
            <v>3799.6427197281364</v>
          </cell>
          <cell r="C67">
            <v>466.65</v>
          </cell>
          <cell r="D67">
            <v>0.12281417870609389</v>
          </cell>
          <cell r="E67">
            <v>242.09999999999997</v>
          </cell>
          <cell r="F67">
            <v>16.879999999999995</v>
          </cell>
          <cell r="G67">
            <v>225.21999999999997</v>
          </cell>
        </row>
        <row r="68">
          <cell r="A68">
            <v>7113333000176</v>
          </cell>
          <cell r="B68">
            <v>2837.2925198814141</v>
          </cell>
          <cell r="C68">
            <v>665.13</v>
          </cell>
          <cell r="D68">
            <v>0.2344241897299329</v>
          </cell>
          <cell r="E68">
            <v>0</v>
          </cell>
          <cell r="F68">
            <v>0</v>
          </cell>
          <cell r="G68">
            <v>0</v>
          </cell>
        </row>
        <row r="69">
          <cell r="A69">
            <v>9555593000127</v>
          </cell>
          <cell r="B69">
            <v>6110.2289990059135</v>
          </cell>
          <cell r="C69">
            <v>658.8900000000001</v>
          </cell>
          <cell r="D69">
            <v>0.10783392899140054</v>
          </cell>
          <cell r="E69">
            <v>812.63999999999987</v>
          </cell>
          <cell r="F69">
            <v>0</v>
          </cell>
          <cell r="G69">
            <v>812.63999999999987</v>
          </cell>
        </row>
        <row r="70">
          <cell r="A70">
            <v>8143052000129</v>
          </cell>
          <cell r="B70">
            <v>5467.4143225542421</v>
          </cell>
          <cell r="C70">
            <v>5057.91</v>
          </cell>
          <cell r="D70">
            <v>0.92510091637559821</v>
          </cell>
          <cell r="E70">
            <v>3672.3399999999988</v>
          </cell>
          <cell r="F70">
            <v>8.7799999999997453</v>
          </cell>
          <cell r="G70">
            <v>3663.559999999999</v>
          </cell>
        </row>
        <row r="71">
          <cell r="A71">
            <v>21483918000109</v>
          </cell>
          <cell r="B71">
            <v>1017.4076593016183</v>
          </cell>
          <cell r="C71">
            <v>667.07999999999993</v>
          </cell>
          <cell r="D71">
            <v>0.65566638298939617</v>
          </cell>
          <cell r="E71">
            <v>0</v>
          </cell>
          <cell r="F71">
            <v>0</v>
          </cell>
          <cell r="G71">
            <v>0</v>
          </cell>
        </row>
        <row r="72">
          <cell r="A72">
            <v>199752000395</v>
          </cell>
          <cell r="B72">
            <v>96288.274983816504</v>
          </cell>
          <cell r="C72">
            <v>36405.809999999976</v>
          </cell>
          <cell r="D72">
            <v>0.37809182900118238</v>
          </cell>
          <cell r="E72">
            <v>19337.719999999994</v>
          </cell>
          <cell r="F72">
            <v>1797.7299999999923</v>
          </cell>
          <cell r="G72">
            <v>17539.990000000002</v>
          </cell>
        </row>
        <row r="73">
          <cell r="A73">
            <v>199752000638</v>
          </cell>
          <cell r="B73">
            <v>47675.809770392778</v>
          </cell>
          <cell r="C73">
            <v>13941.610000000004</v>
          </cell>
          <cell r="D73">
            <v>0.29242523760252737</v>
          </cell>
          <cell r="E73">
            <v>8443.2500000000018</v>
          </cell>
          <cell r="F73">
            <v>210.23999999999978</v>
          </cell>
          <cell r="G73">
            <v>8233.010000000002</v>
          </cell>
        </row>
        <row r="74">
          <cell r="A74">
            <v>4248248000127</v>
          </cell>
          <cell r="B74">
            <v>35859.292894229729</v>
          </cell>
          <cell r="C74">
            <v>12817.419999999998</v>
          </cell>
          <cell r="D74">
            <v>0.35743649596789745</v>
          </cell>
          <cell r="E74">
            <v>17746.349999999988</v>
          </cell>
          <cell r="F74">
            <v>10046.03999999999</v>
          </cell>
          <cell r="G74">
            <v>7700.3099999999986</v>
          </cell>
        </row>
        <row r="75">
          <cell r="A75">
            <v>1617371000180</v>
          </cell>
          <cell r="B75">
            <v>15436.658449557639</v>
          </cell>
          <cell r="C75">
            <v>17187.54</v>
          </cell>
          <cell r="D75">
            <v>1.1134236114741878</v>
          </cell>
          <cell r="E75">
            <v>15962.190000000004</v>
          </cell>
          <cell r="F75">
            <v>160.92999999999847</v>
          </cell>
          <cell r="G75">
            <v>15801.260000000006</v>
          </cell>
        </row>
        <row r="76">
          <cell r="A76">
            <v>1524705000170</v>
          </cell>
          <cell r="B76">
            <v>4558.8517602728552</v>
          </cell>
          <cell r="C76">
            <v>389.53999999999996</v>
          </cell>
          <cell r="D76">
            <v>8.5446954734208186E-2</v>
          </cell>
          <cell r="E76">
            <v>184.32</v>
          </cell>
          <cell r="F76">
            <v>21.97999999999999</v>
          </cell>
          <cell r="G76">
            <v>162.34</v>
          </cell>
        </row>
        <row r="77">
          <cell r="A77">
            <v>3328971000153</v>
          </cell>
          <cell r="B77">
            <v>6843.1437652396626</v>
          </cell>
          <cell r="C77">
            <v>2351.75</v>
          </cell>
          <cell r="D77">
            <v>0.3436651458275532</v>
          </cell>
          <cell r="E77">
            <v>1801</v>
          </cell>
          <cell r="F77">
            <v>609.98</v>
          </cell>
          <cell r="G77">
            <v>1191.02</v>
          </cell>
        </row>
        <row r="78">
          <cell r="A78">
            <v>8705108000191</v>
          </cell>
          <cell r="B78">
            <v>22736.865578736804</v>
          </cell>
          <cell r="C78">
            <v>7215.9499999999989</v>
          </cell>
          <cell r="D78">
            <v>0.3173678436463227</v>
          </cell>
          <cell r="E78">
            <v>9006.3700000000008</v>
          </cell>
          <cell r="F78">
            <v>5854.7200000000012</v>
          </cell>
          <cell r="G78">
            <v>3151.6499999999996</v>
          </cell>
        </row>
        <row r="79">
          <cell r="A79">
            <v>67096438000196</v>
          </cell>
          <cell r="B79">
            <v>3748.0639305731943</v>
          </cell>
          <cell r="C79">
            <v>994.86</v>
          </cell>
          <cell r="D79">
            <v>0.26543303914452049</v>
          </cell>
          <cell r="E79">
            <v>483.95</v>
          </cell>
          <cell r="F79">
            <v>129.69999999999999</v>
          </cell>
          <cell r="G79">
            <v>354.25</v>
          </cell>
        </row>
        <row r="80">
          <cell r="A80">
            <v>68389238000194</v>
          </cell>
          <cell r="B80">
            <v>5116.6267992599487</v>
          </cell>
          <cell r="C80">
            <v>1673.0900000000001</v>
          </cell>
          <cell r="D80">
            <v>0.3269908214220334</v>
          </cell>
          <cell r="E80">
            <v>107.31</v>
          </cell>
          <cell r="F80">
            <v>107.31</v>
          </cell>
          <cell r="G80">
            <v>0</v>
          </cell>
        </row>
        <row r="81">
          <cell r="A81">
            <v>55497176000192</v>
          </cell>
          <cell r="B81">
            <v>3173.151395955822</v>
          </cell>
          <cell r="C81">
            <v>1748.41</v>
          </cell>
          <cell r="D81">
            <v>0.5510011284769919</v>
          </cell>
          <cell r="E81">
            <v>1727.16</v>
          </cell>
          <cell r="F81">
            <v>514.70000000000005</v>
          </cell>
          <cell r="G81">
            <v>1212.46</v>
          </cell>
        </row>
        <row r="82">
          <cell r="A82">
            <v>13090874000129</v>
          </cell>
          <cell r="B82">
            <v>1861.7092243436337</v>
          </cell>
          <cell r="C82">
            <v>864.06999999999994</v>
          </cell>
          <cell r="D82">
            <v>0.46412725934934196</v>
          </cell>
          <cell r="E82">
            <v>0</v>
          </cell>
          <cell r="F82">
            <v>0</v>
          </cell>
          <cell r="G82">
            <v>0</v>
          </cell>
        </row>
        <row r="83">
          <cell r="A83">
            <v>1017753000172</v>
          </cell>
          <cell r="B83">
            <v>2801.5612462288123</v>
          </cell>
          <cell r="C83">
            <v>1567.2199999999998</v>
          </cell>
          <cell r="D83">
            <v>0.5594095085765618</v>
          </cell>
          <cell r="E83">
            <v>773.13000000000011</v>
          </cell>
          <cell r="F83">
            <v>0</v>
          </cell>
          <cell r="G83">
            <v>773.13000000000011</v>
          </cell>
        </row>
        <row r="84">
          <cell r="A84">
            <v>19631038000271</v>
          </cell>
          <cell r="B84">
            <v>1643.9902043485924</v>
          </cell>
          <cell r="C84">
            <v>1170.9599999999998</v>
          </cell>
          <cell r="D84">
            <v>0.7122670177125392</v>
          </cell>
          <cell r="E84">
            <v>97.62</v>
          </cell>
          <cell r="F84">
            <v>97.62</v>
          </cell>
          <cell r="G84">
            <v>0</v>
          </cell>
        </row>
        <row r="85">
          <cell r="A85">
            <v>13701031000111</v>
          </cell>
          <cell r="B85">
            <v>5286.2245388239326</v>
          </cell>
          <cell r="C85">
            <v>1615.2399999999998</v>
          </cell>
          <cell r="D85">
            <v>0.30555644924597825</v>
          </cell>
          <cell r="E85">
            <v>1699.76</v>
          </cell>
          <cell r="F85">
            <v>58</v>
          </cell>
          <cell r="G85">
            <v>1641.76</v>
          </cell>
        </row>
        <row r="86">
          <cell r="A86">
            <v>11318768000124</v>
          </cell>
          <cell r="B86">
            <v>8160.5485489288285</v>
          </cell>
          <cell r="C86">
            <v>2510.54</v>
          </cell>
          <cell r="D86">
            <v>0.3076435346162531</v>
          </cell>
          <cell r="E86">
            <v>651.29999999999995</v>
          </cell>
          <cell r="F86">
            <v>0</v>
          </cell>
          <cell r="G86">
            <v>651.29999999999995</v>
          </cell>
        </row>
        <row r="87">
          <cell r="A87">
            <v>4538037000129</v>
          </cell>
          <cell r="B87">
            <v>6925.0044473623748</v>
          </cell>
          <cell r="C87">
            <v>869.43</v>
          </cell>
          <cell r="D87">
            <v>0.12554937785363476</v>
          </cell>
          <cell r="E87">
            <v>467.37</v>
          </cell>
          <cell r="F87">
            <v>415.32</v>
          </cell>
          <cell r="G87">
            <v>52.05</v>
          </cell>
        </row>
        <row r="88">
          <cell r="A88">
            <v>5778971000180</v>
          </cell>
          <cell r="B88">
            <v>5359.3023038463252</v>
          </cell>
          <cell r="C88">
            <v>2923.49</v>
          </cell>
          <cell r="D88">
            <v>0.54549824478119779</v>
          </cell>
          <cell r="E88">
            <v>1530.03</v>
          </cell>
          <cell r="F88">
            <v>0</v>
          </cell>
          <cell r="G88">
            <v>1530.03</v>
          </cell>
        </row>
        <row r="89">
          <cell r="A89">
            <v>1770218000198</v>
          </cell>
          <cell r="B89">
            <v>5749.9059934698689</v>
          </cell>
          <cell r="C89">
            <v>818.28000000000009</v>
          </cell>
          <cell r="D89">
            <v>0.14231189186906976</v>
          </cell>
          <cell r="E89">
            <v>176.63000000000002</v>
          </cell>
          <cell r="F89">
            <v>0</v>
          </cell>
          <cell r="G89">
            <v>176.63000000000002</v>
          </cell>
        </row>
        <row r="90">
          <cell r="A90">
            <v>9417126000130</v>
          </cell>
          <cell r="B90">
            <v>6461.2602494081766</v>
          </cell>
          <cell r="C90">
            <v>3073.2099999999996</v>
          </cell>
          <cell r="D90">
            <v>0.47563631263444189</v>
          </cell>
          <cell r="E90">
            <v>2980.22</v>
          </cell>
          <cell r="F90">
            <v>308.97000000000071</v>
          </cell>
          <cell r="G90">
            <v>2671.2499999999991</v>
          </cell>
        </row>
        <row r="91">
          <cell r="A91">
            <v>48798235000105</v>
          </cell>
          <cell r="B91">
            <v>9864.7310076468984</v>
          </cell>
          <cell r="C91">
            <v>2894.6400000000003</v>
          </cell>
          <cell r="D91">
            <v>0.29343324189540965</v>
          </cell>
          <cell r="E91">
            <v>0</v>
          </cell>
          <cell r="F91">
            <v>0</v>
          </cell>
          <cell r="G91">
            <v>0</v>
          </cell>
        </row>
        <row r="92">
          <cell r="A92">
            <v>61144743000120</v>
          </cell>
          <cell r="B92">
            <v>6734.0141180477231</v>
          </cell>
          <cell r="C92">
            <v>1753.14</v>
          </cell>
          <cell r="D92">
            <v>0.2603410045282557</v>
          </cell>
          <cell r="E92">
            <v>624.02</v>
          </cell>
          <cell r="F92">
            <v>624.02</v>
          </cell>
          <cell r="G92">
            <v>0</v>
          </cell>
        </row>
        <row r="93">
          <cell r="A93">
            <v>35008629000162</v>
          </cell>
          <cell r="B93">
            <v>3518.1780258312774</v>
          </cell>
          <cell r="C93">
            <v>735.63</v>
          </cell>
          <cell r="D93">
            <v>0.20909402383814413</v>
          </cell>
          <cell r="E93">
            <v>115.8</v>
          </cell>
          <cell r="F93">
            <v>0</v>
          </cell>
          <cell r="G93">
            <v>115.8</v>
          </cell>
        </row>
        <row r="94">
          <cell r="A94">
            <v>12050037000103</v>
          </cell>
          <cell r="B94">
            <v>2095.1614534055093</v>
          </cell>
          <cell r="C94">
            <v>283.56</v>
          </cell>
          <cell r="D94">
            <v>0.13534040516977677</v>
          </cell>
          <cell r="E94">
            <v>611.63</v>
          </cell>
          <cell r="F94">
            <v>24.870000000000005</v>
          </cell>
          <cell r="G94">
            <v>586.76</v>
          </cell>
        </row>
        <row r="95">
          <cell r="A95">
            <v>21769166000309</v>
          </cell>
          <cell r="B95">
            <v>1908.1128348930474</v>
          </cell>
          <cell r="C95">
            <v>668.99000000000012</v>
          </cell>
          <cell r="D95">
            <v>0.35060295584537482</v>
          </cell>
          <cell r="E95">
            <v>0</v>
          </cell>
          <cell r="F95">
            <v>0</v>
          </cell>
          <cell r="G95">
            <v>0</v>
          </cell>
        </row>
        <row r="96">
          <cell r="A96">
            <v>8954952000156</v>
          </cell>
          <cell r="B96">
            <v>6563.4034575822789</v>
          </cell>
          <cell r="C96">
            <v>1268.3300000000002</v>
          </cell>
          <cell r="D96">
            <v>0.19324272965953052</v>
          </cell>
          <cell r="E96">
            <v>1392.72</v>
          </cell>
          <cell r="F96">
            <v>0</v>
          </cell>
          <cell r="G96">
            <v>1392.72</v>
          </cell>
        </row>
        <row r="97">
          <cell r="A97">
            <v>8954952000237</v>
          </cell>
          <cell r="B97">
            <v>14139.680487773539</v>
          </cell>
          <cell r="C97">
            <v>7114.5500000000011</v>
          </cell>
          <cell r="D97">
            <v>0.50316200611123363</v>
          </cell>
          <cell r="E97">
            <v>3394.8300000000004</v>
          </cell>
          <cell r="F97">
            <v>533.57000000000016</v>
          </cell>
          <cell r="G97">
            <v>2861.26</v>
          </cell>
        </row>
        <row r="98">
          <cell r="A98">
            <v>8954952000318</v>
          </cell>
          <cell r="B98">
            <v>17770.341882431068</v>
          </cell>
          <cell r="C98">
            <v>6053.7500000000009</v>
          </cell>
          <cell r="D98">
            <v>0.34066592753542563</v>
          </cell>
          <cell r="E98">
            <v>6753.8399999999983</v>
          </cell>
          <cell r="F98">
            <v>1157.21</v>
          </cell>
          <cell r="G98">
            <v>5596.6299999999983</v>
          </cell>
        </row>
        <row r="99">
          <cell r="A99">
            <v>8954952000407</v>
          </cell>
          <cell r="B99">
            <v>10882.499910082217</v>
          </cell>
          <cell r="C99">
            <v>2691.2499999999995</v>
          </cell>
          <cell r="D99">
            <v>0.2473007141958862</v>
          </cell>
          <cell r="E99">
            <v>3328.05</v>
          </cell>
          <cell r="F99">
            <v>1146.1500000000005</v>
          </cell>
          <cell r="G99">
            <v>2181.8999999999996</v>
          </cell>
        </row>
        <row r="100">
          <cell r="A100">
            <v>60706953000100</v>
          </cell>
          <cell r="B100">
            <v>1087.5907056473907</v>
          </cell>
          <cell r="C100">
            <v>1271.4000000000001</v>
          </cell>
          <cell r="D100">
            <v>1.1690059444220762</v>
          </cell>
          <cell r="E100">
            <v>0</v>
          </cell>
          <cell r="F100">
            <v>0</v>
          </cell>
          <cell r="G100">
            <v>0</v>
          </cell>
        </row>
        <row r="101">
          <cell r="A101">
            <v>12113721000197</v>
          </cell>
          <cell r="B101">
            <v>5727.7597048500484</v>
          </cell>
          <cell r="C101">
            <v>776.44</v>
          </cell>
          <cell r="D101">
            <v>0.13555736274036431</v>
          </cell>
          <cell r="E101">
            <v>1717.2199999999996</v>
          </cell>
          <cell r="F101">
            <v>1717.2199999999996</v>
          </cell>
          <cell r="G101">
            <v>0</v>
          </cell>
        </row>
        <row r="102">
          <cell r="A102">
            <v>2330544000147</v>
          </cell>
          <cell r="B102">
            <v>3629.4108994481653</v>
          </cell>
          <cell r="C102">
            <v>1778.14</v>
          </cell>
          <cell r="D102">
            <v>0.48992523835489604</v>
          </cell>
          <cell r="E102">
            <v>1195.33</v>
          </cell>
          <cell r="F102">
            <v>0</v>
          </cell>
          <cell r="G102">
            <v>1195.33</v>
          </cell>
        </row>
        <row r="103">
          <cell r="A103">
            <v>1569011000150</v>
          </cell>
          <cell r="B103">
            <v>6849.2105873064938</v>
          </cell>
          <cell r="C103">
            <v>1237.69</v>
          </cell>
          <cell r="D103">
            <v>0.18070549652740805</v>
          </cell>
          <cell r="E103">
            <v>927.20999999999992</v>
          </cell>
          <cell r="F103">
            <v>0</v>
          </cell>
          <cell r="G103">
            <v>927.20999999999992</v>
          </cell>
        </row>
        <row r="104">
          <cell r="A104">
            <v>8685407000101</v>
          </cell>
          <cell r="B104">
            <v>7637.1919838081712</v>
          </cell>
          <cell r="C104">
            <v>2990.4400000000005</v>
          </cell>
          <cell r="D104">
            <v>0.39156276368855436</v>
          </cell>
          <cell r="E104">
            <v>1451.4</v>
          </cell>
          <cell r="F104">
            <v>38.740000000000009</v>
          </cell>
          <cell r="G104">
            <v>1412.66</v>
          </cell>
        </row>
        <row r="105">
          <cell r="A105">
            <v>30878190000105</v>
          </cell>
          <cell r="B105">
            <v>9900.4632620860284</v>
          </cell>
          <cell r="C105">
            <v>5658.29</v>
          </cell>
          <cell r="D105">
            <v>0.57151770075936803</v>
          </cell>
          <cell r="E105">
            <v>4379.1899999999996</v>
          </cell>
          <cell r="F105">
            <v>61.730000000000473</v>
          </cell>
          <cell r="G105">
            <v>4317.4599999999991</v>
          </cell>
        </row>
        <row r="106">
          <cell r="A106">
            <v>16925842000194</v>
          </cell>
          <cell r="B106">
            <v>1930.9378077951558</v>
          </cell>
          <cell r="C106">
            <v>829.56</v>
          </cell>
          <cell r="D106">
            <v>0.42961507960074297</v>
          </cell>
          <cell r="E106">
            <v>243.66999999999996</v>
          </cell>
          <cell r="F106">
            <v>0</v>
          </cell>
          <cell r="G106">
            <v>243.66999999999996</v>
          </cell>
        </row>
        <row r="107">
          <cell r="A107">
            <v>7234960000165</v>
          </cell>
          <cell r="B107">
            <v>11592.584261847447</v>
          </cell>
          <cell r="C107">
            <v>3526.5200000000004</v>
          </cell>
          <cell r="D107">
            <v>0.30420481924864595</v>
          </cell>
          <cell r="E107">
            <v>2239.92</v>
          </cell>
          <cell r="F107">
            <v>0</v>
          </cell>
          <cell r="G107">
            <v>2239.92</v>
          </cell>
        </row>
        <row r="108">
          <cell r="A108">
            <v>55845358000107</v>
          </cell>
          <cell r="B108">
            <v>1733.0829608640965</v>
          </cell>
          <cell r="C108">
            <v>194.83999999999997</v>
          </cell>
          <cell r="D108">
            <v>0.11242393145614613</v>
          </cell>
          <cell r="E108">
            <v>53.58</v>
          </cell>
          <cell r="F108">
            <v>53.58</v>
          </cell>
          <cell r="G108">
            <v>0</v>
          </cell>
        </row>
        <row r="109">
          <cell r="A109">
            <v>8604819000170</v>
          </cell>
          <cell r="B109">
            <v>13724.584958360769</v>
          </cell>
          <cell r="C109">
            <v>5875.2699999999986</v>
          </cell>
          <cell r="D109">
            <v>0.42808361912765097</v>
          </cell>
          <cell r="E109">
            <v>3070.52</v>
          </cell>
          <cell r="F109">
            <v>643.91000000000076</v>
          </cell>
          <cell r="G109">
            <v>2426.6099999999992</v>
          </cell>
        </row>
        <row r="110">
          <cell r="A110">
            <v>40214024000168</v>
          </cell>
          <cell r="B110">
            <v>3692.2095670054123</v>
          </cell>
          <cell r="C110">
            <v>1232.3699999999999</v>
          </cell>
          <cell r="D110">
            <v>0.33377574529159804</v>
          </cell>
          <cell r="E110">
            <v>0</v>
          </cell>
          <cell r="F110">
            <v>0</v>
          </cell>
          <cell r="G110">
            <v>0</v>
          </cell>
        </row>
        <row r="111">
          <cell r="A111">
            <v>10601751000117</v>
          </cell>
          <cell r="B111">
            <v>1128.9536104933238</v>
          </cell>
          <cell r="C111">
            <v>43.96</v>
          </cell>
          <cell r="D111">
            <v>3.893871244256937E-2</v>
          </cell>
          <cell r="E111">
            <v>1234.6600000000001</v>
          </cell>
          <cell r="F111">
            <v>819.24</v>
          </cell>
          <cell r="G111">
            <v>415.42</v>
          </cell>
        </row>
        <row r="112">
          <cell r="A112">
            <v>5328012000163</v>
          </cell>
          <cell r="B112">
            <v>3941.3471058333976</v>
          </cell>
          <cell r="C112">
            <v>3929.42</v>
          </cell>
          <cell r="D112">
            <v>0.99697385043409525</v>
          </cell>
          <cell r="E112">
            <v>3320.54</v>
          </cell>
          <cell r="F112">
            <v>0</v>
          </cell>
          <cell r="G112">
            <v>3320.54</v>
          </cell>
        </row>
        <row r="113">
          <cell r="A113">
            <v>4837150000105</v>
          </cell>
          <cell r="B113">
            <v>3188.6371086327176</v>
          </cell>
          <cell r="C113">
            <v>1828.2600000000004</v>
          </cell>
          <cell r="D113">
            <v>0.57336722170430843</v>
          </cell>
          <cell r="E113">
            <v>1051.23</v>
          </cell>
          <cell r="F113">
            <v>25.320000000000164</v>
          </cell>
          <cell r="G113">
            <v>1025.9099999999999</v>
          </cell>
        </row>
        <row r="114">
          <cell r="A114">
            <v>14775673000128</v>
          </cell>
          <cell r="B114">
            <v>6262.2372969530916</v>
          </cell>
          <cell r="C114">
            <v>4807.9399999999987</v>
          </cell>
          <cell r="D114">
            <v>0.76776713688881049</v>
          </cell>
          <cell r="E114">
            <v>2341.8100000000004</v>
          </cell>
          <cell r="F114">
            <v>106.14000000000033</v>
          </cell>
          <cell r="G114">
            <v>2235.67</v>
          </cell>
        </row>
        <row r="115">
          <cell r="A115">
            <v>42038804000120</v>
          </cell>
          <cell r="B115">
            <v>3616.9622072327206</v>
          </cell>
          <cell r="C115">
            <v>993.59</v>
          </cell>
          <cell r="D115">
            <v>0.27470289792167324</v>
          </cell>
          <cell r="E115">
            <v>0</v>
          </cell>
          <cell r="F115">
            <v>0</v>
          </cell>
          <cell r="G115">
            <v>0</v>
          </cell>
        </row>
        <row r="116">
          <cell r="A116">
            <v>14913432000106</v>
          </cell>
          <cell r="B116">
            <v>5000.8761288276364</v>
          </cell>
          <cell r="C116">
            <v>1400.03</v>
          </cell>
          <cell r="D116">
            <v>0.27995694433011509</v>
          </cell>
          <cell r="E116">
            <v>858.42</v>
          </cell>
          <cell r="F116">
            <v>0</v>
          </cell>
          <cell r="G116">
            <v>858.42</v>
          </cell>
        </row>
        <row r="117">
          <cell r="A117">
            <v>2489904000158</v>
          </cell>
          <cell r="B117">
            <v>6644.7990658384697</v>
          </cell>
          <cell r="C117">
            <v>946.45</v>
          </cell>
          <cell r="D117">
            <v>0.14243470579355627</v>
          </cell>
          <cell r="E117">
            <v>778.7399999999999</v>
          </cell>
          <cell r="F117">
            <v>0</v>
          </cell>
          <cell r="G117">
            <v>778.7399999999999</v>
          </cell>
        </row>
        <row r="118">
          <cell r="A118">
            <v>33687112000111</v>
          </cell>
          <cell r="B118">
            <v>4745.9255958807926</v>
          </cell>
          <cell r="C118">
            <v>2179.1800000000003</v>
          </cell>
          <cell r="D118">
            <v>0.45916859756322581</v>
          </cell>
          <cell r="E118">
            <v>1832.4600000000003</v>
          </cell>
          <cell r="F118">
            <v>75.079999999999927</v>
          </cell>
          <cell r="G118">
            <v>1757.3800000000003</v>
          </cell>
        </row>
        <row r="119">
          <cell r="A119">
            <v>3492774000175</v>
          </cell>
          <cell r="B119">
            <v>4634.0100702135915</v>
          </cell>
          <cell r="C119">
            <v>650.79999999999995</v>
          </cell>
          <cell r="D119">
            <v>0.1404399192360847</v>
          </cell>
          <cell r="E119">
            <v>0</v>
          </cell>
          <cell r="F119">
            <v>0</v>
          </cell>
          <cell r="G119">
            <v>0</v>
          </cell>
        </row>
        <row r="120">
          <cell r="A120">
            <v>14876562000108</v>
          </cell>
          <cell r="B120">
            <v>10129.943229516388</v>
          </cell>
          <cell r="C120">
            <v>3287.2500000000005</v>
          </cell>
          <cell r="D120">
            <v>0.32450823519145588</v>
          </cell>
          <cell r="E120">
            <v>3558.6899999999991</v>
          </cell>
          <cell r="F120">
            <v>557.31999999999971</v>
          </cell>
          <cell r="G120">
            <v>3001.3699999999994</v>
          </cell>
        </row>
        <row r="121">
          <cell r="A121">
            <v>5072221000199</v>
          </cell>
          <cell r="B121">
            <v>3210.8431291448401</v>
          </cell>
          <cell r="C121">
            <v>296.26</v>
          </cell>
          <cell r="D121">
            <v>9.22685998922982E-2</v>
          </cell>
          <cell r="E121">
            <v>0</v>
          </cell>
          <cell r="F121">
            <v>0</v>
          </cell>
          <cell r="G121">
            <v>0</v>
          </cell>
        </row>
        <row r="122">
          <cell r="A122">
            <v>15059340000165</v>
          </cell>
          <cell r="B122">
            <v>4077.8921164164426</v>
          </cell>
          <cell r="C122">
            <v>834.54000000000008</v>
          </cell>
          <cell r="D122">
            <v>0.20464984756226817</v>
          </cell>
          <cell r="E122">
            <v>0</v>
          </cell>
          <cell r="F122">
            <v>0</v>
          </cell>
          <cell r="G122">
            <v>0</v>
          </cell>
        </row>
        <row r="123">
          <cell r="A123">
            <v>4083576000110</v>
          </cell>
          <cell r="B123">
            <v>2585.6272753420221</v>
          </cell>
          <cell r="C123">
            <v>122.39</v>
          </cell>
          <cell r="D123">
            <v>4.7334742005229843E-2</v>
          </cell>
          <cell r="E123">
            <v>0</v>
          </cell>
          <cell r="F123">
            <v>0</v>
          </cell>
          <cell r="G123">
            <v>0</v>
          </cell>
        </row>
        <row r="124">
          <cell r="A124">
            <v>26495088000153</v>
          </cell>
          <cell r="B124">
            <v>2825.1883665619685</v>
          </cell>
          <cell r="C124">
            <v>826.01</v>
          </cell>
          <cell r="D124">
            <v>0.29237342535329391</v>
          </cell>
          <cell r="E124">
            <v>642.67000000000007</v>
          </cell>
          <cell r="F124">
            <v>0</v>
          </cell>
          <cell r="G124">
            <v>642.67000000000007</v>
          </cell>
        </row>
        <row r="125">
          <cell r="A125">
            <v>779082000114</v>
          </cell>
          <cell r="B125">
            <v>8021.2298793451819</v>
          </cell>
          <cell r="C125">
            <v>2109.02</v>
          </cell>
          <cell r="D125">
            <v>0.26292975413044406</v>
          </cell>
          <cell r="E125">
            <v>0</v>
          </cell>
          <cell r="F125">
            <v>0</v>
          </cell>
          <cell r="G125">
            <v>0</v>
          </cell>
        </row>
        <row r="126">
          <cell r="A126">
            <v>5592488000107</v>
          </cell>
          <cell r="B126">
            <v>5127.0548245799482</v>
          </cell>
          <cell r="C126">
            <v>602.61999999999989</v>
          </cell>
          <cell r="D126">
            <v>0.11753726469062512</v>
          </cell>
          <cell r="E126">
            <v>178.82999999999998</v>
          </cell>
          <cell r="F126">
            <v>107.27999999999999</v>
          </cell>
          <cell r="G126">
            <v>71.55</v>
          </cell>
        </row>
        <row r="127">
          <cell r="A127">
            <v>41195400000187</v>
          </cell>
          <cell r="B127">
            <v>453.68366385390937</v>
          </cell>
          <cell r="C127">
            <v>843.48000000000013</v>
          </cell>
          <cell r="D127">
            <v>1.8591808945353805</v>
          </cell>
          <cell r="E127">
            <v>625.78</v>
          </cell>
          <cell r="F127">
            <v>0</v>
          </cell>
          <cell r="G127">
            <v>625.78</v>
          </cell>
        </row>
        <row r="128">
          <cell r="A128">
            <v>43491146000190</v>
          </cell>
          <cell r="B128">
            <v>3771.6636636850021</v>
          </cell>
          <cell r="C128">
            <v>551.78</v>
          </cell>
          <cell r="D128">
            <v>0.14629618364774821</v>
          </cell>
          <cell r="E128">
            <v>0</v>
          </cell>
          <cell r="F128">
            <v>0</v>
          </cell>
          <cell r="G128">
            <v>0</v>
          </cell>
        </row>
        <row r="129">
          <cell r="A129">
            <v>17476547000241</v>
          </cell>
          <cell r="B129">
            <v>10559.563175865482</v>
          </cell>
          <cell r="C129">
            <v>8495.1799999999985</v>
          </cell>
          <cell r="D129">
            <v>0.80450108195917081</v>
          </cell>
          <cell r="E129">
            <v>0</v>
          </cell>
          <cell r="F129">
            <v>0</v>
          </cell>
          <cell r="G129">
            <v>0</v>
          </cell>
        </row>
        <row r="130">
          <cell r="A130">
            <v>51398846000162</v>
          </cell>
          <cell r="B130">
            <v>2556.8986956733816</v>
          </cell>
          <cell r="C130">
            <v>1965.9099999999999</v>
          </cell>
          <cell r="D130">
            <v>0.76886503298960784</v>
          </cell>
          <cell r="E130">
            <v>0</v>
          </cell>
          <cell r="F130">
            <v>0</v>
          </cell>
          <cell r="G130">
            <v>0</v>
          </cell>
        </row>
        <row r="131">
          <cell r="A131">
            <v>45290499000157</v>
          </cell>
          <cell r="B131">
            <v>11011.33518238999</v>
          </cell>
          <cell r="C131">
            <v>2689.4400000000005</v>
          </cell>
          <cell r="D131">
            <v>0.24424286023924871</v>
          </cell>
          <cell r="E131">
            <v>0</v>
          </cell>
          <cell r="F131">
            <v>0</v>
          </cell>
          <cell r="G131">
            <v>0</v>
          </cell>
        </row>
        <row r="132">
          <cell r="A132">
            <v>17858710000150</v>
          </cell>
          <cell r="B132">
            <v>6937.1967415605986</v>
          </cell>
          <cell r="C132">
            <v>134.41999999999999</v>
          </cell>
          <cell r="D132">
            <v>1.9376702868277126E-2</v>
          </cell>
          <cell r="E132">
            <v>137.85</v>
          </cell>
          <cell r="F132">
            <v>137.85</v>
          </cell>
          <cell r="G132">
            <v>0</v>
          </cell>
        </row>
        <row r="133">
          <cell r="A133">
            <v>29668395000187</v>
          </cell>
          <cell r="B133">
            <v>2779.8967621700153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</row>
        <row r="134">
          <cell r="A134">
            <v>61585281000186</v>
          </cell>
          <cell r="B134">
            <v>398.57773441198282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</row>
        <row r="135">
          <cell r="A135">
            <v>49845019000128</v>
          </cell>
          <cell r="B135">
            <v>6583.1210521893054</v>
          </cell>
          <cell r="C135">
            <v>2571.73</v>
          </cell>
          <cell r="D135">
            <v>0.39065512841279693</v>
          </cell>
          <cell r="E135">
            <v>8335.76</v>
          </cell>
          <cell r="F135">
            <v>7164.04</v>
          </cell>
          <cell r="G135">
            <v>1171.72</v>
          </cell>
        </row>
        <row r="136">
          <cell r="A136">
            <v>23339848000145</v>
          </cell>
          <cell r="B136">
            <v>6457.7234935757442</v>
          </cell>
          <cell r="C136">
            <v>912.19999999999993</v>
          </cell>
          <cell r="D136">
            <v>0.14125720943417172</v>
          </cell>
          <cell r="E136">
            <v>0</v>
          </cell>
          <cell r="F136">
            <v>0</v>
          </cell>
          <cell r="G136">
            <v>0</v>
          </cell>
        </row>
        <row r="137">
          <cell r="A137">
            <v>9267822000108</v>
          </cell>
          <cell r="B137">
            <v>3512.7989134551322</v>
          </cell>
          <cell r="C137">
            <v>909.74</v>
          </cell>
          <cell r="D137">
            <v>0.25897867268046793</v>
          </cell>
          <cell r="E137">
            <v>0</v>
          </cell>
          <cell r="F137">
            <v>0</v>
          </cell>
          <cell r="G137">
            <v>0</v>
          </cell>
        </row>
        <row r="138">
          <cell r="A138">
            <v>27750605000237</v>
          </cell>
          <cell r="B138">
            <v>3157.5605296418353</v>
          </cell>
          <cell r="C138">
            <v>1642.8899999999999</v>
          </cell>
          <cell r="D138">
            <v>0.52030356491261132</v>
          </cell>
          <cell r="E138">
            <v>2533.91</v>
          </cell>
          <cell r="F138">
            <v>125.20000000000027</v>
          </cell>
          <cell r="G138">
            <v>2408.7099999999996</v>
          </cell>
        </row>
        <row r="139">
          <cell r="A139">
            <v>49465956000158</v>
          </cell>
          <cell r="B139">
            <v>2341.7390189694897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</row>
        <row r="140">
          <cell r="A140">
            <v>29776784000126</v>
          </cell>
          <cell r="B140">
            <v>3317.1221200505756</v>
          </cell>
          <cell r="C140">
            <v>607.16</v>
          </cell>
          <cell r="D140">
            <v>0.18303818129877675</v>
          </cell>
          <cell r="E140">
            <v>1634.9299999999996</v>
          </cell>
          <cell r="F140">
            <v>0</v>
          </cell>
          <cell r="G140">
            <v>1634.9299999999996</v>
          </cell>
        </row>
        <row r="141">
          <cell r="A141">
            <v>7460103000183</v>
          </cell>
          <cell r="B141">
            <v>2248.9830118032014</v>
          </cell>
          <cell r="C141">
            <v>1120.23</v>
          </cell>
          <cell r="D141">
            <v>0.49810514091069819</v>
          </cell>
          <cell r="E141">
            <v>0</v>
          </cell>
          <cell r="F141">
            <v>0</v>
          </cell>
          <cell r="G141">
            <v>0</v>
          </cell>
        </row>
        <row r="142">
          <cell r="A142">
            <v>39999923000134</v>
          </cell>
          <cell r="B142">
            <v>3849.2311169447389</v>
          </cell>
          <cell r="C142">
            <v>1256.17</v>
          </cell>
          <cell r="D142">
            <v>0.32634309601993017</v>
          </cell>
          <cell r="E142">
            <v>0</v>
          </cell>
          <cell r="F142">
            <v>0</v>
          </cell>
          <cell r="G142">
            <v>0</v>
          </cell>
        </row>
        <row r="143">
          <cell r="A143">
            <v>8963901000190</v>
          </cell>
          <cell r="B143">
            <v>13214.014002437172</v>
          </cell>
          <cell r="C143">
            <v>2083.7300000000005</v>
          </cell>
          <cell r="D143">
            <v>0.15769091811282177</v>
          </cell>
          <cell r="E143">
            <v>1171</v>
          </cell>
          <cell r="F143">
            <v>0</v>
          </cell>
          <cell r="G143">
            <v>1171</v>
          </cell>
        </row>
        <row r="144">
          <cell r="A144">
            <v>11964668000175</v>
          </cell>
          <cell r="B144">
            <v>1598.3417616929664</v>
          </cell>
          <cell r="C144">
            <v>908.37</v>
          </cell>
          <cell r="D144">
            <v>0.56832025651250762</v>
          </cell>
          <cell r="E144">
            <v>0</v>
          </cell>
          <cell r="F144">
            <v>0</v>
          </cell>
          <cell r="G144">
            <v>0</v>
          </cell>
        </row>
        <row r="145">
          <cell r="A145">
            <v>7504369000180</v>
          </cell>
          <cell r="B145">
            <v>1466.3422098845194</v>
          </cell>
          <cell r="C145">
            <v>53.050000000000004</v>
          </cell>
          <cell r="D145">
            <v>3.6178457963218502E-2</v>
          </cell>
          <cell r="E145">
            <v>0</v>
          </cell>
          <cell r="F145">
            <v>0</v>
          </cell>
          <cell r="G145">
            <v>0</v>
          </cell>
        </row>
        <row r="146">
          <cell r="A146">
            <v>5215960000192</v>
          </cell>
          <cell r="B146">
            <v>10582.039315843213</v>
          </cell>
          <cell r="C146">
            <v>2680.61</v>
          </cell>
          <cell r="D146">
            <v>0.25331695715651387</v>
          </cell>
          <cell r="E146">
            <v>1162.7799999999997</v>
          </cell>
          <cell r="F146">
            <v>348.89999999999964</v>
          </cell>
          <cell r="G146">
            <v>813.88000000000011</v>
          </cell>
        </row>
        <row r="147">
          <cell r="A147">
            <v>11277593000154</v>
          </cell>
          <cell r="B147">
            <v>615.53294652526961</v>
          </cell>
          <cell r="C147">
            <v>272.59000000000003</v>
          </cell>
          <cell r="D147">
            <v>0.44285200579236472</v>
          </cell>
          <cell r="E147">
            <v>160.88000000000002</v>
          </cell>
          <cell r="F147">
            <v>0</v>
          </cell>
          <cell r="G147">
            <v>160.88000000000002</v>
          </cell>
        </row>
        <row r="148">
          <cell r="A148">
            <v>62811078000143</v>
          </cell>
          <cell r="B148">
            <v>2213.8146998172892</v>
          </cell>
          <cell r="C148">
            <v>933.43999999999994</v>
          </cell>
          <cell r="D148">
            <v>0.42164323873946574</v>
          </cell>
          <cell r="E148">
            <v>0</v>
          </cell>
          <cell r="F148">
            <v>0</v>
          </cell>
          <cell r="G148">
            <v>0</v>
          </cell>
        </row>
        <row r="149">
          <cell r="A149">
            <v>12476127000160</v>
          </cell>
          <cell r="B149">
            <v>23154.949232804956</v>
          </cell>
          <cell r="C149">
            <v>5920.07</v>
          </cell>
          <cell r="D149">
            <v>0.25567190584087718</v>
          </cell>
          <cell r="E149">
            <v>4117.8099999999995</v>
          </cell>
          <cell r="F149">
            <v>260.1599999999994</v>
          </cell>
          <cell r="G149">
            <v>3857.65</v>
          </cell>
        </row>
        <row r="150">
          <cell r="A150">
            <v>30455750000119</v>
          </cell>
          <cell r="B150">
            <v>1478.7775739130834</v>
          </cell>
          <cell r="C150">
            <v>253.52999999999997</v>
          </cell>
          <cell r="D150">
            <v>0.17144566192542318</v>
          </cell>
          <cell r="E150">
            <v>247.95</v>
          </cell>
          <cell r="F150">
            <v>0</v>
          </cell>
          <cell r="G150">
            <v>247.95</v>
          </cell>
        </row>
        <row r="151">
          <cell r="A151">
            <v>11288508000153</v>
          </cell>
          <cell r="B151">
            <v>8064.9442660038294</v>
          </cell>
          <cell r="C151">
            <v>2205.0099999999998</v>
          </cell>
          <cell r="D151">
            <v>0.27340672511461506</v>
          </cell>
          <cell r="E151">
            <v>0</v>
          </cell>
          <cell r="F151">
            <v>0</v>
          </cell>
          <cell r="G151">
            <v>0</v>
          </cell>
        </row>
        <row r="152">
          <cell r="A152">
            <v>9516908000127</v>
          </cell>
          <cell r="B152">
            <v>7418.8857044239403</v>
          </cell>
          <cell r="C152">
            <v>2045.3400000000004</v>
          </cell>
          <cell r="D152">
            <v>0.27569369329687177</v>
          </cell>
          <cell r="E152">
            <v>394.44</v>
          </cell>
          <cell r="F152">
            <v>0</v>
          </cell>
          <cell r="G152">
            <v>394.44</v>
          </cell>
        </row>
        <row r="153">
          <cell r="A153">
            <v>44864960000175</v>
          </cell>
          <cell r="B153">
            <v>2148.7625362744443</v>
          </cell>
          <cell r="C153">
            <v>901.64</v>
          </cell>
          <cell r="D153">
            <v>0.41960895388807201</v>
          </cell>
          <cell r="E153">
            <v>484.22999999999996</v>
          </cell>
          <cell r="F153">
            <v>151.82999999999998</v>
          </cell>
          <cell r="G153">
            <v>332.4</v>
          </cell>
        </row>
        <row r="154">
          <cell r="A154">
            <v>33675901000132</v>
          </cell>
          <cell r="B154">
            <v>4427.4224002714291</v>
          </cell>
          <cell r="C154">
            <v>1148.1299999999999</v>
          </cell>
          <cell r="D154">
            <v>0.25932244457398335</v>
          </cell>
          <cell r="E154">
            <v>0</v>
          </cell>
          <cell r="F154">
            <v>0</v>
          </cell>
          <cell r="G154">
            <v>0</v>
          </cell>
        </row>
        <row r="155">
          <cell r="A155">
            <v>8793169000158</v>
          </cell>
          <cell r="B155">
            <v>1088.5340733600146</v>
          </cell>
          <cell r="C155">
            <v>216.7</v>
          </cell>
          <cell r="D155">
            <v>0.19907507289239448</v>
          </cell>
          <cell r="E155">
            <v>0</v>
          </cell>
          <cell r="F155">
            <v>0</v>
          </cell>
          <cell r="G155">
            <v>0</v>
          </cell>
        </row>
        <row r="156">
          <cell r="A156">
            <v>22977550000106</v>
          </cell>
          <cell r="B156">
            <v>1954.8323999886152</v>
          </cell>
          <cell r="C156">
            <v>0</v>
          </cell>
          <cell r="D156">
            <v>0</v>
          </cell>
          <cell r="E156">
            <v>232.17</v>
          </cell>
          <cell r="F156">
            <v>232.17</v>
          </cell>
          <cell r="G156">
            <v>0</v>
          </cell>
        </row>
        <row r="157">
          <cell r="A157">
            <v>24415425000120</v>
          </cell>
          <cell r="B157">
            <v>2887.6871051181001</v>
          </cell>
          <cell r="C157">
            <v>911.5200000000001</v>
          </cell>
          <cell r="D157">
            <v>0.31565746800767769</v>
          </cell>
          <cell r="E157">
            <v>119.98</v>
          </cell>
          <cell r="F157">
            <v>0</v>
          </cell>
          <cell r="G157">
            <v>119.98</v>
          </cell>
        </row>
        <row r="158">
          <cell r="A158">
            <v>23350836000111</v>
          </cell>
          <cell r="B158">
            <v>2441.9757522904479</v>
          </cell>
          <cell r="C158">
            <v>2293.7500000000005</v>
          </cell>
          <cell r="D158">
            <v>0.93930089102997061</v>
          </cell>
          <cell r="E158">
            <v>2203.6299999999997</v>
          </cell>
          <cell r="F158">
            <v>168.19999999999982</v>
          </cell>
          <cell r="G158">
            <v>2035.4299999999998</v>
          </cell>
        </row>
        <row r="159">
          <cell r="A159">
            <v>17479487000130</v>
          </cell>
          <cell r="B159">
            <v>2401.6494304938128</v>
          </cell>
          <cell r="C159">
            <v>819.84999999999991</v>
          </cell>
          <cell r="D159">
            <v>0.34136955610187758</v>
          </cell>
          <cell r="E159">
            <v>940.04000000000008</v>
          </cell>
          <cell r="F159">
            <v>237.92000000000007</v>
          </cell>
          <cell r="G159">
            <v>702.12</v>
          </cell>
        </row>
        <row r="160">
          <cell r="A160">
            <v>31832914000142</v>
          </cell>
          <cell r="B160">
            <v>2497.6734789300358</v>
          </cell>
          <cell r="C160">
            <v>1682.9099999999996</v>
          </cell>
          <cell r="D160">
            <v>0.67379103561644571</v>
          </cell>
          <cell r="E160">
            <v>2532.3599999999997</v>
          </cell>
          <cell r="F160">
            <v>932.52999999999952</v>
          </cell>
          <cell r="G160">
            <v>1599.8300000000002</v>
          </cell>
        </row>
        <row r="161">
          <cell r="A161">
            <v>34152830000156</v>
          </cell>
          <cell r="B161">
            <v>3358.3124530369091</v>
          </cell>
          <cell r="C161">
            <v>692.85</v>
          </cell>
          <cell r="D161">
            <v>0.20630897502507797</v>
          </cell>
          <cell r="E161">
            <v>0</v>
          </cell>
          <cell r="F161">
            <v>0</v>
          </cell>
          <cell r="G161">
            <v>0</v>
          </cell>
        </row>
        <row r="162">
          <cell r="A162">
            <v>49672071000120</v>
          </cell>
          <cell r="B162">
            <v>6654.2047058566641</v>
          </cell>
          <cell r="C162">
            <v>1264.07</v>
          </cell>
          <cell r="D162">
            <v>0.18996560158232512</v>
          </cell>
          <cell r="E162">
            <v>0</v>
          </cell>
          <cell r="F162">
            <v>0</v>
          </cell>
          <cell r="G162">
            <v>0</v>
          </cell>
        </row>
        <row r="163">
          <cell r="A163">
            <v>55312241000168</v>
          </cell>
          <cell r="B163">
            <v>6232.8560013422621</v>
          </cell>
          <cell r="C163">
            <v>272.05</v>
          </cell>
          <cell r="D163">
            <v>4.3647727452938642E-2</v>
          </cell>
          <cell r="E163">
            <v>0</v>
          </cell>
          <cell r="F163">
            <v>0</v>
          </cell>
          <cell r="G163">
            <v>0</v>
          </cell>
        </row>
        <row r="164">
          <cell r="A164">
            <v>59472205000112</v>
          </cell>
          <cell r="B164">
            <v>561.94186596884856</v>
          </cell>
          <cell r="C164">
            <v>135</v>
          </cell>
          <cell r="D164">
            <v>0.2402383737101442</v>
          </cell>
          <cell r="E164">
            <v>0</v>
          </cell>
          <cell r="F164">
            <v>0</v>
          </cell>
          <cell r="G164">
            <v>0</v>
          </cell>
        </row>
        <row r="165">
          <cell r="A165">
            <v>22073444000190</v>
          </cell>
          <cell r="B165">
            <v>2196.2146512853442</v>
          </cell>
          <cell r="C165">
            <v>1975.7000000000003</v>
          </cell>
          <cell r="D165">
            <v>0.89959330653026703</v>
          </cell>
          <cell r="E165">
            <v>297.26</v>
          </cell>
          <cell r="F165">
            <v>58.599999999999994</v>
          </cell>
          <cell r="G165">
            <v>238.66</v>
          </cell>
        </row>
        <row r="166">
          <cell r="A166">
            <v>40627707000147</v>
          </cell>
          <cell r="B166">
            <v>2253.3845207413419</v>
          </cell>
          <cell r="C166">
            <v>732.26</v>
          </cell>
          <cell r="D166">
            <v>0.32496007372904712</v>
          </cell>
          <cell r="E166">
            <v>0</v>
          </cell>
          <cell r="F166">
            <v>0</v>
          </cell>
          <cell r="G166">
            <v>0</v>
          </cell>
        </row>
        <row r="167">
          <cell r="A167">
            <v>86309000146</v>
          </cell>
          <cell r="B167">
            <v>4068.4806747792054</v>
          </cell>
          <cell r="C167">
            <v>1461.79</v>
          </cell>
          <cell r="D167">
            <v>0.35929628695589927</v>
          </cell>
          <cell r="E167">
            <v>1131.56</v>
          </cell>
          <cell r="F167">
            <v>0</v>
          </cell>
          <cell r="G167">
            <v>1131.56</v>
          </cell>
        </row>
        <row r="168">
          <cell r="A168">
            <v>37563038000182</v>
          </cell>
          <cell r="B168">
            <v>1685.9241944161727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</row>
        <row r="169">
          <cell r="A169">
            <v>7284256000117</v>
          </cell>
          <cell r="B169">
            <v>1566.633911043341</v>
          </cell>
          <cell r="C169">
            <v>1509.99</v>
          </cell>
          <cell r="D169">
            <v>0.96384355614668304</v>
          </cell>
          <cell r="E169">
            <v>1505.04</v>
          </cell>
          <cell r="F169">
            <v>98.400000000000091</v>
          </cell>
          <cell r="G169">
            <v>1406.6399999999999</v>
          </cell>
        </row>
        <row r="170">
          <cell r="A170">
            <v>5052802000169</v>
          </cell>
          <cell r="B170">
            <v>5731.717848753864</v>
          </cell>
          <cell r="C170">
            <v>1462.38</v>
          </cell>
          <cell r="D170">
            <v>0.25513816949624218</v>
          </cell>
          <cell r="E170">
            <v>0</v>
          </cell>
          <cell r="F170">
            <v>0</v>
          </cell>
          <cell r="G170">
            <v>0</v>
          </cell>
        </row>
        <row r="171">
          <cell r="A171">
            <v>8596888000189</v>
          </cell>
          <cell r="B171">
            <v>7320.3697886984583</v>
          </cell>
          <cell r="C171">
            <v>2316.5700000000006</v>
          </cell>
          <cell r="D171">
            <v>0.3164553249176611</v>
          </cell>
          <cell r="E171">
            <v>602.16999999999996</v>
          </cell>
          <cell r="F171">
            <v>602.16999999999996</v>
          </cell>
          <cell r="G171">
            <v>0</v>
          </cell>
        </row>
        <row r="172">
          <cell r="A172">
            <v>4641689000194</v>
          </cell>
          <cell r="B172">
            <v>3578.3567679215907</v>
          </cell>
          <cell r="C172">
            <v>226.9</v>
          </cell>
          <cell r="D172">
            <v>6.3408993209972703E-2</v>
          </cell>
          <cell r="E172">
            <v>0</v>
          </cell>
          <cell r="F172">
            <v>0</v>
          </cell>
          <cell r="G172">
            <v>0</v>
          </cell>
        </row>
        <row r="173">
          <cell r="A173">
            <v>54172723000105</v>
          </cell>
          <cell r="B173">
            <v>1981.2672940028906</v>
          </cell>
          <cell r="C173">
            <v>348.7</v>
          </cell>
          <cell r="D173">
            <v>0.17599846373857886</v>
          </cell>
          <cell r="E173">
            <v>1173.32</v>
          </cell>
          <cell r="F173">
            <v>240.12000000000012</v>
          </cell>
          <cell r="G173">
            <v>933.19999999999982</v>
          </cell>
        </row>
        <row r="174">
          <cell r="A174">
            <v>67778728000110</v>
          </cell>
          <cell r="B174">
            <v>56.958510199256565</v>
          </cell>
          <cell r="C174">
            <v>310.23999999999995</v>
          </cell>
          <cell r="D174">
            <v>5.4467716749383879</v>
          </cell>
          <cell r="E174">
            <v>304.84999999999997</v>
          </cell>
          <cell r="F174">
            <v>0</v>
          </cell>
          <cell r="G174">
            <v>304.84999999999997</v>
          </cell>
        </row>
        <row r="175">
          <cell r="A175">
            <v>9272038000198</v>
          </cell>
          <cell r="B175">
            <v>5665.5810128856128</v>
          </cell>
          <cell r="C175">
            <v>1889.2399999999998</v>
          </cell>
          <cell r="D175">
            <v>0.33345918021526372</v>
          </cell>
          <cell r="E175">
            <v>1941.2600000000002</v>
          </cell>
          <cell r="F175">
            <v>0</v>
          </cell>
          <cell r="G175">
            <v>1941.2600000000002</v>
          </cell>
        </row>
        <row r="176">
          <cell r="A176">
            <v>28031224000180</v>
          </cell>
          <cell r="B176">
            <v>6586.4923201018973</v>
          </cell>
          <cell r="C176">
            <v>2908.8200000000006</v>
          </cell>
          <cell r="D176">
            <v>0.4416341595240787</v>
          </cell>
          <cell r="E176">
            <v>1751.85</v>
          </cell>
          <cell r="F176">
            <v>275.99000000000024</v>
          </cell>
          <cell r="G176">
            <v>1475.8599999999997</v>
          </cell>
        </row>
        <row r="177">
          <cell r="A177">
            <v>4252211000172</v>
          </cell>
          <cell r="B177">
            <v>10129.468617793851</v>
          </cell>
          <cell r="C177">
            <v>2507.0399999999995</v>
          </cell>
          <cell r="D177">
            <v>0.24749965616123509</v>
          </cell>
          <cell r="E177">
            <v>1620.6499999999999</v>
          </cell>
          <cell r="F177">
            <v>40.769999999999982</v>
          </cell>
          <cell r="G177">
            <v>1579.8799999999999</v>
          </cell>
        </row>
        <row r="178">
          <cell r="A178">
            <v>24415425000200</v>
          </cell>
          <cell r="B178">
            <v>2297.1540031019208</v>
          </cell>
          <cell r="C178">
            <v>820.15</v>
          </cell>
          <cell r="D178">
            <v>0.35702874029887638</v>
          </cell>
          <cell r="E178">
            <v>0</v>
          </cell>
          <cell r="F178">
            <v>0</v>
          </cell>
          <cell r="G178">
            <v>0</v>
          </cell>
        </row>
        <row r="179">
          <cell r="A179">
            <v>1478274000153</v>
          </cell>
          <cell r="B179">
            <v>2474.3808554077286</v>
          </cell>
          <cell r="C179">
            <v>1165.3599999999997</v>
          </cell>
          <cell r="D179">
            <v>0.47097034292563322</v>
          </cell>
          <cell r="E179">
            <v>0</v>
          </cell>
          <cell r="F179">
            <v>0</v>
          </cell>
          <cell r="G179">
            <v>0</v>
          </cell>
        </row>
        <row r="180">
          <cell r="A180">
            <v>3577994000100</v>
          </cell>
          <cell r="B180">
            <v>4559.649433259111</v>
          </cell>
          <cell r="C180">
            <v>2459.4699999999998</v>
          </cell>
          <cell r="D180">
            <v>0.53939892441293202</v>
          </cell>
          <cell r="E180">
            <v>1983.9499999999998</v>
          </cell>
          <cell r="F180">
            <v>95.940000000000055</v>
          </cell>
          <cell r="G180">
            <v>1888.0099999999998</v>
          </cell>
        </row>
        <row r="181">
          <cell r="A181">
            <v>23566528000128</v>
          </cell>
          <cell r="B181">
            <v>4552.2196156872342</v>
          </cell>
          <cell r="C181">
            <v>1593.86</v>
          </cell>
          <cell r="D181">
            <v>0.3501280989404506</v>
          </cell>
          <cell r="E181">
            <v>0</v>
          </cell>
          <cell r="F181">
            <v>0</v>
          </cell>
          <cell r="G181">
            <v>0</v>
          </cell>
        </row>
        <row r="182">
          <cell r="A182">
            <v>46237162000149</v>
          </cell>
          <cell r="B182">
            <v>2720.115243302826</v>
          </cell>
          <cell r="C182">
            <v>131.29</v>
          </cell>
          <cell r="D182">
            <v>4.8266337363186376E-2</v>
          </cell>
          <cell r="E182">
            <v>793.83</v>
          </cell>
          <cell r="F182">
            <v>793.83</v>
          </cell>
          <cell r="G182">
            <v>0</v>
          </cell>
        </row>
        <row r="183">
          <cell r="A183">
            <v>43857147000105</v>
          </cell>
          <cell r="B183">
            <v>426.65398475353516</v>
          </cell>
          <cell r="C183">
            <v>126.03</v>
          </cell>
          <cell r="D183">
            <v>0.29539159249339636</v>
          </cell>
          <cell r="E183">
            <v>0</v>
          </cell>
          <cell r="F183">
            <v>0</v>
          </cell>
          <cell r="G183">
            <v>0</v>
          </cell>
        </row>
        <row r="184">
          <cell r="A184">
            <v>5255309000146</v>
          </cell>
          <cell r="B184">
            <v>5858.7616927179806</v>
          </cell>
          <cell r="C184">
            <v>1428.6000000000001</v>
          </cell>
          <cell r="D184">
            <v>0.24383992299527171</v>
          </cell>
          <cell r="E184">
            <v>1809.3799999999999</v>
          </cell>
          <cell r="F184">
            <v>877.47999999999979</v>
          </cell>
          <cell r="G184">
            <v>931.90000000000009</v>
          </cell>
        </row>
        <row r="185">
          <cell r="A185">
            <v>51041632000134</v>
          </cell>
          <cell r="B185">
            <v>1736.4930224574789</v>
          </cell>
          <cell r="C185">
            <v>1001.9999999999999</v>
          </cell>
          <cell r="D185">
            <v>0.57702506548628274</v>
          </cell>
          <cell r="E185">
            <v>0</v>
          </cell>
          <cell r="F185">
            <v>0</v>
          </cell>
          <cell r="G185">
            <v>0</v>
          </cell>
        </row>
        <row r="186">
          <cell r="A186">
            <v>26034403000145</v>
          </cell>
          <cell r="B186">
            <v>2628.2879985006002</v>
          </cell>
          <cell r="C186">
            <v>786.9</v>
          </cell>
          <cell r="D186">
            <v>0.2993964133492657</v>
          </cell>
          <cell r="E186">
            <v>137.85</v>
          </cell>
          <cell r="F186">
            <v>0</v>
          </cell>
          <cell r="G186">
            <v>137.85</v>
          </cell>
        </row>
        <row r="187">
          <cell r="A187">
            <v>2222873000174</v>
          </cell>
          <cell r="B187">
            <v>5056.1381288460125</v>
          </cell>
          <cell r="C187">
            <v>1870.53</v>
          </cell>
          <cell r="D187">
            <v>0.36995231386744576</v>
          </cell>
          <cell r="E187">
            <v>599.9799999999999</v>
          </cell>
          <cell r="F187">
            <v>0</v>
          </cell>
          <cell r="G187">
            <v>599.9799999999999</v>
          </cell>
        </row>
        <row r="188">
          <cell r="A188">
            <v>32203543000100</v>
          </cell>
          <cell r="B188">
            <v>1375.8832666871488</v>
          </cell>
          <cell r="C188">
            <v>34.659999999999997</v>
          </cell>
          <cell r="D188">
            <v>2.5191090581001347E-2</v>
          </cell>
          <cell r="E188">
            <v>0</v>
          </cell>
          <cell r="F188">
            <v>0</v>
          </cell>
          <cell r="G188">
            <v>0</v>
          </cell>
        </row>
        <row r="189">
          <cell r="A189">
            <v>36752663000100</v>
          </cell>
          <cell r="B189">
            <v>5781.1524739630031</v>
          </cell>
          <cell r="C189">
            <v>6417.2999999999993</v>
          </cell>
          <cell r="D189">
            <v>1.1100381851027212</v>
          </cell>
          <cell r="E189">
            <v>7055.9699999999984</v>
          </cell>
          <cell r="F189">
            <v>1414.4799999999996</v>
          </cell>
          <cell r="G189">
            <v>5641.4899999999989</v>
          </cell>
        </row>
        <row r="190">
          <cell r="A190">
            <v>22836127000188</v>
          </cell>
          <cell r="B190">
            <v>974.87370865869934</v>
          </cell>
          <cell r="C190">
            <v>236.02999999999997</v>
          </cell>
          <cell r="D190">
            <v>0.24211341213083576</v>
          </cell>
          <cell r="E190">
            <v>0</v>
          </cell>
          <cell r="F190">
            <v>0</v>
          </cell>
          <cell r="G190">
            <v>0</v>
          </cell>
        </row>
        <row r="191">
          <cell r="A191">
            <v>20397408000156</v>
          </cell>
          <cell r="B191">
            <v>2419.2426333230128</v>
          </cell>
          <cell r="C191">
            <v>122.57999999999998</v>
          </cell>
          <cell r="D191">
            <v>5.0668749926759959E-2</v>
          </cell>
          <cell r="E191">
            <v>0</v>
          </cell>
          <cell r="F191">
            <v>0</v>
          </cell>
          <cell r="G191">
            <v>0</v>
          </cell>
        </row>
        <row r="192">
          <cell r="A192">
            <v>18919955000102</v>
          </cell>
          <cell r="B192">
            <v>23533.860781039039</v>
          </cell>
          <cell r="C192">
            <v>6205.3000000000011</v>
          </cell>
          <cell r="D192">
            <v>0.26367539341439211</v>
          </cell>
          <cell r="E192">
            <v>3897.94</v>
          </cell>
          <cell r="F192">
            <v>164.33999999999969</v>
          </cell>
          <cell r="G192">
            <v>3733.6000000000004</v>
          </cell>
        </row>
        <row r="193">
          <cell r="A193">
            <v>18919955000293</v>
          </cell>
          <cell r="B193">
            <v>6816.0045420352708</v>
          </cell>
          <cell r="C193">
            <v>805.24</v>
          </cell>
          <cell r="D193">
            <v>0.11813959263582796</v>
          </cell>
          <cell r="E193">
            <v>0</v>
          </cell>
          <cell r="F193">
            <v>0</v>
          </cell>
          <cell r="G193">
            <v>0</v>
          </cell>
        </row>
        <row r="194">
          <cell r="A194">
            <v>24248641000128</v>
          </cell>
          <cell r="B194">
            <v>6079.9058437088761</v>
          </cell>
          <cell r="C194">
            <v>1869.31</v>
          </cell>
          <cell r="D194">
            <v>0.30745706398303035</v>
          </cell>
          <cell r="E194">
            <v>745.04</v>
          </cell>
          <cell r="F194">
            <v>0</v>
          </cell>
          <cell r="G194">
            <v>745.04</v>
          </cell>
        </row>
        <row r="195">
          <cell r="A195">
            <v>5113547000117</v>
          </cell>
          <cell r="B195">
            <v>9656.8574937672529</v>
          </cell>
          <cell r="C195">
            <v>3691.0699999999997</v>
          </cell>
          <cell r="D195">
            <v>0.38222268500723938</v>
          </cell>
          <cell r="E195">
            <v>3920.889999999999</v>
          </cell>
          <cell r="F195">
            <v>294.88999999999942</v>
          </cell>
          <cell r="G195">
            <v>3625.9999999999995</v>
          </cell>
        </row>
        <row r="196">
          <cell r="A196">
            <v>28760598000136</v>
          </cell>
          <cell r="B196">
            <v>3511.6412410848015</v>
          </cell>
          <cell r="C196">
            <v>1463.4500000000003</v>
          </cell>
          <cell r="D196">
            <v>0.41674245730976706</v>
          </cell>
          <cell r="E196">
            <v>0</v>
          </cell>
          <cell r="F196">
            <v>0</v>
          </cell>
          <cell r="G196">
            <v>0</v>
          </cell>
        </row>
        <row r="197">
          <cell r="A197">
            <v>9465779000195</v>
          </cell>
          <cell r="B197">
            <v>3294.2681733390068</v>
          </cell>
          <cell r="C197">
            <v>87.92</v>
          </cell>
          <cell r="D197">
            <v>2.6688780443422728E-2</v>
          </cell>
          <cell r="E197">
            <v>0</v>
          </cell>
          <cell r="F197">
            <v>0</v>
          </cell>
          <cell r="G197">
            <v>0</v>
          </cell>
        </row>
        <row r="198">
          <cell r="A198">
            <v>41677342000128</v>
          </cell>
          <cell r="B198">
            <v>2990.1799347728629</v>
          </cell>
          <cell r="C198">
            <v>439.1</v>
          </cell>
          <cell r="D198">
            <v>0.14684735018575212</v>
          </cell>
          <cell r="E198">
            <v>137.85</v>
          </cell>
          <cell r="F198">
            <v>0</v>
          </cell>
          <cell r="G198">
            <v>137.85</v>
          </cell>
        </row>
        <row r="199">
          <cell r="A199">
            <v>8967701000106</v>
          </cell>
          <cell r="B199">
            <v>2385.0235105481288</v>
          </cell>
          <cell r="C199">
            <v>856.44</v>
          </cell>
          <cell r="D199">
            <v>0.35909079982325709</v>
          </cell>
          <cell r="E199">
            <v>488.13999999999993</v>
          </cell>
          <cell r="F199">
            <v>0</v>
          </cell>
          <cell r="G199">
            <v>488.13999999999993</v>
          </cell>
        </row>
        <row r="200">
          <cell r="A200">
            <v>22646643000140</v>
          </cell>
          <cell r="B200">
            <v>6980.067197233433</v>
          </cell>
          <cell r="C200">
            <v>2107.5100000000002</v>
          </cell>
          <cell r="D200">
            <v>0.30193262334713872</v>
          </cell>
          <cell r="E200">
            <v>471.01</v>
          </cell>
          <cell r="F200">
            <v>0</v>
          </cell>
          <cell r="G200">
            <v>471.01</v>
          </cell>
        </row>
        <row r="201">
          <cell r="A201">
            <v>42917127000110</v>
          </cell>
          <cell r="B201">
            <v>992.55735333999974</v>
          </cell>
          <cell r="C201">
            <v>382.09999999999997</v>
          </cell>
          <cell r="D201">
            <v>0.38496515965975814</v>
          </cell>
          <cell r="E201">
            <v>177.54000000000002</v>
          </cell>
          <cell r="F201">
            <v>45.460000000000008</v>
          </cell>
          <cell r="G201">
            <v>132.08000000000001</v>
          </cell>
        </row>
        <row r="202">
          <cell r="A202">
            <v>10272710000124</v>
          </cell>
          <cell r="B202">
            <v>2327.5496009490444</v>
          </cell>
          <cell r="C202">
            <v>874.73</v>
          </cell>
          <cell r="D202">
            <v>0.3758158363814606</v>
          </cell>
          <cell r="E202">
            <v>557.9</v>
          </cell>
          <cell r="F202">
            <v>0</v>
          </cell>
          <cell r="G202">
            <v>557.9</v>
          </cell>
        </row>
        <row r="203">
          <cell r="A203">
            <v>10779654000119</v>
          </cell>
          <cell r="B203">
            <v>3812.296547609486</v>
          </cell>
          <cell r="C203">
            <v>967.44</v>
          </cell>
          <cell r="D203">
            <v>0.25376829633220344</v>
          </cell>
          <cell r="E203">
            <v>718.26</v>
          </cell>
          <cell r="F203">
            <v>0</v>
          </cell>
          <cell r="G203">
            <v>718.26</v>
          </cell>
        </row>
        <row r="204">
          <cell r="A204">
            <v>36886133000154</v>
          </cell>
          <cell r="B204">
            <v>6263.4390038535848</v>
          </cell>
          <cell r="C204">
            <v>1386.28</v>
          </cell>
          <cell r="D204">
            <v>0.22132888963189237</v>
          </cell>
          <cell r="E204">
            <v>0</v>
          </cell>
          <cell r="F204">
            <v>0</v>
          </cell>
          <cell r="G204">
            <v>0</v>
          </cell>
        </row>
        <row r="205">
          <cell r="A205">
            <v>50038493000127</v>
          </cell>
          <cell r="B205">
            <v>5334.5720511806476</v>
          </cell>
          <cell r="C205">
            <v>1365.3100000000002</v>
          </cell>
          <cell r="D205">
            <v>0.25593618136581914</v>
          </cell>
          <cell r="E205">
            <v>2369.8000000000006</v>
          </cell>
          <cell r="F205">
            <v>122.72000000000025</v>
          </cell>
          <cell r="G205">
            <v>2247.0800000000004</v>
          </cell>
        </row>
        <row r="206">
          <cell r="A206">
            <v>33780608000135</v>
          </cell>
          <cell r="B206">
            <v>7404.9569441859649</v>
          </cell>
          <cell r="C206">
            <v>3799.6400000000003</v>
          </cell>
          <cell r="D206">
            <v>0.51312114690731658</v>
          </cell>
          <cell r="E206">
            <v>3203.74</v>
          </cell>
          <cell r="F206">
            <v>0</v>
          </cell>
          <cell r="G206">
            <v>3203.74</v>
          </cell>
        </row>
        <row r="207">
          <cell r="A207">
            <v>34607195000154</v>
          </cell>
          <cell r="B207">
            <v>405.60370259641047</v>
          </cell>
          <cell r="C207">
            <v>192.60999999999999</v>
          </cell>
          <cell r="D207">
            <v>0.47487239087571526</v>
          </cell>
          <cell r="E207">
            <v>0</v>
          </cell>
          <cell r="F207">
            <v>0</v>
          </cell>
          <cell r="G207">
            <v>0</v>
          </cell>
        </row>
        <row r="208">
          <cell r="A208">
            <v>72834344000107</v>
          </cell>
          <cell r="B208">
            <v>3170.8069448376486</v>
          </cell>
          <cell r="C208">
            <v>1026.55</v>
          </cell>
          <cell r="D208">
            <v>0.32375039472879713</v>
          </cell>
          <cell r="E208">
            <v>466.34000000000003</v>
          </cell>
          <cell r="F208">
            <v>161.85000000000002</v>
          </cell>
          <cell r="G208">
            <v>304.49</v>
          </cell>
        </row>
        <row r="209">
          <cell r="A209">
            <v>1559060000101</v>
          </cell>
          <cell r="B209">
            <v>2403.0817177273998</v>
          </cell>
          <cell r="C209">
            <v>541.30000000000007</v>
          </cell>
          <cell r="D209">
            <v>0.22525243149530044</v>
          </cell>
          <cell r="E209">
            <v>453.49</v>
          </cell>
          <cell r="F209">
            <v>0</v>
          </cell>
          <cell r="G209">
            <v>453.49</v>
          </cell>
        </row>
        <row r="210">
          <cell r="A210">
            <v>5233140000123</v>
          </cell>
          <cell r="B210">
            <v>4857.7798578892216</v>
          </cell>
          <cell r="C210">
            <v>210.65</v>
          </cell>
          <cell r="D210">
            <v>4.3363430654004685E-2</v>
          </cell>
          <cell r="E210">
            <v>0</v>
          </cell>
          <cell r="F210">
            <v>0</v>
          </cell>
          <cell r="G210">
            <v>0</v>
          </cell>
        </row>
        <row r="211">
          <cell r="A211">
            <v>4225403000190</v>
          </cell>
          <cell r="B211">
            <v>3876.0461901337439</v>
          </cell>
          <cell r="C211">
            <v>1312.0300000000002</v>
          </cell>
          <cell r="D211">
            <v>0.33849699813683809</v>
          </cell>
          <cell r="E211">
            <v>0</v>
          </cell>
          <cell r="F211">
            <v>0</v>
          </cell>
          <cell r="G211">
            <v>0</v>
          </cell>
        </row>
        <row r="212">
          <cell r="A212">
            <v>1996877000147</v>
          </cell>
          <cell r="B212">
            <v>1332.8522979641855</v>
          </cell>
          <cell r="C212">
            <v>256.12</v>
          </cell>
          <cell r="D212">
            <v>0.19215932657444545</v>
          </cell>
          <cell r="E212">
            <v>0</v>
          </cell>
          <cell r="F212">
            <v>0</v>
          </cell>
          <cell r="G212">
            <v>0</v>
          </cell>
        </row>
        <row r="213">
          <cell r="A213">
            <v>5340715000107</v>
          </cell>
          <cell r="B213">
            <v>10032.456674580577</v>
          </cell>
          <cell r="C213">
            <v>709.38999999999987</v>
          </cell>
          <cell r="D213">
            <v>7.0709500475331685E-2</v>
          </cell>
          <cell r="E213">
            <v>5125.67</v>
          </cell>
          <cell r="F213">
            <v>2384.8700000000003</v>
          </cell>
          <cell r="G213">
            <v>2740.7999999999997</v>
          </cell>
        </row>
        <row r="214">
          <cell r="A214">
            <v>58750720000154</v>
          </cell>
          <cell r="B214">
            <v>5673.4816686489103</v>
          </cell>
          <cell r="C214">
            <v>1469.3200000000002</v>
          </cell>
          <cell r="D214">
            <v>0.25898030271593453</v>
          </cell>
          <cell r="E214">
            <v>1525.5900000000001</v>
          </cell>
          <cell r="F214">
            <v>664.08</v>
          </cell>
          <cell r="G214">
            <v>861.5100000000001</v>
          </cell>
        </row>
        <row r="215">
          <cell r="A215">
            <v>7556217000121</v>
          </cell>
          <cell r="B215">
            <v>5114.3368165905795</v>
          </cell>
          <cell r="C215">
            <v>1791.8300000000002</v>
          </cell>
          <cell r="D215">
            <v>0.35035432046388088</v>
          </cell>
          <cell r="E215">
            <v>0</v>
          </cell>
          <cell r="F215">
            <v>0</v>
          </cell>
          <cell r="G215">
            <v>0</v>
          </cell>
        </row>
        <row r="216">
          <cell r="A216">
            <v>2635097000134</v>
          </cell>
          <cell r="B216">
            <v>10914.994289996439</v>
          </cell>
          <cell r="C216">
            <v>3928.7499999999991</v>
          </cell>
          <cell r="D216">
            <v>0.35994063722055147</v>
          </cell>
          <cell r="E216">
            <v>4091.8699999999994</v>
          </cell>
          <cell r="F216">
            <v>2009.8099999999995</v>
          </cell>
          <cell r="G216">
            <v>2082.06</v>
          </cell>
        </row>
        <row r="217">
          <cell r="A217">
            <v>4336468000102</v>
          </cell>
          <cell r="B217">
            <v>3881.6137178240956</v>
          </cell>
          <cell r="C217">
            <v>734.81</v>
          </cell>
          <cell r="D217">
            <v>0.18930528728961474</v>
          </cell>
          <cell r="E217">
            <v>1026.69</v>
          </cell>
          <cell r="F217">
            <v>58.549999999999955</v>
          </cell>
          <cell r="G217">
            <v>968.1400000000001</v>
          </cell>
        </row>
        <row r="218">
          <cell r="A218">
            <v>5088829000101</v>
          </cell>
          <cell r="B218">
            <v>12966.050160922172</v>
          </cell>
          <cell r="C218">
            <v>2824.51</v>
          </cell>
          <cell r="D218">
            <v>0.21783889194819492</v>
          </cell>
          <cell r="E218">
            <v>2184.4299999999998</v>
          </cell>
          <cell r="F218">
            <v>158.31999999999994</v>
          </cell>
          <cell r="G218">
            <v>2026.11</v>
          </cell>
        </row>
        <row r="219">
          <cell r="A219">
            <v>8298153000179</v>
          </cell>
          <cell r="B219">
            <v>1343.4458856421841</v>
          </cell>
          <cell r="C219">
            <v>420.37999999999994</v>
          </cell>
          <cell r="D219">
            <v>0.31291174768759145</v>
          </cell>
          <cell r="E219">
            <v>524.75</v>
          </cell>
          <cell r="F219">
            <v>195.76999999999998</v>
          </cell>
          <cell r="G219">
            <v>328.98</v>
          </cell>
        </row>
        <row r="220">
          <cell r="A220">
            <v>7496421000102</v>
          </cell>
          <cell r="B220">
            <v>2071.4568664137191</v>
          </cell>
          <cell r="C220">
            <v>320.20999999999998</v>
          </cell>
          <cell r="D220">
            <v>0.15458202639496643</v>
          </cell>
          <cell r="E220">
            <v>0</v>
          </cell>
          <cell r="F220">
            <v>0</v>
          </cell>
          <cell r="G220">
            <v>0</v>
          </cell>
        </row>
        <row r="221">
          <cell r="A221">
            <v>26609370000114</v>
          </cell>
          <cell r="B221">
            <v>568.66951488794325</v>
          </cell>
          <cell r="C221">
            <v>186.22</v>
          </cell>
          <cell r="D221">
            <v>0.32746612069875908</v>
          </cell>
          <cell r="E221">
            <v>0</v>
          </cell>
          <cell r="F221">
            <v>0</v>
          </cell>
          <cell r="G221">
            <v>0</v>
          </cell>
        </row>
        <row r="222">
          <cell r="A222">
            <v>7272090000119</v>
          </cell>
          <cell r="B222">
            <v>1783.5504166971753</v>
          </cell>
          <cell r="C222">
            <v>581.09</v>
          </cell>
          <cell r="D222">
            <v>0.32580519987546946</v>
          </cell>
          <cell r="E222">
            <v>0</v>
          </cell>
          <cell r="F222">
            <v>0</v>
          </cell>
          <cell r="G222">
            <v>0</v>
          </cell>
        </row>
        <row r="223">
          <cell r="A223">
            <v>4077499000196</v>
          </cell>
          <cell r="B223">
            <v>3720.5273147585895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</row>
        <row r="224">
          <cell r="A224">
            <v>932885000167</v>
          </cell>
          <cell r="B224">
            <v>7962.8837971881239</v>
          </cell>
          <cell r="C224">
            <v>5448.4700000000021</v>
          </cell>
          <cell r="D224">
            <v>0.68423326759131931</v>
          </cell>
          <cell r="E224">
            <v>5006.1000000000004</v>
          </cell>
          <cell r="F224">
            <v>184.4399999999996</v>
          </cell>
          <cell r="G224">
            <v>4821.6600000000008</v>
          </cell>
        </row>
        <row r="225">
          <cell r="A225">
            <v>9033695000182</v>
          </cell>
          <cell r="B225">
            <v>7135.7448196380128</v>
          </cell>
          <cell r="C225">
            <v>478.86</v>
          </cell>
          <cell r="D225">
            <v>6.7107220353809116E-2</v>
          </cell>
          <cell r="E225">
            <v>0</v>
          </cell>
          <cell r="F225">
            <v>0</v>
          </cell>
          <cell r="G225">
            <v>0</v>
          </cell>
        </row>
        <row r="226">
          <cell r="A226">
            <v>26851782000166</v>
          </cell>
          <cell r="B226">
            <v>1882.8532025039988</v>
          </cell>
          <cell r="C226">
            <v>1037.8200000000002</v>
          </cell>
          <cell r="D226">
            <v>0.55119538720268135</v>
          </cell>
          <cell r="E226">
            <v>0</v>
          </cell>
          <cell r="F226">
            <v>0</v>
          </cell>
          <cell r="G226">
            <v>0</v>
          </cell>
        </row>
        <row r="227">
          <cell r="A227">
            <v>4597961000186</v>
          </cell>
          <cell r="B227">
            <v>9391.6583531733486</v>
          </cell>
          <cell r="C227">
            <v>3554.6400000000008</v>
          </cell>
          <cell r="D227">
            <v>0.37848906618274963</v>
          </cell>
          <cell r="E227">
            <v>3762.8300000000004</v>
          </cell>
          <cell r="F227">
            <v>0</v>
          </cell>
          <cell r="G227">
            <v>3762.8300000000004</v>
          </cell>
        </row>
        <row r="228">
          <cell r="A228">
            <v>67943415000170</v>
          </cell>
          <cell r="B228">
            <v>1821.0399323943197</v>
          </cell>
          <cell r="C228">
            <v>564.46</v>
          </cell>
          <cell r="D228">
            <v>0.30996574537376725</v>
          </cell>
          <cell r="E228">
            <v>0</v>
          </cell>
          <cell r="F228">
            <v>0</v>
          </cell>
          <cell r="G228">
            <v>0</v>
          </cell>
        </row>
        <row r="229">
          <cell r="A229">
            <v>4344448000183</v>
          </cell>
          <cell r="B229">
            <v>11528.186705701581</v>
          </cell>
          <cell r="C229">
            <v>2905.73</v>
          </cell>
          <cell r="D229">
            <v>0.25205438410907172</v>
          </cell>
          <cell r="E229">
            <v>0</v>
          </cell>
          <cell r="F229">
            <v>0</v>
          </cell>
          <cell r="G229">
            <v>0</v>
          </cell>
        </row>
        <row r="230">
          <cell r="A230">
            <v>4986853000103</v>
          </cell>
          <cell r="B230">
            <v>8738.3192874714314</v>
          </cell>
          <cell r="C230">
            <v>3270.2400000000007</v>
          </cell>
          <cell r="D230">
            <v>0.37424130343791723</v>
          </cell>
          <cell r="E230">
            <v>0</v>
          </cell>
          <cell r="F230">
            <v>0</v>
          </cell>
          <cell r="G230">
            <v>0</v>
          </cell>
        </row>
        <row r="231">
          <cell r="A231">
            <v>3141355000199</v>
          </cell>
          <cell r="B231">
            <v>938.51789230651843</v>
          </cell>
          <cell r="C231">
            <v>403.81</v>
          </cell>
          <cell r="D231">
            <v>0.43026350729189539</v>
          </cell>
          <cell r="E231">
            <v>0</v>
          </cell>
          <cell r="F231">
            <v>0</v>
          </cell>
          <cell r="G231">
            <v>0</v>
          </cell>
        </row>
        <row r="232">
          <cell r="A232">
            <v>55323943000147</v>
          </cell>
          <cell r="B232">
            <v>3266.3943942087553</v>
          </cell>
          <cell r="C232">
            <v>791.3900000000001</v>
          </cell>
          <cell r="D232">
            <v>0.24228243882708009</v>
          </cell>
          <cell r="E232">
            <v>283.24</v>
          </cell>
          <cell r="F232">
            <v>283.24</v>
          </cell>
          <cell r="G232">
            <v>0</v>
          </cell>
        </row>
        <row r="233">
          <cell r="A233">
            <v>388531000101</v>
          </cell>
          <cell r="B233">
            <v>3373.5947992864844</v>
          </cell>
          <cell r="C233">
            <v>1266.23</v>
          </cell>
          <cell r="D233">
            <v>0.3753355323727105</v>
          </cell>
          <cell r="E233">
            <v>0</v>
          </cell>
          <cell r="F233">
            <v>0</v>
          </cell>
          <cell r="G233">
            <v>0</v>
          </cell>
        </row>
        <row r="234">
          <cell r="A234">
            <v>3377845000199</v>
          </cell>
          <cell r="B234">
            <v>15131.227902875995</v>
          </cell>
          <cell r="C234">
            <v>3531.85</v>
          </cell>
          <cell r="D234">
            <v>0.23341463248522618</v>
          </cell>
          <cell r="E234">
            <v>518.91000000000008</v>
          </cell>
          <cell r="F234">
            <v>0</v>
          </cell>
          <cell r="G234">
            <v>518.91000000000008</v>
          </cell>
        </row>
        <row r="235">
          <cell r="A235">
            <v>1897271000154</v>
          </cell>
          <cell r="B235">
            <v>3915.5795682360081</v>
          </cell>
          <cell r="C235">
            <v>878.66999999999985</v>
          </cell>
          <cell r="D235">
            <v>0.22440356138538284</v>
          </cell>
          <cell r="E235">
            <v>0</v>
          </cell>
          <cell r="F235">
            <v>0</v>
          </cell>
          <cell r="G235">
            <v>0</v>
          </cell>
        </row>
        <row r="236">
          <cell r="A236">
            <v>1719283000199</v>
          </cell>
          <cell r="B236">
            <v>3787.570216932259</v>
          </cell>
          <cell r="C236">
            <v>551.67999999999995</v>
          </cell>
          <cell r="D236">
            <v>0.14565538548532386</v>
          </cell>
          <cell r="E236">
            <v>0</v>
          </cell>
          <cell r="F236">
            <v>0</v>
          </cell>
          <cell r="G236">
            <v>0</v>
          </cell>
        </row>
        <row r="237">
          <cell r="A237">
            <v>7434377000106</v>
          </cell>
          <cell r="B237">
            <v>8112.6960349424617</v>
          </cell>
          <cell r="C237">
            <v>2929.2099999999991</v>
          </cell>
          <cell r="D237">
            <v>0.36106492679911856</v>
          </cell>
          <cell r="E237">
            <v>1459.1399999999999</v>
          </cell>
          <cell r="F237">
            <v>135.22000000000003</v>
          </cell>
          <cell r="G237">
            <v>1323.9199999999998</v>
          </cell>
        </row>
        <row r="238">
          <cell r="A238">
            <v>5528457000197</v>
          </cell>
          <cell r="B238">
            <v>1675.0776460600937</v>
          </cell>
          <cell r="C238">
            <v>820.74</v>
          </cell>
          <cell r="D238">
            <v>0.48997131681056166</v>
          </cell>
          <cell r="E238">
            <v>0</v>
          </cell>
          <cell r="F238">
            <v>0</v>
          </cell>
          <cell r="G238">
            <v>0</v>
          </cell>
        </row>
        <row r="239">
          <cell r="A239">
            <v>15532062000111</v>
          </cell>
          <cell r="B239">
            <v>14881.183312151605</v>
          </cell>
          <cell r="C239">
            <v>4880.49</v>
          </cell>
          <cell r="D239">
            <v>0.32796383846805466</v>
          </cell>
          <cell r="E239">
            <v>536.43000000000006</v>
          </cell>
          <cell r="F239">
            <v>536.43000000000006</v>
          </cell>
          <cell r="G239">
            <v>0</v>
          </cell>
        </row>
        <row r="240">
          <cell r="A240">
            <v>8821476000103</v>
          </cell>
          <cell r="B240">
            <v>4152.3570436110786</v>
          </cell>
          <cell r="C240">
            <v>1300.81</v>
          </cell>
          <cell r="D240">
            <v>0.31327026706469258</v>
          </cell>
          <cell r="E240">
            <v>395.6</v>
          </cell>
          <cell r="F240">
            <v>0</v>
          </cell>
          <cell r="G240">
            <v>395.6</v>
          </cell>
        </row>
        <row r="241">
          <cell r="A241">
            <v>13304645000160</v>
          </cell>
          <cell r="B241">
            <v>729.94388309502699</v>
          </cell>
          <cell r="C241">
            <v>460.12</v>
          </cell>
          <cell r="D241">
            <v>0.6303498264127515</v>
          </cell>
          <cell r="E241">
            <v>391.96</v>
          </cell>
          <cell r="F241">
            <v>0</v>
          </cell>
          <cell r="G241">
            <v>391.96</v>
          </cell>
        </row>
        <row r="242">
          <cell r="A242">
            <v>32338157000118</v>
          </cell>
          <cell r="B242">
            <v>1062.2899959688432</v>
          </cell>
          <cell r="C242">
            <v>303.13</v>
          </cell>
          <cell r="D242">
            <v>0.28535522423284759</v>
          </cell>
          <cell r="E242">
            <v>0</v>
          </cell>
          <cell r="F242">
            <v>0</v>
          </cell>
          <cell r="G242">
            <v>0</v>
          </cell>
        </row>
        <row r="243">
          <cell r="A243">
            <v>9642282000103</v>
          </cell>
          <cell r="B243">
            <v>2142.6724237211588</v>
          </cell>
          <cell r="C243">
            <v>293.45</v>
          </cell>
          <cell r="D243">
            <v>0.13695513917632271</v>
          </cell>
          <cell r="E243">
            <v>715.55</v>
          </cell>
          <cell r="F243">
            <v>0</v>
          </cell>
          <cell r="G243">
            <v>715.55</v>
          </cell>
        </row>
        <row r="244">
          <cell r="A244">
            <v>34508395000150</v>
          </cell>
          <cell r="B244">
            <v>633.22358096077619</v>
          </cell>
          <cell r="C244">
            <v>314.59000000000003</v>
          </cell>
          <cell r="D244">
            <v>0.4968071459415323</v>
          </cell>
          <cell r="E244">
            <v>0</v>
          </cell>
          <cell r="F244">
            <v>0</v>
          </cell>
          <cell r="G244">
            <v>0</v>
          </cell>
        </row>
        <row r="245">
          <cell r="A245">
            <v>19325814000124</v>
          </cell>
          <cell r="B245">
            <v>42.23541285331055</v>
          </cell>
          <cell r="C245">
            <v>32.32</v>
          </cell>
          <cell r="D245">
            <v>0.76523461750573729</v>
          </cell>
          <cell r="E245">
            <v>0</v>
          </cell>
          <cell r="F245">
            <v>0</v>
          </cell>
          <cell r="G245">
            <v>0</v>
          </cell>
        </row>
        <row r="246">
          <cell r="A246">
            <v>25064025000180</v>
          </cell>
          <cell r="B246">
            <v>7790.4604352144652</v>
          </cell>
          <cell r="C246">
            <v>3007.7599999999998</v>
          </cell>
          <cell r="D246">
            <v>0.38608244339504161</v>
          </cell>
          <cell r="E246">
            <v>4314.55</v>
          </cell>
          <cell r="F246">
            <v>64.799999999999272</v>
          </cell>
          <cell r="G246">
            <v>4249.7500000000009</v>
          </cell>
        </row>
        <row r="247">
          <cell r="A247">
            <v>2486244000151</v>
          </cell>
          <cell r="B247">
            <v>1264.3495935857127</v>
          </cell>
          <cell r="C247">
            <v>929.46</v>
          </cell>
          <cell r="D247">
            <v>0.7351289585691555</v>
          </cell>
          <cell r="E247">
            <v>0</v>
          </cell>
          <cell r="F247">
            <v>0</v>
          </cell>
          <cell r="G247">
            <v>0</v>
          </cell>
        </row>
        <row r="248">
          <cell r="A248">
            <v>31509807000188</v>
          </cell>
          <cell r="B248">
            <v>1637.7658392065014</v>
          </cell>
          <cell r="C248">
            <v>1467.8400000000004</v>
          </cell>
          <cell r="D248">
            <v>0.89624533914516735</v>
          </cell>
          <cell r="E248">
            <v>1975.66</v>
          </cell>
          <cell r="F248">
            <v>0</v>
          </cell>
          <cell r="G248">
            <v>1975.66</v>
          </cell>
        </row>
        <row r="249">
          <cell r="A249">
            <v>40190327000198</v>
          </cell>
          <cell r="B249">
            <v>1300.8904896566462</v>
          </cell>
          <cell r="C249">
            <v>257.27</v>
          </cell>
          <cell r="D249">
            <v>0.19776453286848394</v>
          </cell>
          <cell r="E249">
            <v>0</v>
          </cell>
          <cell r="F249">
            <v>0</v>
          </cell>
          <cell r="G249">
            <v>0</v>
          </cell>
        </row>
        <row r="250">
          <cell r="A250">
            <v>62510454000160</v>
          </cell>
          <cell r="B250">
            <v>2459.3534645815007</v>
          </cell>
          <cell r="C250">
            <v>642.95000000000005</v>
          </cell>
          <cell r="D250">
            <v>0.26143049759193865</v>
          </cell>
          <cell r="E250">
            <v>0</v>
          </cell>
          <cell r="F250">
            <v>0</v>
          </cell>
          <cell r="G250">
            <v>0</v>
          </cell>
        </row>
        <row r="251">
          <cell r="A251">
            <v>2553791000102</v>
          </cell>
          <cell r="B251">
            <v>3241.2793998351722</v>
          </cell>
          <cell r="C251">
            <v>1025.2900000000002</v>
          </cell>
          <cell r="D251">
            <v>0.31632262249657928</v>
          </cell>
          <cell r="E251">
            <v>0</v>
          </cell>
          <cell r="F251">
            <v>0</v>
          </cell>
          <cell r="G251">
            <v>0</v>
          </cell>
        </row>
        <row r="252">
          <cell r="A252">
            <v>19955526000153</v>
          </cell>
          <cell r="B252">
            <v>2893.7092830816223</v>
          </cell>
          <cell r="C252">
            <v>807.34</v>
          </cell>
          <cell r="D252">
            <v>0.27899831013440046</v>
          </cell>
          <cell r="E252">
            <v>0</v>
          </cell>
          <cell r="F252">
            <v>0</v>
          </cell>
          <cell r="G252">
            <v>0</v>
          </cell>
        </row>
        <row r="253">
          <cell r="A253">
            <v>11058284000193</v>
          </cell>
          <cell r="B253">
            <v>5414.5646464419951</v>
          </cell>
          <cell r="C253">
            <v>1512.9400000000003</v>
          </cell>
          <cell r="D253">
            <v>0.27942043336654582</v>
          </cell>
          <cell r="E253">
            <v>0</v>
          </cell>
          <cell r="F253">
            <v>0</v>
          </cell>
          <cell r="G253">
            <v>0</v>
          </cell>
        </row>
        <row r="254">
          <cell r="A254">
            <v>1189590000105</v>
          </cell>
          <cell r="B254">
            <v>6105.1419757076201</v>
          </cell>
          <cell r="C254">
            <v>4229.8700000000008</v>
          </cell>
          <cell r="D254">
            <v>0.69283728647600129</v>
          </cell>
          <cell r="E254">
            <v>2034.6100000000001</v>
          </cell>
          <cell r="F254">
            <v>0</v>
          </cell>
          <cell r="G254">
            <v>2034.6100000000001</v>
          </cell>
        </row>
        <row r="255">
          <cell r="A255">
            <v>5006001000167</v>
          </cell>
          <cell r="B255">
            <v>9881.7755677287405</v>
          </cell>
          <cell r="C255">
            <v>2989.670000000001</v>
          </cell>
          <cell r="D255">
            <v>0.30254380698176053</v>
          </cell>
          <cell r="E255">
            <v>0</v>
          </cell>
          <cell r="F255">
            <v>0</v>
          </cell>
          <cell r="G255">
            <v>0</v>
          </cell>
        </row>
        <row r="256">
          <cell r="A256">
            <v>14699069000160</v>
          </cell>
          <cell r="B256">
            <v>1268.769535352943</v>
          </cell>
          <cell r="C256">
            <v>823.91000000000008</v>
          </cell>
          <cell r="D256">
            <v>0.64937719344814415</v>
          </cell>
          <cell r="E256">
            <v>1076.44</v>
          </cell>
          <cell r="F256">
            <v>0</v>
          </cell>
          <cell r="G256">
            <v>1076.44</v>
          </cell>
        </row>
        <row r="257">
          <cell r="A257">
            <v>53257815000117</v>
          </cell>
          <cell r="B257">
            <v>1224.6408624314292</v>
          </cell>
          <cell r="C257">
            <v>180.29999999999998</v>
          </cell>
          <cell r="D257">
            <v>0.14722683648006676</v>
          </cell>
          <cell r="E257">
            <v>92.77</v>
          </cell>
          <cell r="F257">
            <v>92.77</v>
          </cell>
          <cell r="G257">
            <v>0</v>
          </cell>
        </row>
        <row r="258">
          <cell r="A258">
            <v>32062591000118</v>
          </cell>
          <cell r="B258">
            <v>1359.7775355074189</v>
          </cell>
          <cell r="C258">
            <v>448.43999999999994</v>
          </cell>
          <cell r="D258">
            <v>0.32978923999701071</v>
          </cell>
          <cell r="E258">
            <v>0</v>
          </cell>
          <cell r="F258">
            <v>0</v>
          </cell>
          <cell r="G258">
            <v>0</v>
          </cell>
        </row>
        <row r="259">
          <cell r="A259">
            <v>37836714000144</v>
          </cell>
          <cell r="B259">
            <v>7131.5040313877298</v>
          </cell>
          <cell r="C259">
            <v>2278.1199999999994</v>
          </cell>
          <cell r="D259">
            <v>0.31944453652039745</v>
          </cell>
          <cell r="E259">
            <v>0</v>
          </cell>
          <cell r="F259">
            <v>0</v>
          </cell>
          <cell r="G259">
            <v>0</v>
          </cell>
        </row>
        <row r="260">
          <cell r="A260">
            <v>32266459000128</v>
          </cell>
          <cell r="B260">
            <v>8197.0514421515036</v>
          </cell>
          <cell r="C260">
            <v>3690.7700000000004</v>
          </cell>
          <cell r="D260">
            <v>0.45025580552307398</v>
          </cell>
          <cell r="E260">
            <v>3799.7000000000007</v>
          </cell>
          <cell r="F260">
            <v>479.77</v>
          </cell>
          <cell r="G260">
            <v>3319.9300000000007</v>
          </cell>
        </row>
        <row r="261">
          <cell r="A261">
            <v>37447212000121</v>
          </cell>
          <cell r="B261">
            <v>3003.1331289970044</v>
          </cell>
          <cell r="C261">
            <v>345.27000000000004</v>
          </cell>
          <cell r="D261">
            <v>0.11496992812813275</v>
          </cell>
          <cell r="E261">
            <v>0</v>
          </cell>
          <cell r="F261">
            <v>0</v>
          </cell>
          <cell r="G261">
            <v>0</v>
          </cell>
        </row>
        <row r="262">
          <cell r="A262">
            <v>30960236000130</v>
          </cell>
          <cell r="B262">
            <v>3288.3094681418461</v>
          </cell>
          <cell r="C262">
            <v>848.19</v>
          </cell>
          <cell r="D262">
            <v>0.25794105093134506</v>
          </cell>
          <cell r="E262">
            <v>0</v>
          </cell>
          <cell r="F262">
            <v>0</v>
          </cell>
          <cell r="G262">
            <v>0</v>
          </cell>
        </row>
        <row r="263">
          <cell r="A263">
            <v>40584253000174</v>
          </cell>
          <cell r="B263">
            <v>3412.3832869686521</v>
          </cell>
          <cell r="C263">
            <v>236.2</v>
          </cell>
          <cell r="D263">
            <v>6.9218484600487337E-2</v>
          </cell>
          <cell r="E263">
            <v>1256.1000000000001</v>
          </cell>
          <cell r="F263">
            <v>69.200000000000045</v>
          </cell>
          <cell r="G263">
            <v>1186.9000000000001</v>
          </cell>
        </row>
        <row r="264">
          <cell r="A264">
            <v>11119143000133</v>
          </cell>
          <cell r="B264">
            <v>2218.51396485854</v>
          </cell>
          <cell r="C264">
            <v>664.17</v>
          </cell>
          <cell r="D264">
            <v>0.29937607358822721</v>
          </cell>
          <cell r="E264">
            <v>0</v>
          </cell>
          <cell r="F264">
            <v>0</v>
          </cell>
          <cell r="G264">
            <v>0</v>
          </cell>
        </row>
        <row r="265">
          <cell r="A265">
            <v>2462665000142</v>
          </cell>
          <cell r="B265">
            <v>9490.1425523551879</v>
          </cell>
          <cell r="C265">
            <v>1984.6700000000003</v>
          </cell>
          <cell r="D265">
            <v>0.20912962993453252</v>
          </cell>
          <cell r="E265">
            <v>0</v>
          </cell>
          <cell r="F265">
            <v>0</v>
          </cell>
          <cell r="G265">
            <v>0</v>
          </cell>
        </row>
        <row r="266">
          <cell r="A266">
            <v>35976688000124</v>
          </cell>
          <cell r="B266">
            <v>1846.9604656784461</v>
          </cell>
          <cell r="C266">
            <v>334.34999999999997</v>
          </cell>
          <cell r="D266">
            <v>0.18102715581255432</v>
          </cell>
          <cell r="E266">
            <v>137.85</v>
          </cell>
          <cell r="F266">
            <v>0</v>
          </cell>
          <cell r="G266">
            <v>137.85</v>
          </cell>
        </row>
        <row r="267">
          <cell r="A267">
            <v>11453021000189</v>
          </cell>
          <cell r="B267">
            <v>1911.6050004139454</v>
          </cell>
          <cell r="C267">
            <v>406.57999999999993</v>
          </cell>
          <cell r="D267">
            <v>0.2126903831659562</v>
          </cell>
          <cell r="E267">
            <v>0</v>
          </cell>
          <cell r="F267">
            <v>0</v>
          </cell>
          <cell r="G267">
            <v>0</v>
          </cell>
        </row>
        <row r="268">
          <cell r="A268">
            <v>9137352000168</v>
          </cell>
          <cell r="B268">
            <v>151.31757555855862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</row>
        <row r="269">
          <cell r="A269">
            <v>36883544000196</v>
          </cell>
          <cell r="B269">
            <v>8427.9918123484167</v>
          </cell>
          <cell r="C269">
            <v>1280.97</v>
          </cell>
          <cell r="D269">
            <v>0.15198994357388493</v>
          </cell>
          <cell r="E269">
            <v>0</v>
          </cell>
          <cell r="F269">
            <v>0</v>
          </cell>
          <cell r="G269">
            <v>0</v>
          </cell>
        </row>
        <row r="270">
          <cell r="A270">
            <v>27899501000108</v>
          </cell>
          <cell r="B270">
            <v>1885.4224946877725</v>
          </cell>
          <cell r="C270">
            <v>637.24</v>
          </cell>
          <cell r="D270">
            <v>0.33798260166909033</v>
          </cell>
          <cell r="E270">
            <v>0</v>
          </cell>
          <cell r="F270">
            <v>0</v>
          </cell>
          <cell r="G270">
            <v>0</v>
          </cell>
        </row>
        <row r="271">
          <cell r="A271">
            <v>55284053000173</v>
          </cell>
          <cell r="B271">
            <v>13628.538399186078</v>
          </cell>
          <cell r="C271">
            <v>6638.8</v>
          </cell>
          <cell r="D271">
            <v>0.48712487029397677</v>
          </cell>
          <cell r="E271">
            <v>4030.6199999999994</v>
          </cell>
          <cell r="F271">
            <v>194.21999999999935</v>
          </cell>
          <cell r="G271">
            <v>3836.4</v>
          </cell>
        </row>
        <row r="272">
          <cell r="A272">
            <v>16022063000189</v>
          </cell>
          <cell r="B272">
            <v>1543.9521425716241</v>
          </cell>
          <cell r="C272">
            <v>639.27</v>
          </cell>
          <cell r="D272">
            <v>0.41404780781302242</v>
          </cell>
          <cell r="E272">
            <v>357.24</v>
          </cell>
          <cell r="F272">
            <v>0</v>
          </cell>
          <cell r="G272">
            <v>357.24</v>
          </cell>
        </row>
        <row r="273">
          <cell r="A273">
            <v>33156596000172</v>
          </cell>
          <cell r="B273">
            <v>3412.446895340428</v>
          </cell>
          <cell r="C273">
            <v>342.65999999999997</v>
          </cell>
          <cell r="D273">
            <v>0.10041474944793712</v>
          </cell>
          <cell r="E273">
            <v>0</v>
          </cell>
          <cell r="F273">
            <v>0</v>
          </cell>
          <cell r="G273">
            <v>0</v>
          </cell>
        </row>
        <row r="274">
          <cell r="A274">
            <v>35652065000104</v>
          </cell>
          <cell r="B274">
            <v>294.21825439516198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</row>
        <row r="275">
          <cell r="A275">
            <v>43963049000152</v>
          </cell>
          <cell r="B275">
            <v>3123.8607713471256</v>
          </cell>
          <cell r="C275">
            <v>1039.1799999999998</v>
          </cell>
          <cell r="D275">
            <v>0.33265887184590065</v>
          </cell>
          <cell r="E275">
            <v>0</v>
          </cell>
          <cell r="F275">
            <v>0</v>
          </cell>
          <cell r="G275">
            <v>0</v>
          </cell>
        </row>
        <row r="276">
          <cell r="A276">
            <v>1335144000161</v>
          </cell>
          <cell r="B276">
            <v>1091.6200079728317</v>
          </cell>
          <cell r="C276">
            <v>572.55999999999995</v>
          </cell>
          <cell r="D276">
            <v>0.52450486049926803</v>
          </cell>
          <cell r="E276">
            <v>0</v>
          </cell>
          <cell r="F276">
            <v>0</v>
          </cell>
          <cell r="G276">
            <v>0</v>
          </cell>
        </row>
        <row r="277">
          <cell r="A277">
            <v>7217112000229</v>
          </cell>
          <cell r="B277">
            <v>3872.4683115254193</v>
          </cell>
          <cell r="C277">
            <v>205.88</v>
          </cell>
          <cell r="D277">
            <v>5.3165057384007619E-2</v>
          </cell>
          <cell r="E277">
            <v>0</v>
          </cell>
          <cell r="F277">
            <v>0</v>
          </cell>
          <cell r="G277">
            <v>0</v>
          </cell>
        </row>
        <row r="278">
          <cell r="A278">
            <v>65937282000101</v>
          </cell>
          <cell r="B278">
            <v>483.41102469567369</v>
          </cell>
          <cell r="C278">
            <v>336.69</v>
          </cell>
          <cell r="D278">
            <v>0.69648804598935166</v>
          </cell>
          <cell r="E278">
            <v>276.97000000000003</v>
          </cell>
          <cell r="F278">
            <v>148.87000000000003</v>
          </cell>
          <cell r="G278">
            <v>128.1</v>
          </cell>
        </row>
        <row r="279">
          <cell r="A279">
            <v>10698745000120</v>
          </cell>
          <cell r="B279">
            <v>3847.6724072764064</v>
          </cell>
          <cell r="C279">
            <v>987.2</v>
          </cell>
          <cell r="D279">
            <v>0.25657069924484405</v>
          </cell>
          <cell r="E279">
            <v>0</v>
          </cell>
          <cell r="F279">
            <v>0</v>
          </cell>
          <cell r="G279">
            <v>0</v>
          </cell>
        </row>
        <row r="280">
          <cell r="A280">
            <v>1069181000175</v>
          </cell>
          <cell r="B280">
            <v>393.16066964743146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</row>
        <row r="281">
          <cell r="A281">
            <v>1323294000155</v>
          </cell>
          <cell r="B281">
            <v>394.77598910324213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</row>
        <row r="282">
          <cell r="A282">
            <v>54288141000180</v>
          </cell>
          <cell r="B282">
            <v>6187.3721267756791</v>
          </cell>
          <cell r="C282">
            <v>2424.8300000000004</v>
          </cell>
          <cell r="D282">
            <v>0.39189981632212106</v>
          </cell>
          <cell r="E282">
            <v>71.31</v>
          </cell>
          <cell r="F282">
            <v>71.31</v>
          </cell>
          <cell r="G282">
            <v>0</v>
          </cell>
        </row>
        <row r="283">
          <cell r="A283">
            <v>1053206000142</v>
          </cell>
          <cell r="B283">
            <v>7103.971283841046</v>
          </cell>
          <cell r="C283">
            <v>270.7</v>
          </cell>
          <cell r="D283">
            <v>3.8105446824615433E-2</v>
          </cell>
          <cell r="E283">
            <v>0</v>
          </cell>
          <cell r="F283">
            <v>0</v>
          </cell>
          <cell r="G283">
            <v>0</v>
          </cell>
        </row>
        <row r="284">
          <cell r="A284">
            <v>1856884000143</v>
          </cell>
          <cell r="B284">
            <v>3960.6299038178195</v>
          </cell>
          <cell r="C284">
            <v>1762.5000000000002</v>
          </cell>
          <cell r="D284">
            <v>0.44500497213866197</v>
          </cell>
          <cell r="E284">
            <v>716.63</v>
          </cell>
          <cell r="F284">
            <v>0</v>
          </cell>
          <cell r="G284">
            <v>716.63</v>
          </cell>
        </row>
        <row r="285">
          <cell r="A285">
            <v>15433090000181</v>
          </cell>
          <cell r="B285">
            <v>967.85688234480256</v>
          </cell>
          <cell r="C285">
            <v>95.47</v>
          </cell>
          <cell r="D285">
            <v>9.8640616956411187E-2</v>
          </cell>
          <cell r="E285">
            <v>0</v>
          </cell>
          <cell r="F285">
            <v>0</v>
          </cell>
          <cell r="G285">
            <v>0</v>
          </cell>
        </row>
        <row r="286">
          <cell r="A286">
            <v>63102694000198</v>
          </cell>
          <cell r="B286">
            <v>13.784976826151809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</row>
        <row r="287">
          <cell r="A287">
            <v>9364347000198</v>
          </cell>
          <cell r="B287">
            <v>1790.5959823099986</v>
          </cell>
          <cell r="C287">
            <v>768.79</v>
          </cell>
          <cell r="D287">
            <v>0.42934866803856286</v>
          </cell>
          <cell r="E287">
            <v>0</v>
          </cell>
          <cell r="F287">
            <v>0</v>
          </cell>
          <cell r="G287">
            <v>0</v>
          </cell>
        </row>
        <row r="288">
          <cell r="A288">
            <v>10392940000127</v>
          </cell>
          <cell r="B288">
            <v>286.4697343751962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</row>
        <row r="289">
          <cell r="A289">
            <v>15116990000103</v>
          </cell>
          <cell r="B289">
            <v>5272.8707282418418</v>
          </cell>
          <cell r="C289">
            <v>4486.3200000000006</v>
          </cell>
          <cell r="D289">
            <v>0.8508306444857402</v>
          </cell>
          <cell r="E289">
            <v>3622.9700000000003</v>
          </cell>
          <cell r="F289">
            <v>57.050000000000182</v>
          </cell>
          <cell r="G289">
            <v>3565.92</v>
          </cell>
        </row>
        <row r="290">
          <cell r="A290">
            <v>20412740000142</v>
          </cell>
          <cell r="B290">
            <v>1356.8254755727646</v>
          </cell>
          <cell r="C290">
            <v>129.12</v>
          </cell>
          <cell r="D290">
            <v>9.5163307532602034E-2</v>
          </cell>
          <cell r="E290">
            <v>0</v>
          </cell>
          <cell r="F290">
            <v>0</v>
          </cell>
          <cell r="G290">
            <v>0</v>
          </cell>
        </row>
        <row r="291">
          <cell r="A291">
            <v>59412809000173</v>
          </cell>
          <cell r="B291">
            <v>2465.1166670508474</v>
          </cell>
          <cell r="C291">
            <v>756.2600000000001</v>
          </cell>
          <cell r="D291">
            <v>0.30678466869673754</v>
          </cell>
          <cell r="E291">
            <v>0</v>
          </cell>
          <cell r="F291">
            <v>0</v>
          </cell>
          <cell r="G291">
            <v>0</v>
          </cell>
        </row>
        <row r="292">
          <cell r="A292">
            <v>2366173000153</v>
          </cell>
          <cell r="B292">
            <v>7880.0484539707622</v>
          </cell>
          <cell r="C292">
            <v>2823.9999999999995</v>
          </cell>
          <cell r="D292">
            <v>0.35837343088632706</v>
          </cell>
          <cell r="E292">
            <v>0</v>
          </cell>
          <cell r="F292">
            <v>0</v>
          </cell>
          <cell r="G292">
            <v>0</v>
          </cell>
        </row>
        <row r="293">
          <cell r="A293">
            <v>37830039000146</v>
          </cell>
          <cell r="B293">
            <v>1104.1972939744292</v>
          </cell>
          <cell r="C293">
            <v>382.81000000000006</v>
          </cell>
          <cell r="D293">
            <v>0.34668623269499255</v>
          </cell>
          <cell r="E293">
            <v>0</v>
          </cell>
          <cell r="F293">
            <v>0</v>
          </cell>
          <cell r="G293">
            <v>0</v>
          </cell>
        </row>
        <row r="294">
          <cell r="A294">
            <v>7917231000103</v>
          </cell>
          <cell r="B294">
            <v>2622.5774305614586</v>
          </cell>
          <cell r="C294">
            <v>438.46000000000004</v>
          </cell>
          <cell r="D294">
            <v>0.1671866747919552</v>
          </cell>
          <cell r="E294">
            <v>0</v>
          </cell>
          <cell r="F294">
            <v>0</v>
          </cell>
          <cell r="G294">
            <v>0</v>
          </cell>
        </row>
        <row r="295">
          <cell r="A295">
            <v>31525761000190</v>
          </cell>
          <cell r="B295">
            <v>8814.1302693135713</v>
          </cell>
          <cell r="C295">
            <v>7072.5599999999995</v>
          </cell>
          <cell r="D295">
            <v>0.80241155779409623</v>
          </cell>
          <cell r="E295">
            <v>3791.28</v>
          </cell>
          <cell r="F295">
            <v>164.55999999999995</v>
          </cell>
          <cell r="G295">
            <v>3626.7200000000003</v>
          </cell>
        </row>
        <row r="296">
          <cell r="A296">
            <v>53548149000176</v>
          </cell>
          <cell r="B296">
            <v>1977.4674903859125</v>
          </cell>
          <cell r="C296">
            <v>461.94000000000005</v>
          </cell>
          <cell r="D296">
            <v>0.23360181760047555</v>
          </cell>
          <cell r="E296">
            <v>0</v>
          </cell>
          <cell r="F296">
            <v>0</v>
          </cell>
          <cell r="G296">
            <v>0</v>
          </cell>
        </row>
        <row r="297">
          <cell r="A297">
            <v>18380223000197</v>
          </cell>
          <cell r="B297">
            <v>2371.727410814879</v>
          </cell>
          <cell r="C297">
            <v>643.81000000000006</v>
          </cell>
          <cell r="D297">
            <v>0.27145193712577603</v>
          </cell>
          <cell r="E297">
            <v>137.85</v>
          </cell>
          <cell r="F297">
            <v>0</v>
          </cell>
          <cell r="G297">
            <v>137.85</v>
          </cell>
        </row>
        <row r="298">
          <cell r="A298">
            <v>25204663000159</v>
          </cell>
          <cell r="B298">
            <v>673.67842391553722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</row>
        <row r="299">
          <cell r="A299">
            <v>58219068000146</v>
          </cell>
          <cell r="B299">
            <v>2737.8356541816606</v>
          </cell>
          <cell r="C299">
            <v>316.59999999999997</v>
          </cell>
          <cell r="D299">
            <v>0.11563878917145293</v>
          </cell>
          <cell r="E299">
            <v>0</v>
          </cell>
          <cell r="F299">
            <v>0</v>
          </cell>
          <cell r="G299">
            <v>0</v>
          </cell>
        </row>
        <row r="300">
          <cell r="A300">
            <v>3381216000132</v>
          </cell>
          <cell r="B300">
            <v>22238.169681854499</v>
          </cell>
          <cell r="C300">
            <v>5103.8299999999972</v>
          </cell>
          <cell r="D300">
            <v>0.22950764712279934</v>
          </cell>
          <cell r="E300">
            <v>1281.46</v>
          </cell>
          <cell r="F300">
            <v>1281.46</v>
          </cell>
          <cell r="G300">
            <v>0</v>
          </cell>
        </row>
        <row r="301">
          <cell r="A301">
            <v>30516011000190</v>
          </cell>
          <cell r="B301">
            <v>4262.2052708436695</v>
          </cell>
          <cell r="C301">
            <v>1635.27</v>
          </cell>
          <cell r="D301">
            <v>0.3836675842870213</v>
          </cell>
          <cell r="E301">
            <v>0</v>
          </cell>
          <cell r="F301">
            <v>0</v>
          </cell>
          <cell r="G301">
            <v>0</v>
          </cell>
        </row>
        <row r="302">
          <cell r="A302">
            <v>7754019000172</v>
          </cell>
          <cell r="B302">
            <v>1879.0845119968255</v>
          </cell>
          <cell r="C302">
            <v>251.03000000000003</v>
          </cell>
          <cell r="D302">
            <v>0.13359164976206461</v>
          </cell>
          <cell r="E302">
            <v>0</v>
          </cell>
          <cell r="F302">
            <v>0</v>
          </cell>
          <cell r="G302">
            <v>0</v>
          </cell>
        </row>
        <row r="303">
          <cell r="A303">
            <v>18110799000134</v>
          </cell>
          <cell r="B303">
            <v>6162.9651646907041</v>
          </cell>
          <cell r="C303">
            <v>284.94</v>
          </cell>
          <cell r="D303">
            <v>4.6234238290441487E-2</v>
          </cell>
          <cell r="E303">
            <v>2274.5500000000006</v>
          </cell>
          <cell r="F303">
            <v>2140.7900000000009</v>
          </cell>
          <cell r="G303">
            <v>133.76</v>
          </cell>
        </row>
        <row r="304">
          <cell r="A304">
            <v>13470278000174</v>
          </cell>
          <cell r="B304">
            <v>2595.583617209154</v>
          </cell>
          <cell r="C304">
            <v>224.64999999999998</v>
          </cell>
          <cell r="D304">
            <v>8.6550862207070839E-2</v>
          </cell>
          <cell r="E304">
            <v>0</v>
          </cell>
          <cell r="F304">
            <v>0</v>
          </cell>
          <cell r="G304">
            <v>0</v>
          </cell>
        </row>
        <row r="305">
          <cell r="A305">
            <v>13537905000147</v>
          </cell>
          <cell r="B305">
            <v>4755.0318983396928</v>
          </cell>
          <cell r="C305">
            <v>1327.72</v>
          </cell>
          <cell r="D305">
            <v>0.2792242046711817</v>
          </cell>
          <cell r="E305">
            <v>269.27</v>
          </cell>
          <cell r="F305">
            <v>0</v>
          </cell>
          <cell r="G305">
            <v>269.27</v>
          </cell>
        </row>
        <row r="306">
          <cell r="A306">
            <v>27114394000165</v>
          </cell>
          <cell r="B306">
            <v>799.1407567828777</v>
          </cell>
          <cell r="C306">
            <v>45.08</v>
          </cell>
          <cell r="D306">
            <v>5.6410588018911412E-2</v>
          </cell>
          <cell r="E306">
            <v>0</v>
          </cell>
          <cell r="F306">
            <v>0</v>
          </cell>
          <cell r="G306">
            <v>0</v>
          </cell>
        </row>
        <row r="307">
          <cell r="A307">
            <v>49687096000105</v>
          </cell>
          <cell r="B307">
            <v>1993.0371006902144</v>
          </cell>
          <cell r="C307">
            <v>1105.3800000000001</v>
          </cell>
          <cell r="D307">
            <v>0.55462088468759196</v>
          </cell>
          <cell r="E307">
            <v>0</v>
          </cell>
          <cell r="F307">
            <v>0</v>
          </cell>
          <cell r="G307">
            <v>0</v>
          </cell>
        </row>
        <row r="308">
          <cell r="A308">
            <v>10280518000180</v>
          </cell>
          <cell r="B308">
            <v>324.92938901659545</v>
          </cell>
          <cell r="C308">
            <v>67.97</v>
          </cell>
          <cell r="D308">
            <v>0.20918390978948506</v>
          </cell>
          <cell r="E308">
            <v>0</v>
          </cell>
          <cell r="F308">
            <v>0</v>
          </cell>
          <cell r="G308">
            <v>0</v>
          </cell>
        </row>
        <row r="309">
          <cell r="A309">
            <v>32975740000130</v>
          </cell>
          <cell r="B309">
            <v>4861.6628781984482</v>
          </cell>
          <cell r="C309">
            <v>1196.5500000000002</v>
          </cell>
          <cell r="D309">
            <v>0.24611949244070111</v>
          </cell>
          <cell r="E309">
            <v>0</v>
          </cell>
          <cell r="F309">
            <v>0</v>
          </cell>
          <cell r="G309">
            <v>0</v>
          </cell>
        </row>
        <row r="310">
          <cell r="A310">
            <v>14314400000186</v>
          </cell>
          <cell r="B310">
            <v>4242.8465682843425</v>
          </cell>
          <cell r="C310">
            <v>492.15</v>
          </cell>
          <cell r="D310">
            <v>0.11599523859261497</v>
          </cell>
          <cell r="E310">
            <v>314.10000000000002</v>
          </cell>
          <cell r="F310">
            <v>104.58000000000001</v>
          </cell>
          <cell r="G310">
            <v>209.52</v>
          </cell>
        </row>
        <row r="311">
          <cell r="A311">
            <v>36431185000136</v>
          </cell>
          <cell r="B311">
            <v>6033.2344752432073</v>
          </cell>
          <cell r="C311">
            <v>1876.8200000000004</v>
          </cell>
          <cell r="D311">
            <v>0.31108023527037598</v>
          </cell>
          <cell r="E311">
            <v>137.85</v>
          </cell>
          <cell r="F311">
            <v>0</v>
          </cell>
          <cell r="G311">
            <v>137.85</v>
          </cell>
        </row>
        <row r="312">
          <cell r="A312">
            <v>938969000108</v>
          </cell>
          <cell r="B312">
            <v>6160.3352540828973</v>
          </cell>
          <cell r="C312">
            <v>3241.82</v>
          </cell>
          <cell r="D312">
            <v>0.52624084019638584</v>
          </cell>
          <cell r="E312">
            <v>1898.77</v>
          </cell>
          <cell r="F312">
            <v>0</v>
          </cell>
          <cell r="G312">
            <v>1898.77</v>
          </cell>
        </row>
        <row r="313">
          <cell r="A313">
            <v>10829445000132</v>
          </cell>
          <cell r="B313">
            <v>2130.2045641041245</v>
          </cell>
          <cell r="C313">
            <v>614.67999999999995</v>
          </cell>
          <cell r="D313">
            <v>0.28855444700378285</v>
          </cell>
          <cell r="E313">
            <v>0</v>
          </cell>
          <cell r="F313">
            <v>0</v>
          </cell>
          <cell r="G313">
            <v>0</v>
          </cell>
        </row>
        <row r="314">
          <cell r="A314">
            <v>15247037000196</v>
          </cell>
          <cell r="B314">
            <v>4346.4745345577521</v>
          </cell>
          <cell r="C314">
            <v>1654.7</v>
          </cell>
          <cell r="D314">
            <v>0.380699343075379</v>
          </cell>
          <cell r="E314">
            <v>1009.88</v>
          </cell>
          <cell r="F314">
            <v>0</v>
          </cell>
          <cell r="G314">
            <v>1009.88</v>
          </cell>
        </row>
        <row r="315">
          <cell r="A315">
            <v>24217601000119</v>
          </cell>
          <cell r="B315">
            <v>2287.1676453714549</v>
          </cell>
          <cell r="C315">
            <v>223.22</v>
          </cell>
          <cell r="D315">
            <v>9.7596693644967689E-2</v>
          </cell>
          <cell r="E315">
            <v>0</v>
          </cell>
          <cell r="F315">
            <v>0</v>
          </cell>
          <cell r="G315">
            <v>0</v>
          </cell>
        </row>
        <row r="316">
          <cell r="A316">
            <v>37963302000175</v>
          </cell>
          <cell r="B316">
            <v>1675.4408104986767</v>
          </cell>
          <cell r="C316">
            <v>466.4</v>
          </cell>
          <cell r="D316">
            <v>0.27837450125210994</v>
          </cell>
          <cell r="E316">
            <v>0</v>
          </cell>
          <cell r="F316">
            <v>0</v>
          </cell>
          <cell r="G316">
            <v>0</v>
          </cell>
        </row>
        <row r="317">
          <cell r="A317">
            <v>33184266000271</v>
          </cell>
          <cell r="B317">
            <v>5147.1140701712256</v>
          </cell>
          <cell r="C317">
            <v>3145.51</v>
          </cell>
          <cell r="D317">
            <v>0.61112109759311406</v>
          </cell>
          <cell r="E317">
            <v>4886.49</v>
          </cell>
          <cell r="F317">
            <v>151.55000000000018</v>
          </cell>
          <cell r="G317">
            <v>4734.9399999999996</v>
          </cell>
        </row>
        <row r="318">
          <cell r="A318">
            <v>33184266000352</v>
          </cell>
          <cell r="B318">
            <v>6939.3925555481283</v>
          </cell>
          <cell r="C318">
            <v>2232.0300000000002</v>
          </cell>
          <cell r="D318">
            <v>0.32164630868381489</v>
          </cell>
          <cell r="E318">
            <v>2739.3999999999996</v>
          </cell>
          <cell r="F318">
            <v>319.78999999999996</v>
          </cell>
          <cell r="G318">
            <v>2419.6099999999997</v>
          </cell>
        </row>
        <row r="319">
          <cell r="A319">
            <v>1340477000189</v>
          </cell>
          <cell r="B319">
            <v>3566.074080099409</v>
          </cell>
          <cell r="C319">
            <v>1829.6399999999999</v>
          </cell>
          <cell r="D319">
            <v>0.51306842171629707</v>
          </cell>
          <cell r="E319">
            <v>712.55000000000007</v>
          </cell>
          <cell r="F319">
            <v>0</v>
          </cell>
          <cell r="G319">
            <v>712.55000000000007</v>
          </cell>
        </row>
        <row r="320">
          <cell r="A320">
            <v>66807884000107</v>
          </cell>
          <cell r="B320">
            <v>2475.0204759213188</v>
          </cell>
          <cell r="C320">
            <v>1200.08</v>
          </cell>
          <cell r="D320">
            <v>0.4848767966468131</v>
          </cell>
          <cell r="E320">
            <v>0</v>
          </cell>
          <cell r="F320">
            <v>0</v>
          </cell>
          <cell r="G320">
            <v>0</v>
          </cell>
        </row>
        <row r="321">
          <cell r="A321">
            <v>13412480000140</v>
          </cell>
          <cell r="B321">
            <v>1492.0175778938985</v>
          </cell>
          <cell r="C321">
            <v>1195.54</v>
          </cell>
          <cell r="D321">
            <v>0.80129082774453619</v>
          </cell>
          <cell r="E321">
            <v>0</v>
          </cell>
          <cell r="F321">
            <v>0</v>
          </cell>
          <cell r="G321">
            <v>0</v>
          </cell>
        </row>
        <row r="322">
          <cell r="A322">
            <v>7217112000148</v>
          </cell>
          <cell r="B322">
            <v>8811.4823298924948</v>
          </cell>
          <cell r="C322">
            <v>2840.9999999999991</v>
          </cell>
          <cell r="D322">
            <v>0.32242021190487491</v>
          </cell>
          <cell r="E322">
            <v>2908.47</v>
          </cell>
          <cell r="F322">
            <v>168.93000000000029</v>
          </cell>
          <cell r="G322">
            <v>2739.5399999999995</v>
          </cell>
        </row>
        <row r="323">
          <cell r="A323">
            <v>7217112000300</v>
          </cell>
          <cell r="B323">
            <v>4604.4758975242648</v>
          </cell>
          <cell r="C323">
            <v>1845.3500000000001</v>
          </cell>
          <cell r="D323">
            <v>0.40077308277196283</v>
          </cell>
          <cell r="E323">
            <v>1791.95</v>
          </cell>
          <cell r="F323">
            <v>0</v>
          </cell>
          <cell r="G323">
            <v>1791.95</v>
          </cell>
        </row>
        <row r="324">
          <cell r="A324">
            <v>7217112000490</v>
          </cell>
          <cell r="B324">
            <v>8897.6124929663692</v>
          </cell>
          <cell r="C324">
            <v>2597.4899999999998</v>
          </cell>
          <cell r="D324">
            <v>0.29193112220310063</v>
          </cell>
          <cell r="E324">
            <v>2084.3799999999997</v>
          </cell>
          <cell r="F324">
            <v>121.39999999999941</v>
          </cell>
          <cell r="G324">
            <v>1962.9800000000002</v>
          </cell>
        </row>
        <row r="325">
          <cell r="A325">
            <v>14782944000172</v>
          </cell>
          <cell r="B325">
            <v>2255.4714599977387</v>
          </cell>
          <cell r="C325">
            <v>811.96999999999991</v>
          </cell>
          <cell r="D325">
            <v>0.36000012166006923</v>
          </cell>
          <cell r="E325">
            <v>796.57999999999993</v>
          </cell>
          <cell r="F325">
            <v>0</v>
          </cell>
          <cell r="G325">
            <v>796.57999999999993</v>
          </cell>
        </row>
        <row r="326">
          <cell r="A326">
            <v>14782944000253</v>
          </cell>
          <cell r="B326">
            <v>1802.2785272390997</v>
          </cell>
          <cell r="C326">
            <v>1196.0100000000002</v>
          </cell>
          <cell r="D326">
            <v>0.66360997033691638</v>
          </cell>
          <cell r="E326">
            <v>1115.7099999999998</v>
          </cell>
          <cell r="F326">
            <v>0</v>
          </cell>
          <cell r="G326">
            <v>1115.7099999999998</v>
          </cell>
        </row>
        <row r="327">
          <cell r="A327">
            <v>7863592000114</v>
          </cell>
          <cell r="B327">
            <v>3440.7009839334619</v>
          </cell>
          <cell r="C327">
            <v>1024.3800000000001</v>
          </cell>
          <cell r="D327">
            <v>0.2977242151478427</v>
          </cell>
          <cell r="E327">
            <v>0</v>
          </cell>
          <cell r="F327">
            <v>0</v>
          </cell>
          <cell r="G327">
            <v>0</v>
          </cell>
        </row>
        <row r="328">
          <cell r="A328">
            <v>9607825000143</v>
          </cell>
          <cell r="B328">
            <v>512.20382468211562</v>
          </cell>
          <cell r="C328">
            <v>29.8</v>
          </cell>
          <cell r="D328">
            <v>5.8179963842508405E-2</v>
          </cell>
          <cell r="E328">
            <v>0</v>
          </cell>
          <cell r="F328">
            <v>0</v>
          </cell>
          <cell r="G328">
            <v>0</v>
          </cell>
        </row>
        <row r="329">
          <cell r="A329">
            <v>96619283000123</v>
          </cell>
          <cell r="B329">
            <v>2088.0580216779567</v>
          </cell>
          <cell r="C329">
            <v>670.4799999999999</v>
          </cell>
          <cell r="D329">
            <v>0.32110218827214598</v>
          </cell>
          <cell r="E329">
            <v>0</v>
          </cell>
          <cell r="F329">
            <v>0</v>
          </cell>
          <cell r="G329">
            <v>0</v>
          </cell>
        </row>
        <row r="330">
          <cell r="A330">
            <v>46365701000125</v>
          </cell>
          <cell r="B330">
            <v>2916.4191523598029</v>
          </cell>
          <cell r="C330">
            <v>109.45</v>
          </cell>
          <cell r="D330">
            <v>3.752889906495066E-2</v>
          </cell>
          <cell r="E330">
            <v>0</v>
          </cell>
          <cell r="F330">
            <v>0</v>
          </cell>
          <cell r="G330">
            <v>0</v>
          </cell>
        </row>
        <row r="331">
          <cell r="A331">
            <v>41140364000154</v>
          </cell>
          <cell r="B331">
            <v>1910.0371128396732</v>
          </cell>
          <cell r="C331">
            <v>20.12</v>
          </cell>
          <cell r="D331">
            <v>1.0533826732867705E-2</v>
          </cell>
          <cell r="E331">
            <v>0</v>
          </cell>
          <cell r="F331">
            <v>0</v>
          </cell>
          <cell r="G331">
            <v>0</v>
          </cell>
        </row>
        <row r="332">
          <cell r="A332">
            <v>50970969000163</v>
          </cell>
          <cell r="B332">
            <v>1888.8266988044186</v>
          </cell>
          <cell r="C332">
            <v>1053.3399999999999</v>
          </cell>
          <cell r="D332">
            <v>0.55766894901831843</v>
          </cell>
          <cell r="E332">
            <v>818.15</v>
          </cell>
          <cell r="F332">
            <v>0</v>
          </cell>
          <cell r="G332">
            <v>818.15</v>
          </cell>
        </row>
        <row r="333">
          <cell r="A333">
            <v>31836867000105</v>
          </cell>
          <cell r="B333">
            <v>5273.8415761985316</v>
          </cell>
          <cell r="C333">
            <v>986.94999999999993</v>
          </cell>
          <cell r="D333">
            <v>0.18714062334640874</v>
          </cell>
          <cell r="E333">
            <v>0</v>
          </cell>
          <cell r="F333">
            <v>0</v>
          </cell>
          <cell r="G333">
            <v>0</v>
          </cell>
        </row>
        <row r="334">
          <cell r="A334">
            <v>22457961000162</v>
          </cell>
          <cell r="B334">
            <v>1501.1231637458529</v>
          </cell>
          <cell r="C334">
            <v>240.89</v>
          </cell>
          <cell r="D334">
            <v>0.1604731748985147</v>
          </cell>
          <cell r="E334">
            <v>0</v>
          </cell>
          <cell r="F334">
            <v>0</v>
          </cell>
          <cell r="G334">
            <v>0</v>
          </cell>
        </row>
        <row r="335">
          <cell r="A335">
            <v>18387529000175</v>
          </cell>
          <cell r="B335">
            <v>5736.4625464362516</v>
          </cell>
          <cell r="C335">
            <v>817.14</v>
          </cell>
          <cell r="D335">
            <v>0.14244667221049739</v>
          </cell>
          <cell r="E335">
            <v>232.99</v>
          </cell>
          <cell r="F335">
            <v>0</v>
          </cell>
          <cell r="G335">
            <v>232.99</v>
          </cell>
        </row>
        <row r="336">
          <cell r="A336">
            <v>17581013000102</v>
          </cell>
          <cell r="B336">
            <v>4567.9737146424495</v>
          </cell>
          <cell r="C336">
            <v>466.6</v>
          </cell>
          <cell r="D336">
            <v>0.1021459467913165</v>
          </cell>
          <cell r="E336">
            <v>0</v>
          </cell>
          <cell r="F336">
            <v>0</v>
          </cell>
          <cell r="G336">
            <v>0</v>
          </cell>
        </row>
        <row r="337">
          <cell r="A337">
            <v>55994018000148</v>
          </cell>
          <cell r="B337">
            <v>2007.8721199121451</v>
          </cell>
          <cell r="C337">
            <v>664.04</v>
          </cell>
          <cell r="D337">
            <v>0.33071827304871149</v>
          </cell>
          <cell r="E337">
            <v>0</v>
          </cell>
          <cell r="F337">
            <v>0</v>
          </cell>
          <cell r="G337">
            <v>0</v>
          </cell>
        </row>
        <row r="338">
          <cell r="A338">
            <v>18070710000153</v>
          </cell>
          <cell r="B338">
            <v>3264.7917731947159</v>
          </cell>
          <cell r="C338">
            <v>1295.8700000000001</v>
          </cell>
          <cell r="D338">
            <v>0.39692271055067774</v>
          </cell>
          <cell r="E338">
            <v>525.67999999999995</v>
          </cell>
          <cell r="F338">
            <v>0</v>
          </cell>
          <cell r="G338">
            <v>525.67999999999995</v>
          </cell>
        </row>
        <row r="339">
          <cell r="A339">
            <v>430268000163</v>
          </cell>
          <cell r="B339">
            <v>2151.3606046240188</v>
          </cell>
          <cell r="C339">
            <v>203.14</v>
          </cell>
          <cell r="D339">
            <v>9.4423965728191631E-2</v>
          </cell>
          <cell r="E339">
            <v>1204.72</v>
          </cell>
          <cell r="F339">
            <v>0</v>
          </cell>
          <cell r="G339">
            <v>1204.72</v>
          </cell>
        </row>
        <row r="340">
          <cell r="A340">
            <v>47964776000195</v>
          </cell>
          <cell r="B340">
            <v>6144.9412804426029</v>
          </cell>
          <cell r="C340">
            <v>987.62</v>
          </cell>
          <cell r="D340">
            <v>0.16072081976491476</v>
          </cell>
          <cell r="E340">
            <v>137.85</v>
          </cell>
          <cell r="F340">
            <v>0</v>
          </cell>
          <cell r="G340">
            <v>137.85</v>
          </cell>
        </row>
        <row r="341">
          <cell r="A341">
            <v>11628018000159</v>
          </cell>
          <cell r="B341">
            <v>6928.3468504087668</v>
          </cell>
          <cell r="C341">
            <v>1997.62</v>
          </cell>
          <cell r="D341">
            <v>0.2883256342574913</v>
          </cell>
          <cell r="E341">
            <v>0</v>
          </cell>
          <cell r="F341">
            <v>0</v>
          </cell>
          <cell r="G341">
            <v>0</v>
          </cell>
        </row>
        <row r="342">
          <cell r="A342">
            <v>49580979000103</v>
          </cell>
          <cell r="B342">
            <v>2519.8139368738284</v>
          </cell>
          <cell r="C342">
            <v>595.91</v>
          </cell>
          <cell r="D342">
            <v>0.23648968333721787</v>
          </cell>
          <cell r="E342">
            <v>563.62</v>
          </cell>
          <cell r="F342">
            <v>0</v>
          </cell>
          <cell r="G342">
            <v>563.62</v>
          </cell>
        </row>
        <row r="343">
          <cell r="A343">
            <v>42411000000124</v>
          </cell>
          <cell r="B343">
            <v>3241.4268099944543</v>
          </cell>
          <cell r="C343">
            <v>2147.7599999999998</v>
          </cell>
          <cell r="D343">
            <v>0.66259709871520267</v>
          </cell>
          <cell r="E343">
            <v>2215.85</v>
          </cell>
          <cell r="F343">
            <v>184.97000000000003</v>
          </cell>
          <cell r="G343">
            <v>2030.8799999999999</v>
          </cell>
        </row>
        <row r="344">
          <cell r="A344">
            <v>546706000153</v>
          </cell>
          <cell r="B344">
            <v>5028.1724821632588</v>
          </cell>
          <cell r="C344">
            <v>2179.3000000000002</v>
          </cell>
          <cell r="D344">
            <v>0.43341790834160188</v>
          </cell>
          <cell r="E344">
            <v>2135.92</v>
          </cell>
          <cell r="F344">
            <v>11.75</v>
          </cell>
          <cell r="G344">
            <v>2124.17</v>
          </cell>
        </row>
        <row r="345">
          <cell r="A345">
            <v>10588126000182</v>
          </cell>
          <cell r="B345">
            <v>23026.989228323735</v>
          </cell>
          <cell r="C345">
            <v>8268.74</v>
          </cell>
          <cell r="D345">
            <v>0.35908906362058207</v>
          </cell>
          <cell r="E345">
            <v>8732.9</v>
          </cell>
          <cell r="F345">
            <v>264.19999999999891</v>
          </cell>
          <cell r="G345">
            <v>8468.7000000000007</v>
          </cell>
        </row>
        <row r="346">
          <cell r="A346">
            <v>10588126000263</v>
          </cell>
          <cell r="B346">
            <v>21670.978108473289</v>
          </cell>
          <cell r="C346">
            <v>11349.64</v>
          </cell>
          <cell r="D346">
            <v>0.52372532255765247</v>
          </cell>
          <cell r="E346">
            <v>11072.670000000004</v>
          </cell>
          <cell r="F346">
            <v>601.72000000000298</v>
          </cell>
          <cell r="G346">
            <v>10470.950000000001</v>
          </cell>
        </row>
        <row r="347">
          <cell r="A347">
            <v>4993223000158</v>
          </cell>
          <cell r="B347">
            <v>11342.616727649192</v>
          </cell>
          <cell r="C347">
            <v>5565.3099999999986</v>
          </cell>
          <cell r="D347">
            <v>0.49065485801294756</v>
          </cell>
          <cell r="E347">
            <v>5852.2900000000018</v>
          </cell>
          <cell r="F347">
            <v>769.71</v>
          </cell>
          <cell r="G347">
            <v>5082.5800000000017</v>
          </cell>
        </row>
        <row r="348">
          <cell r="A348">
            <v>33694076000113</v>
          </cell>
          <cell r="B348">
            <v>1816.0963346801018</v>
          </cell>
          <cell r="C348">
            <v>577.09</v>
          </cell>
          <cell r="D348">
            <v>0.31776398034614839</v>
          </cell>
          <cell r="E348">
            <v>0</v>
          </cell>
          <cell r="F348">
            <v>0</v>
          </cell>
          <cell r="G348">
            <v>0</v>
          </cell>
        </row>
        <row r="349">
          <cell r="A349">
            <v>15349508000177</v>
          </cell>
          <cell r="B349">
            <v>4600.9061543608568</v>
          </cell>
          <cell r="C349">
            <v>388.71</v>
          </cell>
          <cell r="D349">
            <v>8.4485531101644112E-2</v>
          </cell>
          <cell r="E349">
            <v>137.85</v>
          </cell>
          <cell r="F349">
            <v>137.85</v>
          </cell>
          <cell r="G349">
            <v>0</v>
          </cell>
        </row>
        <row r="350">
          <cell r="A350">
            <v>13110601000107</v>
          </cell>
          <cell r="B350">
            <v>1829.2636077861857</v>
          </cell>
          <cell r="C350">
            <v>582.63000000000011</v>
          </cell>
          <cell r="D350">
            <v>0.31850521571634582</v>
          </cell>
          <cell r="E350">
            <v>0</v>
          </cell>
          <cell r="F350">
            <v>0</v>
          </cell>
          <cell r="G350">
            <v>0</v>
          </cell>
        </row>
        <row r="351">
          <cell r="A351">
            <v>23716744000102</v>
          </cell>
          <cell r="B351">
            <v>4097.1738713064824</v>
          </cell>
          <cell r="C351">
            <v>358.34999999999997</v>
          </cell>
          <cell r="D351">
            <v>8.7462727054278377E-2</v>
          </cell>
          <cell r="E351">
            <v>0</v>
          </cell>
          <cell r="F351">
            <v>0</v>
          </cell>
          <cell r="G351">
            <v>0</v>
          </cell>
        </row>
        <row r="352">
          <cell r="A352">
            <v>65675078000151</v>
          </cell>
          <cell r="B352">
            <v>791.31348744278432</v>
          </cell>
          <cell r="C352">
            <v>1211.1899999999998</v>
          </cell>
          <cell r="D352">
            <v>1.5306070466637591</v>
          </cell>
          <cell r="E352">
            <v>3312.0800000000008</v>
          </cell>
          <cell r="F352">
            <v>63.610000000000582</v>
          </cell>
          <cell r="G352">
            <v>3248.4700000000003</v>
          </cell>
        </row>
        <row r="353">
          <cell r="A353">
            <v>65675078000232</v>
          </cell>
          <cell r="B353">
            <v>489.35469433829866</v>
          </cell>
          <cell r="C353">
            <v>766.57000000000016</v>
          </cell>
          <cell r="D353">
            <v>1.5664915630094236</v>
          </cell>
          <cell r="E353">
            <v>884.56999999999982</v>
          </cell>
          <cell r="F353">
            <v>0</v>
          </cell>
          <cell r="G353">
            <v>884.56999999999982</v>
          </cell>
        </row>
        <row r="354">
          <cell r="A354">
            <v>65675078000313</v>
          </cell>
          <cell r="B354">
            <v>516.46810507702764</v>
          </cell>
          <cell r="C354">
            <v>931.23000000000013</v>
          </cell>
          <cell r="D354">
            <v>1.8030735893383263</v>
          </cell>
          <cell r="E354">
            <v>1362.37</v>
          </cell>
          <cell r="F354">
            <v>226.32000000000016</v>
          </cell>
          <cell r="G354">
            <v>1136.0499999999997</v>
          </cell>
        </row>
        <row r="355">
          <cell r="A355">
            <v>65675078000402</v>
          </cell>
          <cell r="B355">
            <v>471.89040531614933</v>
          </cell>
          <cell r="C355">
            <v>373.89</v>
          </cell>
          <cell r="D355">
            <v>0.79232380185714379</v>
          </cell>
          <cell r="E355">
            <v>825.13000000000011</v>
          </cell>
          <cell r="F355">
            <v>76.590000000000146</v>
          </cell>
          <cell r="G355">
            <v>748.54</v>
          </cell>
        </row>
        <row r="356">
          <cell r="A356">
            <v>65675078000585</v>
          </cell>
          <cell r="B356">
            <v>631.70405021515842</v>
          </cell>
          <cell r="C356">
            <v>882.19999999999982</v>
          </cell>
          <cell r="D356">
            <v>1.3965400407034314</v>
          </cell>
          <cell r="E356">
            <v>1461.79</v>
          </cell>
          <cell r="F356">
            <v>0</v>
          </cell>
          <cell r="G356">
            <v>1461.79</v>
          </cell>
        </row>
        <row r="357">
          <cell r="A357">
            <v>13117848000147</v>
          </cell>
          <cell r="B357">
            <v>1398.5805511619703</v>
          </cell>
          <cell r="C357">
            <v>415.38000000000005</v>
          </cell>
          <cell r="D357">
            <v>0.29700112707479992</v>
          </cell>
          <cell r="E357">
            <v>137.85</v>
          </cell>
          <cell r="F357">
            <v>0</v>
          </cell>
          <cell r="G357">
            <v>137.85</v>
          </cell>
        </row>
        <row r="358">
          <cell r="A358">
            <v>16735647000100</v>
          </cell>
          <cell r="B358">
            <v>1223.869378493421</v>
          </cell>
          <cell r="C358">
            <v>232.35999999999999</v>
          </cell>
          <cell r="D358">
            <v>0.18985686224622628</v>
          </cell>
          <cell r="E358">
            <v>0</v>
          </cell>
          <cell r="F358">
            <v>0</v>
          </cell>
          <cell r="G358">
            <v>0</v>
          </cell>
        </row>
        <row r="359">
          <cell r="A359">
            <v>16735647000282</v>
          </cell>
          <cell r="B359">
            <v>1672.6892611244011</v>
          </cell>
          <cell r="C359">
            <v>29.8</v>
          </cell>
          <cell r="D359">
            <v>1.7815622239344141E-2</v>
          </cell>
          <cell r="E359">
            <v>0</v>
          </cell>
          <cell r="F359">
            <v>0</v>
          </cell>
          <cell r="G359">
            <v>0</v>
          </cell>
        </row>
        <row r="360">
          <cell r="A360">
            <v>63882511000102</v>
          </cell>
          <cell r="B360">
            <v>593.97380622369451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</row>
        <row r="361">
          <cell r="A361">
            <v>22155730000102</v>
          </cell>
          <cell r="B361">
            <v>2306.6265044829215</v>
          </cell>
          <cell r="C361">
            <v>1744.9399999999998</v>
          </cell>
          <cell r="D361">
            <v>0.75649005012676063</v>
          </cell>
          <cell r="E361">
            <v>1804.9699999999993</v>
          </cell>
          <cell r="F361">
            <v>461.18999999999983</v>
          </cell>
          <cell r="G361">
            <v>1343.7799999999995</v>
          </cell>
        </row>
        <row r="362">
          <cell r="A362">
            <v>19023460000163</v>
          </cell>
          <cell r="B362">
            <v>3408.5836317369335</v>
          </cell>
          <cell r="C362">
            <v>467.45000000000005</v>
          </cell>
          <cell r="D362">
            <v>0.13713907314687143</v>
          </cell>
          <cell r="E362">
            <v>84.639999999999986</v>
          </cell>
          <cell r="F362">
            <v>0</v>
          </cell>
          <cell r="G362">
            <v>84.639999999999986</v>
          </cell>
        </row>
        <row r="363">
          <cell r="A363">
            <v>73706830000102</v>
          </cell>
          <cell r="B363">
            <v>24891.470686369965</v>
          </cell>
          <cell r="C363">
            <v>12787.68</v>
          </cell>
          <cell r="D363">
            <v>0.51373742279528145</v>
          </cell>
          <cell r="E363">
            <v>10536.460000000001</v>
          </cell>
          <cell r="F363">
            <v>321.28000000000065</v>
          </cell>
          <cell r="G363">
            <v>10215.18</v>
          </cell>
        </row>
        <row r="364">
          <cell r="A364">
            <v>96365630000139</v>
          </cell>
          <cell r="B364">
            <v>49452.510375501268</v>
          </cell>
          <cell r="C364">
            <v>32028.58</v>
          </cell>
          <cell r="D364">
            <v>0.64766337961008613</v>
          </cell>
          <cell r="E364">
            <v>21491.659999999989</v>
          </cell>
          <cell r="F364">
            <v>362.44999999999345</v>
          </cell>
          <cell r="G364">
            <v>21129.209999999995</v>
          </cell>
        </row>
        <row r="365">
          <cell r="A365">
            <v>9583797000171</v>
          </cell>
          <cell r="B365">
            <v>1812.9252878222346</v>
          </cell>
          <cell r="C365">
            <v>414.79</v>
          </cell>
          <cell r="D365">
            <v>0.22879597012972552</v>
          </cell>
          <cell r="E365">
            <v>0</v>
          </cell>
          <cell r="F365">
            <v>0</v>
          </cell>
          <cell r="G365">
            <v>0</v>
          </cell>
        </row>
        <row r="366">
          <cell r="A366">
            <v>33689225000156</v>
          </cell>
          <cell r="B366">
            <v>6653.1504888866639</v>
          </cell>
          <cell r="C366">
            <v>909.82</v>
          </cell>
          <cell r="D366">
            <v>0.13675025110581093</v>
          </cell>
          <cell r="E366">
            <v>137.85</v>
          </cell>
          <cell r="F366">
            <v>0</v>
          </cell>
          <cell r="G366">
            <v>137.85</v>
          </cell>
        </row>
        <row r="367">
          <cell r="A367">
            <v>27377243000108</v>
          </cell>
          <cell r="B367">
            <v>310.74975142988035</v>
          </cell>
          <cell r="C367">
            <v>139.56</v>
          </cell>
          <cell r="D367">
            <v>0.44910735843819732</v>
          </cell>
          <cell r="E367">
            <v>137.85</v>
          </cell>
          <cell r="F367">
            <v>0</v>
          </cell>
          <cell r="G367">
            <v>137.85</v>
          </cell>
        </row>
        <row r="368">
          <cell r="A368">
            <v>27377243000280</v>
          </cell>
          <cell r="B368">
            <v>1930.5423440592904</v>
          </cell>
          <cell r="C368">
            <v>523.1</v>
          </cell>
          <cell r="D368">
            <v>0.27096012766034139</v>
          </cell>
          <cell r="E368">
            <v>249.20999999999998</v>
          </cell>
          <cell r="F368">
            <v>0</v>
          </cell>
          <cell r="G368">
            <v>249.20999999999998</v>
          </cell>
        </row>
        <row r="369">
          <cell r="A369">
            <v>27377243000361</v>
          </cell>
          <cell r="B369">
            <v>430.10867727657836</v>
          </cell>
          <cell r="C369">
            <v>415.63000000000005</v>
          </cell>
          <cell r="D369">
            <v>0.96633716536886349</v>
          </cell>
          <cell r="E369">
            <v>450.91999999999996</v>
          </cell>
          <cell r="F369">
            <v>131</v>
          </cell>
          <cell r="G369">
            <v>319.91999999999996</v>
          </cell>
        </row>
        <row r="370">
          <cell r="A370">
            <v>50031125000157</v>
          </cell>
          <cell r="B370">
            <v>770.04282987026409</v>
          </cell>
          <cell r="C370">
            <v>660.93000000000006</v>
          </cell>
          <cell r="D370">
            <v>0.85830290778936646</v>
          </cell>
          <cell r="E370">
            <v>653.06999999999994</v>
          </cell>
          <cell r="F370">
            <v>0</v>
          </cell>
          <cell r="G370">
            <v>653.06999999999994</v>
          </cell>
        </row>
        <row r="371">
          <cell r="A371">
            <v>27230522000136</v>
          </cell>
          <cell r="B371">
            <v>9463.1829572472234</v>
          </cell>
          <cell r="C371">
            <v>2862.9399999999996</v>
          </cell>
          <cell r="D371">
            <v>0.30253457139465573</v>
          </cell>
          <cell r="E371">
            <v>1044.08</v>
          </cell>
          <cell r="F371">
            <v>151.51999999999998</v>
          </cell>
          <cell r="G371">
            <v>892.56</v>
          </cell>
        </row>
        <row r="372">
          <cell r="A372">
            <v>49581378000115</v>
          </cell>
          <cell r="B372">
            <v>782.59317317021282</v>
          </cell>
          <cell r="C372">
            <v>1002.12</v>
          </cell>
          <cell r="D372">
            <v>1.2805120647047101</v>
          </cell>
          <cell r="E372">
            <v>0</v>
          </cell>
          <cell r="F372">
            <v>0</v>
          </cell>
          <cell r="G372">
            <v>0</v>
          </cell>
        </row>
        <row r="373">
          <cell r="A373">
            <v>42327542000113</v>
          </cell>
          <cell r="B373">
            <v>1953.9215384038462</v>
          </cell>
          <cell r="C373">
            <v>824.93</v>
          </cell>
          <cell r="D373">
            <v>0.42219197843219602</v>
          </cell>
          <cell r="E373">
            <v>0</v>
          </cell>
          <cell r="F373">
            <v>0</v>
          </cell>
          <cell r="G373">
            <v>0</v>
          </cell>
        </row>
        <row r="374">
          <cell r="A374">
            <v>30658717000196</v>
          </cell>
          <cell r="B374">
            <v>2453.898475895613</v>
          </cell>
          <cell r="C374">
            <v>574.87000000000012</v>
          </cell>
          <cell r="D374">
            <v>0.2342680455800791</v>
          </cell>
          <cell r="E374">
            <v>0</v>
          </cell>
          <cell r="F374">
            <v>0</v>
          </cell>
          <cell r="G374">
            <v>0</v>
          </cell>
        </row>
        <row r="375">
          <cell r="A375">
            <v>7771697000143</v>
          </cell>
          <cell r="B375">
            <v>3190.1768161882815</v>
          </cell>
          <cell r="C375">
            <v>1966.2899999999997</v>
          </cell>
          <cell r="D375">
            <v>0.61635768588820161</v>
          </cell>
          <cell r="E375">
            <v>1061.9599999999998</v>
          </cell>
          <cell r="F375">
            <v>0</v>
          </cell>
          <cell r="G375">
            <v>1061.9599999999998</v>
          </cell>
        </row>
        <row r="376">
          <cell r="A376">
            <v>47614350000101</v>
          </cell>
          <cell r="B376">
            <v>612.81022770656125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</row>
        <row r="377">
          <cell r="A377">
            <v>46726427000172</v>
          </cell>
          <cell r="B377">
            <v>461.86377396897603</v>
          </cell>
          <cell r="C377">
            <v>195.26999999999998</v>
          </cell>
          <cell r="D377">
            <v>0.42278700128821212</v>
          </cell>
          <cell r="E377">
            <v>0</v>
          </cell>
          <cell r="F377">
            <v>0</v>
          </cell>
          <cell r="G377">
            <v>0</v>
          </cell>
        </row>
        <row r="378">
          <cell r="A378">
            <v>17334086000191</v>
          </cell>
          <cell r="B378">
            <v>2783.0571639598452</v>
          </cell>
          <cell r="C378">
            <v>434.39</v>
          </cell>
          <cell r="D378">
            <v>0.15608375049757603</v>
          </cell>
          <cell r="E378">
            <v>312.08</v>
          </cell>
          <cell r="F378">
            <v>0</v>
          </cell>
          <cell r="G378">
            <v>312.08</v>
          </cell>
        </row>
        <row r="379">
          <cell r="A379">
            <v>34700354000160</v>
          </cell>
          <cell r="B379">
            <v>1753.7679817751266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</row>
        <row r="380">
          <cell r="A380">
            <v>42390075000176</v>
          </cell>
          <cell r="B380">
            <v>4245.0260144285312</v>
          </cell>
          <cell r="C380">
            <v>2494.56</v>
          </cell>
          <cell r="D380">
            <v>0.58764304188506122</v>
          </cell>
          <cell r="E380">
            <v>3482.8799999999997</v>
          </cell>
          <cell r="F380">
            <v>713.15000000000009</v>
          </cell>
          <cell r="G380">
            <v>2769.7299999999996</v>
          </cell>
        </row>
        <row r="381">
          <cell r="A381">
            <v>61723222000208</v>
          </cell>
          <cell r="B381">
            <v>5249.1754299870818</v>
          </cell>
          <cell r="C381">
            <v>435.48</v>
          </cell>
          <cell r="D381">
            <v>8.2961601456911435E-2</v>
          </cell>
          <cell r="E381">
            <v>0</v>
          </cell>
          <cell r="F381">
            <v>0</v>
          </cell>
          <cell r="G381">
            <v>0</v>
          </cell>
        </row>
        <row r="382">
          <cell r="A382">
            <v>61723222000127</v>
          </cell>
          <cell r="B382">
            <v>2764.2710194372503</v>
          </cell>
          <cell r="C382">
            <v>7731.2599999999975</v>
          </cell>
          <cell r="D382">
            <v>2.7968531108696881</v>
          </cell>
          <cell r="E382">
            <v>6942.73</v>
          </cell>
          <cell r="F382">
            <v>0</v>
          </cell>
          <cell r="G382">
            <v>6942.73</v>
          </cell>
        </row>
        <row r="383">
          <cell r="A383">
            <v>7033833000106</v>
          </cell>
          <cell r="B383">
            <v>3666.5582426664978</v>
          </cell>
          <cell r="C383">
            <v>274.19000000000005</v>
          </cell>
          <cell r="D383">
            <v>7.4781302205797193E-2</v>
          </cell>
          <cell r="E383">
            <v>0</v>
          </cell>
          <cell r="F383">
            <v>0</v>
          </cell>
          <cell r="G383">
            <v>0</v>
          </cell>
        </row>
        <row r="384">
          <cell r="A384">
            <v>36259468000142</v>
          </cell>
          <cell r="B384">
            <v>2606.6251740330608</v>
          </cell>
          <cell r="C384">
            <v>502.15000000000003</v>
          </cell>
          <cell r="D384">
            <v>0.1926437314433882</v>
          </cell>
          <cell r="E384">
            <v>0</v>
          </cell>
          <cell r="F384">
            <v>0</v>
          </cell>
          <cell r="G384">
            <v>0</v>
          </cell>
        </row>
        <row r="385">
          <cell r="A385">
            <v>27377243000442</v>
          </cell>
          <cell r="B385">
            <v>544.15783682371978</v>
          </cell>
          <cell r="C385">
            <v>37.26</v>
          </cell>
          <cell r="D385">
            <v>6.8472780282810466E-2</v>
          </cell>
          <cell r="E385">
            <v>0</v>
          </cell>
          <cell r="F385">
            <v>0</v>
          </cell>
          <cell r="G385">
            <v>0</v>
          </cell>
        </row>
        <row r="386">
          <cell r="A386">
            <v>62670020000127</v>
          </cell>
          <cell r="B386">
            <v>1653.9917392327679</v>
          </cell>
          <cell r="C386">
            <v>1063.8</v>
          </cell>
          <cell r="D386">
            <v>0.64317128965436166</v>
          </cell>
          <cell r="E386">
            <v>0</v>
          </cell>
          <cell r="F386">
            <v>0</v>
          </cell>
          <cell r="G386">
            <v>0</v>
          </cell>
        </row>
        <row r="387">
          <cell r="A387">
            <v>19651628000851</v>
          </cell>
          <cell r="B387">
            <v>13.43852877</v>
          </cell>
          <cell r="C387">
            <v>1547.61</v>
          </cell>
          <cell r="D387">
            <v>115.16215997206962</v>
          </cell>
          <cell r="E387">
            <v>67.540000000000006</v>
          </cell>
          <cell r="F387">
            <v>0</v>
          </cell>
          <cell r="G387">
            <v>67.540000000000006</v>
          </cell>
        </row>
        <row r="388">
          <cell r="A388">
            <v>13079901000162</v>
          </cell>
          <cell r="B388">
            <v>1553.5859219060189</v>
          </cell>
          <cell r="C388">
            <v>538.82000000000005</v>
          </cell>
          <cell r="D388">
            <v>0.34682343113597991</v>
          </cell>
          <cell r="E388">
            <v>757.4</v>
          </cell>
          <cell r="F388">
            <v>28.799999999999955</v>
          </cell>
          <cell r="G388">
            <v>728.6</v>
          </cell>
        </row>
        <row r="389">
          <cell r="A389">
            <v>422093000142</v>
          </cell>
          <cell r="B389">
            <v>1696.6693157533834</v>
          </cell>
          <cell r="C389">
            <v>2629.97</v>
          </cell>
          <cell r="D389">
            <v>1.5500781298872</v>
          </cell>
          <cell r="E389">
            <v>2324.41</v>
          </cell>
          <cell r="F389">
            <v>0</v>
          </cell>
          <cell r="G389">
            <v>2324.41</v>
          </cell>
        </row>
        <row r="390">
          <cell r="A390">
            <v>24385511000137</v>
          </cell>
          <cell r="B390">
            <v>2153.778208464335</v>
          </cell>
          <cell r="C390">
            <v>301</v>
          </cell>
          <cell r="D390">
            <v>0.13975440870237793</v>
          </cell>
          <cell r="E390">
            <v>0</v>
          </cell>
          <cell r="F390">
            <v>0</v>
          </cell>
          <cell r="G390">
            <v>0</v>
          </cell>
        </row>
        <row r="391">
          <cell r="A391">
            <v>15272871000131</v>
          </cell>
          <cell r="B391">
            <v>1582.8168275046232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</row>
        <row r="392">
          <cell r="A392">
            <v>47541257000114</v>
          </cell>
          <cell r="B392">
            <v>4087.5832484211755</v>
          </cell>
          <cell r="C392">
            <v>1378.3200000000002</v>
          </cell>
          <cell r="D392">
            <v>0.33719680217702591</v>
          </cell>
          <cell r="E392">
            <v>0</v>
          </cell>
          <cell r="F392">
            <v>0</v>
          </cell>
          <cell r="G392">
            <v>0</v>
          </cell>
        </row>
        <row r="393">
          <cell r="A393">
            <v>8476603000176</v>
          </cell>
          <cell r="B393">
            <v>11272.422595241458</v>
          </cell>
          <cell r="C393">
            <v>4016.3900000000008</v>
          </cell>
          <cell r="D393">
            <v>0.35630229137217406</v>
          </cell>
          <cell r="E393">
            <v>2070.2999999999997</v>
          </cell>
          <cell r="F393">
            <v>0</v>
          </cell>
          <cell r="G393">
            <v>2070.2999999999997</v>
          </cell>
        </row>
        <row r="394">
          <cell r="A394">
            <v>3662213000177</v>
          </cell>
          <cell r="B394">
            <v>3661.5066933843341</v>
          </cell>
          <cell r="C394">
            <v>889.32999999999993</v>
          </cell>
          <cell r="D394">
            <v>0.24288635102234141</v>
          </cell>
          <cell r="E394">
            <v>463.82</v>
          </cell>
          <cell r="F394">
            <v>0</v>
          </cell>
          <cell r="G394">
            <v>463.82</v>
          </cell>
        </row>
        <row r="395">
          <cell r="A395">
            <v>52189626000191</v>
          </cell>
          <cell r="B395">
            <v>2878.2248885629892</v>
          </cell>
          <cell r="C395">
            <v>496.25</v>
          </cell>
          <cell r="D395">
            <v>0.17241529734938907</v>
          </cell>
          <cell r="E395">
            <v>0</v>
          </cell>
          <cell r="F395">
            <v>0</v>
          </cell>
          <cell r="G395">
            <v>0</v>
          </cell>
        </row>
        <row r="396">
          <cell r="A396">
            <v>28800059000264</v>
          </cell>
          <cell r="B396">
            <v>43987.164135477258</v>
          </cell>
          <cell r="C396">
            <v>19734.799999999992</v>
          </cell>
          <cell r="D396">
            <v>0.44864906360451534</v>
          </cell>
          <cell r="E396">
            <v>35004.090000000018</v>
          </cell>
          <cell r="F396">
            <v>9040.6300000000228</v>
          </cell>
          <cell r="G396">
            <v>25963.459999999995</v>
          </cell>
        </row>
        <row r="397">
          <cell r="A397">
            <v>28800059000345</v>
          </cell>
          <cell r="B397">
            <v>5765.5938191375835</v>
          </cell>
          <cell r="C397">
            <v>1324.2500000000002</v>
          </cell>
          <cell r="D397">
            <v>0.22968145893393532</v>
          </cell>
          <cell r="E397">
            <v>845.6</v>
          </cell>
          <cell r="F397">
            <v>0</v>
          </cell>
          <cell r="G397">
            <v>845.6</v>
          </cell>
        </row>
        <row r="398">
          <cell r="A398">
            <v>49674943000199</v>
          </cell>
          <cell r="B398">
            <v>2373.3354204323905</v>
          </cell>
          <cell r="C398">
            <v>428.28999999999996</v>
          </cell>
          <cell r="D398">
            <v>0.1804591109679605</v>
          </cell>
          <cell r="E398">
            <v>357.24</v>
          </cell>
          <cell r="F398">
            <v>238.16000000000003</v>
          </cell>
          <cell r="G398">
            <v>119.08</v>
          </cell>
        </row>
        <row r="399">
          <cell r="A399">
            <v>50372246000162</v>
          </cell>
          <cell r="B399">
            <v>9645.7729785457323</v>
          </cell>
          <cell r="C399">
            <v>2759.7799999999997</v>
          </cell>
          <cell r="D399">
            <v>0.28611289174422228</v>
          </cell>
          <cell r="E399">
            <v>0</v>
          </cell>
          <cell r="F399">
            <v>0</v>
          </cell>
          <cell r="G399">
            <v>0</v>
          </cell>
        </row>
        <row r="400">
          <cell r="A400">
            <v>22954090000192</v>
          </cell>
          <cell r="B400">
            <v>3306.4772634320298</v>
          </cell>
          <cell r="C400">
            <v>272.04000000000002</v>
          </cell>
          <cell r="D400">
            <v>8.2274873929612385E-2</v>
          </cell>
          <cell r="E400">
            <v>0</v>
          </cell>
          <cell r="F400">
            <v>0</v>
          </cell>
          <cell r="G400">
            <v>0</v>
          </cell>
        </row>
        <row r="401">
          <cell r="A401">
            <v>52837594000193</v>
          </cell>
          <cell r="B401">
            <v>5123.3965920924547</v>
          </cell>
          <cell r="C401">
            <v>2291.7600000000002</v>
          </cell>
          <cell r="D401">
            <v>0.44731262919156894</v>
          </cell>
          <cell r="E401">
            <v>0</v>
          </cell>
          <cell r="F401">
            <v>0</v>
          </cell>
          <cell r="G401">
            <v>0</v>
          </cell>
        </row>
        <row r="402">
          <cell r="A402">
            <v>30890084000147</v>
          </cell>
          <cell r="B402">
            <v>1950.124015677625</v>
          </cell>
          <cell r="C402">
            <v>312.87</v>
          </cell>
          <cell r="D402">
            <v>0.16043595047532636</v>
          </cell>
          <cell r="E402">
            <v>769.28000000000009</v>
          </cell>
          <cell r="F402">
            <v>697.28000000000009</v>
          </cell>
          <cell r="G402">
            <v>72</v>
          </cell>
        </row>
        <row r="403">
          <cell r="A403">
            <v>33586036000158</v>
          </cell>
          <cell r="B403">
            <v>303.26497769199204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</row>
        <row r="404">
          <cell r="A404">
            <v>9165147000106</v>
          </cell>
          <cell r="B404">
            <v>5314.3480111306872</v>
          </cell>
          <cell r="C404">
            <v>1326.7099999999998</v>
          </cell>
          <cell r="D404">
            <v>0.24964680469198844</v>
          </cell>
          <cell r="E404">
            <v>0</v>
          </cell>
          <cell r="F404">
            <v>0</v>
          </cell>
          <cell r="G404">
            <v>0</v>
          </cell>
        </row>
        <row r="405">
          <cell r="A405">
            <v>13280617000150</v>
          </cell>
          <cell r="B405">
            <v>8266.3324511316368</v>
          </cell>
          <cell r="C405">
            <v>2900.2000000000003</v>
          </cell>
          <cell r="D405">
            <v>0.35084482957166468</v>
          </cell>
          <cell r="E405">
            <v>2181.79</v>
          </cell>
          <cell r="F405">
            <v>0</v>
          </cell>
          <cell r="G405">
            <v>2181.79</v>
          </cell>
        </row>
        <row r="406">
          <cell r="A406">
            <v>21287037000112</v>
          </cell>
          <cell r="B406">
            <v>3111.2412585858478</v>
          </cell>
          <cell r="C406">
            <v>693.61</v>
          </cell>
          <cell r="D406">
            <v>0.22293674528964896</v>
          </cell>
          <cell r="E406">
            <v>0</v>
          </cell>
          <cell r="F406">
            <v>0</v>
          </cell>
          <cell r="G406">
            <v>0</v>
          </cell>
        </row>
        <row r="407">
          <cell r="A407">
            <v>41955400000138</v>
          </cell>
          <cell r="B407">
            <v>4001.829443539903</v>
          </cell>
          <cell r="C407">
            <v>1283.1600000000001</v>
          </cell>
          <cell r="D407">
            <v>0.32064335027355734</v>
          </cell>
          <cell r="E407">
            <v>0</v>
          </cell>
          <cell r="F407">
            <v>0</v>
          </cell>
          <cell r="G407">
            <v>0</v>
          </cell>
        </row>
        <row r="408">
          <cell r="A408">
            <v>2021988000109</v>
          </cell>
          <cell r="B408">
            <v>613.53326523484077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</row>
        <row r="409">
          <cell r="A409">
            <v>15558177000347</v>
          </cell>
          <cell r="B409">
            <v>3416.2383220327856</v>
          </cell>
          <cell r="C409">
            <v>1160.8</v>
          </cell>
          <cell r="D409">
            <v>0.33978894051785058</v>
          </cell>
          <cell r="E409">
            <v>1098.6100000000001</v>
          </cell>
          <cell r="F409">
            <v>135.75000000000011</v>
          </cell>
          <cell r="G409">
            <v>962.86</v>
          </cell>
        </row>
        <row r="410">
          <cell r="A410">
            <v>43000736000172</v>
          </cell>
          <cell r="B410">
            <v>5029.319357584729</v>
          </cell>
          <cell r="C410">
            <v>3072.4599999999996</v>
          </cell>
          <cell r="D410">
            <v>0.61090970398736266</v>
          </cell>
          <cell r="E410">
            <v>1054.18</v>
          </cell>
          <cell r="F410">
            <v>0</v>
          </cell>
          <cell r="G410">
            <v>1054.18</v>
          </cell>
        </row>
        <row r="411">
          <cell r="A411">
            <v>29809750000190</v>
          </cell>
          <cell r="B411">
            <v>626.37354799574621</v>
          </cell>
          <cell r="C411">
            <v>177.42</v>
          </cell>
          <cell r="D411">
            <v>0.28324950912710778</v>
          </cell>
          <cell r="E411">
            <v>0</v>
          </cell>
          <cell r="F411">
            <v>0</v>
          </cell>
          <cell r="G411">
            <v>0</v>
          </cell>
        </row>
        <row r="412">
          <cell r="A412">
            <v>43533082000142</v>
          </cell>
          <cell r="B412">
            <v>1559.9559594339769</v>
          </cell>
          <cell r="C412">
            <v>1873.92</v>
          </cell>
          <cell r="D412">
            <v>1.2012646822926614</v>
          </cell>
          <cell r="E412">
            <v>0</v>
          </cell>
          <cell r="F412">
            <v>0</v>
          </cell>
          <cell r="G412">
            <v>0</v>
          </cell>
        </row>
        <row r="413">
          <cell r="A413">
            <v>18876606000231</v>
          </cell>
          <cell r="B413">
            <v>3183.4078122459132</v>
          </cell>
          <cell r="C413">
            <v>0</v>
          </cell>
          <cell r="D413">
            <v>0</v>
          </cell>
          <cell r="E413">
            <v>137.85</v>
          </cell>
          <cell r="F413">
            <v>137.85</v>
          </cell>
          <cell r="G413">
            <v>0</v>
          </cell>
        </row>
        <row r="414">
          <cell r="A414">
            <v>57629502000101</v>
          </cell>
          <cell r="B414">
            <v>1187.2943977847276</v>
          </cell>
          <cell r="C414">
            <v>366.44999999999993</v>
          </cell>
          <cell r="D414">
            <v>0.30864291171905472</v>
          </cell>
          <cell r="E414">
            <v>0</v>
          </cell>
          <cell r="F414">
            <v>0</v>
          </cell>
          <cell r="G414">
            <v>0</v>
          </cell>
        </row>
        <row r="415">
          <cell r="A415">
            <v>54593917000176</v>
          </cell>
          <cell r="B415">
            <v>2817.707100932631</v>
          </cell>
          <cell r="C415">
            <v>1079.8999999999999</v>
          </cell>
          <cell r="D415">
            <v>0.38325488112038492</v>
          </cell>
          <cell r="E415">
            <v>0</v>
          </cell>
          <cell r="F415">
            <v>0</v>
          </cell>
          <cell r="G415">
            <v>0</v>
          </cell>
        </row>
        <row r="416">
          <cell r="A416">
            <v>19934714000103</v>
          </cell>
          <cell r="B416">
            <v>6909.2279262094935</v>
          </cell>
          <cell r="C416">
            <v>1406.41</v>
          </cell>
          <cell r="D416">
            <v>0.20355530531348062</v>
          </cell>
          <cell r="E416">
            <v>1661.23</v>
          </cell>
          <cell r="F416">
            <v>63.610000000000127</v>
          </cell>
          <cell r="G416">
            <v>1597.62</v>
          </cell>
        </row>
        <row r="417">
          <cell r="A417">
            <v>5051579000135</v>
          </cell>
          <cell r="B417">
            <v>2930.2242486128953</v>
          </cell>
          <cell r="C417">
            <v>210.35999999999999</v>
          </cell>
          <cell r="D417">
            <v>7.1789727390174946E-2</v>
          </cell>
          <cell r="E417">
            <v>0</v>
          </cell>
          <cell r="F417">
            <v>0</v>
          </cell>
          <cell r="G417">
            <v>0</v>
          </cell>
        </row>
        <row r="418">
          <cell r="A418">
            <v>2703345000137</v>
          </cell>
          <cell r="B418">
            <v>5038.3400169693568</v>
          </cell>
          <cell r="C418">
            <v>291.60000000000002</v>
          </cell>
          <cell r="D418">
            <v>5.7876205063151366E-2</v>
          </cell>
          <cell r="E418">
            <v>0</v>
          </cell>
          <cell r="F418">
            <v>0</v>
          </cell>
          <cell r="G418">
            <v>0</v>
          </cell>
        </row>
        <row r="419">
          <cell r="A419">
            <v>9539583000106</v>
          </cell>
          <cell r="B419">
            <v>10190.486830563268</v>
          </cell>
          <cell r="C419">
            <v>586.8599999999999</v>
          </cell>
          <cell r="D419">
            <v>5.7589005290688534E-2</v>
          </cell>
          <cell r="E419">
            <v>0</v>
          </cell>
          <cell r="F419">
            <v>0</v>
          </cell>
          <cell r="G419">
            <v>0</v>
          </cell>
        </row>
        <row r="420">
          <cell r="A420">
            <v>35595811000167</v>
          </cell>
          <cell r="B420">
            <v>8236.3261613615305</v>
          </cell>
          <cell r="C420">
            <v>186.77</v>
          </cell>
          <cell r="D420">
            <v>2.2676372491922472E-2</v>
          </cell>
          <cell r="E420">
            <v>0</v>
          </cell>
          <cell r="F420">
            <v>0</v>
          </cell>
          <cell r="G420">
            <v>0</v>
          </cell>
        </row>
        <row r="421">
          <cell r="A421">
            <v>4276276000158</v>
          </cell>
          <cell r="B421">
            <v>923.02973075871103</v>
          </cell>
          <cell r="C421">
            <v>594.94999999999993</v>
          </cell>
          <cell r="D421">
            <v>0.64456211991239276</v>
          </cell>
          <cell r="E421">
            <v>0</v>
          </cell>
          <cell r="F421">
            <v>0</v>
          </cell>
          <cell r="G421">
            <v>0</v>
          </cell>
        </row>
        <row r="422">
          <cell r="A422">
            <v>49852577000110</v>
          </cell>
          <cell r="B422">
            <v>45417.754879381784</v>
          </cell>
          <cell r="C422">
            <v>21706.430000000004</v>
          </cell>
          <cell r="D422">
            <v>0.4779282916482081</v>
          </cell>
          <cell r="E422">
            <v>16875.950000000004</v>
          </cell>
          <cell r="F422">
            <v>1222.4500000000007</v>
          </cell>
          <cell r="G422">
            <v>15653.500000000004</v>
          </cell>
        </row>
        <row r="423">
          <cell r="A423">
            <v>66160225000113</v>
          </cell>
          <cell r="B423">
            <v>257.80909289554575</v>
          </cell>
          <cell r="C423">
            <v>51.41</v>
          </cell>
          <cell r="D423">
            <v>0.199411120153273</v>
          </cell>
          <cell r="E423">
            <v>0</v>
          </cell>
          <cell r="F423">
            <v>0</v>
          </cell>
          <cell r="G423">
            <v>0</v>
          </cell>
        </row>
        <row r="424">
          <cell r="A424">
            <v>37629799000190</v>
          </cell>
          <cell r="B424">
            <v>7123.2360387340696</v>
          </cell>
          <cell r="C424">
            <v>1503.3700000000001</v>
          </cell>
          <cell r="D424">
            <v>0.21105154901860823</v>
          </cell>
          <cell r="E424">
            <v>2186.92</v>
          </cell>
          <cell r="F424">
            <v>919.50000000000023</v>
          </cell>
          <cell r="G424">
            <v>1267.4199999999998</v>
          </cell>
        </row>
        <row r="425">
          <cell r="A425">
            <v>14492828000119</v>
          </cell>
          <cell r="B425">
            <v>2875.5145535776355</v>
          </cell>
          <cell r="C425">
            <v>420.52000000000004</v>
          </cell>
          <cell r="D425">
            <v>0.14624165246418269</v>
          </cell>
          <cell r="E425">
            <v>784.63999999999987</v>
          </cell>
          <cell r="F425">
            <v>36.319999999999936</v>
          </cell>
          <cell r="G425">
            <v>748.31999999999994</v>
          </cell>
        </row>
        <row r="426">
          <cell r="A426">
            <v>16825373000131</v>
          </cell>
          <cell r="B426">
            <v>32504.206367615086</v>
          </cell>
          <cell r="C426">
            <v>7701.9999999999982</v>
          </cell>
          <cell r="D426">
            <v>0.23695394721815854</v>
          </cell>
          <cell r="E426">
            <v>0</v>
          </cell>
          <cell r="F426">
            <v>0</v>
          </cell>
          <cell r="G426">
            <v>0</v>
          </cell>
        </row>
        <row r="427">
          <cell r="A427">
            <v>28800059000183</v>
          </cell>
          <cell r="B427">
            <v>6244.6449098466119</v>
          </cell>
          <cell r="C427">
            <v>1485.4599999999998</v>
          </cell>
          <cell r="D427">
            <v>0.23787741680198873</v>
          </cell>
          <cell r="E427">
            <v>1078.0100000000002</v>
          </cell>
          <cell r="F427">
            <v>0</v>
          </cell>
          <cell r="G427">
            <v>1078.0100000000002</v>
          </cell>
        </row>
        <row r="428">
          <cell r="A428">
            <v>49685257000113</v>
          </cell>
          <cell r="B428">
            <v>309.033462242295</v>
          </cell>
          <cell r="C428">
            <v>93.9</v>
          </cell>
          <cell r="D428">
            <v>0.30385059054342317</v>
          </cell>
          <cell r="E428">
            <v>0</v>
          </cell>
          <cell r="F428">
            <v>0</v>
          </cell>
          <cell r="G428">
            <v>0</v>
          </cell>
        </row>
        <row r="429">
          <cell r="A429">
            <v>20750641000170</v>
          </cell>
          <cell r="B429">
            <v>5003.0707053113065</v>
          </cell>
          <cell r="C429">
            <v>1019.5200000000001</v>
          </cell>
          <cell r="D429">
            <v>0.20377885103995597</v>
          </cell>
          <cell r="E429">
            <v>0</v>
          </cell>
          <cell r="F429">
            <v>0</v>
          </cell>
          <cell r="G429">
            <v>0</v>
          </cell>
        </row>
        <row r="430">
          <cell r="A430">
            <v>24724080000196</v>
          </cell>
          <cell r="B430">
            <v>1577.0543787302042</v>
          </cell>
          <cell r="C430">
            <v>1190.6200000000003</v>
          </cell>
          <cell r="D430">
            <v>0.75496445528951961</v>
          </cell>
          <cell r="E430">
            <v>0</v>
          </cell>
          <cell r="F430">
            <v>0</v>
          </cell>
          <cell r="G430">
            <v>0</v>
          </cell>
        </row>
        <row r="431">
          <cell r="A431">
            <v>64621083000119</v>
          </cell>
          <cell r="B431">
            <v>1126.5760623733865</v>
          </cell>
          <cell r="C431">
            <v>650.53</v>
          </cell>
          <cell r="D431">
            <v>0.57743992769517205</v>
          </cell>
          <cell r="E431">
            <v>0</v>
          </cell>
          <cell r="F431">
            <v>0</v>
          </cell>
          <cell r="G431">
            <v>0</v>
          </cell>
        </row>
        <row r="432">
          <cell r="A432">
            <v>33202736000100</v>
          </cell>
          <cell r="B432">
            <v>4346.0036595198662</v>
          </cell>
          <cell r="C432">
            <v>731.2</v>
          </cell>
          <cell r="D432">
            <v>0.16824652192786715</v>
          </cell>
          <cell r="E432">
            <v>927.6099999999999</v>
          </cell>
          <cell r="F432">
            <v>65.159999999999854</v>
          </cell>
          <cell r="G432">
            <v>862.45</v>
          </cell>
        </row>
        <row r="433">
          <cell r="A433">
            <v>193631000174</v>
          </cell>
          <cell r="B433">
            <v>6308.8527134109536</v>
          </cell>
          <cell r="C433">
            <v>922.83</v>
          </cell>
          <cell r="D433">
            <v>0.1462754072603894</v>
          </cell>
          <cell r="E433">
            <v>0</v>
          </cell>
          <cell r="F433">
            <v>0</v>
          </cell>
          <cell r="G433">
            <v>0</v>
          </cell>
        </row>
        <row r="434">
          <cell r="A434">
            <v>10742383000127</v>
          </cell>
          <cell r="B434">
            <v>97.493367849103336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</row>
        <row r="435">
          <cell r="A435">
            <v>23952661000112</v>
          </cell>
          <cell r="B435">
            <v>5483.9753735528457</v>
          </cell>
          <cell r="C435">
            <v>838.19999999999993</v>
          </cell>
          <cell r="D435">
            <v>0.15284532531679917</v>
          </cell>
          <cell r="E435">
            <v>1217.6100000000001</v>
          </cell>
          <cell r="F435">
            <v>118.35000000000036</v>
          </cell>
          <cell r="G435">
            <v>1099.2599999999998</v>
          </cell>
        </row>
        <row r="436">
          <cell r="A436">
            <v>7549438000172</v>
          </cell>
          <cell r="B436">
            <v>3592.8306608693842</v>
          </cell>
          <cell r="C436">
            <v>1448.88</v>
          </cell>
          <cell r="D436">
            <v>0.40326977159825389</v>
          </cell>
          <cell r="E436">
            <v>1547.4400000000003</v>
          </cell>
          <cell r="F436">
            <v>296.63999999999987</v>
          </cell>
          <cell r="G436">
            <v>1250.8000000000004</v>
          </cell>
        </row>
        <row r="437">
          <cell r="A437">
            <v>51905753000187</v>
          </cell>
          <cell r="B437">
            <v>12611.390676123945</v>
          </cell>
          <cell r="C437">
            <v>5577.7999999999984</v>
          </cell>
          <cell r="D437">
            <v>0.44228270642348466</v>
          </cell>
          <cell r="E437">
            <v>0</v>
          </cell>
          <cell r="F437">
            <v>0</v>
          </cell>
          <cell r="G437">
            <v>0</v>
          </cell>
        </row>
        <row r="438">
          <cell r="A438">
            <v>36199591000115</v>
          </cell>
          <cell r="B438">
            <v>2480.0667032985402</v>
          </cell>
          <cell r="C438">
            <v>1373.6000000000001</v>
          </cell>
          <cell r="D438">
            <v>0.55385607095691558</v>
          </cell>
          <cell r="E438">
            <v>1109.4100000000001</v>
          </cell>
          <cell r="F438">
            <v>0</v>
          </cell>
          <cell r="G438">
            <v>1109.4100000000001</v>
          </cell>
        </row>
        <row r="439">
          <cell r="A439">
            <v>17479487000210</v>
          </cell>
          <cell r="B439">
            <v>2356.3560690180548</v>
          </cell>
          <cell r="C439">
            <v>234.25</v>
          </cell>
          <cell r="D439">
            <v>9.9411970491207258E-2</v>
          </cell>
          <cell r="E439">
            <v>436.8</v>
          </cell>
          <cell r="F439">
            <v>63.610000000000014</v>
          </cell>
          <cell r="G439">
            <v>373.19</v>
          </cell>
        </row>
        <row r="440">
          <cell r="A440">
            <v>28846852000113</v>
          </cell>
          <cell r="B440">
            <v>13096.23928057081</v>
          </cell>
          <cell r="C440">
            <v>5211.829999999999</v>
          </cell>
          <cell r="D440">
            <v>0.39796386491900121</v>
          </cell>
          <cell r="E440">
            <v>6236.1600000000008</v>
          </cell>
          <cell r="F440">
            <v>349.66000000000076</v>
          </cell>
          <cell r="G440">
            <v>5886.5</v>
          </cell>
        </row>
        <row r="441">
          <cell r="A441">
            <v>27704045000101</v>
          </cell>
          <cell r="B441">
            <v>731.8846996102385</v>
          </cell>
          <cell r="C441">
            <v>66.69</v>
          </cell>
          <cell r="D441">
            <v>9.1120910213747353E-2</v>
          </cell>
          <cell r="E441">
            <v>0</v>
          </cell>
          <cell r="F441">
            <v>0</v>
          </cell>
          <cell r="G441">
            <v>0</v>
          </cell>
        </row>
        <row r="442">
          <cell r="A442">
            <v>3477379000113</v>
          </cell>
          <cell r="B442">
            <v>7145.7810969192296</v>
          </cell>
          <cell r="C442">
            <v>1640.13</v>
          </cell>
          <cell r="D442">
            <v>0.22952424343184982</v>
          </cell>
          <cell r="E442">
            <v>4110.7299999999996</v>
          </cell>
          <cell r="F442">
            <v>3166.6199999999994</v>
          </cell>
          <cell r="G442">
            <v>944.11000000000013</v>
          </cell>
        </row>
        <row r="443">
          <cell r="A443">
            <v>18429327000149</v>
          </cell>
          <cell r="B443">
            <v>2703.348983011399</v>
          </cell>
          <cell r="C443">
            <v>189.67000000000002</v>
          </cell>
          <cell r="D443">
            <v>7.0161122811719587E-2</v>
          </cell>
          <cell r="E443">
            <v>0</v>
          </cell>
          <cell r="F443">
            <v>0</v>
          </cell>
          <cell r="G443">
            <v>0</v>
          </cell>
        </row>
        <row r="444">
          <cell r="A444">
            <v>62623466000109</v>
          </cell>
          <cell r="B444">
            <v>454.70671250160683</v>
          </cell>
          <cell r="C444">
            <v>110.21000000000001</v>
          </cell>
          <cell r="D444">
            <v>0.24237601286699842</v>
          </cell>
          <cell r="E444">
            <v>57.93</v>
          </cell>
          <cell r="F444">
            <v>0</v>
          </cell>
          <cell r="G444">
            <v>57.93</v>
          </cell>
        </row>
        <row r="445">
          <cell r="A445">
            <v>52619699000176</v>
          </cell>
          <cell r="B445">
            <v>3007.8277459002406</v>
          </cell>
          <cell r="C445">
            <v>2570.2600000000007</v>
          </cell>
          <cell r="D445">
            <v>0.85452366861877049</v>
          </cell>
          <cell r="E445">
            <v>2148.1999999999998</v>
          </cell>
          <cell r="F445">
            <v>0</v>
          </cell>
          <cell r="G445">
            <v>2148.1999999999998</v>
          </cell>
        </row>
        <row r="446">
          <cell r="A446">
            <v>19797575000105</v>
          </cell>
          <cell r="B446">
            <v>3761.6263073864079</v>
          </cell>
          <cell r="C446">
            <v>716.09</v>
          </cell>
          <cell r="D446">
            <v>0.19036712886494619</v>
          </cell>
          <cell r="E446">
            <v>818.99000000000024</v>
          </cell>
          <cell r="F446">
            <v>38.280000000000086</v>
          </cell>
          <cell r="G446">
            <v>780.71000000000015</v>
          </cell>
        </row>
        <row r="447">
          <cell r="A447">
            <v>17373000175</v>
          </cell>
          <cell r="B447">
            <v>30464.387678318988</v>
          </cell>
          <cell r="C447">
            <v>9959.6299999999992</v>
          </cell>
          <cell r="D447">
            <v>0.32692697142533106</v>
          </cell>
          <cell r="E447">
            <v>10973.05</v>
          </cell>
          <cell r="F447">
            <v>422.29999999999927</v>
          </cell>
          <cell r="G447">
            <v>10550.75</v>
          </cell>
        </row>
        <row r="448">
          <cell r="A448">
            <v>43002849000107</v>
          </cell>
          <cell r="B448">
            <v>5315.7437625572302</v>
          </cell>
          <cell r="C448">
            <v>2120.11</v>
          </cell>
          <cell r="D448">
            <v>0.39883600389723917</v>
          </cell>
          <cell r="E448">
            <v>2270.440000000001</v>
          </cell>
          <cell r="F448">
            <v>1147.170000000001</v>
          </cell>
          <cell r="G448">
            <v>1123.27</v>
          </cell>
        </row>
        <row r="449">
          <cell r="A449">
            <v>24676884000248</v>
          </cell>
          <cell r="B449">
            <v>10738.475817990429</v>
          </cell>
          <cell r="C449">
            <v>5528.5</v>
          </cell>
          <cell r="D449">
            <v>0.51483097729176519</v>
          </cell>
          <cell r="E449">
            <v>3388.0899999999997</v>
          </cell>
          <cell r="F449">
            <v>155.40999999999985</v>
          </cell>
          <cell r="G449">
            <v>3232.68</v>
          </cell>
        </row>
        <row r="450">
          <cell r="A450">
            <v>10299122000184</v>
          </cell>
          <cell r="B450">
            <v>8040.622528802598</v>
          </cell>
          <cell r="C450">
            <v>3192.0399999999995</v>
          </cell>
          <cell r="D450">
            <v>0.39698916204133206</v>
          </cell>
          <cell r="E450">
            <v>548.76</v>
          </cell>
          <cell r="F450">
            <v>0</v>
          </cell>
          <cell r="G450">
            <v>548.76</v>
          </cell>
        </row>
        <row r="451">
          <cell r="A451">
            <v>65892972000183</v>
          </cell>
          <cell r="B451">
            <v>0</v>
          </cell>
          <cell r="C451">
            <v>1887.3600000000001</v>
          </cell>
          <cell r="D451">
            <v>0</v>
          </cell>
          <cell r="E451">
            <v>1724.0500000000002</v>
          </cell>
          <cell r="F451">
            <v>0</v>
          </cell>
          <cell r="G451">
            <v>1724.0500000000002</v>
          </cell>
        </row>
        <row r="452">
          <cell r="A452">
            <v>6368293000140</v>
          </cell>
          <cell r="B452">
            <v>11331.053713827965</v>
          </cell>
          <cell r="C452">
            <v>2545.6700000000005</v>
          </cell>
          <cell r="D452">
            <v>0.22466313056952211</v>
          </cell>
          <cell r="E452">
            <v>0</v>
          </cell>
          <cell r="F452">
            <v>0</v>
          </cell>
          <cell r="G452">
            <v>0</v>
          </cell>
        </row>
        <row r="453">
          <cell r="A453">
            <v>10673419000168</v>
          </cell>
          <cell r="B453">
            <v>841.43957390655271</v>
          </cell>
          <cell r="C453">
            <v>797.32</v>
          </cell>
          <cell r="D453">
            <v>0.94756655703544024</v>
          </cell>
          <cell r="E453">
            <v>0</v>
          </cell>
          <cell r="F453">
            <v>0</v>
          </cell>
          <cell r="G453">
            <v>0</v>
          </cell>
        </row>
        <row r="454">
          <cell r="A454">
            <v>56129324000260</v>
          </cell>
          <cell r="B454">
            <v>1819.3548563943525</v>
          </cell>
          <cell r="C454">
            <v>2018.0700000000006</v>
          </cell>
          <cell r="D454">
            <v>1.1092228615584467</v>
          </cell>
          <cell r="E454">
            <v>71.31</v>
          </cell>
          <cell r="F454">
            <v>71.31</v>
          </cell>
          <cell r="G454">
            <v>0</v>
          </cell>
        </row>
        <row r="455">
          <cell r="A455">
            <v>4564557000106</v>
          </cell>
          <cell r="B455">
            <v>2660.8150448173178</v>
          </cell>
          <cell r="C455">
            <v>992.94000000000017</v>
          </cell>
          <cell r="D455">
            <v>0.37317137165697734</v>
          </cell>
          <cell r="E455">
            <v>353.69</v>
          </cell>
          <cell r="F455">
            <v>86.019999999999982</v>
          </cell>
          <cell r="G455">
            <v>267.67</v>
          </cell>
        </row>
        <row r="456">
          <cell r="A456">
            <v>96252382000110</v>
          </cell>
          <cell r="B456">
            <v>3524.7399300630641</v>
          </cell>
          <cell r="C456">
            <v>983.5200000000001</v>
          </cell>
          <cell r="D456">
            <v>0.27903335267700252</v>
          </cell>
          <cell r="E456">
            <v>749.79</v>
          </cell>
          <cell r="F456">
            <v>47.700000000000045</v>
          </cell>
          <cell r="G456">
            <v>702.08999999999992</v>
          </cell>
        </row>
        <row r="457">
          <cell r="A457">
            <v>7865786000159</v>
          </cell>
          <cell r="B457">
            <v>8022.5215159044992</v>
          </cell>
          <cell r="C457">
            <v>2300.04</v>
          </cell>
          <cell r="D457">
            <v>0.28669789111069549</v>
          </cell>
          <cell r="E457">
            <v>1961.36</v>
          </cell>
          <cell r="F457">
            <v>0</v>
          </cell>
          <cell r="G457">
            <v>1961.36</v>
          </cell>
        </row>
        <row r="458">
          <cell r="A458">
            <v>50963555000107</v>
          </cell>
          <cell r="B458">
            <v>9994.7287875194288</v>
          </cell>
          <cell r="C458">
            <v>1798.5900000000001</v>
          </cell>
          <cell r="D458">
            <v>0.17995385750195914</v>
          </cell>
          <cell r="E458">
            <v>2171.02</v>
          </cell>
          <cell r="F458">
            <v>0</v>
          </cell>
          <cell r="G458">
            <v>2171.02</v>
          </cell>
        </row>
        <row r="459">
          <cell r="A459">
            <v>29301968000130</v>
          </cell>
          <cell r="B459">
            <v>16740.418674275479</v>
          </cell>
          <cell r="C459">
            <v>4322.1499999999987</v>
          </cell>
          <cell r="D459">
            <v>0.25818649366528224</v>
          </cell>
          <cell r="E459">
            <v>2940.67</v>
          </cell>
          <cell r="F459">
            <v>0</v>
          </cell>
          <cell r="G459">
            <v>2940.67</v>
          </cell>
        </row>
        <row r="460">
          <cell r="A460">
            <v>3511815000123</v>
          </cell>
          <cell r="B460">
            <v>834.1567865463727</v>
          </cell>
          <cell r="C460">
            <v>3086.3300000000004</v>
          </cell>
          <cell r="D460">
            <v>3.6999399270947779</v>
          </cell>
          <cell r="E460">
            <v>3075.8300000000004</v>
          </cell>
          <cell r="F460">
            <v>175.73000000000047</v>
          </cell>
          <cell r="G460">
            <v>2900.1</v>
          </cell>
        </row>
        <row r="461">
          <cell r="A461">
            <v>64096542000192</v>
          </cell>
          <cell r="B461">
            <v>954.3722378820986</v>
          </cell>
          <cell r="C461">
            <v>308.2</v>
          </cell>
          <cell r="D461">
            <v>0.32293479186270552</v>
          </cell>
          <cell r="E461">
            <v>432.17</v>
          </cell>
          <cell r="F461">
            <v>0</v>
          </cell>
          <cell r="G461">
            <v>432.17</v>
          </cell>
        </row>
        <row r="462">
          <cell r="A462">
            <v>55354724000125</v>
          </cell>
          <cell r="B462">
            <v>6020.1422943845464</v>
          </cell>
          <cell r="C462">
            <v>1735.33</v>
          </cell>
          <cell r="D462">
            <v>0.28825398389979534</v>
          </cell>
          <cell r="E462">
            <v>0</v>
          </cell>
          <cell r="F462">
            <v>0</v>
          </cell>
          <cell r="G462">
            <v>0</v>
          </cell>
        </row>
        <row r="463">
          <cell r="A463">
            <v>15448038000107</v>
          </cell>
          <cell r="B463">
            <v>3006.1930933430244</v>
          </cell>
          <cell r="C463">
            <v>1867.62</v>
          </cell>
          <cell r="D463">
            <v>0.62125749810805431</v>
          </cell>
          <cell r="E463">
            <v>1048.9599999999998</v>
          </cell>
          <cell r="F463">
            <v>52.979999999999791</v>
          </cell>
          <cell r="G463">
            <v>995.98</v>
          </cell>
        </row>
        <row r="464">
          <cell r="A464">
            <v>5438909000140</v>
          </cell>
          <cell r="B464">
            <v>2849.7617744913159</v>
          </cell>
          <cell r="C464">
            <v>1987.4499999999998</v>
          </cell>
          <cell r="D464">
            <v>0.69740917215957843</v>
          </cell>
          <cell r="E464">
            <v>2176.0699999999997</v>
          </cell>
          <cell r="F464">
            <v>285.46999999999957</v>
          </cell>
          <cell r="G464">
            <v>1890.6000000000001</v>
          </cell>
        </row>
        <row r="465">
          <cell r="A465">
            <v>3100938000171</v>
          </cell>
          <cell r="B465">
            <v>7143.1799403834711</v>
          </cell>
          <cell r="C465">
            <v>3812.57</v>
          </cell>
          <cell r="D465">
            <v>0.53373567960200763</v>
          </cell>
          <cell r="E465">
            <v>2558.33</v>
          </cell>
          <cell r="F465">
            <v>130.02000000000044</v>
          </cell>
          <cell r="G465">
            <v>2428.3099999999995</v>
          </cell>
        </row>
        <row r="466">
          <cell r="A466">
            <v>26543256000139</v>
          </cell>
          <cell r="B466">
            <v>4287.1738088201309</v>
          </cell>
          <cell r="C466">
            <v>796.43999999999994</v>
          </cell>
          <cell r="D466">
            <v>0.18577273409383593</v>
          </cell>
          <cell r="E466">
            <v>0</v>
          </cell>
          <cell r="F466">
            <v>0</v>
          </cell>
          <cell r="G466">
            <v>0</v>
          </cell>
        </row>
        <row r="467">
          <cell r="A467">
            <v>982959000170</v>
          </cell>
          <cell r="B467">
            <v>11070.462898397944</v>
          </cell>
          <cell r="C467">
            <v>2099.61</v>
          </cell>
          <cell r="D467">
            <v>0.18965873597786451</v>
          </cell>
          <cell r="E467">
            <v>0</v>
          </cell>
          <cell r="F467">
            <v>0</v>
          </cell>
          <cell r="G467">
            <v>0</v>
          </cell>
        </row>
        <row r="468">
          <cell r="A468">
            <v>3318604000179</v>
          </cell>
          <cell r="B468">
            <v>4767.32055524104</v>
          </cell>
          <cell r="C468">
            <v>1339.3899999999999</v>
          </cell>
          <cell r="D468">
            <v>0.28095236820765435</v>
          </cell>
          <cell r="E468">
            <v>1036.7600000000002</v>
          </cell>
          <cell r="F468">
            <v>0</v>
          </cell>
          <cell r="G468">
            <v>1036.7600000000002</v>
          </cell>
        </row>
        <row r="469">
          <cell r="A469">
            <v>4877066000115</v>
          </cell>
          <cell r="B469">
            <v>9792.9945086188491</v>
          </cell>
          <cell r="C469">
            <v>2569.23</v>
          </cell>
          <cell r="D469">
            <v>0.26235386916012376</v>
          </cell>
          <cell r="E469">
            <v>0</v>
          </cell>
          <cell r="F469">
            <v>0</v>
          </cell>
          <cell r="G469">
            <v>0</v>
          </cell>
        </row>
        <row r="470">
          <cell r="A470">
            <v>37203809000120</v>
          </cell>
          <cell r="B470">
            <v>755.02905519001752</v>
          </cell>
          <cell r="C470">
            <v>384.18</v>
          </cell>
          <cell r="D470">
            <v>0.50882810053357985</v>
          </cell>
          <cell r="E470">
            <v>0</v>
          </cell>
          <cell r="F470">
            <v>0</v>
          </cell>
          <cell r="G470">
            <v>0</v>
          </cell>
        </row>
        <row r="471">
          <cell r="A471">
            <v>16042681000190</v>
          </cell>
          <cell r="B471">
            <v>4681.8195339454378</v>
          </cell>
          <cell r="C471">
            <v>1051.8300000000002</v>
          </cell>
          <cell r="D471">
            <v>0.22466265356315596</v>
          </cell>
          <cell r="E471">
            <v>951.63000000000011</v>
          </cell>
          <cell r="F471">
            <v>0</v>
          </cell>
          <cell r="G471">
            <v>951.63000000000011</v>
          </cell>
        </row>
        <row r="472">
          <cell r="A472">
            <v>2291187000155</v>
          </cell>
          <cell r="B472">
            <v>2869.511640101678</v>
          </cell>
          <cell r="C472">
            <v>130.27000000000001</v>
          </cell>
          <cell r="D472">
            <v>4.539796883186159E-2</v>
          </cell>
          <cell r="E472">
            <v>212.07</v>
          </cell>
          <cell r="F472">
            <v>212.07</v>
          </cell>
          <cell r="G472">
            <v>0</v>
          </cell>
        </row>
        <row r="473">
          <cell r="A473">
            <v>3484949000100</v>
          </cell>
          <cell r="B473">
            <v>6071.8245729347091</v>
          </cell>
          <cell r="C473">
            <v>1335.0100000000002</v>
          </cell>
          <cell r="D473">
            <v>0.21986965927026886</v>
          </cell>
          <cell r="E473">
            <v>883.63</v>
          </cell>
          <cell r="F473">
            <v>0</v>
          </cell>
          <cell r="G473">
            <v>883.63</v>
          </cell>
        </row>
        <row r="474">
          <cell r="A474">
            <v>1203805000103</v>
          </cell>
          <cell r="B474">
            <v>2933.4970010060797</v>
          </cell>
          <cell r="C474">
            <v>1484.6299999999999</v>
          </cell>
          <cell r="D474">
            <v>0.5060956256273067</v>
          </cell>
          <cell r="E474">
            <v>979.68000000000006</v>
          </cell>
          <cell r="F474">
            <v>149.08000000000004</v>
          </cell>
          <cell r="G474">
            <v>830.6</v>
          </cell>
        </row>
        <row r="475">
          <cell r="A475">
            <v>43162536000116</v>
          </cell>
          <cell r="B475">
            <v>2918.5328558522197</v>
          </cell>
          <cell r="C475">
            <v>1366.4</v>
          </cell>
          <cell r="D475">
            <v>0.46818044116245094</v>
          </cell>
          <cell r="E475">
            <v>0</v>
          </cell>
          <cell r="F475">
            <v>0</v>
          </cell>
          <cell r="G475">
            <v>0</v>
          </cell>
        </row>
        <row r="476">
          <cell r="A476">
            <v>818504000113</v>
          </cell>
          <cell r="B476">
            <v>2269.1453592374369</v>
          </cell>
          <cell r="C476">
            <v>572.7700000000001</v>
          </cell>
          <cell r="D476">
            <v>0.25241661917704722</v>
          </cell>
          <cell r="E476">
            <v>0</v>
          </cell>
          <cell r="F476">
            <v>0</v>
          </cell>
          <cell r="G476">
            <v>0</v>
          </cell>
        </row>
        <row r="477">
          <cell r="A477">
            <v>1738769000174</v>
          </cell>
          <cell r="B477">
            <v>3350.5870385202734</v>
          </cell>
          <cell r="C477">
            <v>1772.49</v>
          </cell>
          <cell r="D477">
            <v>0.52900879148114544</v>
          </cell>
          <cell r="E477">
            <v>1896.24</v>
          </cell>
          <cell r="F477">
            <v>0</v>
          </cell>
          <cell r="G477">
            <v>1896.24</v>
          </cell>
        </row>
        <row r="478">
          <cell r="A478">
            <v>5558461000106</v>
          </cell>
          <cell r="B478">
            <v>596.41617281977778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</row>
        <row r="479">
          <cell r="A479">
            <v>5867754000167</v>
          </cell>
          <cell r="B479">
            <v>5355.8905779711022</v>
          </cell>
          <cell r="C479">
            <v>6730.5199999999986</v>
          </cell>
          <cell r="D479">
            <v>1.2566574880530192</v>
          </cell>
          <cell r="E479">
            <v>5697.6</v>
          </cell>
          <cell r="F479">
            <v>172.17000000000007</v>
          </cell>
          <cell r="G479">
            <v>5525.43</v>
          </cell>
        </row>
        <row r="480">
          <cell r="A480">
            <v>15900640000125</v>
          </cell>
          <cell r="B480">
            <v>3947.0207597375675</v>
          </cell>
          <cell r="C480">
            <v>1405.2700000000002</v>
          </cell>
          <cell r="D480">
            <v>0.35603309066290162</v>
          </cell>
          <cell r="E480">
            <v>0</v>
          </cell>
          <cell r="F480">
            <v>0</v>
          </cell>
          <cell r="G480">
            <v>0</v>
          </cell>
        </row>
        <row r="481">
          <cell r="A481">
            <v>4621137000114</v>
          </cell>
          <cell r="B481">
            <v>5700.9677718862386</v>
          </cell>
          <cell r="C481">
            <v>2623.01</v>
          </cell>
          <cell r="D481">
            <v>0.46009907527194172</v>
          </cell>
          <cell r="E481">
            <v>3316.7299999999996</v>
          </cell>
          <cell r="F481">
            <v>424.38999999999942</v>
          </cell>
          <cell r="G481">
            <v>2892.34</v>
          </cell>
        </row>
        <row r="482">
          <cell r="A482">
            <v>5335462000183</v>
          </cell>
          <cell r="B482">
            <v>2019.6289893893809</v>
          </cell>
          <cell r="C482">
            <v>656.86999999999989</v>
          </cell>
          <cell r="D482">
            <v>0.32524290523211369</v>
          </cell>
          <cell r="E482">
            <v>0</v>
          </cell>
          <cell r="F482">
            <v>0</v>
          </cell>
          <cell r="G482">
            <v>0</v>
          </cell>
        </row>
        <row r="483">
          <cell r="A483">
            <v>8966998000195</v>
          </cell>
          <cell r="B483">
            <v>5783.2657441709789</v>
          </cell>
          <cell r="C483">
            <v>4688.84</v>
          </cell>
          <cell r="D483">
            <v>0.81075990753596905</v>
          </cell>
          <cell r="E483">
            <v>3225.96</v>
          </cell>
          <cell r="F483">
            <v>0</v>
          </cell>
          <cell r="G483">
            <v>3225.96</v>
          </cell>
        </row>
        <row r="484">
          <cell r="A484">
            <v>4745484000159</v>
          </cell>
          <cell r="B484">
            <v>12098.784600366287</v>
          </cell>
          <cell r="C484">
            <v>4869.74</v>
          </cell>
          <cell r="D484">
            <v>0.40249828068288529</v>
          </cell>
          <cell r="E484">
            <v>0</v>
          </cell>
          <cell r="F484">
            <v>0</v>
          </cell>
          <cell r="G484">
            <v>0</v>
          </cell>
        </row>
        <row r="485">
          <cell r="A485">
            <v>7110508000191</v>
          </cell>
          <cell r="B485">
            <v>8901.0504926284611</v>
          </cell>
          <cell r="C485">
            <v>1265.05</v>
          </cell>
          <cell r="D485">
            <v>0.14212367417168009</v>
          </cell>
          <cell r="E485">
            <v>323.12</v>
          </cell>
          <cell r="F485">
            <v>125.85000000000002</v>
          </cell>
          <cell r="G485">
            <v>197.26999999999998</v>
          </cell>
        </row>
        <row r="486">
          <cell r="A486">
            <v>6316789000170</v>
          </cell>
          <cell r="B486">
            <v>8403.1212350498645</v>
          </cell>
          <cell r="C486">
            <v>3669.5300000000011</v>
          </cell>
          <cell r="D486">
            <v>0.43668654745741342</v>
          </cell>
          <cell r="E486">
            <v>2816.82</v>
          </cell>
          <cell r="F486">
            <v>230.44999999999982</v>
          </cell>
          <cell r="G486">
            <v>2586.3700000000003</v>
          </cell>
        </row>
        <row r="487">
          <cell r="A487">
            <v>55288708000181</v>
          </cell>
          <cell r="B487">
            <v>9374.3682295533217</v>
          </cell>
          <cell r="C487">
            <v>3680.0299999999997</v>
          </cell>
          <cell r="D487">
            <v>0.3925629877007028</v>
          </cell>
          <cell r="E487">
            <v>4388.13</v>
          </cell>
          <cell r="F487">
            <v>420.46000000000004</v>
          </cell>
          <cell r="G487">
            <v>3967.67</v>
          </cell>
        </row>
        <row r="488">
          <cell r="A488">
            <v>4994525000140</v>
          </cell>
          <cell r="B488">
            <v>4569.0249883580909</v>
          </cell>
          <cell r="C488">
            <v>951.52999999999986</v>
          </cell>
          <cell r="D488">
            <v>0.20825668549077872</v>
          </cell>
          <cell r="E488">
            <v>0</v>
          </cell>
          <cell r="F488">
            <v>0</v>
          </cell>
          <cell r="G488">
            <v>0</v>
          </cell>
        </row>
        <row r="489">
          <cell r="A489">
            <v>53039511000183</v>
          </cell>
          <cell r="B489">
            <v>3000.09026962398</v>
          </cell>
          <cell r="C489">
            <v>889.79000000000008</v>
          </cell>
          <cell r="D489">
            <v>0.2965877423786728</v>
          </cell>
          <cell r="E489">
            <v>1087.28</v>
          </cell>
          <cell r="F489">
            <v>160.9799999999999</v>
          </cell>
          <cell r="G489">
            <v>926.30000000000007</v>
          </cell>
        </row>
        <row r="490">
          <cell r="A490">
            <v>29041586000114</v>
          </cell>
          <cell r="B490">
            <v>730.62091223784921</v>
          </cell>
          <cell r="C490">
            <v>118.57</v>
          </cell>
          <cell r="D490">
            <v>0.16228662226054685</v>
          </cell>
          <cell r="E490">
            <v>0</v>
          </cell>
          <cell r="F490">
            <v>0</v>
          </cell>
          <cell r="G490">
            <v>0</v>
          </cell>
        </row>
        <row r="491">
          <cell r="A491">
            <v>27127481000157</v>
          </cell>
          <cell r="B491">
            <v>1547.4911264007335</v>
          </cell>
          <cell r="C491">
            <v>1039.78</v>
          </cell>
          <cell r="D491">
            <v>0.67191338435548598</v>
          </cell>
          <cell r="E491">
            <v>679.21</v>
          </cell>
          <cell r="F491">
            <v>0</v>
          </cell>
          <cell r="G491">
            <v>679.21</v>
          </cell>
        </row>
        <row r="492">
          <cell r="A492">
            <v>56193995000109</v>
          </cell>
          <cell r="B492">
            <v>2202.0601050805021</v>
          </cell>
          <cell r="C492">
            <v>581.98</v>
          </cell>
          <cell r="D492">
            <v>0.26428888051569521</v>
          </cell>
          <cell r="E492">
            <v>0</v>
          </cell>
          <cell r="F492">
            <v>0</v>
          </cell>
          <cell r="G492">
            <v>0</v>
          </cell>
        </row>
        <row r="493">
          <cell r="A493">
            <v>30425108000197</v>
          </cell>
          <cell r="B493">
            <v>1290.9621000586963</v>
          </cell>
          <cell r="C493">
            <v>91.49</v>
          </cell>
          <cell r="D493">
            <v>7.0869625061680902E-2</v>
          </cell>
          <cell r="E493">
            <v>0</v>
          </cell>
          <cell r="F493">
            <v>0</v>
          </cell>
          <cell r="G493">
            <v>0</v>
          </cell>
        </row>
        <row r="494">
          <cell r="A494">
            <v>30425108000278</v>
          </cell>
          <cell r="B494">
            <v>1859.0493759993724</v>
          </cell>
          <cell r="C494">
            <v>349.21000000000004</v>
          </cell>
          <cell r="D494">
            <v>0.18784331632519152</v>
          </cell>
          <cell r="E494">
            <v>0</v>
          </cell>
          <cell r="F494">
            <v>0</v>
          </cell>
          <cell r="G494">
            <v>0</v>
          </cell>
        </row>
        <row r="495">
          <cell r="A495">
            <v>62668131000107</v>
          </cell>
          <cell r="B495">
            <v>948.63671221874665</v>
          </cell>
          <cell r="C495">
            <v>315.48</v>
          </cell>
          <cell r="D495">
            <v>0.33256144943213339</v>
          </cell>
          <cell r="E495">
            <v>0</v>
          </cell>
          <cell r="F495">
            <v>0</v>
          </cell>
          <cell r="G495">
            <v>0</v>
          </cell>
        </row>
        <row r="496">
          <cell r="A496">
            <v>52464336000109</v>
          </cell>
          <cell r="B496">
            <v>7331.6638023028254</v>
          </cell>
          <cell r="C496">
            <v>2391.2600000000007</v>
          </cell>
          <cell r="D496">
            <v>0.32615516265883909</v>
          </cell>
          <cell r="E496">
            <v>0</v>
          </cell>
          <cell r="F496">
            <v>0</v>
          </cell>
          <cell r="G496">
            <v>0</v>
          </cell>
        </row>
        <row r="497">
          <cell r="A497">
            <v>64799330000171</v>
          </cell>
          <cell r="B497">
            <v>2978.9462490748765</v>
          </cell>
          <cell r="C497">
            <v>2521.8900000000008</v>
          </cell>
          <cell r="D497">
            <v>0.84657116615755779</v>
          </cell>
          <cell r="E497">
            <v>589.79999999999995</v>
          </cell>
          <cell r="F497">
            <v>0</v>
          </cell>
          <cell r="G497">
            <v>589.79999999999995</v>
          </cell>
        </row>
        <row r="498">
          <cell r="A498">
            <v>11411195000189</v>
          </cell>
          <cell r="B498">
            <v>3167.7913173926704</v>
          </cell>
          <cell r="C498">
            <v>1126.7600000000002</v>
          </cell>
          <cell r="D498">
            <v>0.35569262211609576</v>
          </cell>
          <cell r="E498">
            <v>1782.6899999999996</v>
          </cell>
          <cell r="F498">
            <v>0</v>
          </cell>
          <cell r="G498">
            <v>1782.6899999999996</v>
          </cell>
        </row>
        <row r="499">
          <cell r="A499">
            <v>19942147000129</v>
          </cell>
          <cell r="B499">
            <v>4435.2294836603705</v>
          </cell>
          <cell r="C499">
            <v>1053.0899999999999</v>
          </cell>
          <cell r="D499">
            <v>0.23743754497476205</v>
          </cell>
          <cell r="E499">
            <v>0</v>
          </cell>
          <cell r="F499">
            <v>0</v>
          </cell>
          <cell r="G499">
            <v>0</v>
          </cell>
        </row>
        <row r="500">
          <cell r="A500">
            <v>53933707000117</v>
          </cell>
          <cell r="B500">
            <v>2689.174547406526</v>
          </cell>
          <cell r="C500">
            <v>610.15</v>
          </cell>
          <cell r="D500">
            <v>0.22689118509932216</v>
          </cell>
          <cell r="E500">
            <v>0</v>
          </cell>
          <cell r="F500">
            <v>0</v>
          </cell>
          <cell r="G500">
            <v>0</v>
          </cell>
        </row>
        <row r="501">
          <cell r="A501">
            <v>10440010000100</v>
          </cell>
          <cell r="B501">
            <v>8510.7104295354948</v>
          </cell>
          <cell r="C501">
            <v>1274.1600000000001</v>
          </cell>
          <cell r="D501">
            <v>0.14971253111587093</v>
          </cell>
          <cell r="E501">
            <v>0</v>
          </cell>
          <cell r="F501">
            <v>0</v>
          </cell>
          <cell r="G501">
            <v>0</v>
          </cell>
        </row>
        <row r="502">
          <cell r="A502">
            <v>40883240000104</v>
          </cell>
          <cell r="B502">
            <v>4113.0457582437812</v>
          </cell>
          <cell r="C502">
            <v>1121.26</v>
          </cell>
          <cell r="D502">
            <v>0.27261063112479544</v>
          </cell>
          <cell r="E502">
            <v>0</v>
          </cell>
          <cell r="F502">
            <v>0</v>
          </cell>
          <cell r="G502">
            <v>0</v>
          </cell>
        </row>
        <row r="503">
          <cell r="A503">
            <v>12090789000106</v>
          </cell>
          <cell r="B503">
            <v>1161.5071475045227</v>
          </cell>
          <cell r="C503">
            <v>171.01999999999998</v>
          </cell>
          <cell r="D503">
            <v>0.14723973104034133</v>
          </cell>
          <cell r="E503">
            <v>0</v>
          </cell>
          <cell r="F503">
            <v>0</v>
          </cell>
          <cell r="G503">
            <v>0</v>
          </cell>
        </row>
        <row r="504">
          <cell r="A504">
            <v>31230095000163</v>
          </cell>
          <cell r="B504">
            <v>11090.109594181396</v>
          </cell>
          <cell r="C504">
            <v>1531.66</v>
          </cell>
          <cell r="D504">
            <v>0.13811044760131225</v>
          </cell>
          <cell r="E504">
            <v>1712.69</v>
          </cell>
          <cell r="F504">
            <v>0</v>
          </cell>
          <cell r="G504">
            <v>1712.69</v>
          </cell>
        </row>
        <row r="505">
          <cell r="A505">
            <v>51996536000140</v>
          </cell>
          <cell r="B505">
            <v>3956.6223883954635</v>
          </cell>
          <cell r="C505">
            <v>1689.8500000000001</v>
          </cell>
          <cell r="D505">
            <v>0.42709408028328127</v>
          </cell>
          <cell r="E505">
            <v>309.18</v>
          </cell>
          <cell r="F505">
            <v>0</v>
          </cell>
          <cell r="G505">
            <v>309.18</v>
          </cell>
        </row>
        <row r="506">
          <cell r="A506">
            <v>35447691000150</v>
          </cell>
          <cell r="B506">
            <v>1134.8618099263645</v>
          </cell>
          <cell r="C506">
            <v>1072.0000000000002</v>
          </cell>
          <cell r="D506">
            <v>0.94460840132558255</v>
          </cell>
          <cell r="E506">
            <v>916.80999999999983</v>
          </cell>
          <cell r="F506">
            <v>33.160000000000082</v>
          </cell>
          <cell r="G506">
            <v>883.64999999999975</v>
          </cell>
        </row>
        <row r="507">
          <cell r="A507">
            <v>62210039000190</v>
          </cell>
          <cell r="B507">
            <v>4584.5559938167835</v>
          </cell>
          <cell r="C507">
            <v>403.74</v>
          </cell>
          <cell r="D507">
            <v>8.8065234789263439E-2</v>
          </cell>
          <cell r="E507">
            <v>0</v>
          </cell>
          <cell r="F507">
            <v>0</v>
          </cell>
          <cell r="G507">
            <v>0</v>
          </cell>
        </row>
        <row r="508">
          <cell r="A508">
            <v>56129324000189</v>
          </cell>
          <cell r="B508">
            <v>2928.0320810963508</v>
          </cell>
          <cell r="C508">
            <v>253.66000000000003</v>
          </cell>
          <cell r="D508">
            <v>8.6631564468727218E-2</v>
          </cell>
          <cell r="E508">
            <v>71.31</v>
          </cell>
          <cell r="F508">
            <v>71.31</v>
          </cell>
          <cell r="G508">
            <v>0</v>
          </cell>
        </row>
        <row r="509">
          <cell r="A509">
            <v>60042541000104</v>
          </cell>
          <cell r="B509">
            <v>1043.3438006282786</v>
          </cell>
          <cell r="C509">
            <v>1197.3700000000001</v>
          </cell>
          <cell r="D509">
            <v>1.1476274640046458</v>
          </cell>
          <cell r="E509">
            <v>1126.05</v>
          </cell>
          <cell r="F509">
            <v>313.7299999999999</v>
          </cell>
          <cell r="G509">
            <v>812.32</v>
          </cell>
        </row>
        <row r="510">
          <cell r="A510">
            <v>29606556000108</v>
          </cell>
          <cell r="B510">
            <v>1340.7564938722912</v>
          </cell>
          <cell r="C510">
            <v>666.5100000000001</v>
          </cell>
          <cell r="D510">
            <v>0.49711487734437632</v>
          </cell>
          <cell r="E510">
            <v>862.31</v>
          </cell>
          <cell r="F510">
            <v>315.52999999999997</v>
          </cell>
          <cell r="G510">
            <v>546.78</v>
          </cell>
        </row>
        <row r="511">
          <cell r="A511">
            <v>62145174000108</v>
          </cell>
          <cell r="B511">
            <v>2067.748870956169</v>
          </cell>
          <cell r="C511">
            <v>1313.04</v>
          </cell>
          <cell r="D511">
            <v>0.63500941455855986</v>
          </cell>
          <cell r="E511">
            <v>0</v>
          </cell>
          <cell r="F511">
            <v>0</v>
          </cell>
          <cell r="G511">
            <v>0</v>
          </cell>
        </row>
        <row r="512">
          <cell r="A512">
            <v>1878521000109</v>
          </cell>
          <cell r="B512">
            <v>4939.6646706100146</v>
          </cell>
          <cell r="C512">
            <v>1000.5500000000001</v>
          </cell>
          <cell r="D512">
            <v>0.2025542353012475</v>
          </cell>
          <cell r="E512">
            <v>671.55</v>
          </cell>
          <cell r="F512">
            <v>0</v>
          </cell>
          <cell r="G512">
            <v>671.55</v>
          </cell>
        </row>
        <row r="513">
          <cell r="A513">
            <v>14178866000100</v>
          </cell>
          <cell r="B513">
            <v>2273.2026013625432</v>
          </cell>
          <cell r="C513">
            <v>1256.6200000000001</v>
          </cell>
          <cell r="D513">
            <v>0.552797185454033</v>
          </cell>
          <cell r="E513">
            <v>0</v>
          </cell>
          <cell r="F513">
            <v>0</v>
          </cell>
          <cell r="G513">
            <v>0</v>
          </cell>
        </row>
        <row r="514">
          <cell r="A514">
            <v>8087667001157</v>
          </cell>
          <cell r="B514">
            <v>0</v>
          </cell>
          <cell r="C514">
            <v>7525.92</v>
          </cell>
          <cell r="D514">
            <v>0</v>
          </cell>
          <cell r="E514">
            <v>7103.7299999999987</v>
          </cell>
          <cell r="F514">
            <v>2344.5899999999983</v>
          </cell>
          <cell r="G514">
            <v>4759.1400000000003</v>
          </cell>
        </row>
        <row r="515">
          <cell r="A515">
            <v>4201690000106</v>
          </cell>
          <cell r="B515">
            <v>6320.8106042976306</v>
          </cell>
          <cell r="C515">
            <v>969.63</v>
          </cell>
          <cell r="D515">
            <v>0.15340279288557254</v>
          </cell>
          <cell r="E515">
            <v>0</v>
          </cell>
          <cell r="F515">
            <v>0</v>
          </cell>
          <cell r="G515">
            <v>0</v>
          </cell>
        </row>
        <row r="516">
          <cell r="A516">
            <v>3480787000124</v>
          </cell>
          <cell r="B516">
            <v>19260.196953381143</v>
          </cell>
          <cell r="C516">
            <v>1962.98</v>
          </cell>
          <cell r="D516">
            <v>0.1019189993098901</v>
          </cell>
          <cell r="E516">
            <v>0</v>
          </cell>
          <cell r="F516">
            <v>0</v>
          </cell>
          <cell r="G516">
            <v>0</v>
          </cell>
        </row>
        <row r="517">
          <cell r="A517">
            <v>54297138000123</v>
          </cell>
          <cell r="B517">
            <v>3670.8603949917556</v>
          </cell>
          <cell r="C517">
            <v>721.86999999999989</v>
          </cell>
          <cell r="D517">
            <v>0.19664872055196236</v>
          </cell>
          <cell r="E517">
            <v>377.37</v>
          </cell>
          <cell r="F517">
            <v>41.660000000000025</v>
          </cell>
          <cell r="G517">
            <v>335.71</v>
          </cell>
        </row>
        <row r="518">
          <cell r="A518">
            <v>29576260000191</v>
          </cell>
          <cell r="B518">
            <v>6842.1078066538666</v>
          </cell>
          <cell r="C518">
            <v>1078.04</v>
          </cell>
          <cell r="D518">
            <v>0.15755963373620321</v>
          </cell>
          <cell r="E518">
            <v>0</v>
          </cell>
          <cell r="F518">
            <v>0</v>
          </cell>
          <cell r="G518">
            <v>0</v>
          </cell>
        </row>
        <row r="519">
          <cell r="A519">
            <v>28800059000426</v>
          </cell>
          <cell r="B519">
            <v>6149.5038661216231</v>
          </cell>
          <cell r="C519">
            <v>1118.9000000000001</v>
          </cell>
          <cell r="D519">
            <v>0.18194963762266392</v>
          </cell>
          <cell r="E519">
            <v>1313.78</v>
          </cell>
          <cell r="F519">
            <v>65.159999999999854</v>
          </cell>
          <cell r="G519">
            <v>1248.6200000000001</v>
          </cell>
        </row>
        <row r="520">
          <cell r="A520">
            <v>55292481000148</v>
          </cell>
          <cell r="B520">
            <v>3856.876116906441</v>
          </cell>
          <cell r="C520">
            <v>1201.9900000000002</v>
          </cell>
          <cell r="D520">
            <v>0.31164858905660253</v>
          </cell>
          <cell r="E520">
            <v>1088.8999999999999</v>
          </cell>
          <cell r="F520">
            <v>185.89999999999986</v>
          </cell>
          <cell r="G520">
            <v>903</v>
          </cell>
        </row>
        <row r="521">
          <cell r="A521">
            <v>57259868000128</v>
          </cell>
          <cell r="B521">
            <v>1557.1122690860823</v>
          </cell>
          <cell r="C521">
            <v>386.49</v>
          </cell>
          <cell r="D521">
            <v>0.2482094629097252</v>
          </cell>
          <cell r="E521">
            <v>0</v>
          </cell>
          <cell r="F521">
            <v>0</v>
          </cell>
          <cell r="G521">
            <v>0</v>
          </cell>
        </row>
        <row r="522">
          <cell r="A522">
            <v>10378095000135</v>
          </cell>
          <cell r="B522">
            <v>15712.059192598845</v>
          </cell>
          <cell r="C522">
            <v>6083.97</v>
          </cell>
          <cell r="D522">
            <v>0.38721659111784978</v>
          </cell>
          <cell r="E522">
            <v>4937.8599999999997</v>
          </cell>
          <cell r="F522">
            <v>104.10000000000036</v>
          </cell>
          <cell r="G522">
            <v>4833.7599999999993</v>
          </cell>
        </row>
        <row r="523">
          <cell r="A523">
            <v>55557060000100</v>
          </cell>
          <cell r="B523">
            <v>9160.8874009266765</v>
          </cell>
          <cell r="C523">
            <v>3823.94</v>
          </cell>
          <cell r="D523">
            <v>0.41742025992080051</v>
          </cell>
          <cell r="E523">
            <v>2367.7400000000007</v>
          </cell>
          <cell r="F523">
            <v>84.170000000000073</v>
          </cell>
          <cell r="G523">
            <v>2283.5700000000006</v>
          </cell>
        </row>
        <row r="524">
          <cell r="A524">
            <v>34738410000156</v>
          </cell>
          <cell r="B524">
            <v>2969.9861114232226</v>
          </cell>
          <cell r="C524">
            <v>733.03</v>
          </cell>
          <cell r="D524">
            <v>0.24681260197837446</v>
          </cell>
          <cell r="E524">
            <v>137.85</v>
          </cell>
          <cell r="F524">
            <v>0</v>
          </cell>
          <cell r="G524">
            <v>137.85</v>
          </cell>
        </row>
        <row r="525">
          <cell r="A525">
            <v>12741296000180</v>
          </cell>
          <cell r="B525">
            <v>3681.9848483465739</v>
          </cell>
          <cell r="C525">
            <v>843.22</v>
          </cell>
          <cell r="D525">
            <v>0.22901234924382022</v>
          </cell>
          <cell r="E525">
            <v>393.26</v>
          </cell>
          <cell r="F525">
            <v>31.919999999999959</v>
          </cell>
          <cell r="G525">
            <v>361.34000000000003</v>
          </cell>
        </row>
        <row r="526">
          <cell r="A526">
            <v>34959930000199</v>
          </cell>
          <cell r="B526">
            <v>4639.0762711353173</v>
          </cell>
          <cell r="C526">
            <v>2293.81</v>
          </cell>
          <cell r="D526">
            <v>0.49445403910952251</v>
          </cell>
          <cell r="E526">
            <v>1600.14</v>
          </cell>
          <cell r="F526">
            <v>0</v>
          </cell>
          <cell r="G526">
            <v>1600.14</v>
          </cell>
        </row>
        <row r="527">
          <cell r="A527">
            <v>5639734000139</v>
          </cell>
          <cell r="B527">
            <v>1442.1908323071145</v>
          </cell>
          <cell r="C527">
            <v>239.01999999999998</v>
          </cell>
          <cell r="D527">
            <v>0.1657339615851203</v>
          </cell>
          <cell r="E527">
            <v>0</v>
          </cell>
          <cell r="F527">
            <v>0</v>
          </cell>
          <cell r="G527">
            <v>0</v>
          </cell>
        </row>
        <row r="528">
          <cell r="A528">
            <v>3110652000177</v>
          </cell>
          <cell r="B528">
            <v>1995.5724780841997</v>
          </cell>
          <cell r="C528">
            <v>1124.83</v>
          </cell>
          <cell r="D528">
            <v>0.56366281473267521</v>
          </cell>
          <cell r="E528">
            <v>0</v>
          </cell>
          <cell r="F528">
            <v>0</v>
          </cell>
          <cell r="G528">
            <v>0</v>
          </cell>
        </row>
        <row r="529">
          <cell r="A529">
            <v>4592381000104</v>
          </cell>
          <cell r="B529">
            <v>2731.0965594312775</v>
          </cell>
          <cell r="C529">
            <v>825.82</v>
          </cell>
          <cell r="D529">
            <v>0.30237671280724271</v>
          </cell>
          <cell r="E529">
            <v>0</v>
          </cell>
          <cell r="F529">
            <v>0</v>
          </cell>
          <cell r="G529">
            <v>0</v>
          </cell>
        </row>
        <row r="530">
          <cell r="A530">
            <v>36630262000187</v>
          </cell>
          <cell r="B530">
            <v>6532.0276467028343</v>
          </cell>
          <cell r="C530">
            <v>1434.68</v>
          </cell>
          <cell r="D530">
            <v>0.21963777215857042</v>
          </cell>
          <cell r="E530">
            <v>137.85</v>
          </cell>
          <cell r="F530">
            <v>0</v>
          </cell>
          <cell r="G530">
            <v>137.85</v>
          </cell>
        </row>
        <row r="531">
          <cell r="A531">
            <v>18723666000133</v>
          </cell>
          <cell r="B531">
            <v>7567.4330713901199</v>
          </cell>
          <cell r="C531">
            <v>4310.7299999999996</v>
          </cell>
          <cell r="D531">
            <v>0.56964230265840043</v>
          </cell>
          <cell r="E531">
            <v>2658.2600000000007</v>
          </cell>
          <cell r="F531">
            <v>0</v>
          </cell>
          <cell r="G531">
            <v>2658.2600000000007</v>
          </cell>
        </row>
        <row r="532">
          <cell r="A532">
            <v>36004691000149</v>
          </cell>
          <cell r="B532">
            <v>6047.4291948764458</v>
          </cell>
          <cell r="C532">
            <v>2712.75</v>
          </cell>
          <cell r="D532">
            <v>0.44857904285978561</v>
          </cell>
          <cell r="E532">
            <v>0</v>
          </cell>
          <cell r="F532">
            <v>0</v>
          </cell>
          <cell r="G532">
            <v>0</v>
          </cell>
        </row>
        <row r="533">
          <cell r="A533">
            <v>11210256000140</v>
          </cell>
          <cell r="B533">
            <v>2766.1220977640387</v>
          </cell>
          <cell r="C533">
            <v>1877.0900000000001</v>
          </cell>
          <cell r="D533">
            <v>0.67859983531360502</v>
          </cell>
          <cell r="E533">
            <v>1177.6300000000001</v>
          </cell>
          <cell r="F533">
            <v>34.279999999999973</v>
          </cell>
          <cell r="G533">
            <v>1143.3500000000001</v>
          </cell>
        </row>
        <row r="534">
          <cell r="A534">
            <v>19825473000156</v>
          </cell>
          <cell r="B534">
            <v>2623.7710966149293</v>
          </cell>
          <cell r="C534">
            <v>547.2299999999999</v>
          </cell>
          <cell r="D534">
            <v>0.20856621246648052</v>
          </cell>
          <cell r="E534">
            <v>338.21</v>
          </cell>
          <cell r="F534">
            <v>0</v>
          </cell>
          <cell r="G534">
            <v>338.21</v>
          </cell>
        </row>
        <row r="535">
          <cell r="A535">
            <v>19825473000237</v>
          </cell>
          <cell r="B535">
            <v>6199.5663513429699</v>
          </cell>
          <cell r="C535">
            <v>124.46</v>
          </cell>
          <cell r="D535">
            <v>2.0075597702577871E-2</v>
          </cell>
          <cell r="E535">
            <v>405.80000000000007</v>
          </cell>
          <cell r="F535">
            <v>231.26000000000005</v>
          </cell>
          <cell r="G535">
            <v>174.54000000000002</v>
          </cell>
        </row>
        <row r="536">
          <cell r="A536">
            <v>1756694000154</v>
          </cell>
          <cell r="B536">
            <v>3008.8332133980816</v>
          </cell>
          <cell r="C536">
            <v>1372.39</v>
          </cell>
          <cell r="D536">
            <v>0.45612033059488399</v>
          </cell>
          <cell r="E536">
            <v>0</v>
          </cell>
          <cell r="F536">
            <v>0</v>
          </cell>
          <cell r="G536">
            <v>0</v>
          </cell>
        </row>
        <row r="537">
          <cell r="A537">
            <v>7382151000109</v>
          </cell>
          <cell r="B537">
            <v>3235.4629286244663</v>
          </cell>
          <cell r="C537">
            <v>3749.67</v>
          </cell>
          <cell r="D537">
            <v>1.1589284385941474</v>
          </cell>
          <cell r="E537">
            <v>3168.54</v>
          </cell>
          <cell r="F537">
            <v>0</v>
          </cell>
          <cell r="G537">
            <v>3168.54</v>
          </cell>
        </row>
        <row r="538">
          <cell r="A538">
            <v>21303831000102</v>
          </cell>
          <cell r="B538">
            <v>8916.3915277332671</v>
          </cell>
          <cell r="C538">
            <v>2557.62</v>
          </cell>
          <cell r="D538">
            <v>0.28684473893332951</v>
          </cell>
          <cell r="E538">
            <v>792.98</v>
          </cell>
          <cell r="F538">
            <v>16.039999999999964</v>
          </cell>
          <cell r="G538">
            <v>776.94</v>
          </cell>
        </row>
        <row r="539">
          <cell r="A539">
            <v>41008901000107</v>
          </cell>
          <cell r="B539">
            <v>4027.5752921329895</v>
          </cell>
          <cell r="C539">
            <v>1977.4499999999998</v>
          </cell>
          <cell r="D539">
            <v>0.49097778602985453</v>
          </cell>
          <cell r="E539">
            <v>0</v>
          </cell>
          <cell r="F539">
            <v>0</v>
          </cell>
          <cell r="G539">
            <v>0</v>
          </cell>
        </row>
        <row r="540">
          <cell r="A540">
            <v>48130762000139</v>
          </cell>
          <cell r="B540">
            <v>1020.1518610696068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</row>
        <row r="541">
          <cell r="A541">
            <v>17710409000102</v>
          </cell>
          <cell r="B541">
            <v>5020.8615570718712</v>
          </cell>
          <cell r="C541">
            <v>2556.3799999999997</v>
          </cell>
          <cell r="D541">
            <v>0.5091516607143538</v>
          </cell>
          <cell r="E541">
            <v>4529.7300000000005</v>
          </cell>
          <cell r="F541">
            <v>11.710000000000946</v>
          </cell>
          <cell r="G541">
            <v>4518.0199999999995</v>
          </cell>
        </row>
        <row r="542">
          <cell r="A542">
            <v>9039622000106</v>
          </cell>
          <cell r="B542">
            <v>25029.998455836194</v>
          </cell>
          <cell r="C542">
            <v>8706.2499999999964</v>
          </cell>
          <cell r="D542">
            <v>0.34783262233761658</v>
          </cell>
          <cell r="E542">
            <v>8801.69</v>
          </cell>
          <cell r="F542">
            <v>1083.9799999999977</v>
          </cell>
          <cell r="G542">
            <v>7717.7100000000028</v>
          </cell>
        </row>
        <row r="543">
          <cell r="A543">
            <v>13234023000102</v>
          </cell>
          <cell r="B543">
            <v>5214.8995321757593</v>
          </cell>
          <cell r="C543">
            <v>3457.65</v>
          </cell>
          <cell r="D543">
            <v>0.66303290766512624</v>
          </cell>
          <cell r="E543">
            <v>2632.2100000000005</v>
          </cell>
          <cell r="F543">
            <v>0</v>
          </cell>
          <cell r="G543">
            <v>2632.2100000000005</v>
          </cell>
        </row>
        <row r="544">
          <cell r="A544">
            <v>13367286000190</v>
          </cell>
          <cell r="B544">
            <v>1092.6690567190524</v>
          </cell>
          <cell r="C544">
            <v>99.179999999999993</v>
          </cell>
          <cell r="D544">
            <v>9.0768562896625715E-2</v>
          </cell>
          <cell r="E544">
            <v>0</v>
          </cell>
          <cell r="F544">
            <v>0</v>
          </cell>
          <cell r="G544">
            <v>0</v>
          </cell>
        </row>
        <row r="545">
          <cell r="A545">
            <v>26437890000197</v>
          </cell>
          <cell r="B545">
            <v>4955.9069991910019</v>
          </cell>
          <cell r="C545">
            <v>2539.69</v>
          </cell>
          <cell r="D545">
            <v>0.51245715474777409</v>
          </cell>
          <cell r="E545">
            <v>0</v>
          </cell>
          <cell r="F545">
            <v>0</v>
          </cell>
          <cell r="G545">
            <v>0</v>
          </cell>
        </row>
        <row r="546">
          <cell r="A546">
            <v>18569567000149</v>
          </cell>
          <cell r="B546">
            <v>1957.8532297452693</v>
          </cell>
          <cell r="C546">
            <v>220.91</v>
          </cell>
          <cell r="D546">
            <v>0.11283276838312439</v>
          </cell>
          <cell r="E546">
            <v>0</v>
          </cell>
          <cell r="F546">
            <v>0</v>
          </cell>
          <cell r="G546">
            <v>0</v>
          </cell>
        </row>
        <row r="547">
          <cell r="A547">
            <v>12390379000172</v>
          </cell>
          <cell r="B547">
            <v>2238.8653523032026</v>
          </cell>
          <cell r="C547">
            <v>484.90999999999997</v>
          </cell>
          <cell r="D547">
            <v>0.21658738856320919</v>
          </cell>
          <cell r="E547">
            <v>0</v>
          </cell>
          <cell r="F547">
            <v>0</v>
          </cell>
          <cell r="G547">
            <v>0</v>
          </cell>
        </row>
        <row r="548">
          <cell r="A548">
            <v>49760647000100</v>
          </cell>
          <cell r="B548">
            <v>5856.8797575753852</v>
          </cell>
          <cell r="C548">
            <v>591.9</v>
          </cell>
          <cell r="D548">
            <v>0.10106063714803548</v>
          </cell>
          <cell r="E548">
            <v>1141.5999999999999</v>
          </cell>
          <cell r="F548">
            <v>1141.5999999999999</v>
          </cell>
          <cell r="G548">
            <v>0</v>
          </cell>
        </row>
        <row r="549">
          <cell r="A549">
            <v>8776885000127</v>
          </cell>
          <cell r="B549">
            <v>4442.0777107483073</v>
          </cell>
          <cell r="C549">
            <v>1583.3999999999999</v>
          </cell>
          <cell r="D549">
            <v>0.35645481756627401</v>
          </cell>
          <cell r="E549">
            <v>711.65</v>
          </cell>
          <cell r="F549">
            <v>104.57999999999993</v>
          </cell>
          <cell r="G549">
            <v>607.07000000000005</v>
          </cell>
        </row>
        <row r="550">
          <cell r="A550">
            <v>7629833000165</v>
          </cell>
          <cell r="B550">
            <v>19851.466878808973</v>
          </cell>
          <cell r="C550">
            <v>5519.1099999999988</v>
          </cell>
          <cell r="D550">
            <v>0.27802026085495646</v>
          </cell>
          <cell r="E550">
            <v>9688.909999999998</v>
          </cell>
          <cell r="F550">
            <v>1543.2599999999993</v>
          </cell>
          <cell r="G550">
            <v>8145.6499999999987</v>
          </cell>
        </row>
        <row r="551">
          <cell r="A551">
            <v>64822703000188</v>
          </cell>
          <cell r="B551">
            <v>5136.9330161802745</v>
          </cell>
          <cell r="C551">
            <v>1738.9199999999998</v>
          </cell>
          <cell r="D551">
            <v>0.33851327134746789</v>
          </cell>
          <cell r="E551">
            <v>617.63999999999987</v>
          </cell>
          <cell r="F551">
            <v>0</v>
          </cell>
          <cell r="G551">
            <v>617.63999999999987</v>
          </cell>
        </row>
        <row r="552">
          <cell r="A552">
            <v>9039622000289</v>
          </cell>
          <cell r="B552">
            <v>112437.0745385965</v>
          </cell>
          <cell r="C552">
            <v>44670.200000000033</v>
          </cell>
          <cell r="D552">
            <v>0.39729066398526763</v>
          </cell>
          <cell r="E552">
            <v>38547.849999999991</v>
          </cell>
          <cell r="F552">
            <v>2759.9399999999732</v>
          </cell>
          <cell r="G552">
            <v>35787.910000000018</v>
          </cell>
        </row>
        <row r="553">
          <cell r="A553">
            <v>12881115000111</v>
          </cell>
          <cell r="B553">
            <v>1769.9434791869687</v>
          </cell>
          <cell r="C553">
            <v>185.7</v>
          </cell>
          <cell r="D553">
            <v>0.10491860456770184</v>
          </cell>
          <cell r="E553">
            <v>0</v>
          </cell>
          <cell r="F553">
            <v>0</v>
          </cell>
          <cell r="G553">
            <v>0</v>
          </cell>
        </row>
        <row r="554">
          <cell r="A554">
            <v>51190802000142</v>
          </cell>
          <cell r="B554">
            <v>3519.7957878372417</v>
          </cell>
          <cell r="C554">
            <v>837.70999999999992</v>
          </cell>
          <cell r="D554">
            <v>0.2379996029584249</v>
          </cell>
          <cell r="E554">
            <v>2698.63</v>
          </cell>
          <cell r="F554">
            <v>80.039999999999964</v>
          </cell>
          <cell r="G554">
            <v>2618.59</v>
          </cell>
        </row>
        <row r="555">
          <cell r="A555">
            <v>21206725000100</v>
          </cell>
          <cell r="B555">
            <v>15423.84660162324</v>
          </cell>
          <cell r="C555">
            <v>4961.3100000000004</v>
          </cell>
          <cell r="D555">
            <v>0.32166489515513341</v>
          </cell>
          <cell r="E555">
            <v>137.85</v>
          </cell>
          <cell r="F555">
            <v>0</v>
          </cell>
          <cell r="G555">
            <v>137.85</v>
          </cell>
        </row>
        <row r="556">
          <cell r="A556">
            <v>597452000100</v>
          </cell>
          <cell r="B556">
            <v>4861.2450704404891</v>
          </cell>
          <cell r="C556">
            <v>780.7700000000001</v>
          </cell>
          <cell r="D556">
            <v>0.16061111684074234</v>
          </cell>
          <cell r="E556">
            <v>0</v>
          </cell>
          <cell r="F556">
            <v>0</v>
          </cell>
          <cell r="G556">
            <v>0</v>
          </cell>
        </row>
        <row r="557">
          <cell r="A557">
            <v>18208965000130</v>
          </cell>
          <cell r="B557">
            <v>9579.9180391455429</v>
          </cell>
          <cell r="C557">
            <v>2584.44</v>
          </cell>
          <cell r="D557">
            <v>0.26977683832360977</v>
          </cell>
          <cell r="E557">
            <v>479.38</v>
          </cell>
          <cell r="F557">
            <v>323.64</v>
          </cell>
          <cell r="G557">
            <v>155.74</v>
          </cell>
        </row>
        <row r="558">
          <cell r="A558">
            <v>35633493000181</v>
          </cell>
          <cell r="B558">
            <v>1143.6638754053124</v>
          </cell>
          <cell r="C558">
            <v>442.86000000000007</v>
          </cell>
          <cell r="D558">
            <v>0.38722915843000749</v>
          </cell>
          <cell r="E558">
            <v>484.19</v>
          </cell>
          <cell r="F558">
            <v>0</v>
          </cell>
          <cell r="G558">
            <v>484.19</v>
          </cell>
        </row>
        <row r="559">
          <cell r="A559">
            <v>10695648000183</v>
          </cell>
          <cell r="B559">
            <v>1653.8606286883489</v>
          </cell>
          <cell r="C559">
            <v>2566.0100000000011</v>
          </cell>
          <cell r="D559">
            <v>1.5515273509080771</v>
          </cell>
          <cell r="E559">
            <v>3430.7599999999998</v>
          </cell>
          <cell r="F559">
            <v>108.59999999999991</v>
          </cell>
          <cell r="G559">
            <v>3322.16</v>
          </cell>
        </row>
        <row r="560">
          <cell r="A560">
            <v>15946916000106</v>
          </cell>
          <cell r="B560">
            <v>10154.157994877118</v>
          </cell>
          <cell r="C560">
            <v>4589.3000000000011</v>
          </cell>
          <cell r="D560">
            <v>0.45196263464832359</v>
          </cell>
          <cell r="E560">
            <v>3433.2200000000007</v>
          </cell>
          <cell r="F560">
            <v>0</v>
          </cell>
          <cell r="G560">
            <v>3433.2200000000007</v>
          </cell>
        </row>
        <row r="561">
          <cell r="A561">
            <v>9495338000136</v>
          </cell>
          <cell r="B561">
            <v>9667.8345503204455</v>
          </cell>
          <cell r="C561">
            <v>2766.08</v>
          </cell>
          <cell r="D561">
            <v>0.28611164016127238</v>
          </cell>
          <cell r="E561">
            <v>3988.0300000000007</v>
          </cell>
          <cell r="F561">
            <v>279.71000000000004</v>
          </cell>
          <cell r="G561">
            <v>3708.3200000000006</v>
          </cell>
        </row>
        <row r="562">
          <cell r="A562">
            <v>9652569000106</v>
          </cell>
          <cell r="B562">
            <v>3203.6849446255314</v>
          </cell>
          <cell r="C562">
            <v>4086.44</v>
          </cell>
          <cell r="D562">
            <v>1.2755436538338045</v>
          </cell>
          <cell r="E562">
            <v>2893.69</v>
          </cell>
          <cell r="F562">
            <v>0</v>
          </cell>
          <cell r="G562">
            <v>2893.69</v>
          </cell>
        </row>
        <row r="563">
          <cell r="A563">
            <v>52286494000116</v>
          </cell>
          <cell r="B563">
            <v>4828.334369885295</v>
          </cell>
          <cell r="C563">
            <v>2026.3400000000004</v>
          </cell>
          <cell r="D563">
            <v>0.41967681704863768</v>
          </cell>
          <cell r="E563">
            <v>1405.16</v>
          </cell>
          <cell r="F563">
            <v>293.42000000000007</v>
          </cell>
          <cell r="G563">
            <v>1111.74</v>
          </cell>
        </row>
        <row r="564">
          <cell r="A564">
            <v>44192893000190</v>
          </cell>
          <cell r="B564">
            <v>2879.2510701126853</v>
          </cell>
          <cell r="C564">
            <v>571.88</v>
          </cell>
          <cell r="D564">
            <v>0.19862109488687915</v>
          </cell>
          <cell r="E564">
            <v>0</v>
          </cell>
          <cell r="F564">
            <v>0</v>
          </cell>
          <cell r="G564">
            <v>0</v>
          </cell>
        </row>
        <row r="565">
          <cell r="A565">
            <v>47468096000180</v>
          </cell>
          <cell r="B565">
            <v>4446.8679660960042</v>
          </cell>
          <cell r="C565">
            <v>1192.48</v>
          </cell>
          <cell r="D565">
            <v>0.26816177343059333</v>
          </cell>
          <cell r="E565">
            <v>283.5</v>
          </cell>
          <cell r="F565">
            <v>56.699999999999989</v>
          </cell>
          <cell r="G565">
            <v>226.8</v>
          </cell>
        </row>
        <row r="566">
          <cell r="A566">
            <v>3070289000103</v>
          </cell>
          <cell r="B566">
            <v>6754.0239694625543</v>
          </cell>
          <cell r="C566">
            <v>2368.63</v>
          </cell>
          <cell r="D566">
            <v>0.35069908112696285</v>
          </cell>
          <cell r="E566">
            <v>314.10000000000002</v>
          </cell>
          <cell r="F566">
            <v>0</v>
          </cell>
          <cell r="G566">
            <v>314.10000000000002</v>
          </cell>
        </row>
        <row r="567">
          <cell r="A567">
            <v>8984188000161</v>
          </cell>
          <cell r="B567">
            <v>7095.2950331920074</v>
          </cell>
          <cell r="C567">
            <v>1441.48</v>
          </cell>
          <cell r="D567">
            <v>0.20315998041754604</v>
          </cell>
          <cell r="E567">
            <v>1171.8900000000003</v>
          </cell>
          <cell r="F567">
            <v>263.29000000000042</v>
          </cell>
          <cell r="G567">
            <v>908.59999999999991</v>
          </cell>
        </row>
        <row r="568">
          <cell r="A568">
            <v>1956853000164</v>
          </cell>
          <cell r="B568">
            <v>2959.8009021289618</v>
          </cell>
          <cell r="C568">
            <v>644.22000000000014</v>
          </cell>
          <cell r="D568">
            <v>0.21765653207843058</v>
          </cell>
          <cell r="E568">
            <v>0</v>
          </cell>
          <cell r="F568">
            <v>0</v>
          </cell>
          <cell r="G568">
            <v>0</v>
          </cell>
        </row>
        <row r="569">
          <cell r="A569">
            <v>15910375000166</v>
          </cell>
          <cell r="B569">
            <v>9431.5649345696147</v>
          </cell>
          <cell r="C569">
            <v>4293.7699999999995</v>
          </cell>
          <cell r="D569">
            <v>0.45525530808381531</v>
          </cell>
          <cell r="E569">
            <v>2280.8999999999996</v>
          </cell>
          <cell r="F569">
            <v>0</v>
          </cell>
          <cell r="G569">
            <v>2280.8999999999996</v>
          </cell>
        </row>
        <row r="570">
          <cell r="A570">
            <v>29630512000113</v>
          </cell>
          <cell r="B570">
            <v>4081.954391779831</v>
          </cell>
          <cell r="C570">
            <v>1582.9900000000002</v>
          </cell>
          <cell r="D570">
            <v>0.38780198112644226</v>
          </cell>
          <cell r="E570">
            <v>137.85</v>
          </cell>
          <cell r="F570">
            <v>0</v>
          </cell>
          <cell r="G570">
            <v>137.85</v>
          </cell>
        </row>
        <row r="571">
          <cell r="A571">
            <v>35720208000160</v>
          </cell>
          <cell r="B571">
            <v>1364.4968462293887</v>
          </cell>
          <cell r="C571">
            <v>26.5</v>
          </cell>
          <cell r="D571">
            <v>1.942107823351101E-2</v>
          </cell>
          <cell r="E571">
            <v>0</v>
          </cell>
          <cell r="F571">
            <v>0</v>
          </cell>
          <cell r="G571">
            <v>0</v>
          </cell>
        </row>
        <row r="572">
          <cell r="A572">
            <v>35835186000183</v>
          </cell>
          <cell r="B572">
            <v>2000.3047455715325</v>
          </cell>
          <cell r="C572">
            <v>926.52</v>
          </cell>
          <cell r="D572">
            <v>0.46318942253735051</v>
          </cell>
          <cell r="E572">
            <v>0</v>
          </cell>
          <cell r="F572">
            <v>0</v>
          </cell>
          <cell r="G572">
            <v>0</v>
          </cell>
        </row>
        <row r="573">
          <cell r="A573">
            <v>36014287000156</v>
          </cell>
          <cell r="B573">
            <v>15629.505037231791</v>
          </cell>
          <cell r="C573">
            <v>2083.2199999999998</v>
          </cell>
          <cell r="D573">
            <v>0.13328765018709562</v>
          </cell>
          <cell r="E573">
            <v>18807.629999999994</v>
          </cell>
          <cell r="F573">
            <v>841.85000000000218</v>
          </cell>
          <cell r="G573">
            <v>17965.779999999992</v>
          </cell>
        </row>
        <row r="574">
          <cell r="A574">
            <v>43054517000176</v>
          </cell>
          <cell r="B574">
            <v>13453.053394235027</v>
          </cell>
          <cell r="C574">
            <v>6102.92</v>
          </cell>
          <cell r="D574">
            <v>0.45364571307025775</v>
          </cell>
          <cell r="E574">
            <v>6838.4100000000008</v>
          </cell>
          <cell r="F574">
            <v>609.21999999999935</v>
          </cell>
          <cell r="G574">
            <v>6229.1900000000014</v>
          </cell>
        </row>
        <row r="575">
          <cell r="A575">
            <v>43054517000257</v>
          </cell>
          <cell r="B575">
            <v>16757.638669030941</v>
          </cell>
          <cell r="C575">
            <v>5976.5900000000011</v>
          </cell>
          <cell r="D575">
            <v>0.35664869723232995</v>
          </cell>
          <cell r="E575">
            <v>8290.8299999999981</v>
          </cell>
          <cell r="F575">
            <v>212.28999999999905</v>
          </cell>
          <cell r="G575">
            <v>8078.5399999999991</v>
          </cell>
        </row>
        <row r="576">
          <cell r="A576">
            <v>52330020000124</v>
          </cell>
          <cell r="B576">
            <v>4948.295500926557</v>
          </cell>
          <cell r="C576">
            <v>2742.18</v>
          </cell>
          <cell r="D576">
            <v>0.55416658109575967</v>
          </cell>
          <cell r="E576">
            <v>2321.7300000000005</v>
          </cell>
          <cell r="F576">
            <v>22.820000000000164</v>
          </cell>
          <cell r="G576">
            <v>2298.9100000000003</v>
          </cell>
        </row>
        <row r="577">
          <cell r="A577">
            <v>57862460000146</v>
          </cell>
          <cell r="B577">
            <v>6465.2604333366507</v>
          </cell>
          <cell r="C577">
            <v>1192.02</v>
          </cell>
          <cell r="D577">
            <v>0.18437308323321655</v>
          </cell>
          <cell r="E577">
            <v>0</v>
          </cell>
          <cell r="F577">
            <v>0</v>
          </cell>
          <cell r="G577">
            <v>0</v>
          </cell>
        </row>
        <row r="578">
          <cell r="A578">
            <v>49340554000127</v>
          </cell>
          <cell r="B578">
            <v>7047.6976686977368</v>
          </cell>
          <cell r="C578">
            <v>2548.4800000000005</v>
          </cell>
          <cell r="D578">
            <v>0.36160461469836358</v>
          </cell>
          <cell r="E578">
            <v>2751.74</v>
          </cell>
          <cell r="F578">
            <v>81.539999999999964</v>
          </cell>
          <cell r="G578">
            <v>2670.2</v>
          </cell>
        </row>
        <row r="579">
          <cell r="A579">
            <v>19825473000318</v>
          </cell>
          <cell r="B579">
            <v>13789.394358119849</v>
          </cell>
          <cell r="C579">
            <v>8879.5499999999993</v>
          </cell>
          <cell r="D579">
            <v>0.64394053642909266</v>
          </cell>
          <cell r="E579">
            <v>13895.039999999999</v>
          </cell>
          <cell r="F579">
            <v>2747.0099999999984</v>
          </cell>
          <cell r="G579">
            <v>11148.03</v>
          </cell>
        </row>
        <row r="580">
          <cell r="A580">
            <v>59535889000154</v>
          </cell>
          <cell r="B580">
            <v>1826.7675638873332</v>
          </cell>
          <cell r="C580">
            <v>2233.11</v>
          </cell>
          <cell r="D580">
            <v>1.2224379522307569</v>
          </cell>
          <cell r="E580">
            <v>0</v>
          </cell>
          <cell r="F580">
            <v>0</v>
          </cell>
          <cell r="G580">
            <v>0</v>
          </cell>
        </row>
        <row r="581">
          <cell r="A581">
            <v>64494102000193</v>
          </cell>
          <cell r="B581">
            <v>6112.2278088370595</v>
          </cell>
          <cell r="C581">
            <v>3707.4100000000003</v>
          </cell>
          <cell r="D581">
            <v>0.60655625345636277</v>
          </cell>
          <cell r="E581">
            <v>5439.56</v>
          </cell>
          <cell r="F581">
            <v>93.5600000000004</v>
          </cell>
          <cell r="G581">
            <v>5346</v>
          </cell>
        </row>
        <row r="582">
          <cell r="A582">
            <v>57680804000104</v>
          </cell>
          <cell r="B582">
            <v>3603.9490685588703</v>
          </cell>
          <cell r="C582">
            <v>1026.0900000000001</v>
          </cell>
          <cell r="D582">
            <v>0.28471268058466431</v>
          </cell>
          <cell r="E582">
            <v>0</v>
          </cell>
          <cell r="F582">
            <v>0</v>
          </cell>
          <cell r="G582">
            <v>0</v>
          </cell>
        </row>
        <row r="583">
          <cell r="A583">
            <v>46197707000130</v>
          </cell>
          <cell r="B583">
            <v>5683.4407202683751</v>
          </cell>
          <cell r="C583">
            <v>181.89</v>
          </cell>
          <cell r="D583">
            <v>3.2003500863718178E-2</v>
          </cell>
          <cell r="E583">
            <v>137.85</v>
          </cell>
          <cell r="F583">
            <v>0</v>
          </cell>
          <cell r="G583">
            <v>137.85</v>
          </cell>
        </row>
        <row r="584">
          <cell r="A584">
            <v>22315443000104</v>
          </cell>
          <cell r="B584">
            <v>6571.6177440860638</v>
          </cell>
          <cell r="C584">
            <v>2664.3399999999997</v>
          </cell>
          <cell r="D584">
            <v>0.4054313722671552</v>
          </cell>
          <cell r="E584">
            <v>1669.95</v>
          </cell>
          <cell r="F584">
            <v>0</v>
          </cell>
          <cell r="G584">
            <v>1669.95</v>
          </cell>
        </row>
        <row r="585">
          <cell r="A585">
            <v>51601157000103</v>
          </cell>
          <cell r="B585">
            <v>6715.2608042558413</v>
          </cell>
          <cell r="C585">
            <v>436.14</v>
          </cell>
          <cell r="D585">
            <v>6.4947589187242485E-2</v>
          </cell>
          <cell r="E585">
            <v>0</v>
          </cell>
          <cell r="F585">
            <v>0</v>
          </cell>
          <cell r="G585">
            <v>0</v>
          </cell>
        </row>
        <row r="586">
          <cell r="A586">
            <v>48143588000169</v>
          </cell>
          <cell r="B586">
            <v>8391.2759136407603</v>
          </cell>
          <cell r="C586">
            <v>4431.7600000000011</v>
          </cell>
          <cell r="D586">
            <v>0.52813899168728129</v>
          </cell>
          <cell r="E586">
            <v>3919.0199999999995</v>
          </cell>
          <cell r="F586">
            <v>37.539999999999964</v>
          </cell>
          <cell r="G586">
            <v>3881.4799999999996</v>
          </cell>
        </row>
        <row r="587">
          <cell r="A587">
            <v>11190148000152</v>
          </cell>
          <cell r="B587">
            <v>5868.4269243201788</v>
          </cell>
          <cell r="C587">
            <v>2650.2200000000003</v>
          </cell>
          <cell r="D587">
            <v>0.45160654365769615</v>
          </cell>
          <cell r="E587">
            <v>7172.6299999999983</v>
          </cell>
          <cell r="F587">
            <v>1492.8999999999996</v>
          </cell>
          <cell r="G587">
            <v>5679.7299999999987</v>
          </cell>
        </row>
        <row r="588">
          <cell r="A588">
            <v>11190148000233</v>
          </cell>
          <cell r="B588">
            <v>6218.8076179278914</v>
          </cell>
          <cell r="C588">
            <v>1473.32</v>
          </cell>
          <cell r="D588">
            <v>0.23691358384405378</v>
          </cell>
          <cell r="E588">
            <v>3567.1499999999996</v>
          </cell>
          <cell r="F588">
            <v>556.57999999999902</v>
          </cell>
          <cell r="G588">
            <v>3010.5700000000006</v>
          </cell>
        </row>
        <row r="589">
          <cell r="A589">
            <v>45924995000115</v>
          </cell>
          <cell r="B589">
            <v>4752.5958535760865</v>
          </cell>
          <cell r="C589">
            <v>1812.47</v>
          </cell>
          <cell r="D589">
            <v>0.38136421775401091</v>
          </cell>
          <cell r="E589">
            <v>1467.2399999999998</v>
          </cell>
          <cell r="F589">
            <v>90.509999999999991</v>
          </cell>
          <cell r="G589">
            <v>1376.7299999999998</v>
          </cell>
        </row>
        <row r="590">
          <cell r="A590">
            <v>50413414000110</v>
          </cell>
          <cell r="B590">
            <v>7311.4038121281774</v>
          </cell>
          <cell r="C590">
            <v>944.71</v>
          </cell>
          <cell r="D590">
            <v>0.12921048054176851</v>
          </cell>
          <cell r="E590">
            <v>0</v>
          </cell>
          <cell r="F590">
            <v>0</v>
          </cell>
          <cell r="G590">
            <v>0</v>
          </cell>
        </row>
        <row r="591">
          <cell r="A591">
            <v>2560437000105</v>
          </cell>
          <cell r="B591">
            <v>7212.0801502890045</v>
          </cell>
          <cell r="C591">
            <v>1699.22</v>
          </cell>
          <cell r="D591">
            <v>0.23560747587253428</v>
          </cell>
          <cell r="E591">
            <v>653.04999999999995</v>
          </cell>
          <cell r="F591">
            <v>75.259999999999991</v>
          </cell>
          <cell r="G591">
            <v>577.79</v>
          </cell>
        </row>
        <row r="592">
          <cell r="A592">
            <v>39834323000116</v>
          </cell>
          <cell r="B592">
            <v>6265.6825807518135</v>
          </cell>
          <cell r="C592">
            <v>2994.4800000000005</v>
          </cell>
          <cell r="D592">
            <v>0.47791760297577918</v>
          </cell>
          <cell r="E592">
            <v>0</v>
          </cell>
          <cell r="F592">
            <v>0</v>
          </cell>
          <cell r="G592">
            <v>0</v>
          </cell>
        </row>
        <row r="593">
          <cell r="A593">
            <v>50346593000110</v>
          </cell>
          <cell r="B593">
            <v>2314.7342242878658</v>
          </cell>
          <cell r="C593">
            <v>711.17000000000007</v>
          </cell>
          <cell r="D593">
            <v>0.30723613645916237</v>
          </cell>
          <cell r="E593">
            <v>0</v>
          </cell>
          <cell r="F593">
            <v>0</v>
          </cell>
          <cell r="G593">
            <v>0</v>
          </cell>
        </row>
        <row r="594">
          <cell r="A594">
            <v>3997842000158</v>
          </cell>
          <cell r="B594">
            <v>2526.7028194891227</v>
          </cell>
          <cell r="C594">
            <v>2704.4899999999993</v>
          </cell>
          <cell r="D594">
            <v>1.0703633126696015</v>
          </cell>
          <cell r="E594">
            <v>2367.4299999999998</v>
          </cell>
          <cell r="F594">
            <v>0</v>
          </cell>
          <cell r="G594">
            <v>2367.4299999999998</v>
          </cell>
        </row>
        <row r="595">
          <cell r="A595">
            <v>44556106000141</v>
          </cell>
          <cell r="B595">
            <v>4579.2165797816479</v>
          </cell>
          <cell r="C595">
            <v>1035.81</v>
          </cell>
          <cell r="D595">
            <v>0.22619808038199207</v>
          </cell>
          <cell r="E595">
            <v>1280.81</v>
          </cell>
          <cell r="F595">
            <v>0</v>
          </cell>
          <cell r="G595">
            <v>1280.81</v>
          </cell>
        </row>
        <row r="596">
          <cell r="A596">
            <v>57741120000167</v>
          </cell>
          <cell r="B596">
            <v>2792.7041803717698</v>
          </cell>
          <cell r="C596">
            <v>1249.6100000000001</v>
          </cell>
          <cell r="D596">
            <v>0.4474551972896928</v>
          </cell>
          <cell r="E596">
            <v>108.55000000000001</v>
          </cell>
          <cell r="F596">
            <v>0</v>
          </cell>
          <cell r="G596">
            <v>108.55000000000001</v>
          </cell>
        </row>
        <row r="597">
          <cell r="A597">
            <v>38662089000124</v>
          </cell>
          <cell r="B597">
            <v>2297.6050862287952</v>
          </cell>
          <cell r="C597">
            <v>1392.7000000000003</v>
          </cell>
          <cell r="D597">
            <v>0.60615290606181893</v>
          </cell>
          <cell r="E597">
            <v>2140.8599999999997</v>
          </cell>
          <cell r="F597">
            <v>122.24999999999977</v>
          </cell>
          <cell r="G597">
            <v>2018.61</v>
          </cell>
        </row>
        <row r="598">
          <cell r="A598">
            <v>36728431000469</v>
          </cell>
          <cell r="B598">
            <v>3712.2664245732899</v>
          </cell>
          <cell r="C598">
            <v>935.49</v>
          </cell>
          <cell r="D598">
            <v>0.25199969318137794</v>
          </cell>
          <cell r="E598">
            <v>2464.2799999999997</v>
          </cell>
          <cell r="F598">
            <v>299.94000000000005</v>
          </cell>
          <cell r="G598">
            <v>2164.3399999999997</v>
          </cell>
        </row>
        <row r="599">
          <cell r="A599">
            <v>36728431000388</v>
          </cell>
          <cell r="B599">
            <v>8794.2994094504393</v>
          </cell>
          <cell r="C599">
            <v>3983.0899999999992</v>
          </cell>
          <cell r="D599">
            <v>0.45291726089286116</v>
          </cell>
          <cell r="E599">
            <v>4819.5800000000008</v>
          </cell>
          <cell r="F599">
            <v>152.66000000000076</v>
          </cell>
          <cell r="G599">
            <v>4666.92</v>
          </cell>
        </row>
        <row r="600">
          <cell r="A600">
            <v>27545412000406</v>
          </cell>
          <cell r="B600">
            <v>13334.273715960315</v>
          </cell>
          <cell r="C600">
            <v>7532.0999999999976</v>
          </cell>
          <cell r="D600">
            <v>0.56486766061990556</v>
          </cell>
          <cell r="E600">
            <v>8178.9199999999983</v>
          </cell>
          <cell r="F600">
            <v>2269.4099999999989</v>
          </cell>
          <cell r="G600">
            <v>5909.5099999999993</v>
          </cell>
        </row>
        <row r="601">
          <cell r="A601">
            <v>28059864000106</v>
          </cell>
          <cell r="B601">
            <v>2197.3178995416538</v>
          </cell>
          <cell r="C601">
            <v>413.60999999999996</v>
          </cell>
          <cell r="D601">
            <v>0.18823402844271023</v>
          </cell>
          <cell r="E601">
            <v>384.78999999999996</v>
          </cell>
          <cell r="F601">
            <v>156.82999999999998</v>
          </cell>
          <cell r="G601">
            <v>227.95999999999998</v>
          </cell>
        </row>
        <row r="602">
          <cell r="A602">
            <v>6350948000153</v>
          </cell>
          <cell r="B602">
            <v>7141.2822794525709</v>
          </cell>
          <cell r="C602">
            <v>2090.3000000000002</v>
          </cell>
          <cell r="D602">
            <v>0.2927065361936983</v>
          </cell>
          <cell r="E602">
            <v>0</v>
          </cell>
          <cell r="F602">
            <v>0</v>
          </cell>
          <cell r="G602">
            <v>0</v>
          </cell>
        </row>
        <row r="603">
          <cell r="A603">
            <v>10816100000144</v>
          </cell>
          <cell r="B603">
            <v>7024.5790748423606</v>
          </cell>
          <cell r="C603">
            <v>2835.41</v>
          </cell>
          <cell r="D603">
            <v>0.40364126729737604</v>
          </cell>
          <cell r="E603">
            <v>0</v>
          </cell>
          <cell r="F603">
            <v>0</v>
          </cell>
          <cell r="G603">
            <v>0</v>
          </cell>
        </row>
        <row r="604">
          <cell r="A604">
            <v>10341045002470</v>
          </cell>
          <cell r="B604">
            <v>18736.063477131855</v>
          </cell>
          <cell r="C604">
            <v>8134.1900000000005</v>
          </cell>
          <cell r="D604">
            <v>0.43414615935349055</v>
          </cell>
          <cell r="E604">
            <v>6176.5199999999995</v>
          </cell>
          <cell r="F604">
            <v>0</v>
          </cell>
          <cell r="G604">
            <v>6176.5199999999995</v>
          </cell>
        </row>
        <row r="605">
          <cell r="A605">
            <v>10341045002550</v>
          </cell>
          <cell r="B605">
            <v>26938.162310394808</v>
          </cell>
          <cell r="C605">
            <v>13285.540000000006</v>
          </cell>
          <cell r="D605">
            <v>0.49318657475285266</v>
          </cell>
          <cell r="E605">
            <v>9671.6700000000019</v>
          </cell>
          <cell r="F605">
            <v>127.23999999999978</v>
          </cell>
          <cell r="G605">
            <v>9544.4300000000021</v>
          </cell>
        </row>
        <row r="606">
          <cell r="A606">
            <v>10341045002631</v>
          </cell>
          <cell r="B606">
            <v>16432.303520948673</v>
          </cell>
          <cell r="C606">
            <v>7920.5299999999979</v>
          </cell>
          <cell r="D606">
            <v>0.48200971883841687</v>
          </cell>
          <cell r="E606">
            <v>7353.7500000000027</v>
          </cell>
          <cell r="F606">
            <v>254.40000000000055</v>
          </cell>
          <cell r="G606">
            <v>7099.3500000000022</v>
          </cell>
        </row>
        <row r="607">
          <cell r="A607">
            <v>11780832000194</v>
          </cell>
          <cell r="B607">
            <v>17836.010867532244</v>
          </cell>
          <cell r="C607">
            <v>9201.9499999999971</v>
          </cell>
          <cell r="D607">
            <v>0.51591973498686039</v>
          </cell>
          <cell r="E607">
            <v>12929.88000000001</v>
          </cell>
          <cell r="F607">
            <v>2122.5000000000055</v>
          </cell>
          <cell r="G607">
            <v>10807.380000000005</v>
          </cell>
        </row>
        <row r="608">
          <cell r="A608">
            <v>18666741000414</v>
          </cell>
          <cell r="B608">
            <v>12687.205069337238</v>
          </cell>
          <cell r="C608">
            <v>9508.7500000000018</v>
          </cell>
          <cell r="D608">
            <v>0.74947555021247292</v>
          </cell>
          <cell r="E608">
            <v>2325.8000000000002</v>
          </cell>
          <cell r="F608">
            <v>2325.8000000000002</v>
          </cell>
          <cell r="G608">
            <v>0</v>
          </cell>
        </row>
        <row r="609">
          <cell r="A609">
            <v>5344624000140</v>
          </cell>
          <cell r="B609">
            <v>15636.440550698086</v>
          </cell>
          <cell r="C609">
            <v>5318.4999999999991</v>
          </cell>
          <cell r="D609">
            <v>0.34013495480354422</v>
          </cell>
          <cell r="E609">
            <v>3830.92</v>
          </cell>
          <cell r="F609">
            <v>255.25999999999931</v>
          </cell>
          <cell r="G609">
            <v>3575.6600000000008</v>
          </cell>
        </row>
        <row r="610">
          <cell r="A610">
            <v>3142759000105</v>
          </cell>
          <cell r="B610">
            <v>25965.561052598856</v>
          </cell>
          <cell r="C610">
            <v>13088.109999999999</v>
          </cell>
          <cell r="D610">
            <v>0.5040565067508922</v>
          </cell>
          <cell r="E610">
            <v>18201.71</v>
          </cell>
          <cell r="F610">
            <v>1970.779999999997</v>
          </cell>
          <cell r="G610">
            <v>16230.930000000002</v>
          </cell>
        </row>
        <row r="611">
          <cell r="A611">
            <v>8107186000194</v>
          </cell>
          <cell r="B611">
            <v>30501.846608770356</v>
          </cell>
          <cell r="C611">
            <v>15304.359999999993</v>
          </cell>
          <cell r="D611">
            <v>0.50175191673803288</v>
          </cell>
          <cell r="E611">
            <v>13365.43</v>
          </cell>
          <cell r="F611">
            <v>610.82000000000153</v>
          </cell>
          <cell r="G611">
            <v>12754.609999999999</v>
          </cell>
        </row>
        <row r="612">
          <cell r="A612">
            <v>18332251000562</v>
          </cell>
          <cell r="B612">
            <v>17205.127692196249</v>
          </cell>
          <cell r="C612">
            <v>8299.91</v>
          </cell>
          <cell r="D612">
            <v>0.48240909038789642</v>
          </cell>
          <cell r="E612">
            <v>9454.56</v>
          </cell>
          <cell r="F612">
            <v>56.819999999999709</v>
          </cell>
          <cell r="G612">
            <v>9397.74</v>
          </cell>
        </row>
        <row r="613">
          <cell r="A613">
            <v>19436791000125</v>
          </cell>
          <cell r="B613">
            <v>11632.447979371747</v>
          </cell>
          <cell r="C613">
            <v>4644.2699999999986</v>
          </cell>
          <cell r="D613">
            <v>0.39925130189585678</v>
          </cell>
          <cell r="E613">
            <v>1475.6499999999996</v>
          </cell>
          <cell r="F613">
            <v>350.17999999999961</v>
          </cell>
          <cell r="G613">
            <v>1125.47</v>
          </cell>
        </row>
        <row r="614">
          <cell r="A614">
            <v>19436791000206</v>
          </cell>
          <cell r="B614">
            <v>19428.138101137309</v>
          </cell>
          <cell r="C614">
            <v>9240.4599999999991</v>
          </cell>
          <cell r="D614">
            <v>0.47562251986766912</v>
          </cell>
          <cell r="E614">
            <v>9920.9499999999953</v>
          </cell>
          <cell r="F614">
            <v>464.55999999999949</v>
          </cell>
          <cell r="G614">
            <v>9456.3899999999958</v>
          </cell>
        </row>
        <row r="615">
          <cell r="A615">
            <v>19436791000397</v>
          </cell>
          <cell r="B615">
            <v>11046.128688991834</v>
          </cell>
          <cell r="C615">
            <v>2911.8700000000003</v>
          </cell>
          <cell r="D615">
            <v>0.26361000147516506</v>
          </cell>
          <cell r="E615">
            <v>4860.4900000000016</v>
          </cell>
          <cell r="F615">
            <v>219.86000000000058</v>
          </cell>
          <cell r="G615">
            <v>4640.630000000001</v>
          </cell>
        </row>
        <row r="616">
          <cell r="A616">
            <v>19436791000478</v>
          </cell>
          <cell r="B616">
            <v>6663.3153051545596</v>
          </cell>
          <cell r="C616">
            <v>2531.7099999999996</v>
          </cell>
          <cell r="D616">
            <v>0.37994750121482884</v>
          </cell>
          <cell r="E616">
            <v>1931.3600000000004</v>
          </cell>
          <cell r="F616">
            <v>263.30000000000018</v>
          </cell>
          <cell r="G616">
            <v>1668.0600000000002</v>
          </cell>
        </row>
        <row r="617">
          <cell r="A617">
            <v>19651628000185</v>
          </cell>
          <cell r="B617">
            <v>10159.440018075791</v>
          </cell>
          <cell r="C617">
            <v>3631.72</v>
          </cell>
          <cell r="D617">
            <v>0.35747245847590048</v>
          </cell>
          <cell r="E617">
            <v>5504.1200000000008</v>
          </cell>
          <cell r="F617">
            <v>872.5</v>
          </cell>
          <cell r="G617">
            <v>4631.6200000000008</v>
          </cell>
        </row>
        <row r="618">
          <cell r="A618">
            <v>19651628000347</v>
          </cell>
          <cell r="B618">
            <v>6265.4712192037805</v>
          </cell>
          <cell r="C618">
            <v>1856.25</v>
          </cell>
          <cell r="D618">
            <v>0.2962666230610973</v>
          </cell>
          <cell r="E618">
            <v>4094.87</v>
          </cell>
          <cell r="F618">
            <v>1382.2000000000003</v>
          </cell>
          <cell r="G618">
            <v>2712.6699999999996</v>
          </cell>
        </row>
        <row r="619">
          <cell r="A619">
            <v>19713710000197</v>
          </cell>
          <cell r="B619">
            <v>63199.571668194963</v>
          </cell>
          <cell r="C619">
            <v>21896.579999999991</v>
          </cell>
          <cell r="D619">
            <v>0.34646722156535426</v>
          </cell>
          <cell r="E619">
            <v>11896.630000000003</v>
          </cell>
          <cell r="F619">
            <v>403.72000000000116</v>
          </cell>
          <cell r="G619">
            <v>11492.910000000002</v>
          </cell>
        </row>
        <row r="620">
          <cell r="A620">
            <v>19713710000278</v>
          </cell>
          <cell r="B620">
            <v>12822.9704775666</v>
          </cell>
          <cell r="C620">
            <v>5391.9600000000009</v>
          </cell>
          <cell r="D620">
            <v>0.42049227278757856</v>
          </cell>
          <cell r="E620">
            <v>3310.4899999999993</v>
          </cell>
          <cell r="F620">
            <v>492.87999999999965</v>
          </cell>
          <cell r="G620">
            <v>2817.6099999999997</v>
          </cell>
        </row>
        <row r="621">
          <cell r="A621">
            <v>19713710000359</v>
          </cell>
          <cell r="B621">
            <v>11943.124296136315</v>
          </cell>
          <cell r="C621">
            <v>10108.709999999999</v>
          </cell>
          <cell r="D621">
            <v>0.84640415266131308</v>
          </cell>
          <cell r="E621">
            <v>2580.9800000000005</v>
          </cell>
          <cell r="F621">
            <v>470.36000000000058</v>
          </cell>
          <cell r="G621">
            <v>2110.62</v>
          </cell>
        </row>
        <row r="622">
          <cell r="A622">
            <v>19713710000430</v>
          </cell>
          <cell r="B622">
            <v>8874.6897094542073</v>
          </cell>
          <cell r="C622">
            <v>4846.0499999999993</v>
          </cell>
          <cell r="D622">
            <v>0.54605289409020152</v>
          </cell>
          <cell r="E622">
            <v>2789.4999999999991</v>
          </cell>
          <cell r="F622">
            <v>71.959999999999127</v>
          </cell>
          <cell r="G622">
            <v>2717.54</v>
          </cell>
        </row>
        <row r="623">
          <cell r="A623">
            <v>19713710000510</v>
          </cell>
          <cell r="B623">
            <v>654.20968009515082</v>
          </cell>
          <cell r="C623">
            <v>918.09999999999991</v>
          </cell>
          <cell r="D623">
            <v>1.4033726921718246</v>
          </cell>
          <cell r="E623">
            <v>0</v>
          </cell>
          <cell r="F623">
            <v>0</v>
          </cell>
          <cell r="G623">
            <v>0</v>
          </cell>
        </row>
        <row r="624">
          <cell r="A624">
            <v>20330018000169</v>
          </cell>
          <cell r="B624">
            <v>10033.688578691676</v>
          </cell>
          <cell r="C624">
            <v>5785.4399999999987</v>
          </cell>
          <cell r="D624">
            <v>0.57660151146074146</v>
          </cell>
          <cell r="E624">
            <v>7101.6300000000019</v>
          </cell>
          <cell r="F624">
            <v>522.52000000000135</v>
          </cell>
          <cell r="G624">
            <v>6579.1100000000006</v>
          </cell>
        </row>
        <row r="625">
          <cell r="A625">
            <v>22166562000142</v>
          </cell>
          <cell r="B625">
            <v>27886.609508138969</v>
          </cell>
          <cell r="C625">
            <v>12718.229999999998</v>
          </cell>
          <cell r="D625">
            <v>0.45606942630612957</v>
          </cell>
          <cell r="E625">
            <v>12773.499999999996</v>
          </cell>
          <cell r="F625">
            <v>591.02999999999884</v>
          </cell>
          <cell r="G625">
            <v>12182.469999999998</v>
          </cell>
        </row>
        <row r="626">
          <cell r="A626">
            <v>22166562000223</v>
          </cell>
          <cell r="B626">
            <v>9926.3852037543365</v>
          </cell>
          <cell r="C626">
            <v>3559.8099999999995</v>
          </cell>
          <cell r="D626">
            <v>0.35862098104490403</v>
          </cell>
          <cell r="E626">
            <v>2972.0000000000009</v>
          </cell>
          <cell r="F626">
            <v>197.42000000000007</v>
          </cell>
          <cell r="G626">
            <v>2774.5800000000008</v>
          </cell>
        </row>
        <row r="627">
          <cell r="A627">
            <v>22166562000304</v>
          </cell>
          <cell r="B627">
            <v>15212.068976052673</v>
          </cell>
          <cell r="C627">
            <v>5958.3400000000011</v>
          </cell>
          <cell r="D627">
            <v>0.39168505016509003</v>
          </cell>
          <cell r="E627">
            <v>7094.8600000000015</v>
          </cell>
          <cell r="F627">
            <v>434.70999999999913</v>
          </cell>
          <cell r="G627">
            <v>6660.1500000000024</v>
          </cell>
        </row>
        <row r="628">
          <cell r="A628">
            <v>22166562000576</v>
          </cell>
          <cell r="B628">
            <v>5828.5849477263719</v>
          </cell>
          <cell r="C628">
            <v>2337.8200000000002</v>
          </cell>
          <cell r="D628">
            <v>0.40109563830101552</v>
          </cell>
          <cell r="E628">
            <v>1852.5</v>
          </cell>
          <cell r="F628">
            <v>338.98999999999978</v>
          </cell>
          <cell r="G628">
            <v>1513.5100000000002</v>
          </cell>
        </row>
        <row r="629">
          <cell r="A629">
            <v>22379586000180</v>
          </cell>
          <cell r="B629">
            <v>9185.2636053877577</v>
          </cell>
          <cell r="C629">
            <v>4096.55</v>
          </cell>
          <cell r="D629">
            <v>0.44599155516855343</v>
          </cell>
          <cell r="E629">
            <v>3661.98</v>
          </cell>
          <cell r="F629">
            <v>265.34000000000015</v>
          </cell>
          <cell r="G629">
            <v>3396.64</v>
          </cell>
        </row>
        <row r="630">
          <cell r="A630">
            <v>23585408000178</v>
          </cell>
          <cell r="B630">
            <v>22195.273331300843</v>
          </cell>
          <cell r="C630">
            <v>6627.7199999999993</v>
          </cell>
          <cell r="D630">
            <v>0.29860952379681982</v>
          </cell>
          <cell r="E630">
            <v>13451.129999999997</v>
          </cell>
          <cell r="F630">
            <v>10585.149999999998</v>
          </cell>
          <cell r="G630">
            <v>2865.98</v>
          </cell>
        </row>
        <row r="631">
          <cell r="A631">
            <v>26291944000159</v>
          </cell>
          <cell r="B631">
            <v>7088.5555835718333</v>
          </cell>
          <cell r="C631">
            <v>3368.37</v>
          </cell>
          <cell r="D631">
            <v>0.47518425443490997</v>
          </cell>
          <cell r="E631">
            <v>240.68</v>
          </cell>
          <cell r="F631">
            <v>0</v>
          </cell>
          <cell r="G631">
            <v>240.68</v>
          </cell>
        </row>
        <row r="632">
          <cell r="A632">
            <v>63261786000110</v>
          </cell>
          <cell r="B632">
            <v>2667.091627665684</v>
          </cell>
          <cell r="C632">
            <v>3073.12</v>
          </cell>
          <cell r="D632">
            <v>1.1522363791789501</v>
          </cell>
          <cell r="E632">
            <v>3717.6800000000003</v>
          </cell>
          <cell r="F632">
            <v>29.25</v>
          </cell>
          <cell r="G632">
            <v>3688.4300000000003</v>
          </cell>
        </row>
        <row r="633">
          <cell r="A633">
            <v>18645755000290</v>
          </cell>
          <cell r="B633">
            <v>8121.0710117034751</v>
          </cell>
          <cell r="C633">
            <v>3501.76</v>
          </cell>
          <cell r="D633">
            <v>0.4311943578566827</v>
          </cell>
          <cell r="E633">
            <v>3730.5000000000005</v>
          </cell>
          <cell r="F633">
            <v>8.2899999999999636</v>
          </cell>
          <cell r="G633">
            <v>3722.2100000000005</v>
          </cell>
        </row>
        <row r="634">
          <cell r="A634">
            <v>18645755000451</v>
          </cell>
          <cell r="B634">
            <v>7952.1845374242266</v>
          </cell>
          <cell r="C634">
            <v>3632.7700000000004</v>
          </cell>
          <cell r="D634">
            <v>0.45682667233181218</v>
          </cell>
          <cell r="E634">
            <v>1422.0700000000002</v>
          </cell>
          <cell r="F634">
            <v>0</v>
          </cell>
          <cell r="G634">
            <v>1422.0700000000002</v>
          </cell>
        </row>
        <row r="635">
          <cell r="A635">
            <v>18645755000532</v>
          </cell>
          <cell r="B635">
            <v>1948.947395994119</v>
          </cell>
          <cell r="C635">
            <v>1657.1299999999997</v>
          </cell>
          <cell r="D635">
            <v>0.85026922912649006</v>
          </cell>
          <cell r="E635">
            <v>0</v>
          </cell>
          <cell r="F635">
            <v>0</v>
          </cell>
          <cell r="G635">
            <v>0</v>
          </cell>
        </row>
        <row r="636">
          <cell r="A636">
            <v>18645755000109</v>
          </cell>
          <cell r="B636">
            <v>11325.460521205672</v>
          </cell>
          <cell r="C636">
            <v>5356.3300000000008</v>
          </cell>
          <cell r="D636">
            <v>0.47294588948245109</v>
          </cell>
          <cell r="E636">
            <v>6885.340000000002</v>
          </cell>
          <cell r="F636">
            <v>173.63999999999942</v>
          </cell>
          <cell r="G636">
            <v>6711.7000000000025</v>
          </cell>
        </row>
        <row r="637">
          <cell r="A637">
            <v>18666741000171</v>
          </cell>
          <cell r="B637">
            <v>45417.124825951025</v>
          </cell>
          <cell r="C637">
            <v>20816.639999999989</v>
          </cell>
          <cell r="D637">
            <v>0.45834341296975956</v>
          </cell>
          <cell r="E637">
            <v>6547.3</v>
          </cell>
          <cell r="F637">
            <v>1800.630000000001</v>
          </cell>
          <cell r="G637">
            <v>4746.6699999999992</v>
          </cell>
        </row>
        <row r="638">
          <cell r="A638">
            <v>1678322000157</v>
          </cell>
          <cell r="B638">
            <v>7836.4485258110717</v>
          </cell>
          <cell r="C638">
            <v>1829.5700000000004</v>
          </cell>
          <cell r="D638">
            <v>0.23346928062806871</v>
          </cell>
          <cell r="E638">
            <v>4157.6099999999997</v>
          </cell>
          <cell r="F638">
            <v>42.9399999999996</v>
          </cell>
          <cell r="G638">
            <v>4114.67</v>
          </cell>
        </row>
        <row r="639">
          <cell r="A639">
            <v>5344624000301</v>
          </cell>
          <cell r="B639">
            <v>10222.147861337418</v>
          </cell>
          <cell r="C639">
            <v>5189.2800000000007</v>
          </cell>
          <cell r="D639">
            <v>0.50765064939307769</v>
          </cell>
          <cell r="E639">
            <v>3592.06</v>
          </cell>
          <cell r="F639">
            <v>139.86999999999989</v>
          </cell>
          <cell r="G639">
            <v>3452.19</v>
          </cell>
        </row>
        <row r="640">
          <cell r="A640">
            <v>10341045000183</v>
          </cell>
          <cell r="B640">
            <v>60669.360601323686</v>
          </cell>
          <cell r="C640">
            <v>25699.179999999989</v>
          </cell>
          <cell r="D640">
            <v>0.42359404723047772</v>
          </cell>
          <cell r="E640">
            <v>16090.489999999996</v>
          </cell>
          <cell r="F640">
            <v>385.66000000000167</v>
          </cell>
          <cell r="G640">
            <v>15704.829999999994</v>
          </cell>
        </row>
        <row r="641">
          <cell r="A641">
            <v>10341045000264</v>
          </cell>
          <cell r="B641">
            <v>8215.0849210865726</v>
          </cell>
          <cell r="C641">
            <v>2530.1399999999994</v>
          </cell>
          <cell r="D641">
            <v>0.30798707795528779</v>
          </cell>
          <cell r="E641">
            <v>1409.99</v>
          </cell>
          <cell r="F641">
            <v>0</v>
          </cell>
          <cell r="G641">
            <v>1409.99</v>
          </cell>
        </row>
        <row r="642">
          <cell r="A642">
            <v>10341045000426</v>
          </cell>
          <cell r="B642">
            <v>12101.626402963086</v>
          </cell>
          <cell r="C642">
            <v>4538.2400000000007</v>
          </cell>
          <cell r="D642">
            <v>0.37501075052926869</v>
          </cell>
          <cell r="E642">
            <v>3099.6800000000003</v>
          </cell>
          <cell r="F642">
            <v>123.80999999999995</v>
          </cell>
          <cell r="G642">
            <v>2975.8700000000003</v>
          </cell>
        </row>
        <row r="643">
          <cell r="A643">
            <v>10341045000507</v>
          </cell>
          <cell r="B643">
            <v>14454.475745074482</v>
          </cell>
          <cell r="C643">
            <v>5513.6100000000015</v>
          </cell>
          <cell r="D643">
            <v>0.38144655657115917</v>
          </cell>
          <cell r="E643">
            <v>3569.6999999999994</v>
          </cell>
          <cell r="F643">
            <v>0</v>
          </cell>
          <cell r="G643">
            <v>3569.6999999999994</v>
          </cell>
        </row>
        <row r="644">
          <cell r="A644">
            <v>10341045000698</v>
          </cell>
          <cell r="B644">
            <v>4421.2678533289536</v>
          </cell>
          <cell r="C644">
            <v>2411.67</v>
          </cell>
          <cell r="D644">
            <v>0.54547023161787289</v>
          </cell>
          <cell r="E644">
            <v>1329.78</v>
          </cell>
          <cell r="F644">
            <v>0</v>
          </cell>
          <cell r="G644">
            <v>1329.78</v>
          </cell>
        </row>
        <row r="645">
          <cell r="A645">
            <v>10341045000779</v>
          </cell>
          <cell r="B645">
            <v>54207.929590797292</v>
          </cell>
          <cell r="C645">
            <v>26226.979999999996</v>
          </cell>
          <cell r="D645">
            <v>0.48382183562407199</v>
          </cell>
          <cell r="E645">
            <v>22387.23</v>
          </cell>
          <cell r="F645">
            <v>1946.0199999999968</v>
          </cell>
          <cell r="G645">
            <v>20441.210000000003</v>
          </cell>
        </row>
        <row r="646">
          <cell r="A646">
            <v>10341045000850</v>
          </cell>
          <cell r="B646">
            <v>29258.711510638379</v>
          </cell>
          <cell r="C646">
            <v>13655.689999999999</v>
          </cell>
          <cell r="D646">
            <v>0.46672219297951079</v>
          </cell>
          <cell r="E646">
            <v>13460.940000000004</v>
          </cell>
          <cell r="F646">
            <v>835.80000000000109</v>
          </cell>
          <cell r="G646">
            <v>12625.140000000003</v>
          </cell>
        </row>
        <row r="647">
          <cell r="A647">
            <v>10341045000930</v>
          </cell>
          <cell r="B647">
            <v>4386.8997287881821</v>
          </cell>
          <cell r="C647">
            <v>1935.9899999999996</v>
          </cell>
          <cell r="D647">
            <v>0.4413116596432417</v>
          </cell>
          <cell r="E647">
            <v>2027.5600000000002</v>
          </cell>
          <cell r="F647">
            <v>231.88000000000034</v>
          </cell>
          <cell r="G647">
            <v>1795.6799999999998</v>
          </cell>
        </row>
        <row r="648">
          <cell r="A648">
            <v>10341045001074</v>
          </cell>
          <cell r="B648">
            <v>16374.664267664062</v>
          </cell>
          <cell r="C648">
            <v>7907.1200000000008</v>
          </cell>
          <cell r="D648">
            <v>0.48288745776697356</v>
          </cell>
          <cell r="E648">
            <v>6853.6</v>
          </cell>
          <cell r="F648">
            <v>214.26000000000022</v>
          </cell>
          <cell r="G648">
            <v>6639.34</v>
          </cell>
        </row>
        <row r="649">
          <cell r="A649">
            <v>10341045001155</v>
          </cell>
          <cell r="B649">
            <v>38445.23088629383</v>
          </cell>
          <cell r="C649">
            <v>17296.61</v>
          </cell>
          <cell r="D649">
            <v>0.44990261734041093</v>
          </cell>
          <cell r="E649">
            <v>15078.829999999998</v>
          </cell>
          <cell r="F649">
            <v>180.05999999999949</v>
          </cell>
          <cell r="G649">
            <v>14898.769999999999</v>
          </cell>
        </row>
        <row r="650">
          <cell r="A650">
            <v>10341045001236</v>
          </cell>
          <cell r="B650">
            <v>11715.23797900667</v>
          </cell>
          <cell r="C650">
            <v>4422.66</v>
          </cell>
          <cell r="D650">
            <v>0.37751345793617375</v>
          </cell>
          <cell r="E650">
            <v>3903.7499999999995</v>
          </cell>
          <cell r="F650">
            <v>170.80999999999995</v>
          </cell>
          <cell r="G650">
            <v>3732.9399999999996</v>
          </cell>
        </row>
        <row r="651">
          <cell r="A651">
            <v>10341045001317</v>
          </cell>
          <cell r="B651">
            <v>32536.033406322058</v>
          </cell>
          <cell r="C651">
            <v>15198.470000000001</v>
          </cell>
          <cell r="D651">
            <v>0.46712731727914919</v>
          </cell>
          <cell r="E651">
            <v>15336.080000000004</v>
          </cell>
          <cell r="F651">
            <v>3985.779999999997</v>
          </cell>
          <cell r="G651">
            <v>11350.300000000007</v>
          </cell>
        </row>
        <row r="652">
          <cell r="A652">
            <v>10341045001406</v>
          </cell>
          <cell r="B652">
            <v>26695.248952063426</v>
          </cell>
          <cell r="C652">
            <v>12166.400000000007</v>
          </cell>
          <cell r="D652">
            <v>0.45575150926096147</v>
          </cell>
          <cell r="E652">
            <v>11285.729999999994</v>
          </cell>
          <cell r="F652">
            <v>553.13999999999942</v>
          </cell>
          <cell r="G652">
            <v>10732.589999999995</v>
          </cell>
        </row>
        <row r="653">
          <cell r="A653">
            <v>10341045001589</v>
          </cell>
          <cell r="B653">
            <v>2960.1982748918276</v>
          </cell>
          <cell r="C653">
            <v>818.79000000000019</v>
          </cell>
          <cell r="D653">
            <v>0.27659971527749122</v>
          </cell>
          <cell r="E653">
            <v>2699.4900000000002</v>
          </cell>
          <cell r="F653">
            <v>1065.6100000000001</v>
          </cell>
          <cell r="G653">
            <v>1633.88</v>
          </cell>
        </row>
        <row r="654">
          <cell r="A654">
            <v>10341045001660</v>
          </cell>
          <cell r="B654">
            <v>9939.4349731348466</v>
          </cell>
          <cell r="C654">
            <v>3087.9400000000005</v>
          </cell>
          <cell r="D654">
            <v>0.3106756076523815</v>
          </cell>
          <cell r="E654">
            <v>2349.5800000000004</v>
          </cell>
          <cell r="F654">
            <v>208.55999999999995</v>
          </cell>
          <cell r="G654">
            <v>2141.0200000000004</v>
          </cell>
        </row>
        <row r="655">
          <cell r="A655">
            <v>10341045001740</v>
          </cell>
          <cell r="B655">
            <v>6053.7827090981837</v>
          </cell>
          <cell r="C655">
            <v>2105.1099999999997</v>
          </cell>
          <cell r="D655">
            <v>0.3477346480963458</v>
          </cell>
          <cell r="E655">
            <v>1745.7</v>
          </cell>
          <cell r="F655">
            <v>99.479999999999791</v>
          </cell>
          <cell r="G655">
            <v>1646.2200000000003</v>
          </cell>
        </row>
        <row r="656">
          <cell r="A656">
            <v>10341045001821</v>
          </cell>
          <cell r="B656">
            <v>21364.517009646799</v>
          </cell>
          <cell r="C656">
            <v>6604.98</v>
          </cell>
          <cell r="D656">
            <v>0.30915653262920145</v>
          </cell>
          <cell r="E656">
            <v>8633.9699999999975</v>
          </cell>
          <cell r="F656">
            <v>3369.9999999999973</v>
          </cell>
          <cell r="G656">
            <v>5263.97</v>
          </cell>
        </row>
        <row r="657">
          <cell r="A657">
            <v>10341045001902</v>
          </cell>
          <cell r="B657">
            <v>23881.36098840331</v>
          </cell>
          <cell r="C657">
            <v>10434.19</v>
          </cell>
          <cell r="D657">
            <v>0.43691772864481215</v>
          </cell>
          <cell r="E657">
            <v>12420.99</v>
          </cell>
          <cell r="F657">
            <v>3441.67</v>
          </cell>
          <cell r="G657">
            <v>8979.32</v>
          </cell>
        </row>
        <row r="658">
          <cell r="A658">
            <v>10341045002046</v>
          </cell>
          <cell r="B658">
            <v>19217.693121101496</v>
          </cell>
          <cell r="C658">
            <v>8099.9999999999991</v>
          </cell>
          <cell r="D658">
            <v>0.4214865930555422</v>
          </cell>
          <cell r="E658">
            <v>10792.920000000004</v>
          </cell>
          <cell r="F658">
            <v>3098.140000000004</v>
          </cell>
          <cell r="G658">
            <v>7694.78</v>
          </cell>
        </row>
        <row r="659">
          <cell r="A659">
            <v>10341045002127</v>
          </cell>
          <cell r="B659">
            <v>14049.710908441335</v>
          </cell>
          <cell r="C659">
            <v>5122.42</v>
          </cell>
          <cell r="D659">
            <v>0.36459255520498662</v>
          </cell>
          <cell r="E659">
            <v>6379.2800000000016</v>
          </cell>
          <cell r="F659">
            <v>2192.2400000000016</v>
          </cell>
          <cell r="G659">
            <v>4187.04</v>
          </cell>
        </row>
        <row r="660">
          <cell r="A660">
            <v>10341045002399</v>
          </cell>
          <cell r="B660">
            <v>25826.733267431606</v>
          </cell>
          <cell r="C660">
            <v>11684.67</v>
          </cell>
          <cell r="D660">
            <v>0.45242539499700368</v>
          </cell>
          <cell r="E660">
            <v>13021.899999999998</v>
          </cell>
          <cell r="F660">
            <v>3281.17</v>
          </cell>
          <cell r="G660">
            <v>9740.7299999999977</v>
          </cell>
        </row>
        <row r="661">
          <cell r="A661">
            <v>18332251000139</v>
          </cell>
          <cell r="B661">
            <v>18316.582778702988</v>
          </cell>
          <cell r="C661">
            <v>7513.19</v>
          </cell>
          <cell r="D661">
            <v>0.41018513610168145</v>
          </cell>
          <cell r="E661">
            <v>8018.239999999998</v>
          </cell>
          <cell r="F661">
            <v>82.520000000000437</v>
          </cell>
          <cell r="G661">
            <v>7935.7199999999975</v>
          </cell>
        </row>
        <row r="662">
          <cell r="A662">
            <v>18332251000210</v>
          </cell>
          <cell r="B662">
            <v>16229.818798225613</v>
          </cell>
          <cell r="C662">
            <v>6765.9400000000005</v>
          </cell>
          <cell r="D662">
            <v>0.41688327418293253</v>
          </cell>
          <cell r="E662">
            <v>6326.8600000000006</v>
          </cell>
          <cell r="F662">
            <v>584.34000000000015</v>
          </cell>
          <cell r="G662">
            <v>5742.52</v>
          </cell>
        </row>
        <row r="663">
          <cell r="A663">
            <v>18332251000309</v>
          </cell>
          <cell r="B663">
            <v>5844.8708303680369</v>
          </cell>
          <cell r="C663">
            <v>1942.8200000000002</v>
          </cell>
          <cell r="D663">
            <v>0.33239742269508216</v>
          </cell>
          <cell r="E663">
            <v>2306.2799999999997</v>
          </cell>
          <cell r="F663">
            <v>0</v>
          </cell>
          <cell r="G663">
            <v>2306.2799999999997</v>
          </cell>
        </row>
        <row r="664">
          <cell r="A664">
            <v>18332251000481</v>
          </cell>
          <cell r="B664">
            <v>4570.9509190854724</v>
          </cell>
          <cell r="C664">
            <v>1665.6799999999996</v>
          </cell>
          <cell r="D664">
            <v>0.36440557544495766</v>
          </cell>
          <cell r="E664">
            <v>2306.6799999999998</v>
          </cell>
          <cell r="F664">
            <v>0</v>
          </cell>
          <cell r="G664">
            <v>2306.6799999999998</v>
          </cell>
        </row>
        <row r="665">
          <cell r="A665">
            <v>19909093000108</v>
          </cell>
          <cell r="B665">
            <v>14853.094435978977</v>
          </cell>
          <cell r="C665">
            <v>7141.04</v>
          </cell>
          <cell r="D665">
            <v>0.48077793020032927</v>
          </cell>
          <cell r="E665">
            <v>0</v>
          </cell>
          <cell r="F665">
            <v>0</v>
          </cell>
          <cell r="G665">
            <v>0</v>
          </cell>
        </row>
        <row r="666">
          <cell r="A666">
            <v>19909093000280</v>
          </cell>
          <cell r="B666">
            <v>1204.3150601310394</v>
          </cell>
          <cell r="C666">
            <v>1599.8100000000002</v>
          </cell>
          <cell r="D666">
            <v>1.3283982347824561</v>
          </cell>
          <cell r="E666">
            <v>0</v>
          </cell>
          <cell r="F666">
            <v>0</v>
          </cell>
          <cell r="G666">
            <v>0</v>
          </cell>
        </row>
        <row r="667">
          <cell r="A667">
            <v>20718662000109</v>
          </cell>
          <cell r="B667">
            <v>2189.3410962808371</v>
          </cell>
          <cell r="C667">
            <v>1268.6400000000001</v>
          </cell>
          <cell r="D667">
            <v>0.57946201355061289</v>
          </cell>
          <cell r="E667">
            <v>2074.9899999999998</v>
          </cell>
          <cell r="F667">
            <v>601.68999999999983</v>
          </cell>
          <cell r="G667">
            <v>1473.3</v>
          </cell>
        </row>
        <row r="668">
          <cell r="A668">
            <v>24437271000177</v>
          </cell>
          <cell r="B668">
            <v>13342.556361536532</v>
          </cell>
          <cell r="C668">
            <v>4263.43</v>
          </cell>
          <cell r="D668">
            <v>0.31953621813361577</v>
          </cell>
          <cell r="E668">
            <v>2986.6099999999997</v>
          </cell>
          <cell r="F668">
            <v>0</v>
          </cell>
          <cell r="G668">
            <v>2986.6099999999997</v>
          </cell>
        </row>
        <row r="669">
          <cell r="A669">
            <v>27769234000154</v>
          </cell>
          <cell r="B669">
            <v>10993.015607729561</v>
          </cell>
          <cell r="C669">
            <v>4516.26</v>
          </cell>
          <cell r="D669">
            <v>0.41082994522671878</v>
          </cell>
          <cell r="E669">
            <v>4747.8700000000008</v>
          </cell>
          <cell r="F669">
            <v>71.319999999999709</v>
          </cell>
          <cell r="G669">
            <v>4676.5500000000011</v>
          </cell>
        </row>
        <row r="670">
          <cell r="A670">
            <v>5344624000492</v>
          </cell>
          <cell r="B670">
            <v>7073.6254126402519</v>
          </cell>
          <cell r="C670">
            <v>2645.42</v>
          </cell>
          <cell r="D670">
            <v>0.37398361457941398</v>
          </cell>
          <cell r="E670">
            <v>1801.6700000000003</v>
          </cell>
          <cell r="F670">
            <v>105.06000000000017</v>
          </cell>
          <cell r="G670">
            <v>1696.6100000000001</v>
          </cell>
        </row>
        <row r="671">
          <cell r="A671">
            <v>35282298000154</v>
          </cell>
          <cell r="B671">
            <v>17628.221795035613</v>
          </cell>
          <cell r="C671">
            <v>7162.1200000000035</v>
          </cell>
          <cell r="D671">
            <v>0.406287150415646</v>
          </cell>
          <cell r="E671">
            <v>5572.8499999999995</v>
          </cell>
          <cell r="F671">
            <v>1602.1899999999996</v>
          </cell>
          <cell r="G671">
            <v>3970.66</v>
          </cell>
        </row>
        <row r="672">
          <cell r="A672">
            <v>62343168000157</v>
          </cell>
          <cell r="B672">
            <v>5523.2603082210771</v>
          </cell>
          <cell r="C672">
            <v>3671.74</v>
          </cell>
          <cell r="D672">
            <v>0.6647776485447936</v>
          </cell>
          <cell r="E672">
            <v>0</v>
          </cell>
          <cell r="F672">
            <v>0</v>
          </cell>
          <cell r="G672">
            <v>0</v>
          </cell>
        </row>
        <row r="673">
          <cell r="A673">
            <v>4114403000112</v>
          </cell>
          <cell r="B673">
            <v>67104.952149285644</v>
          </cell>
          <cell r="C673">
            <v>29409.199999999993</v>
          </cell>
          <cell r="D673">
            <v>0.43825677625959031</v>
          </cell>
          <cell r="E673">
            <v>28726.240000000009</v>
          </cell>
          <cell r="F673">
            <v>952.63000000000102</v>
          </cell>
          <cell r="G673">
            <v>27773.610000000008</v>
          </cell>
        </row>
        <row r="674">
          <cell r="A674">
            <v>4114403000201</v>
          </cell>
          <cell r="B674">
            <v>16089.111922314996</v>
          </cell>
          <cell r="C674">
            <v>7008.8500000000013</v>
          </cell>
          <cell r="D674">
            <v>0.43562690307840973</v>
          </cell>
          <cell r="E674">
            <v>5684.61</v>
          </cell>
          <cell r="F674">
            <v>399.01000000000022</v>
          </cell>
          <cell r="G674">
            <v>5285.5999999999995</v>
          </cell>
        </row>
        <row r="675">
          <cell r="A675">
            <v>4114403000384</v>
          </cell>
          <cell r="B675">
            <v>14525.135025598309</v>
          </cell>
          <cell r="C675">
            <v>7413.2599999999993</v>
          </cell>
          <cell r="D675">
            <v>0.51037460147084845</v>
          </cell>
          <cell r="E675">
            <v>5520.1900000000014</v>
          </cell>
          <cell r="F675">
            <v>226.59000000000106</v>
          </cell>
          <cell r="G675">
            <v>5293.6</v>
          </cell>
        </row>
        <row r="676">
          <cell r="A676">
            <v>9492647000152</v>
          </cell>
          <cell r="B676">
            <v>23813.550620309434</v>
          </cell>
          <cell r="C676">
            <v>11470.12</v>
          </cell>
          <cell r="D676">
            <v>0.48166357814015714</v>
          </cell>
          <cell r="E676">
            <v>19100.730000000003</v>
          </cell>
          <cell r="F676">
            <v>1583.2500000000036</v>
          </cell>
          <cell r="G676">
            <v>17517.48</v>
          </cell>
        </row>
        <row r="677">
          <cell r="A677">
            <v>9492647000314</v>
          </cell>
          <cell r="B677">
            <v>15024.364806250205</v>
          </cell>
          <cell r="C677">
            <v>6214.2199999999993</v>
          </cell>
          <cell r="D677">
            <v>0.4136094989796078</v>
          </cell>
          <cell r="E677">
            <v>13728.919999999996</v>
          </cell>
          <cell r="F677">
            <v>527.54000000000269</v>
          </cell>
          <cell r="G677">
            <v>13201.379999999994</v>
          </cell>
        </row>
        <row r="678">
          <cell r="A678">
            <v>9492647000403</v>
          </cell>
          <cell r="B678">
            <v>10171.66073010571</v>
          </cell>
          <cell r="C678">
            <v>4406.8600000000006</v>
          </cell>
          <cell r="D678">
            <v>0.43324881913891772</v>
          </cell>
          <cell r="E678">
            <v>6360.1799999999994</v>
          </cell>
          <cell r="F678">
            <v>253.60999999999876</v>
          </cell>
          <cell r="G678">
            <v>6106.5700000000006</v>
          </cell>
        </row>
        <row r="679">
          <cell r="A679">
            <v>9492647000667</v>
          </cell>
          <cell r="B679">
            <v>9725.4140496120635</v>
          </cell>
          <cell r="C679">
            <v>4943.380000000001</v>
          </cell>
          <cell r="D679">
            <v>0.50829506844463734</v>
          </cell>
          <cell r="E679">
            <v>5978.2300000000005</v>
          </cell>
          <cell r="F679">
            <v>284.72000000000116</v>
          </cell>
          <cell r="G679">
            <v>5693.5099999999993</v>
          </cell>
        </row>
        <row r="680">
          <cell r="A680">
            <v>9492647000829</v>
          </cell>
          <cell r="B680">
            <v>15368.611101298693</v>
          </cell>
          <cell r="C680">
            <v>6114.9999999999991</v>
          </cell>
          <cell r="D680">
            <v>0.39788891525033537</v>
          </cell>
          <cell r="E680">
            <v>9459.7300000000014</v>
          </cell>
          <cell r="F680">
            <v>256.95999999999913</v>
          </cell>
          <cell r="G680">
            <v>9202.7700000000023</v>
          </cell>
        </row>
        <row r="681">
          <cell r="A681">
            <v>9492647000900</v>
          </cell>
          <cell r="B681">
            <v>10775.493731341579</v>
          </cell>
          <cell r="C681">
            <v>4004.6199999999985</v>
          </cell>
          <cell r="D681">
            <v>0.37164143934789445</v>
          </cell>
          <cell r="E681">
            <v>5609.3700000000008</v>
          </cell>
          <cell r="F681">
            <v>358.19000000000051</v>
          </cell>
          <cell r="G681">
            <v>5251.18</v>
          </cell>
        </row>
        <row r="682">
          <cell r="A682">
            <v>9492647001205</v>
          </cell>
          <cell r="B682">
            <v>9108.1684646652175</v>
          </cell>
          <cell r="C682">
            <v>3857.2299999999991</v>
          </cell>
          <cell r="D682">
            <v>0.42349128861241114</v>
          </cell>
          <cell r="E682">
            <v>5141.1500000000005</v>
          </cell>
          <cell r="F682">
            <v>552.04999999999927</v>
          </cell>
          <cell r="G682">
            <v>4589.1000000000013</v>
          </cell>
        </row>
        <row r="683">
          <cell r="A683">
            <v>9571632000180</v>
          </cell>
          <cell r="B683">
            <v>9110.9575967773162</v>
          </cell>
          <cell r="C683">
            <v>4260.4199999999992</v>
          </cell>
          <cell r="D683">
            <v>0.46761495207781167</v>
          </cell>
          <cell r="E683">
            <v>3783.1400000000003</v>
          </cell>
          <cell r="F683">
            <v>14.080000000000382</v>
          </cell>
          <cell r="G683">
            <v>3769.06</v>
          </cell>
        </row>
        <row r="684">
          <cell r="A684">
            <v>19651628000770</v>
          </cell>
          <cell r="B684">
            <v>9186.7028109200401</v>
          </cell>
          <cell r="C684">
            <v>3833.26</v>
          </cell>
          <cell r="D684">
            <v>0.4172617835686907</v>
          </cell>
          <cell r="E684">
            <v>3112.88</v>
          </cell>
          <cell r="F684">
            <v>465.41999999999962</v>
          </cell>
          <cell r="G684">
            <v>2647.4600000000005</v>
          </cell>
        </row>
        <row r="685">
          <cell r="A685">
            <v>20884408000180</v>
          </cell>
          <cell r="B685">
            <v>37947.634731630613</v>
          </cell>
          <cell r="C685">
            <v>16401.349999999999</v>
          </cell>
          <cell r="D685">
            <v>0.43221007359198937</v>
          </cell>
          <cell r="E685">
            <v>5605.7599999999984</v>
          </cell>
          <cell r="F685">
            <v>687.47999999999865</v>
          </cell>
          <cell r="G685">
            <v>4918.28</v>
          </cell>
        </row>
        <row r="686">
          <cell r="A686">
            <v>20884408000261</v>
          </cell>
          <cell r="B686">
            <v>18510.005167711533</v>
          </cell>
          <cell r="C686">
            <v>8193.8799999999992</v>
          </cell>
          <cell r="D686">
            <v>0.44267302606123698</v>
          </cell>
          <cell r="E686">
            <v>3997.0300000000007</v>
          </cell>
          <cell r="F686">
            <v>80.860000000000582</v>
          </cell>
          <cell r="G686">
            <v>3916.17</v>
          </cell>
        </row>
        <row r="687">
          <cell r="A687">
            <v>21746348000100</v>
          </cell>
          <cell r="B687">
            <v>16199.930514437534</v>
          </cell>
          <cell r="C687">
            <v>5744.739999999998</v>
          </cell>
          <cell r="D687">
            <v>0.35461510127344253</v>
          </cell>
          <cell r="E687">
            <v>0</v>
          </cell>
          <cell r="F687">
            <v>0</v>
          </cell>
          <cell r="G687">
            <v>0</v>
          </cell>
        </row>
        <row r="688">
          <cell r="A688">
            <v>27201095000168</v>
          </cell>
          <cell r="B688">
            <v>3947.9986485042955</v>
          </cell>
          <cell r="C688">
            <v>2251.8799999999997</v>
          </cell>
          <cell r="D688">
            <v>0.57038520032247919</v>
          </cell>
          <cell r="E688">
            <v>1992.96</v>
          </cell>
          <cell r="F688">
            <v>0</v>
          </cell>
          <cell r="G688">
            <v>1992.96</v>
          </cell>
        </row>
        <row r="689">
          <cell r="A689">
            <v>41651815000118</v>
          </cell>
          <cell r="B689">
            <v>7919.1712958777534</v>
          </cell>
          <cell r="C689">
            <v>2969.3800000000006</v>
          </cell>
          <cell r="D689">
            <v>0.37496095097042315</v>
          </cell>
          <cell r="E689">
            <v>261.95</v>
          </cell>
          <cell r="F689">
            <v>0</v>
          </cell>
          <cell r="G689">
            <v>261.95</v>
          </cell>
        </row>
        <row r="690">
          <cell r="A690">
            <v>2100833000150</v>
          </cell>
          <cell r="B690">
            <v>41134.389910313359</v>
          </cell>
          <cell r="C690">
            <v>20987.710000000006</v>
          </cell>
          <cell r="D690">
            <v>0.51022295567675102</v>
          </cell>
          <cell r="E690">
            <v>12811.450000000003</v>
          </cell>
          <cell r="F690">
            <v>1735.1100000000006</v>
          </cell>
          <cell r="G690">
            <v>11076.340000000002</v>
          </cell>
        </row>
        <row r="691">
          <cell r="A691">
            <v>2100833000230</v>
          </cell>
          <cell r="B691">
            <v>46280.055044974266</v>
          </cell>
          <cell r="C691">
            <v>23583.010000000009</v>
          </cell>
          <cell r="D691">
            <v>0.5095717794000546</v>
          </cell>
          <cell r="E691">
            <v>12534.019999999999</v>
          </cell>
          <cell r="F691">
            <v>452.06000000000131</v>
          </cell>
          <cell r="G691">
            <v>12081.959999999997</v>
          </cell>
        </row>
        <row r="692">
          <cell r="A692">
            <v>26476385000151</v>
          </cell>
          <cell r="B692">
            <v>9814.8148371923489</v>
          </cell>
          <cell r="C692">
            <v>3781.9300000000003</v>
          </cell>
          <cell r="D692">
            <v>0.38532871610259217</v>
          </cell>
          <cell r="E692">
            <v>3357.5800000000008</v>
          </cell>
          <cell r="F692">
            <v>362.03999999999996</v>
          </cell>
          <cell r="G692">
            <v>2995.5400000000009</v>
          </cell>
        </row>
        <row r="693">
          <cell r="A693">
            <v>1938125000120</v>
          </cell>
          <cell r="B693">
            <v>10556.090862258139</v>
          </cell>
          <cell r="C693">
            <v>4660.6400000000021</v>
          </cell>
          <cell r="D693">
            <v>0.44151192527751765</v>
          </cell>
          <cell r="E693">
            <v>8246.41</v>
          </cell>
          <cell r="F693">
            <v>4967.66</v>
          </cell>
          <cell r="G693">
            <v>3278.75</v>
          </cell>
        </row>
        <row r="694">
          <cell r="A694">
            <v>11368538000170</v>
          </cell>
          <cell r="B694">
            <v>25182.741858439265</v>
          </cell>
          <cell r="C694">
            <v>15581.089999999997</v>
          </cell>
          <cell r="D694">
            <v>0.61872095133987348</v>
          </cell>
          <cell r="E694">
            <v>4187.4599999999991</v>
          </cell>
          <cell r="F694">
            <v>4187.4599999999991</v>
          </cell>
          <cell r="G694">
            <v>0</v>
          </cell>
        </row>
        <row r="695">
          <cell r="A695">
            <v>2956282000120</v>
          </cell>
          <cell r="B695">
            <v>7943.2012681970482</v>
          </cell>
          <cell r="C695">
            <v>3691.7500000000014</v>
          </cell>
          <cell r="D695">
            <v>0.46476853290637526</v>
          </cell>
          <cell r="E695">
            <v>1400.48</v>
          </cell>
          <cell r="F695">
            <v>0</v>
          </cell>
          <cell r="G695">
            <v>1400.48</v>
          </cell>
        </row>
        <row r="696">
          <cell r="A696">
            <v>19651628000428</v>
          </cell>
          <cell r="B696">
            <v>6806.9426973570835</v>
          </cell>
          <cell r="C696">
            <v>2256.6799999999998</v>
          </cell>
          <cell r="D696">
            <v>0.33152622261330272</v>
          </cell>
          <cell r="E696">
            <v>2525.59</v>
          </cell>
          <cell r="F696">
            <v>1753.5300000000002</v>
          </cell>
          <cell r="G696">
            <v>772.06</v>
          </cell>
        </row>
        <row r="697">
          <cell r="A697">
            <v>19651628000690</v>
          </cell>
          <cell r="B697">
            <v>16077.580325756695</v>
          </cell>
          <cell r="C697">
            <v>5775.9999999999991</v>
          </cell>
          <cell r="D697">
            <v>0.3592580402628559</v>
          </cell>
          <cell r="E697">
            <v>7447.6299999999992</v>
          </cell>
          <cell r="F697">
            <v>3749.1799999999989</v>
          </cell>
          <cell r="G697">
            <v>3698.4500000000003</v>
          </cell>
        </row>
        <row r="698">
          <cell r="A698">
            <v>18806193000138</v>
          </cell>
          <cell r="B698">
            <v>14360.382873471579</v>
          </cell>
          <cell r="C698">
            <v>5965.83</v>
          </cell>
          <cell r="D698">
            <v>0.41543669500768532</v>
          </cell>
          <cell r="E698">
            <v>4247.9600000000009</v>
          </cell>
          <cell r="F698">
            <v>329.13000000000011</v>
          </cell>
          <cell r="G698">
            <v>3918.8300000000008</v>
          </cell>
        </row>
        <row r="699">
          <cell r="A699">
            <v>18806193000219</v>
          </cell>
          <cell r="B699">
            <v>7056.735893321109</v>
          </cell>
          <cell r="C699">
            <v>1767.7899999999997</v>
          </cell>
          <cell r="D699">
            <v>0.25051100490711797</v>
          </cell>
          <cell r="E699">
            <v>941.0300000000002</v>
          </cell>
          <cell r="F699">
            <v>33.040000000000191</v>
          </cell>
          <cell r="G699">
            <v>907.99</v>
          </cell>
        </row>
        <row r="700">
          <cell r="A700">
            <v>18806193000308</v>
          </cell>
          <cell r="B700">
            <v>9580.2576781711323</v>
          </cell>
          <cell r="C700">
            <v>3804.7900000000004</v>
          </cell>
          <cell r="D700">
            <v>0.39714902540349345</v>
          </cell>
          <cell r="E700">
            <v>3168.1399999999994</v>
          </cell>
          <cell r="F700">
            <v>0</v>
          </cell>
          <cell r="G700">
            <v>3168.1399999999994</v>
          </cell>
        </row>
        <row r="701">
          <cell r="A701">
            <v>18806193000561</v>
          </cell>
          <cell r="B701">
            <v>13050.1944158975</v>
          </cell>
          <cell r="C701">
            <v>5559.2399999999989</v>
          </cell>
          <cell r="D701">
            <v>0.42598905601190412</v>
          </cell>
          <cell r="E701">
            <v>2053.94</v>
          </cell>
          <cell r="F701">
            <v>32.400000000000091</v>
          </cell>
          <cell r="G701">
            <v>2021.54</v>
          </cell>
        </row>
        <row r="702">
          <cell r="A702">
            <v>18806193000642</v>
          </cell>
          <cell r="B702">
            <v>4284.2232245182968</v>
          </cell>
          <cell r="C702">
            <v>1838.2599999999998</v>
          </cell>
          <cell r="D702">
            <v>0.4290766152145789</v>
          </cell>
          <cell r="E702">
            <v>1645.67</v>
          </cell>
          <cell r="F702">
            <v>18.769999999999982</v>
          </cell>
          <cell r="G702">
            <v>1626.9</v>
          </cell>
        </row>
        <row r="703">
          <cell r="A703">
            <v>18806193000723</v>
          </cell>
          <cell r="B703">
            <v>5900.8226506732117</v>
          </cell>
          <cell r="C703">
            <v>3491.1700000000005</v>
          </cell>
          <cell r="D703">
            <v>0.59164123490505183</v>
          </cell>
          <cell r="E703">
            <v>2614.1700000000005</v>
          </cell>
          <cell r="F703">
            <v>0</v>
          </cell>
          <cell r="G703">
            <v>2614.1700000000005</v>
          </cell>
        </row>
        <row r="704">
          <cell r="A704">
            <v>18806193000804</v>
          </cell>
          <cell r="B704">
            <v>3431.4690837549942</v>
          </cell>
          <cell r="C704">
            <v>1735.2299999999998</v>
          </cell>
          <cell r="D704">
            <v>0.50568137367601429</v>
          </cell>
          <cell r="E704">
            <v>874.97</v>
          </cell>
          <cell r="F704">
            <v>0</v>
          </cell>
          <cell r="G704">
            <v>874.97</v>
          </cell>
        </row>
        <row r="705">
          <cell r="A705">
            <v>18806193000995</v>
          </cell>
          <cell r="B705">
            <v>3560.6147015222559</v>
          </cell>
          <cell r="C705">
            <v>1857.2399999999996</v>
          </cell>
          <cell r="D705">
            <v>0.5216065639469446</v>
          </cell>
          <cell r="E705">
            <v>1054.6199999999999</v>
          </cell>
          <cell r="F705">
            <v>0</v>
          </cell>
          <cell r="G705">
            <v>1054.6199999999999</v>
          </cell>
        </row>
        <row r="706">
          <cell r="A706">
            <v>32162131000161</v>
          </cell>
          <cell r="B706">
            <v>12946.150585468897</v>
          </cell>
          <cell r="C706">
            <v>4443.6400000000003</v>
          </cell>
          <cell r="D706">
            <v>0.34324025281983511</v>
          </cell>
          <cell r="E706">
            <v>3036.24</v>
          </cell>
          <cell r="F706">
            <v>0</v>
          </cell>
          <cell r="G706">
            <v>3036.24</v>
          </cell>
        </row>
        <row r="707">
          <cell r="A707">
            <v>4050862000180</v>
          </cell>
          <cell r="B707">
            <v>4548.1790713563269</v>
          </cell>
          <cell r="C707">
            <v>1896.9299999999998</v>
          </cell>
          <cell r="D707">
            <v>0.41707460727449114</v>
          </cell>
          <cell r="E707">
            <v>885.18999999999994</v>
          </cell>
          <cell r="F707">
            <v>18.940000000000055</v>
          </cell>
          <cell r="G707">
            <v>866.24999999999989</v>
          </cell>
        </row>
        <row r="708">
          <cell r="A708">
            <v>4050862000260</v>
          </cell>
          <cell r="B708">
            <v>9696.8797485826108</v>
          </cell>
          <cell r="C708">
            <v>3972.5799999999995</v>
          </cell>
          <cell r="D708">
            <v>0.40967611262588566</v>
          </cell>
          <cell r="E708">
            <v>1389.67</v>
          </cell>
          <cell r="F708">
            <v>64.8900000000001</v>
          </cell>
          <cell r="G708">
            <v>1324.78</v>
          </cell>
        </row>
        <row r="709">
          <cell r="A709">
            <v>4050862000341</v>
          </cell>
          <cell r="B709">
            <v>8197.869056927093</v>
          </cell>
          <cell r="C709">
            <v>2959.8100000000004</v>
          </cell>
          <cell r="D709">
            <v>0.36104626451663063</v>
          </cell>
          <cell r="E709">
            <v>2756.5499999999993</v>
          </cell>
          <cell r="F709">
            <v>0</v>
          </cell>
          <cell r="G709">
            <v>2756.5499999999993</v>
          </cell>
        </row>
        <row r="710">
          <cell r="A710">
            <v>13938314000262</v>
          </cell>
          <cell r="B710">
            <v>4501.1340202046886</v>
          </cell>
          <cell r="C710">
            <v>1640.24</v>
          </cell>
          <cell r="D710">
            <v>0.3644059458432678</v>
          </cell>
          <cell r="E710">
            <v>1106.5</v>
          </cell>
          <cell r="F710">
            <v>18.940000000000055</v>
          </cell>
          <cell r="G710">
            <v>1087.56</v>
          </cell>
        </row>
        <row r="711">
          <cell r="A711">
            <v>531367000131</v>
          </cell>
          <cell r="B711">
            <v>2510.5119527779052</v>
          </cell>
          <cell r="C711">
            <v>364.24</v>
          </cell>
          <cell r="D711">
            <v>0.14508594535746583</v>
          </cell>
          <cell r="E711">
            <v>764.89</v>
          </cell>
          <cell r="F711">
            <v>0</v>
          </cell>
          <cell r="G711">
            <v>764.89</v>
          </cell>
        </row>
        <row r="712">
          <cell r="A712">
            <v>531367000212</v>
          </cell>
          <cell r="B712">
            <v>5180.7091991741709</v>
          </cell>
          <cell r="C712">
            <v>2358.1799999999994</v>
          </cell>
          <cell r="D712">
            <v>0.45518478442602112</v>
          </cell>
          <cell r="E712">
            <v>3154.610000000001</v>
          </cell>
          <cell r="F712">
            <v>0</v>
          </cell>
          <cell r="G712">
            <v>3154.610000000001</v>
          </cell>
        </row>
        <row r="713">
          <cell r="A713">
            <v>531367000301</v>
          </cell>
          <cell r="B713">
            <v>11526.354095459414</v>
          </cell>
          <cell r="C713">
            <v>4676.4500000000007</v>
          </cell>
          <cell r="D713">
            <v>0.40571805804943983</v>
          </cell>
          <cell r="E713">
            <v>5225.6200000000017</v>
          </cell>
          <cell r="F713">
            <v>312.82999999999993</v>
          </cell>
          <cell r="G713">
            <v>4912.7900000000018</v>
          </cell>
        </row>
        <row r="714">
          <cell r="A714">
            <v>5939112000126</v>
          </cell>
          <cell r="B714">
            <v>13036.984009541351</v>
          </cell>
          <cell r="C714">
            <v>5532.1900000000005</v>
          </cell>
          <cell r="D714">
            <v>0.42434584532367053</v>
          </cell>
          <cell r="E714">
            <v>0</v>
          </cell>
          <cell r="F714">
            <v>0</v>
          </cell>
          <cell r="G714">
            <v>0</v>
          </cell>
        </row>
        <row r="715">
          <cell r="A715">
            <v>27545412000597</v>
          </cell>
          <cell r="B715">
            <v>3160.226928493973</v>
          </cell>
          <cell r="C715">
            <v>2091.6999999999998</v>
          </cell>
          <cell r="D715">
            <v>0.66188284807661368</v>
          </cell>
          <cell r="E715">
            <v>2997.12</v>
          </cell>
          <cell r="F715">
            <v>1201.6100000000001</v>
          </cell>
          <cell r="G715">
            <v>1795.5099999999998</v>
          </cell>
        </row>
        <row r="716">
          <cell r="A716">
            <v>36728431000116</v>
          </cell>
          <cell r="B716">
            <v>5339.5951158266034</v>
          </cell>
          <cell r="C716">
            <v>2249.7200000000003</v>
          </cell>
          <cell r="D716">
            <v>0.42132782564951637</v>
          </cell>
          <cell r="E716">
            <v>4132.37</v>
          </cell>
          <cell r="F716">
            <v>253.28999999999996</v>
          </cell>
          <cell r="G716">
            <v>3879.08</v>
          </cell>
        </row>
        <row r="717">
          <cell r="A717">
            <v>36728431000205</v>
          </cell>
          <cell r="B717">
            <v>8814.3965169529238</v>
          </cell>
          <cell r="C717">
            <v>3922.2100000000005</v>
          </cell>
          <cell r="D717">
            <v>0.44497771259283914</v>
          </cell>
          <cell r="E717">
            <v>6912.8000000000011</v>
          </cell>
          <cell r="F717">
            <v>51.360000000000582</v>
          </cell>
          <cell r="G717">
            <v>6861.4400000000005</v>
          </cell>
        </row>
        <row r="718">
          <cell r="A718">
            <v>34565893000134</v>
          </cell>
          <cell r="B718">
            <v>4303.8246254261148</v>
          </cell>
          <cell r="C718">
            <v>1931.8700000000003</v>
          </cell>
          <cell r="D718">
            <v>0.44887284407150513</v>
          </cell>
          <cell r="E718">
            <v>695.08000000000015</v>
          </cell>
          <cell r="F718">
            <v>9.4700000000000273</v>
          </cell>
          <cell r="G718">
            <v>685.61000000000013</v>
          </cell>
        </row>
        <row r="719">
          <cell r="A719">
            <v>4050862000694</v>
          </cell>
          <cell r="B719">
            <v>4887.3768799351101</v>
          </cell>
          <cell r="C719">
            <v>1523.0200000000002</v>
          </cell>
          <cell r="D719">
            <v>0.31162319530803634</v>
          </cell>
          <cell r="E719">
            <v>836.50000000000023</v>
          </cell>
          <cell r="F719">
            <v>18.940000000000055</v>
          </cell>
          <cell r="G719">
            <v>817.56000000000017</v>
          </cell>
        </row>
        <row r="720">
          <cell r="A720">
            <v>4050862000775</v>
          </cell>
          <cell r="B720">
            <v>8209.5568094822102</v>
          </cell>
          <cell r="C720">
            <v>4440.3</v>
          </cell>
          <cell r="D720">
            <v>0.54086963560217538</v>
          </cell>
          <cell r="E720">
            <v>2408.17</v>
          </cell>
          <cell r="F720">
            <v>28.410000000000309</v>
          </cell>
          <cell r="G720">
            <v>2379.7599999999998</v>
          </cell>
        </row>
        <row r="721">
          <cell r="A721">
            <v>11051538000141</v>
          </cell>
          <cell r="B721">
            <v>11881.141380625257</v>
          </cell>
          <cell r="C721">
            <v>4448.3999999999987</v>
          </cell>
          <cell r="D721">
            <v>0.37440847284706724</v>
          </cell>
          <cell r="E721">
            <v>4085.07</v>
          </cell>
          <cell r="F721">
            <v>86.020000000000437</v>
          </cell>
          <cell r="G721">
            <v>3999.0499999999997</v>
          </cell>
        </row>
        <row r="722">
          <cell r="A722">
            <v>13938314000181</v>
          </cell>
          <cell r="B722">
            <v>5734.4490425187641</v>
          </cell>
          <cell r="C722">
            <v>2004.12</v>
          </cell>
          <cell r="D722">
            <v>0.3494878034733957</v>
          </cell>
          <cell r="E722">
            <v>1056.74</v>
          </cell>
          <cell r="F722">
            <v>0</v>
          </cell>
          <cell r="G722">
            <v>1056.74</v>
          </cell>
        </row>
        <row r="723">
          <cell r="A723">
            <v>19651628000266</v>
          </cell>
          <cell r="B723">
            <v>11779.891386150275</v>
          </cell>
          <cell r="C723">
            <v>7435.9999999999982</v>
          </cell>
          <cell r="D723">
            <v>0.63124520899594805</v>
          </cell>
          <cell r="E723">
            <v>4165.8600000000006</v>
          </cell>
          <cell r="F723">
            <v>1571.79</v>
          </cell>
          <cell r="G723">
            <v>2594.0700000000006</v>
          </cell>
        </row>
        <row r="724">
          <cell r="A724">
            <v>27545412000163</v>
          </cell>
          <cell r="B724">
            <v>9578.210987087341</v>
          </cell>
          <cell r="C724">
            <v>2979.4300000000007</v>
          </cell>
          <cell r="D724">
            <v>0.31106330858827969</v>
          </cell>
          <cell r="E724">
            <v>2029.4200000000003</v>
          </cell>
          <cell r="F724">
            <v>78.019999999999982</v>
          </cell>
          <cell r="G724">
            <v>1951.4000000000003</v>
          </cell>
        </row>
        <row r="725">
          <cell r="A725">
            <v>27545412000325</v>
          </cell>
          <cell r="B725">
            <v>20886.823246334938</v>
          </cell>
          <cell r="C725">
            <v>6975.8399999999983</v>
          </cell>
          <cell r="D725">
            <v>0.33398281384049466</v>
          </cell>
          <cell r="E725">
            <v>11549.16</v>
          </cell>
          <cell r="F725">
            <v>1170.880000000001</v>
          </cell>
          <cell r="G725">
            <v>10378.279999999999</v>
          </cell>
        </row>
        <row r="726">
          <cell r="A726">
            <v>27545412000678</v>
          </cell>
          <cell r="B726">
            <v>3328.7114366937776</v>
          </cell>
          <cell r="C726">
            <v>14029.6</v>
          </cell>
          <cell r="D726">
            <v>4.2147240056154631</v>
          </cell>
          <cell r="E726">
            <v>3123.2100000000009</v>
          </cell>
          <cell r="F726">
            <v>1539.680000000001</v>
          </cell>
          <cell r="G726">
            <v>1583.53</v>
          </cell>
        </row>
        <row r="727">
          <cell r="A727">
            <v>27545412000244</v>
          </cell>
          <cell r="B727">
            <v>11208.49444873038</v>
          </cell>
          <cell r="C727">
            <v>4704.170000000001</v>
          </cell>
          <cell r="D727">
            <v>0.41969686665035166</v>
          </cell>
          <cell r="E727">
            <v>3683.3200000000006</v>
          </cell>
          <cell r="F727">
            <v>762.26000000000022</v>
          </cell>
          <cell r="G727">
            <v>2921.0600000000004</v>
          </cell>
        </row>
        <row r="728">
          <cell r="A728">
            <v>1938125000200</v>
          </cell>
          <cell r="B728">
            <v>4929.6425594295943</v>
          </cell>
          <cell r="C728">
            <v>1511.38</v>
          </cell>
          <cell r="D728">
            <v>0.30659018007481681</v>
          </cell>
          <cell r="E728">
            <v>1330.7800000000002</v>
          </cell>
          <cell r="F728">
            <v>0</v>
          </cell>
          <cell r="G728">
            <v>1330.7800000000002</v>
          </cell>
        </row>
        <row r="729">
          <cell r="A729">
            <v>19651628000509</v>
          </cell>
          <cell r="B729">
            <v>13820.441939742703</v>
          </cell>
          <cell r="C729">
            <v>5181.62</v>
          </cell>
          <cell r="D729">
            <v>0.37492433473487513</v>
          </cell>
          <cell r="E729">
            <v>3119.4900000000002</v>
          </cell>
          <cell r="F729">
            <v>158.30000000000018</v>
          </cell>
          <cell r="G729">
            <v>2961.19</v>
          </cell>
        </row>
        <row r="730">
          <cell r="A730">
            <v>24769226000110</v>
          </cell>
          <cell r="B730">
            <v>41658.411114636445</v>
          </cell>
          <cell r="C730">
            <v>19686.540000000012</v>
          </cell>
          <cell r="D730">
            <v>0.4725705919466347</v>
          </cell>
          <cell r="E730">
            <v>12033.01</v>
          </cell>
          <cell r="F730">
            <v>407.06000000000131</v>
          </cell>
          <cell r="G730">
            <v>11625.949999999999</v>
          </cell>
        </row>
        <row r="731">
          <cell r="A731">
            <v>34565893000215</v>
          </cell>
          <cell r="B731">
            <v>2644.9200107252223</v>
          </cell>
          <cell r="C731">
            <v>1509.1599999999996</v>
          </cell>
          <cell r="D731">
            <v>0.5705881440195979</v>
          </cell>
          <cell r="E731">
            <v>873.82</v>
          </cell>
          <cell r="F731">
            <v>0</v>
          </cell>
          <cell r="G731">
            <v>873.82</v>
          </cell>
        </row>
        <row r="732">
          <cell r="A732">
            <v>9433797000195</v>
          </cell>
          <cell r="B732">
            <v>11081.781940135812</v>
          </cell>
          <cell r="C732">
            <v>4042.4800000000005</v>
          </cell>
          <cell r="D732">
            <v>0.36478609864709699</v>
          </cell>
          <cell r="E732">
            <v>3571.2500000000005</v>
          </cell>
          <cell r="F732">
            <v>86.840000000000146</v>
          </cell>
          <cell r="G732">
            <v>3484.4100000000003</v>
          </cell>
        </row>
        <row r="733">
          <cell r="A733">
            <v>67759241000190</v>
          </cell>
          <cell r="B733">
            <v>3022.4781270512462</v>
          </cell>
          <cell r="C733">
            <v>485.53</v>
          </cell>
          <cell r="D733">
            <v>0.16063970675403594</v>
          </cell>
          <cell r="E733">
            <v>862.37</v>
          </cell>
          <cell r="F733">
            <v>0</v>
          </cell>
          <cell r="G733">
            <v>862.37</v>
          </cell>
        </row>
        <row r="734">
          <cell r="A734">
            <v>33964781000193</v>
          </cell>
          <cell r="B734">
            <v>7421.1532234245524</v>
          </cell>
          <cell r="C734">
            <v>3046.2</v>
          </cell>
          <cell r="D734">
            <v>0.41047528710023129</v>
          </cell>
          <cell r="E734">
            <v>0</v>
          </cell>
          <cell r="F734">
            <v>0</v>
          </cell>
          <cell r="G734">
            <v>0</v>
          </cell>
        </row>
        <row r="735">
          <cell r="A735">
            <v>55283212000115</v>
          </cell>
          <cell r="B735">
            <v>4184.42848082212</v>
          </cell>
          <cell r="C735">
            <v>1233.3500000000001</v>
          </cell>
          <cell r="D735">
            <v>0.29474753975426587</v>
          </cell>
          <cell r="E735">
            <v>0</v>
          </cell>
          <cell r="F735">
            <v>0</v>
          </cell>
          <cell r="G735">
            <v>0</v>
          </cell>
        </row>
        <row r="736">
          <cell r="A736">
            <v>48808406000121</v>
          </cell>
          <cell r="B736">
            <v>4127.0457447492599</v>
          </cell>
          <cell r="C736">
            <v>1553.94</v>
          </cell>
          <cell r="D736">
            <v>0.37652599367890222</v>
          </cell>
          <cell r="E736">
            <v>0</v>
          </cell>
          <cell r="F736">
            <v>0</v>
          </cell>
          <cell r="G736">
            <v>0</v>
          </cell>
        </row>
        <row r="737">
          <cell r="A737">
            <v>72855430000104</v>
          </cell>
          <cell r="B737">
            <v>7218.8274810005059</v>
          </cell>
          <cell r="C737">
            <v>1595.9600000000003</v>
          </cell>
          <cell r="D737">
            <v>0.22108299501552922</v>
          </cell>
          <cell r="E737">
            <v>829.01</v>
          </cell>
          <cell r="F737">
            <v>104.97000000000003</v>
          </cell>
          <cell r="G737">
            <v>724.04</v>
          </cell>
        </row>
        <row r="738">
          <cell r="A738">
            <v>10309605000112</v>
          </cell>
          <cell r="B738">
            <v>13543.786136610923</v>
          </cell>
          <cell r="C738">
            <v>3551.6799999999994</v>
          </cell>
          <cell r="D738">
            <v>0.26223686376730843</v>
          </cell>
          <cell r="E738">
            <v>4611.0400000000009</v>
          </cell>
          <cell r="F738">
            <v>112.50000000000091</v>
          </cell>
          <cell r="G738">
            <v>4498.54</v>
          </cell>
        </row>
        <row r="739">
          <cell r="A739">
            <v>3921201000110</v>
          </cell>
          <cell r="B739">
            <v>25717.510491813624</v>
          </cell>
          <cell r="C739">
            <v>6680.2499999999973</v>
          </cell>
          <cell r="D739">
            <v>0.25975492465051969</v>
          </cell>
          <cell r="E739">
            <v>3956.85</v>
          </cell>
          <cell r="F739">
            <v>1976.76</v>
          </cell>
          <cell r="G739">
            <v>1980.09</v>
          </cell>
        </row>
        <row r="740">
          <cell r="A740">
            <v>17241854000162</v>
          </cell>
          <cell r="B740">
            <v>28247.564316245553</v>
          </cell>
          <cell r="C740">
            <v>14120.230000000003</v>
          </cell>
          <cell r="D740">
            <v>0.49987424904735128</v>
          </cell>
          <cell r="E740">
            <v>10303.060000000001</v>
          </cell>
          <cell r="F740">
            <v>726.78999999999905</v>
          </cell>
          <cell r="G740">
            <v>9576.2700000000023</v>
          </cell>
        </row>
        <row r="741">
          <cell r="A741">
            <v>2736133000156</v>
          </cell>
          <cell r="B741">
            <v>2216.0874988899022</v>
          </cell>
          <cell r="C741">
            <v>490.84</v>
          </cell>
          <cell r="D741">
            <v>0.2214894494219542</v>
          </cell>
          <cell r="E741">
            <v>395.31</v>
          </cell>
          <cell r="F741">
            <v>0</v>
          </cell>
          <cell r="G741">
            <v>395.31</v>
          </cell>
        </row>
        <row r="742">
          <cell r="A742">
            <v>7139095000178</v>
          </cell>
          <cell r="B742">
            <v>6521.4619802438083</v>
          </cell>
          <cell r="C742">
            <v>1050.8500000000001</v>
          </cell>
          <cell r="D742">
            <v>0.16113718107741135</v>
          </cell>
          <cell r="E742">
            <v>0</v>
          </cell>
          <cell r="F742">
            <v>0</v>
          </cell>
          <cell r="G742">
            <v>0</v>
          </cell>
        </row>
        <row r="743">
          <cell r="A743">
            <v>7236140000102</v>
          </cell>
          <cell r="B743">
            <v>18449.683547141067</v>
          </cell>
          <cell r="C743">
            <v>974.5</v>
          </cell>
          <cell r="D743">
            <v>5.2819334137089141E-2</v>
          </cell>
          <cell r="E743">
            <v>4387.9800000000005</v>
          </cell>
          <cell r="F743">
            <v>779.96000000000095</v>
          </cell>
          <cell r="G743">
            <v>3608.0199999999995</v>
          </cell>
        </row>
        <row r="744">
          <cell r="A744">
            <v>42070773000194</v>
          </cell>
          <cell r="B744">
            <v>20810.913353827411</v>
          </cell>
          <cell r="C744">
            <v>7971.4000000000015</v>
          </cell>
          <cell r="D744">
            <v>0.3830394113160801</v>
          </cell>
          <cell r="E744">
            <v>7445.95</v>
          </cell>
          <cell r="F744">
            <v>1613.8400000000011</v>
          </cell>
          <cell r="G744">
            <v>5832.1099999999988</v>
          </cell>
        </row>
        <row r="745">
          <cell r="A745">
            <v>42070773000275</v>
          </cell>
          <cell r="B745">
            <v>12793.213878944352</v>
          </cell>
          <cell r="C745">
            <v>6313.67</v>
          </cell>
          <cell r="D745">
            <v>0.4935171146002118</v>
          </cell>
          <cell r="E745">
            <v>3018.36</v>
          </cell>
          <cell r="F745">
            <v>18.940000000000055</v>
          </cell>
          <cell r="G745">
            <v>2999.42</v>
          </cell>
        </row>
        <row r="746">
          <cell r="A746">
            <v>13445025000140</v>
          </cell>
          <cell r="B746">
            <v>10442.752231427372</v>
          </cell>
          <cell r="C746">
            <v>1275.9699999999998</v>
          </cell>
          <cell r="D746">
            <v>0.12218713723380117</v>
          </cell>
          <cell r="E746">
            <v>0</v>
          </cell>
          <cell r="F746">
            <v>0</v>
          </cell>
          <cell r="G746">
            <v>0</v>
          </cell>
        </row>
        <row r="747">
          <cell r="A747">
            <v>20947414000130</v>
          </cell>
          <cell r="B747">
            <v>8351.0089165443624</v>
          </cell>
          <cell r="C747">
            <v>1859.5500000000002</v>
          </cell>
          <cell r="D747">
            <v>0.22267369351217023</v>
          </cell>
          <cell r="E747">
            <v>1951.0399999999997</v>
          </cell>
          <cell r="F747">
            <v>666.90999999999985</v>
          </cell>
          <cell r="G747">
            <v>1284.1299999999999</v>
          </cell>
        </row>
        <row r="748">
          <cell r="A748">
            <v>26661675000175</v>
          </cell>
          <cell r="B748">
            <v>16542.31237337858</v>
          </cell>
          <cell r="C748">
            <v>5042.8100000000004</v>
          </cell>
          <cell r="D748">
            <v>0.30484311299279759</v>
          </cell>
          <cell r="E748">
            <v>6147.1100000000024</v>
          </cell>
          <cell r="F748">
            <v>473.94000000000051</v>
          </cell>
          <cell r="G748">
            <v>5673.1700000000019</v>
          </cell>
        </row>
        <row r="749">
          <cell r="A749">
            <v>24092237000108</v>
          </cell>
          <cell r="B749">
            <v>1319.8759732955798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</row>
        <row r="750">
          <cell r="A750">
            <v>7236140000374</v>
          </cell>
          <cell r="B750">
            <v>5572.5400692475087</v>
          </cell>
          <cell r="C750">
            <v>6418.48</v>
          </cell>
          <cell r="D750">
            <v>1.1518050871308896</v>
          </cell>
          <cell r="E750">
            <v>5883.75</v>
          </cell>
          <cell r="F750">
            <v>354.02999999999975</v>
          </cell>
          <cell r="G750">
            <v>5529.72</v>
          </cell>
        </row>
        <row r="751">
          <cell r="A751">
            <v>9146590000130</v>
          </cell>
          <cell r="B751">
            <v>4506.193633850291</v>
          </cell>
          <cell r="C751">
            <v>1347.1600000000003</v>
          </cell>
          <cell r="D751">
            <v>0.29895741494111677</v>
          </cell>
          <cell r="E751">
            <v>137.85</v>
          </cell>
          <cell r="F751">
            <v>0</v>
          </cell>
          <cell r="G751">
            <v>137.85</v>
          </cell>
        </row>
        <row r="752">
          <cell r="A752">
            <v>12625289000113</v>
          </cell>
          <cell r="B752">
            <v>3975.2923578916884</v>
          </cell>
          <cell r="C752">
            <v>941.61</v>
          </cell>
          <cell r="D752">
            <v>0.23686559760333867</v>
          </cell>
          <cell r="E752">
            <v>0</v>
          </cell>
          <cell r="F752">
            <v>0</v>
          </cell>
          <cell r="G752">
            <v>0</v>
          </cell>
        </row>
        <row r="753">
          <cell r="A753">
            <v>2440068000117</v>
          </cell>
          <cell r="B753">
            <v>7696.42960020995</v>
          </cell>
          <cell r="C753">
            <v>3768.4199999999996</v>
          </cell>
          <cell r="D753">
            <v>0.48963223153463281</v>
          </cell>
          <cell r="E753">
            <v>3973.8900000000003</v>
          </cell>
          <cell r="F753">
            <v>32.399999999999636</v>
          </cell>
          <cell r="G753">
            <v>3941.4900000000007</v>
          </cell>
        </row>
        <row r="754">
          <cell r="A754">
            <v>48771964000160</v>
          </cell>
          <cell r="B754">
            <v>2701.3333607141117</v>
          </cell>
          <cell r="C754">
            <v>630.48</v>
          </cell>
          <cell r="D754">
            <v>0.23339585153360315</v>
          </cell>
          <cell r="E754">
            <v>137.85</v>
          </cell>
          <cell r="F754">
            <v>0</v>
          </cell>
          <cell r="G754">
            <v>137.85</v>
          </cell>
        </row>
        <row r="755">
          <cell r="A755">
            <v>51954038000134</v>
          </cell>
          <cell r="B755">
            <v>6570.204731707101</v>
          </cell>
          <cell r="C755">
            <v>1512.3</v>
          </cell>
          <cell r="D755">
            <v>0.23017547576589248</v>
          </cell>
          <cell r="E755">
            <v>137.85</v>
          </cell>
          <cell r="F755">
            <v>0</v>
          </cell>
          <cell r="G755">
            <v>137.85</v>
          </cell>
        </row>
        <row r="756">
          <cell r="A756">
            <v>23255059000126</v>
          </cell>
          <cell r="B756">
            <v>3197.1648324058101</v>
          </cell>
          <cell r="C756">
            <v>879.16</v>
          </cell>
          <cell r="D756">
            <v>0.27498113049693707</v>
          </cell>
          <cell r="E756">
            <v>0</v>
          </cell>
          <cell r="F756">
            <v>0</v>
          </cell>
          <cell r="G756">
            <v>0</v>
          </cell>
        </row>
        <row r="757">
          <cell r="A757">
            <v>8954076000400</v>
          </cell>
          <cell r="B757">
            <v>2321.2291816762686</v>
          </cell>
          <cell r="C757">
            <v>472.63000000000005</v>
          </cell>
          <cell r="D757">
            <v>0.20361194996639312</v>
          </cell>
          <cell r="E757">
            <v>0</v>
          </cell>
          <cell r="F757">
            <v>0</v>
          </cell>
          <cell r="G757">
            <v>0</v>
          </cell>
        </row>
        <row r="758">
          <cell r="A758">
            <v>18346337000110</v>
          </cell>
          <cell r="B758">
            <v>2198.2507449607601</v>
          </cell>
          <cell r="C758">
            <v>850.8</v>
          </cell>
          <cell r="D758">
            <v>0.38703501042834271</v>
          </cell>
          <cell r="E758">
            <v>406.15</v>
          </cell>
          <cell r="F758">
            <v>0</v>
          </cell>
          <cell r="G758">
            <v>406.15</v>
          </cell>
        </row>
        <row r="759">
          <cell r="A759">
            <v>9269723000165</v>
          </cell>
          <cell r="B759">
            <v>4388.7910111358005</v>
          </cell>
          <cell r="C759">
            <v>2235.1499999999996</v>
          </cell>
          <cell r="D759">
            <v>0.5092860412648248</v>
          </cell>
          <cell r="E759">
            <v>2254.65</v>
          </cell>
          <cell r="F759">
            <v>219.81999999999971</v>
          </cell>
          <cell r="G759">
            <v>2034.8300000000004</v>
          </cell>
        </row>
        <row r="760">
          <cell r="A760">
            <v>2369415000162</v>
          </cell>
          <cell r="B760">
            <v>5761.9640715957294</v>
          </cell>
          <cell r="C760">
            <v>1402.1000000000004</v>
          </cell>
          <cell r="D760">
            <v>0.24333716465047309</v>
          </cell>
          <cell r="E760">
            <v>1277.82</v>
          </cell>
          <cell r="F760">
            <v>199.54999999999995</v>
          </cell>
          <cell r="G760">
            <v>1078.27</v>
          </cell>
        </row>
        <row r="761">
          <cell r="A761">
            <v>33019679000209</v>
          </cell>
          <cell r="B761">
            <v>4998.5724604267289</v>
          </cell>
          <cell r="C761">
            <v>2204.8799999999997</v>
          </cell>
          <cell r="D761">
            <v>0.44110193809449522</v>
          </cell>
          <cell r="E761">
            <v>2193.2899999999995</v>
          </cell>
          <cell r="F761">
            <v>38.279999999999745</v>
          </cell>
          <cell r="G761">
            <v>2155.0099999999998</v>
          </cell>
        </row>
        <row r="762">
          <cell r="A762">
            <v>33019679000381</v>
          </cell>
          <cell r="B762">
            <v>2376.9944632946153</v>
          </cell>
          <cell r="C762">
            <v>2060.21</v>
          </cell>
          <cell r="D762">
            <v>0.86672898562180978</v>
          </cell>
          <cell r="E762">
            <v>2087.0499999999997</v>
          </cell>
          <cell r="F762">
            <v>21.239999999999782</v>
          </cell>
          <cell r="G762">
            <v>2065.81</v>
          </cell>
        </row>
        <row r="763">
          <cell r="A763">
            <v>50357285000190</v>
          </cell>
          <cell r="B763">
            <v>15557.601534356534</v>
          </cell>
          <cell r="C763">
            <v>5317.6099999999988</v>
          </cell>
          <cell r="D763">
            <v>0.34180140095868167</v>
          </cell>
          <cell r="E763">
            <v>0</v>
          </cell>
          <cell r="F763">
            <v>0</v>
          </cell>
          <cell r="G763">
            <v>0</v>
          </cell>
        </row>
        <row r="764">
          <cell r="A764">
            <v>2440068000206</v>
          </cell>
          <cell r="B764">
            <v>14495.808018265247</v>
          </cell>
          <cell r="C764">
            <v>3589.6500000000005</v>
          </cell>
          <cell r="D764">
            <v>0.24763366039871049</v>
          </cell>
          <cell r="E764">
            <v>3698.47</v>
          </cell>
          <cell r="F764">
            <v>0</v>
          </cell>
          <cell r="G764">
            <v>3698.47</v>
          </cell>
        </row>
        <row r="765">
          <cell r="A765">
            <v>7217112000571</v>
          </cell>
          <cell r="B765">
            <v>6583.0018023470921</v>
          </cell>
          <cell r="C765">
            <v>2516.4700000000003</v>
          </cell>
          <cell r="D765">
            <v>0.38226785827443982</v>
          </cell>
          <cell r="E765">
            <v>2348.0100000000007</v>
          </cell>
          <cell r="F765">
            <v>0</v>
          </cell>
          <cell r="G765">
            <v>2348.0100000000007</v>
          </cell>
        </row>
        <row r="766">
          <cell r="A766">
            <v>8252612000183</v>
          </cell>
          <cell r="B766">
            <v>9850.7159583565426</v>
          </cell>
          <cell r="C766">
            <v>3245.0400000000004</v>
          </cell>
          <cell r="D766">
            <v>0.32942174088850606</v>
          </cell>
          <cell r="E766">
            <v>0</v>
          </cell>
          <cell r="F766">
            <v>0</v>
          </cell>
          <cell r="G766">
            <v>0</v>
          </cell>
        </row>
        <row r="767">
          <cell r="A767">
            <v>8954076000168</v>
          </cell>
          <cell r="B767">
            <v>3707.2633277291816</v>
          </cell>
          <cell r="C767">
            <v>1521.97</v>
          </cell>
          <cell r="D767">
            <v>0.41053733319026348</v>
          </cell>
          <cell r="E767">
            <v>0</v>
          </cell>
          <cell r="F767">
            <v>0</v>
          </cell>
          <cell r="G767">
            <v>0</v>
          </cell>
        </row>
        <row r="768">
          <cell r="A768">
            <v>8954076000320</v>
          </cell>
          <cell r="B768">
            <v>6268.6884742938964</v>
          </cell>
          <cell r="C768">
            <v>1904.8200000000002</v>
          </cell>
          <cell r="D768">
            <v>0.30386260344745536</v>
          </cell>
          <cell r="E768">
            <v>0</v>
          </cell>
          <cell r="F768">
            <v>0</v>
          </cell>
          <cell r="G768">
            <v>0</v>
          </cell>
        </row>
        <row r="769">
          <cell r="A769">
            <v>10693312000181</v>
          </cell>
          <cell r="B769">
            <v>10142.561986512093</v>
          </cell>
          <cell r="C769">
            <v>5469.6200000000008</v>
          </cell>
          <cell r="D769">
            <v>0.53927400269021553</v>
          </cell>
          <cell r="E769">
            <v>6837.380000000001</v>
          </cell>
          <cell r="F769">
            <v>519.82999999999993</v>
          </cell>
          <cell r="G769">
            <v>6317.5500000000011</v>
          </cell>
        </row>
        <row r="770">
          <cell r="A770">
            <v>10693312000505</v>
          </cell>
          <cell r="B770">
            <v>24948.062461456349</v>
          </cell>
          <cell r="C770">
            <v>8153.380000000001</v>
          </cell>
          <cell r="D770">
            <v>0.3268141569148551</v>
          </cell>
          <cell r="E770">
            <v>13918.44</v>
          </cell>
          <cell r="F770">
            <v>563.84000000000015</v>
          </cell>
          <cell r="G770">
            <v>13354.6</v>
          </cell>
        </row>
        <row r="771">
          <cell r="A771">
            <v>10737685000107</v>
          </cell>
          <cell r="B771">
            <v>23691.00171998411</v>
          </cell>
          <cell r="C771">
            <v>11575.529999999997</v>
          </cell>
          <cell r="D771">
            <v>0.48860449789405364</v>
          </cell>
          <cell r="E771">
            <v>15717.749999999998</v>
          </cell>
          <cell r="F771">
            <v>1277.0499999999993</v>
          </cell>
          <cell r="G771">
            <v>14440.699999999999</v>
          </cell>
        </row>
        <row r="772">
          <cell r="A772">
            <v>10737685000379</v>
          </cell>
          <cell r="B772">
            <v>27938.853784778636</v>
          </cell>
          <cell r="C772">
            <v>10576.429999999997</v>
          </cell>
          <cell r="D772">
            <v>0.378556331676074</v>
          </cell>
          <cell r="E772">
            <v>12571.08</v>
          </cell>
          <cell r="F772">
            <v>663.68000000000029</v>
          </cell>
          <cell r="G772">
            <v>11907.4</v>
          </cell>
        </row>
        <row r="773">
          <cell r="A773">
            <v>21013882000108</v>
          </cell>
          <cell r="B773">
            <v>26562.718355517263</v>
          </cell>
          <cell r="C773">
            <v>23563.549999999996</v>
          </cell>
          <cell r="D773">
            <v>0.8870910606596738</v>
          </cell>
          <cell r="E773">
            <v>24231.040000000005</v>
          </cell>
          <cell r="F773">
            <v>1571.5000000000036</v>
          </cell>
          <cell r="G773">
            <v>22659.54</v>
          </cell>
        </row>
        <row r="774">
          <cell r="A774">
            <v>21013882000280</v>
          </cell>
          <cell r="B774">
            <v>3849.8733371831945</v>
          </cell>
          <cell r="C774">
            <v>5199.1000000000004</v>
          </cell>
          <cell r="D774">
            <v>1.3504600137842415</v>
          </cell>
          <cell r="E774">
            <v>4760.28</v>
          </cell>
          <cell r="F774">
            <v>245.89999999999964</v>
          </cell>
          <cell r="G774">
            <v>4514.38</v>
          </cell>
        </row>
        <row r="775">
          <cell r="A775">
            <v>21013882000361</v>
          </cell>
          <cell r="B775">
            <v>2370.7882437372609</v>
          </cell>
          <cell r="C775">
            <v>4521.71</v>
          </cell>
          <cell r="D775">
            <v>1.9072601747307769</v>
          </cell>
          <cell r="E775">
            <v>4594.8499999999976</v>
          </cell>
          <cell r="F775">
            <v>245.89999999999873</v>
          </cell>
          <cell r="G775">
            <v>4348.9499999999989</v>
          </cell>
        </row>
        <row r="776">
          <cell r="A776">
            <v>21013882000442</v>
          </cell>
          <cell r="B776">
            <v>9478.815752142511</v>
          </cell>
          <cell r="C776">
            <v>7143.2999999999984</v>
          </cell>
          <cell r="D776">
            <v>0.75360679928665009</v>
          </cell>
          <cell r="E776">
            <v>5208.4399999999987</v>
          </cell>
          <cell r="F776">
            <v>362.6200000000008</v>
          </cell>
          <cell r="G776">
            <v>4845.8199999999979</v>
          </cell>
        </row>
        <row r="777">
          <cell r="A777">
            <v>25043201000105</v>
          </cell>
          <cell r="B777">
            <v>4587.6605217975984</v>
          </cell>
          <cell r="C777">
            <v>1463.6299999999999</v>
          </cell>
          <cell r="D777">
            <v>0.3190362480060972</v>
          </cell>
          <cell r="E777">
            <v>0</v>
          </cell>
          <cell r="F777">
            <v>0</v>
          </cell>
          <cell r="G777">
            <v>0</v>
          </cell>
        </row>
        <row r="778">
          <cell r="A778">
            <v>49413331000142</v>
          </cell>
          <cell r="B778">
            <v>2050.2748365508023</v>
          </cell>
          <cell r="C778">
            <v>473.71000000000004</v>
          </cell>
          <cell r="D778">
            <v>0.23104707308261513</v>
          </cell>
          <cell r="E778">
            <v>0</v>
          </cell>
          <cell r="F778">
            <v>0</v>
          </cell>
          <cell r="G778">
            <v>0</v>
          </cell>
        </row>
        <row r="779">
          <cell r="A779">
            <v>53062463000144</v>
          </cell>
          <cell r="B779">
            <v>6268.2548255924748</v>
          </cell>
          <cell r="C779">
            <v>1726.3400000000004</v>
          </cell>
          <cell r="D779">
            <v>0.27540999018603662</v>
          </cell>
          <cell r="E779">
            <v>0</v>
          </cell>
          <cell r="F779">
            <v>0</v>
          </cell>
          <cell r="G779">
            <v>0</v>
          </cell>
        </row>
        <row r="780">
          <cell r="A780">
            <v>55133314000154</v>
          </cell>
          <cell r="B780">
            <v>418.25669277876108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</row>
        <row r="781">
          <cell r="A781">
            <v>8856967000181</v>
          </cell>
          <cell r="B781">
            <v>14840.927581630736</v>
          </cell>
          <cell r="C781">
            <v>4367.8700000000008</v>
          </cell>
          <cell r="D781">
            <v>0.2943124663856122</v>
          </cell>
          <cell r="E781">
            <v>2818.9</v>
          </cell>
          <cell r="F781">
            <v>176.28999999999996</v>
          </cell>
          <cell r="G781">
            <v>2642.61</v>
          </cell>
        </row>
        <row r="782">
          <cell r="A782">
            <v>8856967000262</v>
          </cell>
          <cell r="B782">
            <v>12190.035751001751</v>
          </cell>
          <cell r="C782">
            <v>2243.7800000000007</v>
          </cell>
          <cell r="D782">
            <v>0.18406672841920185</v>
          </cell>
          <cell r="E782">
            <v>0</v>
          </cell>
          <cell r="F782">
            <v>0</v>
          </cell>
          <cell r="G782">
            <v>0</v>
          </cell>
        </row>
        <row r="783">
          <cell r="A783">
            <v>8856967000343</v>
          </cell>
          <cell r="B783">
            <v>7354.8853372779777</v>
          </cell>
          <cell r="C783">
            <v>2004.73</v>
          </cell>
          <cell r="D783">
            <v>0.27257121057198491</v>
          </cell>
          <cell r="E783">
            <v>0</v>
          </cell>
          <cell r="F783">
            <v>0</v>
          </cell>
          <cell r="G783">
            <v>0</v>
          </cell>
        </row>
        <row r="784">
          <cell r="A784">
            <v>13475688000108</v>
          </cell>
          <cell r="B784">
            <v>2548.4112439938485</v>
          </cell>
          <cell r="C784">
            <v>148.63</v>
          </cell>
          <cell r="D784">
            <v>5.8322611921562677E-2</v>
          </cell>
          <cell r="E784">
            <v>0</v>
          </cell>
          <cell r="F784">
            <v>0</v>
          </cell>
          <cell r="G784">
            <v>0</v>
          </cell>
        </row>
        <row r="785">
          <cell r="A785">
            <v>10737685000450</v>
          </cell>
          <cell r="B785">
            <v>45368.032309507158</v>
          </cell>
          <cell r="C785">
            <v>10718.91</v>
          </cell>
          <cell r="D785">
            <v>0.23626570195670102</v>
          </cell>
          <cell r="E785">
            <v>8722.6899999999987</v>
          </cell>
          <cell r="F785">
            <v>50.639999999999418</v>
          </cell>
          <cell r="G785">
            <v>8672.0499999999993</v>
          </cell>
        </row>
        <row r="786">
          <cell r="A786">
            <v>10737685000530</v>
          </cell>
          <cell r="B786">
            <v>1047.2637277997458</v>
          </cell>
          <cell r="C786">
            <v>1581.1299999999999</v>
          </cell>
          <cell r="D786">
            <v>1.5097725224589638</v>
          </cell>
          <cell r="E786">
            <v>1545.5800000000002</v>
          </cell>
          <cell r="F786">
            <v>99.480000000000018</v>
          </cell>
          <cell r="G786">
            <v>1446.1000000000001</v>
          </cell>
        </row>
        <row r="787">
          <cell r="A787">
            <v>30879844000115</v>
          </cell>
          <cell r="B787">
            <v>6184.449587455968</v>
          </cell>
          <cell r="C787">
            <v>5250.2399999999989</v>
          </cell>
          <cell r="D787">
            <v>0.84894216142519074</v>
          </cell>
          <cell r="E787">
            <v>0</v>
          </cell>
          <cell r="F787">
            <v>0</v>
          </cell>
          <cell r="G787">
            <v>0</v>
          </cell>
        </row>
        <row r="788">
          <cell r="A788">
            <v>33019679000110</v>
          </cell>
          <cell r="B788">
            <v>11566.402857489573</v>
          </cell>
          <cell r="C788">
            <v>3192.9500000000003</v>
          </cell>
          <cell r="D788">
            <v>0.27605384658830856</v>
          </cell>
          <cell r="E788">
            <v>3657.29</v>
          </cell>
          <cell r="F788">
            <v>44.900000000000546</v>
          </cell>
          <cell r="G788">
            <v>3612.3899999999994</v>
          </cell>
        </row>
        <row r="789">
          <cell r="A789">
            <v>24920461000140</v>
          </cell>
          <cell r="B789">
            <v>17861.074267916869</v>
          </cell>
          <cell r="C789">
            <v>9839.4599999999973</v>
          </cell>
          <cell r="D789">
            <v>0.5508884769419623</v>
          </cell>
          <cell r="E789">
            <v>13364.030000000004</v>
          </cell>
          <cell r="F789">
            <v>1398.8500000000058</v>
          </cell>
          <cell r="G789">
            <v>11965.179999999998</v>
          </cell>
        </row>
        <row r="790">
          <cell r="A790">
            <v>24920461000221</v>
          </cell>
          <cell r="B790">
            <v>3494.1720957151979</v>
          </cell>
          <cell r="C790">
            <v>2273.8200000000002</v>
          </cell>
          <cell r="D790">
            <v>0.65074642510834535</v>
          </cell>
          <cell r="E790">
            <v>3210.7500000000005</v>
          </cell>
          <cell r="F790">
            <v>357.41000000000076</v>
          </cell>
          <cell r="G790">
            <v>2853.3399999999997</v>
          </cell>
        </row>
        <row r="791">
          <cell r="A791">
            <v>55913843000170</v>
          </cell>
          <cell r="B791">
            <v>1210.2403337558173</v>
          </cell>
          <cell r="C791">
            <v>104.39</v>
          </cell>
          <cell r="D791">
            <v>8.6255594932983057E-2</v>
          </cell>
          <cell r="E791">
            <v>0</v>
          </cell>
          <cell r="F791">
            <v>0</v>
          </cell>
          <cell r="G791">
            <v>0</v>
          </cell>
        </row>
        <row r="792">
          <cell r="A792">
            <v>32844150000178</v>
          </cell>
          <cell r="B792">
            <v>1192.9270984790217</v>
          </cell>
          <cell r="C792">
            <v>259.38</v>
          </cell>
          <cell r="D792">
            <v>0.21743156000958372</v>
          </cell>
          <cell r="E792">
            <v>0</v>
          </cell>
          <cell r="F792">
            <v>0</v>
          </cell>
          <cell r="G792">
            <v>0</v>
          </cell>
        </row>
        <row r="793">
          <cell r="A793">
            <v>48464291000103</v>
          </cell>
          <cell r="B793">
            <v>5415.2168463232065</v>
          </cell>
          <cell r="C793">
            <v>2466.54</v>
          </cell>
          <cell r="D793">
            <v>0.45548314499625575</v>
          </cell>
          <cell r="E793">
            <v>2130.2800000000002</v>
          </cell>
          <cell r="F793">
            <v>621.24</v>
          </cell>
          <cell r="G793">
            <v>1509.0400000000002</v>
          </cell>
        </row>
        <row r="794">
          <cell r="A794">
            <v>3838252000182</v>
          </cell>
          <cell r="B794">
            <v>2311.3478912497444</v>
          </cell>
          <cell r="C794">
            <v>1379.32</v>
          </cell>
          <cell r="D794">
            <v>0.59676001402549683</v>
          </cell>
          <cell r="E794">
            <v>1383.7000000000003</v>
          </cell>
          <cell r="F794">
            <v>305.91000000000031</v>
          </cell>
          <cell r="G794">
            <v>1077.79</v>
          </cell>
        </row>
        <row r="795">
          <cell r="A795">
            <v>5244921000113</v>
          </cell>
          <cell r="B795">
            <v>4086.8118753025301</v>
          </cell>
          <cell r="C795">
            <v>607.37999999999988</v>
          </cell>
          <cell r="D795">
            <v>0.14861951529272141</v>
          </cell>
          <cell r="E795">
            <v>0</v>
          </cell>
          <cell r="F795">
            <v>0</v>
          </cell>
          <cell r="G795">
            <v>0</v>
          </cell>
        </row>
        <row r="796">
          <cell r="A796">
            <v>7243216000127</v>
          </cell>
          <cell r="B796">
            <v>4057.9332747512717</v>
          </cell>
          <cell r="C796">
            <v>792.63000000000022</v>
          </cell>
          <cell r="D796">
            <v>0.19532849515584605</v>
          </cell>
          <cell r="E796">
            <v>1374.23</v>
          </cell>
          <cell r="F796">
            <v>0</v>
          </cell>
          <cell r="G796">
            <v>1374.23</v>
          </cell>
        </row>
        <row r="797">
          <cell r="A797">
            <v>7688383000181</v>
          </cell>
          <cell r="B797">
            <v>6143.0691232539457</v>
          </cell>
          <cell r="C797">
            <v>3821.6000000000004</v>
          </cell>
          <cell r="D797">
            <v>0.62209946255264059</v>
          </cell>
          <cell r="E797">
            <v>3506.6700000000005</v>
          </cell>
          <cell r="F797">
            <v>504.22000000000025</v>
          </cell>
          <cell r="G797">
            <v>3002.4500000000003</v>
          </cell>
        </row>
        <row r="798">
          <cell r="A798">
            <v>5123132000124</v>
          </cell>
          <cell r="B798">
            <v>8189.3517243911647</v>
          </cell>
          <cell r="C798">
            <v>2511.3200000000002</v>
          </cell>
          <cell r="D798">
            <v>0.30665675190385155</v>
          </cell>
          <cell r="E798">
            <v>1841.8300000000004</v>
          </cell>
          <cell r="F798">
            <v>22.2800000000002</v>
          </cell>
          <cell r="G798">
            <v>1819.5500000000002</v>
          </cell>
        </row>
        <row r="799">
          <cell r="A799">
            <v>328405000404</v>
          </cell>
          <cell r="B799">
            <v>1393.1375073685949</v>
          </cell>
          <cell r="C799">
            <v>503.13</v>
          </cell>
          <cell r="D799">
            <v>0.36114884377087003</v>
          </cell>
          <cell r="E799">
            <v>0</v>
          </cell>
          <cell r="F799">
            <v>0</v>
          </cell>
          <cell r="G799">
            <v>0</v>
          </cell>
        </row>
        <row r="800">
          <cell r="A800">
            <v>10870136000106</v>
          </cell>
          <cell r="B800">
            <v>6396.6318826220413</v>
          </cell>
          <cell r="C800">
            <v>1286.3699999999999</v>
          </cell>
          <cell r="D800">
            <v>0.20110114566616336</v>
          </cell>
          <cell r="E800">
            <v>668.67</v>
          </cell>
          <cell r="F800">
            <v>0</v>
          </cell>
          <cell r="G800">
            <v>668.67</v>
          </cell>
        </row>
        <row r="801">
          <cell r="A801">
            <v>13507152000127</v>
          </cell>
          <cell r="B801">
            <v>2978.4592884895046</v>
          </cell>
          <cell r="C801">
            <v>2602.65</v>
          </cell>
          <cell r="D801">
            <v>0.87382426547112801</v>
          </cell>
          <cell r="E801">
            <v>4766.9700000000012</v>
          </cell>
          <cell r="F801">
            <v>330.57000000000062</v>
          </cell>
          <cell r="G801">
            <v>4436.4000000000005</v>
          </cell>
        </row>
        <row r="802">
          <cell r="A802">
            <v>49146937000169</v>
          </cell>
          <cell r="B802">
            <v>4525.1701381027797</v>
          </cell>
          <cell r="C802">
            <v>4100.21</v>
          </cell>
          <cell r="D802">
            <v>0.90608968831369774</v>
          </cell>
          <cell r="E802">
            <v>2444.0400000000004</v>
          </cell>
          <cell r="F802">
            <v>0</v>
          </cell>
          <cell r="G802">
            <v>2444.0400000000004</v>
          </cell>
        </row>
        <row r="803">
          <cell r="A803">
            <v>4578510000100</v>
          </cell>
          <cell r="B803">
            <v>1937.0483951341864</v>
          </cell>
          <cell r="C803">
            <v>2598.94</v>
          </cell>
          <cell r="D803">
            <v>1.3417011193568873</v>
          </cell>
          <cell r="E803">
            <v>2522.2400000000007</v>
          </cell>
          <cell r="F803">
            <v>0</v>
          </cell>
          <cell r="G803">
            <v>2522.2400000000007</v>
          </cell>
        </row>
        <row r="804">
          <cell r="A804">
            <v>17222004000117</v>
          </cell>
          <cell r="B804">
            <v>2690.5534653886116</v>
          </cell>
          <cell r="C804">
            <v>545.25</v>
          </cell>
          <cell r="D804">
            <v>0.20265347149354881</v>
          </cell>
          <cell r="E804">
            <v>0</v>
          </cell>
          <cell r="F804">
            <v>0</v>
          </cell>
          <cell r="G804">
            <v>0</v>
          </cell>
        </row>
        <row r="805">
          <cell r="A805">
            <v>9556154000139</v>
          </cell>
          <cell r="B805">
            <v>2582.0700025792639</v>
          </cell>
          <cell r="C805">
            <v>3604.7299999999996</v>
          </cell>
          <cell r="D805">
            <v>1.3960620728327222</v>
          </cell>
          <cell r="E805">
            <v>5479.34</v>
          </cell>
          <cell r="F805">
            <v>0</v>
          </cell>
          <cell r="G805">
            <v>5479.34</v>
          </cell>
        </row>
        <row r="806">
          <cell r="A806">
            <v>35239450000116</v>
          </cell>
          <cell r="B806">
            <v>3790.5938809702411</v>
          </cell>
          <cell r="C806">
            <v>515.91</v>
          </cell>
          <cell r="D806">
            <v>0.13610268369555525</v>
          </cell>
          <cell r="E806">
            <v>0</v>
          </cell>
          <cell r="F806">
            <v>0</v>
          </cell>
          <cell r="G806">
            <v>0</v>
          </cell>
        </row>
        <row r="807">
          <cell r="A807">
            <v>33540619000148</v>
          </cell>
          <cell r="B807">
            <v>12791.999054648473</v>
          </cell>
          <cell r="C807">
            <v>3317.2999999999997</v>
          </cell>
          <cell r="D807">
            <v>0.25932616050300045</v>
          </cell>
          <cell r="E807">
            <v>0</v>
          </cell>
          <cell r="F807">
            <v>0</v>
          </cell>
          <cell r="G807">
            <v>0</v>
          </cell>
        </row>
        <row r="808">
          <cell r="A808">
            <v>33909525000101</v>
          </cell>
          <cell r="B808">
            <v>2018.2027044538818</v>
          </cell>
          <cell r="C808">
            <v>1369.9900000000002</v>
          </cell>
          <cell r="D808">
            <v>0.67881684876183657</v>
          </cell>
          <cell r="E808">
            <v>618.91999999999996</v>
          </cell>
          <cell r="F808">
            <v>118.63999999999999</v>
          </cell>
          <cell r="G808">
            <v>500.28</v>
          </cell>
        </row>
        <row r="809">
          <cell r="A809">
            <v>569000000107</v>
          </cell>
          <cell r="B809">
            <v>2633.0300191240531</v>
          </cell>
          <cell r="C809">
            <v>816.43</v>
          </cell>
          <cell r="D809">
            <v>0.31007242381217021</v>
          </cell>
          <cell r="E809">
            <v>0</v>
          </cell>
          <cell r="F809">
            <v>0</v>
          </cell>
          <cell r="G809">
            <v>0</v>
          </cell>
        </row>
        <row r="810">
          <cell r="A810">
            <v>73399826000149</v>
          </cell>
          <cell r="B810">
            <v>1089.3643341737315</v>
          </cell>
          <cell r="C810">
            <v>127.80999999999999</v>
          </cell>
          <cell r="D810">
            <v>0.11732530246360799</v>
          </cell>
          <cell r="E810">
            <v>0</v>
          </cell>
          <cell r="F810">
            <v>0</v>
          </cell>
          <cell r="G810">
            <v>0</v>
          </cell>
        </row>
        <row r="811">
          <cell r="A811">
            <v>4411142000100</v>
          </cell>
          <cell r="B811">
            <v>2721.3526153947696</v>
          </cell>
          <cell r="C811">
            <v>876.93</v>
          </cell>
          <cell r="D811">
            <v>0.32224048990901871</v>
          </cell>
          <cell r="E811">
            <v>678.62</v>
          </cell>
          <cell r="F811">
            <v>0</v>
          </cell>
          <cell r="G811">
            <v>678.62</v>
          </cell>
        </row>
        <row r="812">
          <cell r="A812">
            <v>13667030000106</v>
          </cell>
          <cell r="B812">
            <v>6554.5529642130259</v>
          </cell>
          <cell r="C812">
            <v>3228.6099999999997</v>
          </cell>
          <cell r="D812">
            <v>0.49257516380259253</v>
          </cell>
          <cell r="E812">
            <v>6466.2000000000007</v>
          </cell>
          <cell r="F812">
            <v>166.35000000000036</v>
          </cell>
          <cell r="G812">
            <v>6299.85</v>
          </cell>
        </row>
        <row r="813">
          <cell r="A813">
            <v>40735109000191</v>
          </cell>
          <cell r="B813">
            <v>1139.9686563609407</v>
          </cell>
          <cell r="C813">
            <v>60.88</v>
          </cell>
          <cell r="D813">
            <v>5.3404977110812747E-2</v>
          </cell>
          <cell r="E813">
            <v>0</v>
          </cell>
          <cell r="F813">
            <v>0</v>
          </cell>
          <cell r="G813">
            <v>0</v>
          </cell>
        </row>
        <row r="814">
          <cell r="A814">
            <v>14511974000144</v>
          </cell>
          <cell r="B814">
            <v>3945.0686839929958</v>
          </cell>
          <cell r="C814">
            <v>938.62000000000012</v>
          </cell>
          <cell r="D814">
            <v>0.23792234690575201</v>
          </cell>
          <cell r="E814">
            <v>0</v>
          </cell>
          <cell r="F814">
            <v>0</v>
          </cell>
          <cell r="G814">
            <v>0</v>
          </cell>
        </row>
        <row r="815">
          <cell r="A815">
            <v>4383728000109</v>
          </cell>
          <cell r="B815">
            <v>7699.421640208484</v>
          </cell>
          <cell r="C815">
            <v>3274.4799999999996</v>
          </cell>
          <cell r="D815">
            <v>0.42528908702697488</v>
          </cell>
          <cell r="E815">
            <v>3135.94</v>
          </cell>
          <cell r="F815">
            <v>80.120000000000346</v>
          </cell>
          <cell r="G815">
            <v>3055.8199999999997</v>
          </cell>
        </row>
        <row r="816">
          <cell r="A816">
            <v>55733059000180</v>
          </cell>
          <cell r="B816">
            <v>1399.7241962443682</v>
          </cell>
          <cell r="C816">
            <v>559.74</v>
          </cell>
          <cell r="D816">
            <v>0.39989306572098354</v>
          </cell>
          <cell r="E816">
            <v>0</v>
          </cell>
          <cell r="F816">
            <v>0</v>
          </cell>
          <cell r="G816">
            <v>0</v>
          </cell>
        </row>
        <row r="817">
          <cell r="A817">
            <v>18715418000140</v>
          </cell>
          <cell r="B817">
            <v>7090.0321745616129</v>
          </cell>
          <cell r="C817">
            <v>2433.96</v>
          </cell>
          <cell r="D817">
            <v>0.34329322351072339</v>
          </cell>
          <cell r="E817">
            <v>1558.3000000000002</v>
          </cell>
          <cell r="F817">
            <v>0</v>
          </cell>
          <cell r="G817">
            <v>1558.3000000000002</v>
          </cell>
        </row>
        <row r="818">
          <cell r="A818">
            <v>7056130000195</v>
          </cell>
          <cell r="B818">
            <v>1329.3951391450591</v>
          </cell>
          <cell r="C818">
            <v>295.87</v>
          </cell>
          <cell r="D818">
            <v>0.22255986296916622</v>
          </cell>
          <cell r="E818">
            <v>0</v>
          </cell>
          <cell r="F818">
            <v>0</v>
          </cell>
          <cell r="G818">
            <v>0</v>
          </cell>
        </row>
        <row r="819">
          <cell r="A819">
            <v>4822740000164</v>
          </cell>
          <cell r="B819">
            <v>8404.9924108994819</v>
          </cell>
          <cell r="C819">
            <v>3987.25</v>
          </cell>
          <cell r="D819">
            <v>0.47439067224253378</v>
          </cell>
          <cell r="E819">
            <v>0</v>
          </cell>
          <cell r="F819">
            <v>0</v>
          </cell>
          <cell r="G819">
            <v>0</v>
          </cell>
        </row>
        <row r="820">
          <cell r="A820">
            <v>14132723000159</v>
          </cell>
          <cell r="B820">
            <v>16207.459548849576</v>
          </cell>
          <cell r="C820">
            <v>9746.880000000001</v>
          </cell>
          <cell r="D820">
            <v>0.60138234315024686</v>
          </cell>
          <cell r="E820">
            <v>7329.29</v>
          </cell>
          <cell r="F820">
            <v>260.64000000000033</v>
          </cell>
          <cell r="G820">
            <v>7068.65</v>
          </cell>
        </row>
        <row r="821">
          <cell r="A821">
            <v>14132723000230</v>
          </cell>
          <cell r="B821">
            <v>14038.397294595072</v>
          </cell>
          <cell r="C821">
            <v>8157.55</v>
          </cell>
          <cell r="D821">
            <v>0.58108841264527689</v>
          </cell>
          <cell r="E821">
            <v>9955.4500000000007</v>
          </cell>
          <cell r="F821">
            <v>148.75</v>
          </cell>
          <cell r="G821">
            <v>9806.7000000000007</v>
          </cell>
        </row>
        <row r="822">
          <cell r="A822">
            <v>65824591000167</v>
          </cell>
          <cell r="B822">
            <v>3704.5584216858724</v>
          </cell>
          <cell r="C822">
            <v>2832.440000000001</v>
          </cell>
          <cell r="D822">
            <v>0.76458235438247257</v>
          </cell>
          <cell r="E822">
            <v>1503.71</v>
          </cell>
          <cell r="F822">
            <v>0</v>
          </cell>
          <cell r="G822">
            <v>1503.71</v>
          </cell>
        </row>
        <row r="823">
          <cell r="A823">
            <v>7211143000191</v>
          </cell>
          <cell r="B823">
            <v>716.15628979180758</v>
          </cell>
          <cell r="C823">
            <v>546.48</v>
          </cell>
          <cell r="D823">
            <v>0.7630736583474903</v>
          </cell>
          <cell r="E823">
            <v>514.08000000000004</v>
          </cell>
          <cell r="F823">
            <v>0</v>
          </cell>
          <cell r="G823">
            <v>514.08000000000004</v>
          </cell>
        </row>
        <row r="824">
          <cell r="A824">
            <v>33587172000162</v>
          </cell>
          <cell r="B824">
            <v>4557.0627623930659</v>
          </cell>
          <cell r="C824">
            <v>842.58000000000015</v>
          </cell>
          <cell r="D824">
            <v>0.18489541266654252</v>
          </cell>
          <cell r="E824">
            <v>2099.88</v>
          </cell>
          <cell r="F824">
            <v>2099.88</v>
          </cell>
          <cell r="G824">
            <v>0</v>
          </cell>
        </row>
        <row r="825">
          <cell r="A825">
            <v>53532526000189</v>
          </cell>
          <cell r="B825">
            <v>1998.8584430002868</v>
          </cell>
          <cell r="C825">
            <v>63.34</v>
          </cell>
          <cell r="D825">
            <v>3.168808687869195E-2</v>
          </cell>
          <cell r="E825">
            <v>0</v>
          </cell>
          <cell r="F825">
            <v>0</v>
          </cell>
          <cell r="G825">
            <v>0</v>
          </cell>
        </row>
        <row r="826">
          <cell r="A826">
            <v>74641994000161</v>
          </cell>
          <cell r="B826">
            <v>2017.1423999901679</v>
          </cell>
          <cell r="C826">
            <v>2175.08</v>
          </cell>
          <cell r="D826">
            <v>1.0782976948036003</v>
          </cell>
          <cell r="E826">
            <v>0</v>
          </cell>
          <cell r="F826">
            <v>0</v>
          </cell>
          <cell r="G826">
            <v>0</v>
          </cell>
        </row>
        <row r="827">
          <cell r="A827">
            <v>20787984000100</v>
          </cell>
          <cell r="B827">
            <v>7251.5080207712181</v>
          </cell>
          <cell r="C827">
            <v>1180.1399999999999</v>
          </cell>
          <cell r="D827">
            <v>0.16274407979962335</v>
          </cell>
          <cell r="E827">
            <v>2417.1799999999998</v>
          </cell>
          <cell r="F827">
            <v>159.01999999999953</v>
          </cell>
          <cell r="G827">
            <v>2258.1600000000003</v>
          </cell>
        </row>
        <row r="828">
          <cell r="A828">
            <v>20787984000290</v>
          </cell>
          <cell r="B828">
            <v>9636.4475021481594</v>
          </cell>
          <cell r="C828">
            <v>2426.4899999999998</v>
          </cell>
          <cell r="D828">
            <v>0.25180337457959334</v>
          </cell>
          <cell r="E828">
            <v>2217.84</v>
          </cell>
          <cell r="F828">
            <v>242.56999999999994</v>
          </cell>
          <cell r="G828">
            <v>1975.2700000000002</v>
          </cell>
        </row>
        <row r="829">
          <cell r="A829">
            <v>20787984000614</v>
          </cell>
          <cell r="B829">
            <v>7262.3168717491899</v>
          </cell>
          <cell r="C829">
            <v>1820.95</v>
          </cell>
          <cell r="D829">
            <v>0.25073954113508806</v>
          </cell>
          <cell r="E829">
            <v>2974.9500000000003</v>
          </cell>
          <cell r="F829">
            <v>87.019999999999982</v>
          </cell>
          <cell r="G829">
            <v>2887.9300000000003</v>
          </cell>
        </row>
        <row r="830">
          <cell r="A830">
            <v>20787984000703</v>
          </cell>
          <cell r="B830">
            <v>2926.6142410273865</v>
          </cell>
          <cell r="C830">
            <v>474.14</v>
          </cell>
          <cell r="D830">
            <v>0.1620097358077344</v>
          </cell>
          <cell r="E830">
            <v>1188.99</v>
          </cell>
          <cell r="F830">
            <v>97.660000000000082</v>
          </cell>
          <cell r="G830">
            <v>1091.33</v>
          </cell>
        </row>
        <row r="831">
          <cell r="A831">
            <v>20787984000886</v>
          </cell>
          <cell r="B831">
            <v>8112.0466444580697</v>
          </cell>
          <cell r="C831">
            <v>1823.2100000000003</v>
          </cell>
          <cell r="D831">
            <v>0.22475339207345016</v>
          </cell>
          <cell r="E831">
            <v>1401.8299999999997</v>
          </cell>
          <cell r="F831">
            <v>0</v>
          </cell>
          <cell r="G831">
            <v>1401.8299999999997</v>
          </cell>
        </row>
        <row r="832">
          <cell r="A832">
            <v>20787984000967</v>
          </cell>
          <cell r="B832">
            <v>7106.6996967980103</v>
          </cell>
          <cell r="C832">
            <v>1833.2800000000004</v>
          </cell>
          <cell r="D832">
            <v>0.25796502993168569</v>
          </cell>
          <cell r="E832">
            <v>1350.5399999999997</v>
          </cell>
          <cell r="F832">
            <v>171.76</v>
          </cell>
          <cell r="G832">
            <v>1178.7799999999997</v>
          </cell>
        </row>
        <row r="833">
          <cell r="A833">
            <v>48210177000149</v>
          </cell>
          <cell r="B833">
            <v>2235.7067890232925</v>
          </cell>
          <cell r="C833">
            <v>1551.8100000000002</v>
          </cell>
          <cell r="D833">
            <v>0.69410264692085832</v>
          </cell>
          <cell r="E833">
            <v>0</v>
          </cell>
          <cell r="F833">
            <v>0</v>
          </cell>
          <cell r="G833">
            <v>0</v>
          </cell>
        </row>
        <row r="834">
          <cell r="A834">
            <v>10497520000105</v>
          </cell>
          <cell r="B834">
            <v>11760.241795338343</v>
          </cell>
          <cell r="C834">
            <v>4803.07</v>
          </cell>
          <cell r="D834">
            <v>0.40841592235832214</v>
          </cell>
          <cell r="E834">
            <v>0</v>
          </cell>
          <cell r="F834">
            <v>0</v>
          </cell>
          <cell r="G834">
            <v>0</v>
          </cell>
        </row>
        <row r="835">
          <cell r="A835">
            <v>60511756000127</v>
          </cell>
          <cell r="B835">
            <v>3801.5442265159109</v>
          </cell>
          <cell r="C835">
            <v>1513.8000000000002</v>
          </cell>
          <cell r="D835">
            <v>0.39820659968682975</v>
          </cell>
          <cell r="E835">
            <v>0</v>
          </cell>
          <cell r="F835">
            <v>0</v>
          </cell>
          <cell r="G835">
            <v>0</v>
          </cell>
        </row>
        <row r="836">
          <cell r="A836">
            <v>53889242000144</v>
          </cell>
          <cell r="B836">
            <v>8815.6539094857562</v>
          </cell>
          <cell r="C836">
            <v>2373.89</v>
          </cell>
          <cell r="D836">
            <v>0.26928121548030193</v>
          </cell>
          <cell r="E836">
            <v>0</v>
          </cell>
          <cell r="F836">
            <v>0</v>
          </cell>
          <cell r="G836">
            <v>0</v>
          </cell>
        </row>
        <row r="837">
          <cell r="A837">
            <v>2351409000188</v>
          </cell>
          <cell r="B837">
            <v>5965.0356958507109</v>
          </cell>
          <cell r="C837">
            <v>3026.7400000000007</v>
          </cell>
          <cell r="D837">
            <v>0.5074135603422133</v>
          </cell>
          <cell r="E837">
            <v>3361.3800000000006</v>
          </cell>
          <cell r="F837">
            <v>691.76000000000022</v>
          </cell>
          <cell r="G837">
            <v>2669.6200000000003</v>
          </cell>
        </row>
        <row r="838">
          <cell r="A838">
            <v>4437649000125</v>
          </cell>
          <cell r="B838">
            <v>5256.4156992222779</v>
          </cell>
          <cell r="C838">
            <v>2601.04</v>
          </cell>
          <cell r="D838">
            <v>0.49483148762089751</v>
          </cell>
          <cell r="E838">
            <v>275.42</v>
          </cell>
          <cell r="F838">
            <v>0</v>
          </cell>
          <cell r="G838">
            <v>275.42</v>
          </cell>
        </row>
        <row r="839">
          <cell r="A839">
            <v>2923540000172</v>
          </cell>
          <cell r="B839">
            <v>3732.8556001813258</v>
          </cell>
          <cell r="C839">
            <v>1604.2299999999998</v>
          </cell>
          <cell r="D839">
            <v>0.42975945812692923</v>
          </cell>
          <cell r="E839">
            <v>1188.7600000000002</v>
          </cell>
          <cell r="F839">
            <v>0</v>
          </cell>
          <cell r="G839">
            <v>1188.7600000000002</v>
          </cell>
        </row>
        <row r="840">
          <cell r="A840">
            <v>42438050000103</v>
          </cell>
          <cell r="B840">
            <v>4476.7852247262508</v>
          </cell>
          <cell r="C840">
            <v>1265.4099999999999</v>
          </cell>
          <cell r="D840">
            <v>0.28266042181583056</v>
          </cell>
          <cell r="E840">
            <v>0</v>
          </cell>
          <cell r="F840">
            <v>0</v>
          </cell>
          <cell r="G840">
            <v>0</v>
          </cell>
        </row>
        <row r="841">
          <cell r="A841">
            <v>9115230000170</v>
          </cell>
          <cell r="B841">
            <v>4326.4751219144619</v>
          </cell>
          <cell r="C841">
            <v>1165.8800000000001</v>
          </cell>
          <cell r="D841">
            <v>0.26947572033746009</v>
          </cell>
          <cell r="E841">
            <v>0</v>
          </cell>
          <cell r="F841">
            <v>0</v>
          </cell>
          <cell r="G841">
            <v>0</v>
          </cell>
        </row>
        <row r="842">
          <cell r="A842">
            <v>37653234000148</v>
          </cell>
          <cell r="B842">
            <v>3805.6112032228898</v>
          </cell>
          <cell r="C842">
            <v>1019.6799999999998</v>
          </cell>
          <cell r="D842">
            <v>0.26794119145341355</v>
          </cell>
          <cell r="E842">
            <v>475.83</v>
          </cell>
          <cell r="F842">
            <v>0</v>
          </cell>
          <cell r="G842">
            <v>475.83</v>
          </cell>
        </row>
        <row r="843">
          <cell r="A843">
            <v>7966206000110</v>
          </cell>
          <cell r="B843">
            <v>5447.1023643851786</v>
          </cell>
          <cell r="C843">
            <v>2013.5099999999995</v>
          </cell>
          <cell r="D843">
            <v>0.36964790916450252</v>
          </cell>
          <cell r="E843">
            <v>131.88</v>
          </cell>
          <cell r="F843">
            <v>131.88</v>
          </cell>
          <cell r="G843">
            <v>0</v>
          </cell>
        </row>
        <row r="844">
          <cell r="A844">
            <v>8029945000148</v>
          </cell>
          <cell r="B844">
            <v>13195.811985356415</v>
          </cell>
          <cell r="C844">
            <v>10757.21</v>
          </cell>
          <cell r="D844">
            <v>0.81519879276375207</v>
          </cell>
          <cell r="E844">
            <v>5533.6800000000012</v>
          </cell>
          <cell r="F844">
            <v>1220.8200000000006</v>
          </cell>
          <cell r="G844">
            <v>4312.8600000000006</v>
          </cell>
        </row>
        <row r="845">
          <cell r="A845">
            <v>9179265000173</v>
          </cell>
          <cell r="B845">
            <v>3888.2627353368416</v>
          </cell>
          <cell r="C845">
            <v>3795.71</v>
          </cell>
          <cell r="D845">
            <v>0.9761968926390403</v>
          </cell>
          <cell r="E845">
            <v>3202.4</v>
          </cell>
          <cell r="F845">
            <v>0</v>
          </cell>
          <cell r="G845">
            <v>3202.4</v>
          </cell>
        </row>
        <row r="846">
          <cell r="A846">
            <v>3878763000128</v>
          </cell>
          <cell r="B846">
            <v>3898.7298780103697</v>
          </cell>
          <cell r="C846">
            <v>1861.8200000000004</v>
          </cell>
          <cell r="D846">
            <v>0.47754526685755899</v>
          </cell>
          <cell r="E846">
            <v>1016.9899999999999</v>
          </cell>
          <cell r="F846">
            <v>0</v>
          </cell>
          <cell r="G846">
            <v>1016.9899999999999</v>
          </cell>
        </row>
        <row r="847">
          <cell r="A847">
            <v>14931934000151</v>
          </cell>
          <cell r="B847">
            <v>17272.60559215027</v>
          </cell>
          <cell r="C847">
            <v>4580.8200000000024</v>
          </cell>
          <cell r="D847">
            <v>0.26520723671718688</v>
          </cell>
          <cell r="E847">
            <v>0</v>
          </cell>
          <cell r="F847">
            <v>0</v>
          </cell>
          <cell r="G847">
            <v>0</v>
          </cell>
        </row>
        <row r="848">
          <cell r="A848">
            <v>8617745000106</v>
          </cell>
          <cell r="B848">
            <v>8515.6646234475684</v>
          </cell>
          <cell r="C848">
            <v>10421.870000000001</v>
          </cell>
          <cell r="D848">
            <v>1.2238469292583185</v>
          </cell>
          <cell r="E848">
            <v>8185.3799999999992</v>
          </cell>
          <cell r="F848">
            <v>0</v>
          </cell>
          <cell r="G848">
            <v>8185.3799999999992</v>
          </cell>
        </row>
        <row r="849">
          <cell r="A849">
            <v>55299135000191</v>
          </cell>
          <cell r="B849">
            <v>32850.665121876686</v>
          </cell>
          <cell r="C849">
            <v>10008.600000000004</v>
          </cell>
          <cell r="D849">
            <v>0.30466963036723549</v>
          </cell>
          <cell r="E849">
            <v>6037.4599999999991</v>
          </cell>
          <cell r="F849">
            <v>345.81999999999971</v>
          </cell>
          <cell r="G849">
            <v>5691.6399999999994</v>
          </cell>
        </row>
        <row r="850">
          <cell r="A850">
            <v>15290994000103</v>
          </cell>
          <cell r="B850">
            <v>4927.3421179744819</v>
          </cell>
          <cell r="C850">
            <v>1763.76</v>
          </cell>
          <cell r="D850">
            <v>0.35795363053155349</v>
          </cell>
          <cell r="E850">
            <v>0</v>
          </cell>
          <cell r="F850">
            <v>0</v>
          </cell>
          <cell r="G850">
            <v>0</v>
          </cell>
        </row>
        <row r="851">
          <cell r="A851">
            <v>13565587000128</v>
          </cell>
          <cell r="B851">
            <v>10818.855231194353</v>
          </cell>
          <cell r="C851">
            <v>9661.659999999998</v>
          </cell>
          <cell r="D851">
            <v>0.89303903172141752</v>
          </cell>
          <cell r="E851">
            <v>8689.2199999999975</v>
          </cell>
          <cell r="F851">
            <v>429.84999999999854</v>
          </cell>
          <cell r="G851">
            <v>8259.369999999999</v>
          </cell>
        </row>
        <row r="852">
          <cell r="A852">
            <v>48771512000188</v>
          </cell>
          <cell r="B852">
            <v>2283.2352436436968</v>
          </cell>
          <cell r="C852">
            <v>1074.96</v>
          </cell>
          <cell r="D852">
            <v>0.47080562679320204</v>
          </cell>
          <cell r="E852">
            <v>518.41999999999996</v>
          </cell>
          <cell r="F852">
            <v>0</v>
          </cell>
          <cell r="G852">
            <v>518.41999999999996</v>
          </cell>
        </row>
        <row r="853">
          <cell r="A853">
            <v>74413980000190</v>
          </cell>
          <cell r="B853">
            <v>7652.5988944354558</v>
          </cell>
          <cell r="C853">
            <v>938.17000000000007</v>
          </cell>
          <cell r="D853">
            <v>0.1225949527659401</v>
          </cell>
          <cell r="E853">
            <v>0</v>
          </cell>
          <cell r="F853">
            <v>0</v>
          </cell>
          <cell r="G853">
            <v>0</v>
          </cell>
        </row>
        <row r="854">
          <cell r="A854">
            <v>4213573000154</v>
          </cell>
          <cell r="B854">
            <v>23234.648147861215</v>
          </cell>
          <cell r="C854">
            <v>6132.1600000000008</v>
          </cell>
          <cell r="D854">
            <v>0.26392308422215016</v>
          </cell>
          <cell r="E854">
            <v>2446.0600000000004</v>
          </cell>
          <cell r="F854">
            <v>0</v>
          </cell>
          <cell r="G854">
            <v>2446.0600000000004</v>
          </cell>
        </row>
        <row r="855">
          <cell r="A855">
            <v>56089146000100</v>
          </cell>
          <cell r="B855">
            <v>5356.898403668004</v>
          </cell>
          <cell r="C855">
            <v>1343.73</v>
          </cell>
          <cell r="D855">
            <v>0.25084104620687114</v>
          </cell>
          <cell r="E855">
            <v>0</v>
          </cell>
          <cell r="F855">
            <v>0</v>
          </cell>
          <cell r="G855">
            <v>0</v>
          </cell>
        </row>
        <row r="856">
          <cell r="A856">
            <v>5628142000111</v>
          </cell>
          <cell r="B856">
            <v>2583.5305426702007</v>
          </cell>
          <cell r="C856">
            <v>667.65</v>
          </cell>
          <cell r="D856">
            <v>0.25842543332580548</v>
          </cell>
          <cell r="E856">
            <v>109.9</v>
          </cell>
          <cell r="F856">
            <v>0</v>
          </cell>
          <cell r="G856">
            <v>109.9</v>
          </cell>
        </row>
        <row r="857">
          <cell r="A857">
            <v>4007182000183</v>
          </cell>
          <cell r="B857">
            <v>5770.9857733713297</v>
          </cell>
          <cell r="C857">
            <v>1371.7200000000003</v>
          </cell>
          <cell r="D857">
            <v>0.23769249377280313</v>
          </cell>
          <cell r="E857">
            <v>0</v>
          </cell>
          <cell r="F857">
            <v>0</v>
          </cell>
          <cell r="G857">
            <v>0</v>
          </cell>
        </row>
        <row r="858">
          <cell r="A858">
            <v>19436506000176</v>
          </cell>
          <cell r="B858">
            <v>4391.2552098207098</v>
          </cell>
          <cell r="C858">
            <v>1101.8699999999999</v>
          </cell>
          <cell r="D858">
            <v>0.25092369888585642</v>
          </cell>
          <cell r="E858">
            <v>1553.5899999999997</v>
          </cell>
          <cell r="F858">
            <v>592.22999999999979</v>
          </cell>
          <cell r="G858">
            <v>961.3599999999999</v>
          </cell>
        </row>
        <row r="859">
          <cell r="A859">
            <v>49841927000143</v>
          </cell>
          <cell r="B859">
            <v>3766.0271089778234</v>
          </cell>
          <cell r="C859">
            <v>1993.9399999999998</v>
          </cell>
          <cell r="D859">
            <v>0.52945450000788652</v>
          </cell>
          <cell r="E859">
            <v>0</v>
          </cell>
          <cell r="F859">
            <v>0</v>
          </cell>
          <cell r="G859">
            <v>0</v>
          </cell>
        </row>
        <row r="860">
          <cell r="A860">
            <v>72834815000187</v>
          </cell>
          <cell r="B860">
            <v>10827.032305813116</v>
          </cell>
          <cell r="C860">
            <v>4899.9900000000007</v>
          </cell>
          <cell r="D860">
            <v>0.45256999901710449</v>
          </cell>
          <cell r="E860">
            <v>735.53</v>
          </cell>
          <cell r="F860">
            <v>0</v>
          </cell>
          <cell r="G860">
            <v>735.53</v>
          </cell>
        </row>
        <row r="861">
          <cell r="A861">
            <v>9101173000170</v>
          </cell>
          <cell r="B861">
            <v>933.47152589119605</v>
          </cell>
          <cell r="C861">
            <v>177.5</v>
          </cell>
          <cell r="D861">
            <v>0.19015041710087374</v>
          </cell>
          <cell r="E861">
            <v>0</v>
          </cell>
          <cell r="F861">
            <v>0</v>
          </cell>
          <cell r="G861">
            <v>0</v>
          </cell>
        </row>
        <row r="862">
          <cell r="A862">
            <v>10309726000164</v>
          </cell>
          <cell r="B862">
            <v>4462.731656251297</v>
          </cell>
          <cell r="C862">
            <v>632.26999999999987</v>
          </cell>
          <cell r="D862">
            <v>0.14167779931700125</v>
          </cell>
          <cell r="E862">
            <v>0</v>
          </cell>
          <cell r="F862">
            <v>0</v>
          </cell>
          <cell r="G862">
            <v>0</v>
          </cell>
        </row>
        <row r="863">
          <cell r="A863">
            <v>63937486000109</v>
          </cell>
          <cell r="B863">
            <v>14212.191520025046</v>
          </cell>
          <cell r="C863">
            <v>1462.9700000000003</v>
          </cell>
          <cell r="D863">
            <v>0.10293767839665463</v>
          </cell>
          <cell r="E863">
            <v>0</v>
          </cell>
          <cell r="F863">
            <v>0</v>
          </cell>
          <cell r="G863">
            <v>0</v>
          </cell>
        </row>
        <row r="864">
          <cell r="A864">
            <v>40727407000130</v>
          </cell>
          <cell r="B864">
            <v>5005.136344521341</v>
          </cell>
          <cell r="C864">
            <v>1188.45</v>
          </cell>
          <cell r="D864">
            <v>0.23744607902657561</v>
          </cell>
          <cell r="E864">
            <v>2417.0700000000006</v>
          </cell>
          <cell r="F864">
            <v>579.53000000000065</v>
          </cell>
          <cell r="G864">
            <v>1837.54</v>
          </cell>
        </row>
        <row r="865">
          <cell r="A865">
            <v>1913782000112</v>
          </cell>
          <cell r="B865">
            <v>11052.544630361761</v>
          </cell>
          <cell r="C865">
            <v>2189.81</v>
          </cell>
          <cell r="D865">
            <v>0.19812722528932464</v>
          </cell>
          <cell r="E865">
            <v>0</v>
          </cell>
          <cell r="F865">
            <v>0</v>
          </cell>
          <cell r="G865">
            <v>0</v>
          </cell>
        </row>
        <row r="866">
          <cell r="A866">
            <v>16789469000191</v>
          </cell>
          <cell r="B866">
            <v>1540.9093389653431</v>
          </cell>
          <cell r="C866">
            <v>0</v>
          </cell>
          <cell r="D866">
            <v>0</v>
          </cell>
          <cell r="E866">
            <v>137.85</v>
          </cell>
          <cell r="F866">
            <v>137.85</v>
          </cell>
          <cell r="G866">
            <v>0</v>
          </cell>
        </row>
        <row r="867">
          <cell r="A867">
            <v>48669698000169</v>
          </cell>
          <cell r="B867">
            <v>4681.0697844560545</v>
          </cell>
          <cell r="C867">
            <v>1611.41</v>
          </cell>
          <cell r="D867">
            <v>0.34423968754980816</v>
          </cell>
          <cell r="E867">
            <v>0</v>
          </cell>
          <cell r="F867">
            <v>0</v>
          </cell>
          <cell r="G867">
            <v>0</v>
          </cell>
        </row>
        <row r="868">
          <cell r="A868">
            <v>53446228000176</v>
          </cell>
          <cell r="B868">
            <v>1804.1833018142568</v>
          </cell>
          <cell r="C868">
            <v>348.28</v>
          </cell>
          <cell r="D868">
            <v>0.19304025242322961</v>
          </cell>
          <cell r="E868">
            <v>0</v>
          </cell>
          <cell r="F868">
            <v>0</v>
          </cell>
          <cell r="G868">
            <v>0</v>
          </cell>
        </row>
        <row r="869">
          <cell r="A869">
            <v>52834325000173</v>
          </cell>
          <cell r="B869">
            <v>4776.9568039854248</v>
          </cell>
          <cell r="C869">
            <v>1192.7000000000003</v>
          </cell>
          <cell r="D869">
            <v>0.24967778628538742</v>
          </cell>
          <cell r="E869">
            <v>0</v>
          </cell>
          <cell r="F869">
            <v>0</v>
          </cell>
          <cell r="G869">
            <v>0</v>
          </cell>
        </row>
        <row r="870">
          <cell r="A870">
            <v>39350015000115</v>
          </cell>
          <cell r="B870">
            <v>6350.2997404043226</v>
          </cell>
          <cell r="C870">
            <v>2674.54</v>
          </cell>
          <cell r="D870">
            <v>0.42116752111447775</v>
          </cell>
          <cell r="E870">
            <v>0</v>
          </cell>
          <cell r="F870">
            <v>0</v>
          </cell>
          <cell r="G870">
            <v>0</v>
          </cell>
        </row>
        <row r="871">
          <cell r="A871">
            <v>51945744000110</v>
          </cell>
          <cell r="B871">
            <v>2899.0335483115346</v>
          </cell>
          <cell r="C871">
            <v>2030</v>
          </cell>
          <cell r="D871">
            <v>0.70023335921114804</v>
          </cell>
          <cell r="E871">
            <v>779.43</v>
          </cell>
          <cell r="F871">
            <v>0</v>
          </cell>
          <cell r="G871">
            <v>779.43</v>
          </cell>
        </row>
        <row r="872">
          <cell r="A872">
            <v>4256383000114</v>
          </cell>
          <cell r="B872">
            <v>6927.9961504421799</v>
          </cell>
          <cell r="C872">
            <v>4011.4900000000002</v>
          </cell>
          <cell r="D872">
            <v>0.57902601457767355</v>
          </cell>
          <cell r="E872">
            <v>3676.23</v>
          </cell>
          <cell r="F872">
            <v>556.30999999999949</v>
          </cell>
          <cell r="G872">
            <v>3119.9200000000005</v>
          </cell>
        </row>
        <row r="873">
          <cell r="A873">
            <v>4110283000185</v>
          </cell>
          <cell r="B873">
            <v>3385.1562555373466</v>
          </cell>
          <cell r="C873">
            <v>1416.1100000000001</v>
          </cell>
          <cell r="D873">
            <v>0.41832928618392901</v>
          </cell>
          <cell r="E873">
            <v>137.85</v>
          </cell>
          <cell r="F873">
            <v>0</v>
          </cell>
          <cell r="G873">
            <v>137.85</v>
          </cell>
        </row>
        <row r="874">
          <cell r="A874">
            <v>22054397000137</v>
          </cell>
          <cell r="B874">
            <v>3095.4035332870135</v>
          </cell>
          <cell r="C874">
            <v>1164.46</v>
          </cell>
          <cell r="D874">
            <v>0.37619004678315987</v>
          </cell>
          <cell r="E874">
            <v>0</v>
          </cell>
          <cell r="F874">
            <v>0</v>
          </cell>
          <cell r="G874">
            <v>0</v>
          </cell>
        </row>
        <row r="875">
          <cell r="A875">
            <v>29303719000183</v>
          </cell>
          <cell r="B875">
            <v>11465.885875812688</v>
          </cell>
          <cell r="C875">
            <v>3608.16</v>
          </cell>
          <cell r="D875">
            <v>0.31468654398622803</v>
          </cell>
          <cell r="E875">
            <v>0</v>
          </cell>
          <cell r="F875">
            <v>0</v>
          </cell>
          <cell r="G875">
            <v>0</v>
          </cell>
        </row>
        <row r="876">
          <cell r="A876">
            <v>52905500000176</v>
          </cell>
          <cell r="B876">
            <v>4424.9283122645284</v>
          </cell>
          <cell r="C876">
            <v>2684.2299999999996</v>
          </cell>
          <cell r="D876">
            <v>0.60661547726324672</v>
          </cell>
          <cell r="E876">
            <v>0</v>
          </cell>
          <cell r="F876">
            <v>0</v>
          </cell>
          <cell r="G876">
            <v>0</v>
          </cell>
        </row>
        <row r="877">
          <cell r="A877">
            <v>38872460000182</v>
          </cell>
          <cell r="B877">
            <v>6207.4491525196818</v>
          </cell>
          <cell r="C877">
            <v>8710.5400000000027</v>
          </cell>
          <cell r="D877">
            <v>1.4032398471543315</v>
          </cell>
          <cell r="E877">
            <v>12187.510000000002</v>
          </cell>
          <cell r="F877">
            <v>2026.3000000000029</v>
          </cell>
          <cell r="G877">
            <v>10161.209999999999</v>
          </cell>
        </row>
        <row r="878">
          <cell r="A878">
            <v>38872460000263</v>
          </cell>
          <cell r="B878">
            <v>2086.4905330834708</v>
          </cell>
          <cell r="C878">
            <v>677.32</v>
          </cell>
          <cell r="D878">
            <v>0.32462165021139044</v>
          </cell>
          <cell r="E878">
            <v>982.67000000000007</v>
          </cell>
          <cell r="F878">
            <v>73.200000000000045</v>
          </cell>
          <cell r="G878">
            <v>909.47</v>
          </cell>
        </row>
        <row r="879">
          <cell r="A879">
            <v>38872460000344</v>
          </cell>
          <cell r="B879">
            <v>1903.7938782984261</v>
          </cell>
          <cell r="C879">
            <v>375.95</v>
          </cell>
          <cell r="D879">
            <v>0.19747410908580965</v>
          </cell>
          <cell r="E879">
            <v>529.2399999999999</v>
          </cell>
          <cell r="F879">
            <v>0</v>
          </cell>
          <cell r="G879">
            <v>529.2399999999999</v>
          </cell>
        </row>
        <row r="880">
          <cell r="A880">
            <v>38872460000425</v>
          </cell>
          <cell r="B880">
            <v>8516.5057857969387</v>
          </cell>
          <cell r="C880">
            <v>2110.27</v>
          </cell>
          <cell r="D880">
            <v>0.24778589401293172</v>
          </cell>
          <cell r="E880">
            <v>2991.03</v>
          </cell>
          <cell r="F880">
            <v>224.44000000000051</v>
          </cell>
          <cell r="G880">
            <v>2766.5899999999997</v>
          </cell>
        </row>
        <row r="881">
          <cell r="A881">
            <v>38872460000506</v>
          </cell>
          <cell r="B881">
            <v>1609.7694292658316</v>
          </cell>
          <cell r="C881">
            <v>1633.98</v>
          </cell>
          <cell r="D881">
            <v>1.0150397754448661</v>
          </cell>
          <cell r="E881">
            <v>2018.6100000000001</v>
          </cell>
          <cell r="F881">
            <v>128.13000000000011</v>
          </cell>
          <cell r="G881">
            <v>1890.48</v>
          </cell>
        </row>
        <row r="882">
          <cell r="A882">
            <v>15487866000146</v>
          </cell>
          <cell r="B882">
            <v>1097.1536036417881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</row>
        <row r="883">
          <cell r="A883">
            <v>44944266000168</v>
          </cell>
          <cell r="B883">
            <v>4203.935016516908</v>
          </cell>
          <cell r="C883">
            <v>974.07</v>
          </cell>
          <cell r="D883">
            <v>0.23170434275814464</v>
          </cell>
          <cell r="E883">
            <v>0</v>
          </cell>
          <cell r="F883">
            <v>0</v>
          </cell>
          <cell r="G883">
            <v>0</v>
          </cell>
        </row>
        <row r="884">
          <cell r="A884">
            <v>49133299000141</v>
          </cell>
          <cell r="B884">
            <v>2682.9687791279889</v>
          </cell>
          <cell r="C884">
            <v>791.28</v>
          </cell>
          <cell r="D884">
            <v>0.29492702492690936</v>
          </cell>
          <cell r="E884">
            <v>0</v>
          </cell>
          <cell r="F884">
            <v>0</v>
          </cell>
          <cell r="G884">
            <v>0</v>
          </cell>
        </row>
        <row r="885">
          <cell r="A885">
            <v>54806695000122</v>
          </cell>
          <cell r="B885">
            <v>788.48511890421298</v>
          </cell>
          <cell r="C885">
            <v>23.85</v>
          </cell>
          <cell r="D885">
            <v>3.0247875867518249E-2</v>
          </cell>
          <cell r="E885">
            <v>0</v>
          </cell>
          <cell r="F885">
            <v>0</v>
          </cell>
          <cell r="G885">
            <v>0</v>
          </cell>
        </row>
        <row r="886">
          <cell r="A886">
            <v>57338966000150</v>
          </cell>
          <cell r="B886">
            <v>893.70473724607916</v>
          </cell>
          <cell r="C886">
            <v>73.399999999999991</v>
          </cell>
          <cell r="D886">
            <v>8.2130033489785009E-2</v>
          </cell>
          <cell r="E886">
            <v>0</v>
          </cell>
          <cell r="F886">
            <v>0</v>
          </cell>
          <cell r="G886">
            <v>0</v>
          </cell>
        </row>
        <row r="887">
          <cell r="A887">
            <v>52479223000187</v>
          </cell>
          <cell r="B887">
            <v>2143.6029904611246</v>
          </cell>
          <cell r="C887">
            <v>227.63</v>
          </cell>
          <cell r="D887">
            <v>0.10619037247705695</v>
          </cell>
          <cell r="E887">
            <v>0</v>
          </cell>
          <cell r="F887">
            <v>0</v>
          </cell>
          <cell r="G887">
            <v>0</v>
          </cell>
        </row>
        <row r="888">
          <cell r="A888">
            <v>4965393000129</v>
          </cell>
          <cell r="B888">
            <v>15463.061109481436</v>
          </cell>
          <cell r="C888">
            <v>4735.0700000000006</v>
          </cell>
          <cell r="D888">
            <v>0.30621815218052867</v>
          </cell>
          <cell r="E888">
            <v>3296.63</v>
          </cell>
          <cell r="F888">
            <v>0</v>
          </cell>
          <cell r="G888">
            <v>3296.63</v>
          </cell>
        </row>
        <row r="889">
          <cell r="A889">
            <v>28032369000103</v>
          </cell>
          <cell r="B889">
            <v>13542.419104018967</v>
          </cell>
          <cell r="C889">
            <v>4612.9199999999992</v>
          </cell>
          <cell r="D889">
            <v>0.34062747316917907</v>
          </cell>
          <cell r="E889">
            <v>5130.2000000000025</v>
          </cell>
          <cell r="F889">
            <v>873.48000000000138</v>
          </cell>
          <cell r="G889">
            <v>4256.7200000000012</v>
          </cell>
        </row>
        <row r="890">
          <cell r="A890">
            <v>3940865000126</v>
          </cell>
          <cell r="B890">
            <v>4670.9085428565049</v>
          </cell>
          <cell r="C890">
            <v>1264.56</v>
          </cell>
          <cell r="D890">
            <v>0.27073105551038157</v>
          </cell>
          <cell r="E890">
            <v>0</v>
          </cell>
          <cell r="F890">
            <v>0</v>
          </cell>
          <cell r="G890">
            <v>0</v>
          </cell>
        </row>
        <row r="891">
          <cell r="A891">
            <v>42286411000135</v>
          </cell>
          <cell r="B891">
            <v>4185.3861964869766</v>
          </cell>
          <cell r="C891">
            <v>485.22</v>
          </cell>
          <cell r="D891">
            <v>0.11593195399919647</v>
          </cell>
          <cell r="E891">
            <v>0</v>
          </cell>
          <cell r="F891">
            <v>0</v>
          </cell>
          <cell r="G891">
            <v>0</v>
          </cell>
        </row>
        <row r="892">
          <cell r="A892">
            <v>13435712000185</v>
          </cell>
          <cell r="B892">
            <v>54670.826736833638</v>
          </cell>
          <cell r="C892">
            <v>10657.169999999998</v>
          </cell>
          <cell r="D892">
            <v>0.1949333975010093</v>
          </cell>
          <cell r="E892">
            <v>14901.960000000003</v>
          </cell>
          <cell r="F892">
            <v>891.34000000000015</v>
          </cell>
          <cell r="G892">
            <v>14010.620000000003</v>
          </cell>
        </row>
        <row r="893">
          <cell r="A893">
            <v>52950355000145</v>
          </cell>
          <cell r="B893">
            <v>11909.250423435173</v>
          </cell>
          <cell r="C893">
            <v>2461.4299999999998</v>
          </cell>
          <cell r="D893">
            <v>0.20668219346167807</v>
          </cell>
          <cell r="E893">
            <v>439.1</v>
          </cell>
          <cell r="F893">
            <v>0</v>
          </cell>
          <cell r="G893">
            <v>439.1</v>
          </cell>
        </row>
        <row r="894">
          <cell r="A894">
            <v>52950355000226</v>
          </cell>
          <cell r="B894">
            <v>5282.5820237035086</v>
          </cell>
          <cell r="C894">
            <v>2059.52</v>
          </cell>
          <cell r="D894">
            <v>0.38986995199671565</v>
          </cell>
          <cell r="E894">
            <v>0</v>
          </cell>
          <cell r="F894">
            <v>0</v>
          </cell>
          <cell r="G894">
            <v>0</v>
          </cell>
        </row>
        <row r="895">
          <cell r="A895">
            <v>44692168001071</v>
          </cell>
          <cell r="B895">
            <v>2871.404575178562</v>
          </cell>
          <cell r="C895">
            <v>1365.23</v>
          </cell>
          <cell r="D895">
            <v>0.4754572071806013</v>
          </cell>
          <cell r="E895">
            <v>692.93999999999994</v>
          </cell>
          <cell r="F895">
            <v>0</v>
          </cell>
          <cell r="G895">
            <v>692.93999999999994</v>
          </cell>
        </row>
        <row r="896">
          <cell r="A896">
            <v>44692168001403</v>
          </cell>
          <cell r="B896">
            <v>17515.255346633861</v>
          </cell>
          <cell r="C896">
            <v>4864.63</v>
          </cell>
          <cell r="D896">
            <v>0.27773674455364994</v>
          </cell>
          <cell r="E896">
            <v>2914.1700000000005</v>
          </cell>
          <cell r="F896">
            <v>1095.9500000000007</v>
          </cell>
          <cell r="G896">
            <v>1818.2199999999998</v>
          </cell>
        </row>
        <row r="897">
          <cell r="A897">
            <v>32641091000130</v>
          </cell>
          <cell r="B897">
            <v>4038.2597437023901</v>
          </cell>
          <cell r="C897">
            <v>817.86</v>
          </cell>
          <cell r="D897">
            <v>0.20252783424232215</v>
          </cell>
          <cell r="E897">
            <v>0</v>
          </cell>
          <cell r="F897">
            <v>0</v>
          </cell>
          <cell r="G897">
            <v>0</v>
          </cell>
        </row>
        <row r="898">
          <cell r="A898">
            <v>55248561000104</v>
          </cell>
          <cell r="B898">
            <v>3424.2501926250848</v>
          </cell>
          <cell r="C898">
            <v>567.32000000000005</v>
          </cell>
          <cell r="D898">
            <v>0.16567714626164146</v>
          </cell>
          <cell r="E898">
            <v>1463.4799999999998</v>
          </cell>
          <cell r="F898">
            <v>549.80999999999983</v>
          </cell>
          <cell r="G898">
            <v>913.67</v>
          </cell>
        </row>
        <row r="899">
          <cell r="A899">
            <v>7542034000157</v>
          </cell>
          <cell r="B899">
            <v>10514.823674811154</v>
          </cell>
          <cell r="C899">
            <v>4948.9000000000005</v>
          </cell>
          <cell r="D899">
            <v>0.47065934275772653</v>
          </cell>
          <cell r="E899">
            <v>919.55</v>
          </cell>
          <cell r="F899">
            <v>0</v>
          </cell>
          <cell r="G899">
            <v>919.55</v>
          </cell>
        </row>
        <row r="900">
          <cell r="A900">
            <v>43080555000101</v>
          </cell>
          <cell r="B900">
            <v>5581.3357902594353</v>
          </cell>
          <cell r="C900">
            <v>2722.1300000000006</v>
          </cell>
          <cell r="D900">
            <v>0.48772016275219821</v>
          </cell>
          <cell r="E900">
            <v>866.79</v>
          </cell>
          <cell r="F900">
            <v>0</v>
          </cell>
          <cell r="G900">
            <v>866.79</v>
          </cell>
        </row>
        <row r="901">
          <cell r="A901">
            <v>11751725000138</v>
          </cell>
          <cell r="B901">
            <v>1548.3511081432562</v>
          </cell>
          <cell r="C901">
            <v>551.01</v>
          </cell>
          <cell r="D901">
            <v>0.35586889633886554</v>
          </cell>
          <cell r="E901">
            <v>80.010000000000005</v>
          </cell>
          <cell r="F901">
            <v>0</v>
          </cell>
          <cell r="G901">
            <v>80.010000000000005</v>
          </cell>
        </row>
        <row r="902">
          <cell r="A902">
            <v>4716183000105</v>
          </cell>
          <cell r="B902">
            <v>11827.582212232275</v>
          </cell>
          <cell r="C902">
            <v>5013.2900000000009</v>
          </cell>
          <cell r="D902">
            <v>0.4238643122526915</v>
          </cell>
          <cell r="E902">
            <v>4316.7000000000007</v>
          </cell>
          <cell r="F902">
            <v>718.87000000000035</v>
          </cell>
          <cell r="G902">
            <v>3597.8300000000004</v>
          </cell>
        </row>
        <row r="903">
          <cell r="A903">
            <v>4716183000288</v>
          </cell>
          <cell r="B903">
            <v>4353.379089897634</v>
          </cell>
          <cell r="C903">
            <v>1261.97</v>
          </cell>
          <cell r="D903">
            <v>0.28988286430844096</v>
          </cell>
          <cell r="E903">
            <v>1195.42</v>
          </cell>
          <cell r="F903">
            <v>72.820000000000164</v>
          </cell>
          <cell r="G903">
            <v>1122.5999999999999</v>
          </cell>
        </row>
        <row r="904">
          <cell r="A904">
            <v>3521179000110</v>
          </cell>
          <cell r="B904">
            <v>4712.8806848218401</v>
          </cell>
          <cell r="C904">
            <v>2005.38</v>
          </cell>
          <cell r="D904">
            <v>0.42551045403259746</v>
          </cell>
          <cell r="E904">
            <v>1717.63</v>
          </cell>
          <cell r="F904">
            <v>142.92999999999984</v>
          </cell>
          <cell r="G904">
            <v>1574.7000000000003</v>
          </cell>
        </row>
        <row r="905">
          <cell r="A905">
            <v>1374296000173</v>
          </cell>
          <cell r="B905">
            <v>4822.5258651296426</v>
          </cell>
          <cell r="C905">
            <v>992.98</v>
          </cell>
          <cell r="D905">
            <v>0.20590454624203577</v>
          </cell>
          <cell r="E905">
            <v>795.74</v>
          </cell>
          <cell r="F905">
            <v>116</v>
          </cell>
          <cell r="G905">
            <v>679.74</v>
          </cell>
        </row>
        <row r="906">
          <cell r="A906">
            <v>35588327000100</v>
          </cell>
          <cell r="B906">
            <v>4544.0174516694851</v>
          </cell>
          <cell r="C906">
            <v>552.09</v>
          </cell>
          <cell r="D906">
            <v>0.1214982129518804</v>
          </cell>
          <cell r="E906">
            <v>0</v>
          </cell>
          <cell r="F906">
            <v>0</v>
          </cell>
          <cell r="G906">
            <v>0</v>
          </cell>
        </row>
        <row r="907">
          <cell r="A907">
            <v>46018910000100</v>
          </cell>
          <cell r="B907">
            <v>8516.0721692022689</v>
          </cell>
          <cell r="C907">
            <v>1783.4399999999998</v>
          </cell>
          <cell r="D907">
            <v>0.20942048923090104</v>
          </cell>
          <cell r="E907">
            <v>0</v>
          </cell>
          <cell r="F907">
            <v>0</v>
          </cell>
          <cell r="G907">
            <v>0</v>
          </cell>
        </row>
        <row r="908">
          <cell r="A908">
            <v>52852354000168</v>
          </cell>
          <cell r="B908">
            <v>6412.0350027199156</v>
          </cell>
          <cell r="C908">
            <v>3463.1899999999996</v>
          </cell>
          <cell r="D908">
            <v>0.54010778146578298</v>
          </cell>
          <cell r="E908">
            <v>2485.3200000000006</v>
          </cell>
          <cell r="F908">
            <v>336.86000000000058</v>
          </cell>
          <cell r="G908">
            <v>2148.46</v>
          </cell>
        </row>
        <row r="909">
          <cell r="A909">
            <v>53091979000117</v>
          </cell>
          <cell r="B909">
            <v>4323.23269541012</v>
          </cell>
          <cell r="C909">
            <v>5453.76</v>
          </cell>
          <cell r="D909">
            <v>1.2615004521477957</v>
          </cell>
          <cell r="E909">
            <v>0</v>
          </cell>
          <cell r="F909">
            <v>0</v>
          </cell>
          <cell r="G909">
            <v>0</v>
          </cell>
        </row>
        <row r="910">
          <cell r="A910">
            <v>62392356000175</v>
          </cell>
          <cell r="B910">
            <v>4422.0704063328394</v>
          </cell>
          <cell r="C910">
            <v>2014.01</v>
          </cell>
          <cell r="D910">
            <v>0.45544503251593182</v>
          </cell>
          <cell r="E910">
            <v>6302.8100000000013</v>
          </cell>
          <cell r="F910">
            <v>71.220000000001164</v>
          </cell>
          <cell r="G910">
            <v>6231.59</v>
          </cell>
        </row>
        <row r="911">
          <cell r="A911">
            <v>62028636000107</v>
          </cell>
          <cell r="B911">
            <v>1429.4493362458841</v>
          </cell>
          <cell r="C911">
            <v>409.76</v>
          </cell>
          <cell r="D911">
            <v>0.28665583984678972</v>
          </cell>
          <cell r="E911">
            <v>1663.17</v>
          </cell>
          <cell r="F911">
            <v>87.990000000000236</v>
          </cell>
          <cell r="G911">
            <v>1575.1799999999998</v>
          </cell>
        </row>
        <row r="912">
          <cell r="A912">
            <v>1531920000107</v>
          </cell>
          <cell r="B912">
            <v>11946.195927996101</v>
          </cell>
          <cell r="C912">
            <v>5103.62</v>
          </cell>
          <cell r="D912">
            <v>0.42721716860842579</v>
          </cell>
          <cell r="E912">
            <v>6714.5499999999993</v>
          </cell>
          <cell r="F912">
            <v>2140.6099999999997</v>
          </cell>
          <cell r="G912">
            <v>4573.9399999999996</v>
          </cell>
        </row>
        <row r="913">
          <cell r="A913">
            <v>3300964000143</v>
          </cell>
          <cell r="B913">
            <v>3344.5096214143655</v>
          </cell>
          <cell r="C913">
            <v>313</v>
          </cell>
          <cell r="D913">
            <v>9.3586216046714465E-2</v>
          </cell>
          <cell r="E913">
            <v>194.67000000000002</v>
          </cell>
          <cell r="F913">
            <v>39.009999999999991</v>
          </cell>
          <cell r="G913">
            <v>155.66000000000003</v>
          </cell>
        </row>
        <row r="914">
          <cell r="A914">
            <v>46943757000110</v>
          </cell>
          <cell r="B914">
            <v>1020.1706752159769</v>
          </cell>
          <cell r="C914">
            <v>38.54</v>
          </cell>
          <cell r="D914">
            <v>3.7777992385284773E-2</v>
          </cell>
          <cell r="E914">
            <v>0</v>
          </cell>
          <cell r="F914">
            <v>0</v>
          </cell>
          <cell r="G914">
            <v>0</v>
          </cell>
        </row>
        <row r="915">
          <cell r="A915">
            <v>10689094000101</v>
          </cell>
          <cell r="B915">
            <v>2686.5223856969251</v>
          </cell>
          <cell r="C915">
            <v>92.67</v>
          </cell>
          <cell r="D915">
            <v>3.4494408270474911E-2</v>
          </cell>
          <cell r="E915">
            <v>0</v>
          </cell>
          <cell r="F915">
            <v>0</v>
          </cell>
          <cell r="G915">
            <v>0</v>
          </cell>
        </row>
        <row r="916">
          <cell r="A916">
            <v>8600885000171</v>
          </cell>
          <cell r="B916">
            <v>5307.0296745042997</v>
          </cell>
          <cell r="C916">
            <v>1526.9399999999998</v>
          </cell>
          <cell r="D916">
            <v>0.28772026795622219</v>
          </cell>
          <cell r="E916">
            <v>1457.3999999999999</v>
          </cell>
          <cell r="F916">
            <v>0</v>
          </cell>
          <cell r="G916">
            <v>1457.3999999999999</v>
          </cell>
        </row>
        <row r="917">
          <cell r="A917">
            <v>6935814000102</v>
          </cell>
          <cell r="B917">
            <v>3607.0087238388801</v>
          </cell>
          <cell r="C917">
            <v>2218.7600000000002</v>
          </cell>
          <cell r="D917">
            <v>0.61512465587790721</v>
          </cell>
          <cell r="E917">
            <v>2045.12</v>
          </cell>
          <cell r="F917">
            <v>75.760000000000218</v>
          </cell>
          <cell r="G917">
            <v>1969.3599999999997</v>
          </cell>
        </row>
        <row r="918">
          <cell r="A918">
            <v>4268705000145</v>
          </cell>
          <cell r="B918">
            <v>1862.4611170570818</v>
          </cell>
          <cell r="C918">
            <v>300.02999999999997</v>
          </cell>
          <cell r="D918">
            <v>0.16109329599003086</v>
          </cell>
          <cell r="E918">
            <v>453.49</v>
          </cell>
          <cell r="F918">
            <v>258.12</v>
          </cell>
          <cell r="G918">
            <v>195.37</v>
          </cell>
        </row>
        <row r="919">
          <cell r="A919">
            <v>7796647000110</v>
          </cell>
          <cell r="B919">
            <v>7863.0767675222296</v>
          </cell>
          <cell r="C919">
            <v>751.49000000000012</v>
          </cell>
          <cell r="D919">
            <v>9.5572003455945603E-2</v>
          </cell>
          <cell r="E919">
            <v>137.85</v>
          </cell>
          <cell r="F919">
            <v>0</v>
          </cell>
          <cell r="G919">
            <v>137.85</v>
          </cell>
        </row>
        <row r="920">
          <cell r="A920">
            <v>5398931000103</v>
          </cell>
          <cell r="B920">
            <v>3392.306416597582</v>
          </cell>
          <cell r="C920">
            <v>1217.79</v>
          </cell>
          <cell r="D920">
            <v>0.35898584928581417</v>
          </cell>
          <cell r="E920">
            <v>137.85</v>
          </cell>
          <cell r="F920">
            <v>0</v>
          </cell>
          <cell r="G920">
            <v>137.85</v>
          </cell>
        </row>
        <row r="921">
          <cell r="A921">
            <v>1727308000104</v>
          </cell>
          <cell r="B921">
            <v>1299.1753104173185</v>
          </cell>
          <cell r="C921">
            <v>0</v>
          </cell>
          <cell r="D921">
            <v>0</v>
          </cell>
          <cell r="E921">
            <v>137.85</v>
          </cell>
          <cell r="F921">
            <v>137.85</v>
          </cell>
          <cell r="G921">
            <v>0</v>
          </cell>
        </row>
        <row r="922">
          <cell r="A922">
            <v>7220741000127</v>
          </cell>
          <cell r="B922">
            <v>4983.3295977568187</v>
          </cell>
          <cell r="C922">
            <v>3158.9599999999996</v>
          </cell>
          <cell r="D922">
            <v>0.63390549190684975</v>
          </cell>
          <cell r="E922">
            <v>726.04</v>
          </cell>
          <cell r="F922">
            <v>107.88</v>
          </cell>
          <cell r="G922">
            <v>618.16</v>
          </cell>
        </row>
        <row r="923">
          <cell r="A923">
            <v>3995944000134</v>
          </cell>
          <cell r="B923">
            <v>3425.9442847561008</v>
          </cell>
          <cell r="C923">
            <v>1945.6100000000001</v>
          </cell>
          <cell r="D923">
            <v>0.56790474049945372</v>
          </cell>
          <cell r="E923">
            <v>4149.83</v>
          </cell>
          <cell r="F923">
            <v>83.720000000000255</v>
          </cell>
          <cell r="G923">
            <v>4066.1099999999997</v>
          </cell>
        </row>
        <row r="924">
          <cell r="A924">
            <v>3744695000104</v>
          </cell>
          <cell r="B924">
            <v>3298.5606450017276</v>
          </cell>
          <cell r="C924">
            <v>1606.53</v>
          </cell>
          <cell r="D924">
            <v>0.48703970394916252</v>
          </cell>
          <cell r="E924">
            <v>273.2</v>
          </cell>
          <cell r="F924">
            <v>20.829999999999984</v>
          </cell>
          <cell r="G924">
            <v>252.37</v>
          </cell>
        </row>
        <row r="925">
          <cell r="A925">
            <v>7734117000148</v>
          </cell>
          <cell r="B925">
            <v>10053.630290004972</v>
          </cell>
          <cell r="C925">
            <v>899.98</v>
          </cell>
          <cell r="D925">
            <v>8.9517912837389108E-2</v>
          </cell>
          <cell r="E925">
            <v>137.85</v>
          </cell>
          <cell r="F925">
            <v>0</v>
          </cell>
          <cell r="G925">
            <v>137.85</v>
          </cell>
        </row>
        <row r="926">
          <cell r="A926">
            <v>5638726000178</v>
          </cell>
          <cell r="B926">
            <v>3529.1278887131743</v>
          </cell>
          <cell r="C926">
            <v>216.68</v>
          </cell>
          <cell r="D926">
            <v>6.1397604970050555E-2</v>
          </cell>
          <cell r="E926">
            <v>1918.11</v>
          </cell>
          <cell r="F926">
            <v>48.820000000000164</v>
          </cell>
          <cell r="G926">
            <v>1869.2899999999997</v>
          </cell>
        </row>
        <row r="927">
          <cell r="A927">
            <v>8366044000141</v>
          </cell>
          <cell r="B927">
            <v>4800.7774457733094</v>
          </cell>
          <cell r="C927">
            <v>2737.2799999999997</v>
          </cell>
          <cell r="D927">
            <v>0.57017431674737395</v>
          </cell>
          <cell r="E927">
            <v>1192.8499999999999</v>
          </cell>
          <cell r="F927">
            <v>0</v>
          </cell>
          <cell r="G927">
            <v>1192.8499999999999</v>
          </cell>
        </row>
        <row r="928">
          <cell r="A928">
            <v>33193095000166</v>
          </cell>
          <cell r="B928">
            <v>18711.442631798982</v>
          </cell>
          <cell r="C928">
            <v>3587.8699999999994</v>
          </cell>
          <cell r="D928">
            <v>0.19174737461998939</v>
          </cell>
          <cell r="E928">
            <v>8072.9000000000005</v>
          </cell>
          <cell r="F928">
            <v>485.40000000000146</v>
          </cell>
          <cell r="G928">
            <v>7587.4999999999991</v>
          </cell>
        </row>
        <row r="929">
          <cell r="A929">
            <v>1617468000192</v>
          </cell>
          <cell r="B929">
            <v>2918.8877112051327</v>
          </cell>
          <cell r="C929">
            <v>391.59</v>
          </cell>
          <cell r="D929">
            <v>0.13415726767999672</v>
          </cell>
          <cell r="E929">
            <v>137.85</v>
          </cell>
          <cell r="F929">
            <v>0</v>
          </cell>
          <cell r="G929">
            <v>137.85</v>
          </cell>
        </row>
        <row r="930">
          <cell r="A930">
            <v>4237820000152</v>
          </cell>
          <cell r="B930">
            <v>17184.95052654744</v>
          </cell>
          <cell r="C930">
            <v>2834.5099999999998</v>
          </cell>
          <cell r="D930">
            <v>0.164941411709113</v>
          </cell>
          <cell r="E930">
            <v>3352.3</v>
          </cell>
          <cell r="F930">
            <v>0</v>
          </cell>
          <cell r="G930">
            <v>3352.3</v>
          </cell>
        </row>
        <row r="931">
          <cell r="A931">
            <v>1134776000167</v>
          </cell>
          <cell r="B931">
            <v>13232.185600931929</v>
          </cell>
          <cell r="C931">
            <v>4633.57</v>
          </cell>
          <cell r="D931">
            <v>0.35017419946661438</v>
          </cell>
          <cell r="E931">
            <v>3850.5399999999991</v>
          </cell>
          <cell r="F931">
            <v>3850.5399999999991</v>
          </cell>
          <cell r="G931">
            <v>0</v>
          </cell>
        </row>
        <row r="932">
          <cell r="A932">
            <v>8464650000108</v>
          </cell>
          <cell r="B932">
            <v>3097.4057602107328</v>
          </cell>
          <cell r="C932">
            <v>363.02</v>
          </cell>
          <cell r="D932">
            <v>0.11720130590036154</v>
          </cell>
          <cell r="E932">
            <v>1282.1099999999999</v>
          </cell>
          <cell r="F932">
            <v>142.37999999999988</v>
          </cell>
          <cell r="G932">
            <v>1139.73</v>
          </cell>
        </row>
        <row r="933">
          <cell r="A933">
            <v>1561919000117</v>
          </cell>
          <cell r="B933">
            <v>8400.0043320821915</v>
          </cell>
          <cell r="C933">
            <v>1869.54</v>
          </cell>
          <cell r="D933">
            <v>0.22256417093258554</v>
          </cell>
          <cell r="E933">
            <v>0</v>
          </cell>
          <cell r="F933">
            <v>0</v>
          </cell>
          <cell r="G933">
            <v>0</v>
          </cell>
        </row>
        <row r="934">
          <cell r="A934">
            <v>29946302000139</v>
          </cell>
          <cell r="B934">
            <v>13885.647937435759</v>
          </cell>
          <cell r="C934">
            <v>4246</v>
          </cell>
          <cell r="D934">
            <v>0.30578335408841584</v>
          </cell>
          <cell r="E934">
            <v>0</v>
          </cell>
          <cell r="F934">
            <v>0</v>
          </cell>
          <cell r="G934">
            <v>0</v>
          </cell>
        </row>
        <row r="935">
          <cell r="A935">
            <v>37489689000170</v>
          </cell>
          <cell r="B935">
            <v>601.71829391534982</v>
          </cell>
          <cell r="C935">
            <v>796.07999999999981</v>
          </cell>
          <cell r="D935">
            <v>1.3230111300421805</v>
          </cell>
          <cell r="E935">
            <v>0</v>
          </cell>
          <cell r="F935">
            <v>0</v>
          </cell>
          <cell r="G935">
            <v>0</v>
          </cell>
        </row>
        <row r="936">
          <cell r="A936">
            <v>9112212000216</v>
          </cell>
          <cell r="B936">
            <v>10399.653601075663</v>
          </cell>
          <cell r="C936">
            <v>2272.4699999999998</v>
          </cell>
          <cell r="D936">
            <v>0.21851400894400486</v>
          </cell>
          <cell r="E936">
            <v>0</v>
          </cell>
          <cell r="F936">
            <v>0</v>
          </cell>
          <cell r="G936">
            <v>0</v>
          </cell>
        </row>
        <row r="937">
          <cell r="A937">
            <v>47216701000126</v>
          </cell>
          <cell r="B937">
            <v>2778.7720746563382</v>
          </cell>
          <cell r="C937">
            <v>536.96</v>
          </cell>
          <cell r="D937">
            <v>0.19323643162291676</v>
          </cell>
          <cell r="E937">
            <v>0</v>
          </cell>
          <cell r="F937">
            <v>0</v>
          </cell>
          <cell r="G937">
            <v>0</v>
          </cell>
        </row>
        <row r="938">
          <cell r="A938">
            <v>4965294000147</v>
          </cell>
          <cell r="B938">
            <v>4503.3376013740844</v>
          </cell>
          <cell r="C938">
            <v>2475.2800000000002</v>
          </cell>
          <cell r="D938">
            <v>0.54965454938238001</v>
          </cell>
          <cell r="E938">
            <v>1769.5</v>
          </cell>
          <cell r="F938">
            <v>18.940000000000055</v>
          </cell>
          <cell r="G938">
            <v>1750.56</v>
          </cell>
        </row>
        <row r="939">
          <cell r="A939">
            <v>18096092000110</v>
          </cell>
          <cell r="B939">
            <v>4287.1491389053581</v>
          </cell>
          <cell r="C939">
            <v>4679.47</v>
          </cell>
          <cell r="D939">
            <v>1.0915108964916518</v>
          </cell>
          <cell r="E939">
            <v>4024.4900000000007</v>
          </cell>
          <cell r="F939">
            <v>0</v>
          </cell>
          <cell r="G939">
            <v>4024.4900000000007</v>
          </cell>
        </row>
        <row r="940">
          <cell r="A940">
            <v>15722053000193</v>
          </cell>
          <cell r="B940">
            <v>3547.6078415884867</v>
          </cell>
          <cell r="C940">
            <v>1115.97</v>
          </cell>
          <cell r="D940">
            <v>0.31456971847832826</v>
          </cell>
          <cell r="E940">
            <v>1658.6600000000003</v>
          </cell>
          <cell r="F940">
            <v>0</v>
          </cell>
          <cell r="G940">
            <v>1658.6600000000003</v>
          </cell>
        </row>
        <row r="941">
          <cell r="A941">
            <v>1394350000142</v>
          </cell>
          <cell r="B941">
            <v>7456.2914726377157</v>
          </cell>
          <cell r="C941">
            <v>3240.2799999999997</v>
          </cell>
          <cell r="D941">
            <v>0.4345699215073372</v>
          </cell>
          <cell r="E941">
            <v>4992.8599999999988</v>
          </cell>
          <cell r="F941">
            <v>475.03999999999814</v>
          </cell>
          <cell r="G941">
            <v>4517.8200000000006</v>
          </cell>
        </row>
        <row r="942">
          <cell r="A942">
            <v>27785214000339</v>
          </cell>
          <cell r="B942">
            <v>10332.478372547852</v>
          </cell>
          <cell r="C942">
            <v>4041.4799999999996</v>
          </cell>
          <cell r="D942">
            <v>0.39114333021375824</v>
          </cell>
          <cell r="E942">
            <v>7128.6200000000017</v>
          </cell>
          <cell r="F942">
            <v>503.22000000000116</v>
          </cell>
          <cell r="G942">
            <v>6625.4000000000005</v>
          </cell>
        </row>
        <row r="943">
          <cell r="A943">
            <v>27785214000410</v>
          </cell>
          <cell r="B943">
            <v>9415.044518852379</v>
          </cell>
          <cell r="C943">
            <v>4234.2099999999991</v>
          </cell>
          <cell r="D943">
            <v>0.44972809119718499</v>
          </cell>
          <cell r="E943">
            <v>9440.7300000000014</v>
          </cell>
          <cell r="F943">
            <v>414.30999999999949</v>
          </cell>
          <cell r="G943">
            <v>9026.4200000000019</v>
          </cell>
        </row>
        <row r="944">
          <cell r="A944">
            <v>29974778000183</v>
          </cell>
          <cell r="B944">
            <v>6064.4574749066505</v>
          </cell>
          <cell r="C944">
            <v>1555.07</v>
          </cell>
          <cell r="D944">
            <v>0.25642359707105322</v>
          </cell>
          <cell r="E944">
            <v>5251.26</v>
          </cell>
          <cell r="F944">
            <v>13.140000000001237</v>
          </cell>
          <cell r="G944">
            <v>5238.119999999999</v>
          </cell>
        </row>
        <row r="945">
          <cell r="A945">
            <v>10732561000139</v>
          </cell>
          <cell r="B945">
            <v>7532.1130455758093</v>
          </cell>
          <cell r="C945">
            <v>1905.8999999999999</v>
          </cell>
          <cell r="D945">
            <v>0.25303656337440156</v>
          </cell>
          <cell r="E945">
            <v>2685.7900000000009</v>
          </cell>
          <cell r="F945">
            <v>175.5300000000002</v>
          </cell>
          <cell r="G945">
            <v>2510.2600000000007</v>
          </cell>
        </row>
        <row r="946">
          <cell r="A946">
            <v>29601304000196</v>
          </cell>
          <cell r="B946">
            <v>3706.7310192276705</v>
          </cell>
          <cell r="C946">
            <v>1469.5500000000002</v>
          </cell>
          <cell r="D946">
            <v>0.39645444796968127</v>
          </cell>
          <cell r="E946">
            <v>4708.41</v>
          </cell>
          <cell r="F946">
            <v>0</v>
          </cell>
          <cell r="G946">
            <v>4708.41</v>
          </cell>
        </row>
        <row r="947">
          <cell r="A947">
            <v>17967556000154</v>
          </cell>
          <cell r="B947">
            <v>13916.267096017604</v>
          </cell>
          <cell r="C947">
            <v>2642.99</v>
          </cell>
          <cell r="D947">
            <v>0.18992090204680967</v>
          </cell>
          <cell r="E947">
            <v>33646.210000000006</v>
          </cell>
          <cell r="F947">
            <v>1572.5400000000118</v>
          </cell>
          <cell r="G947">
            <v>32073.669999999995</v>
          </cell>
        </row>
        <row r="948">
          <cell r="A948">
            <v>18235089000130</v>
          </cell>
          <cell r="B948">
            <v>7723.301391809232</v>
          </cell>
          <cell r="C948">
            <v>2389.9800000000005</v>
          </cell>
          <cell r="D948">
            <v>0.3094505676723478</v>
          </cell>
          <cell r="E948">
            <v>1470.5700000000002</v>
          </cell>
          <cell r="F948">
            <v>431.65000000000009</v>
          </cell>
          <cell r="G948">
            <v>1038.92</v>
          </cell>
        </row>
        <row r="949">
          <cell r="A949">
            <v>45665886000120</v>
          </cell>
          <cell r="B949">
            <v>4915.2488927500744</v>
          </cell>
          <cell r="C949">
            <v>941.30000000000018</v>
          </cell>
          <cell r="D949">
            <v>0.19150607030061181</v>
          </cell>
          <cell r="E949">
            <v>134.41999999999999</v>
          </cell>
          <cell r="F949">
            <v>0</v>
          </cell>
          <cell r="G949">
            <v>134.41999999999999</v>
          </cell>
        </row>
        <row r="950">
          <cell r="A950">
            <v>21784054000165</v>
          </cell>
          <cell r="B950">
            <v>14956.636530679785</v>
          </cell>
          <cell r="C950">
            <v>4150.3900000000003</v>
          </cell>
          <cell r="D950">
            <v>0.27749487603623429</v>
          </cell>
          <cell r="E950">
            <v>9171.39</v>
          </cell>
          <cell r="F950">
            <v>144.5</v>
          </cell>
          <cell r="G950">
            <v>9026.89</v>
          </cell>
        </row>
        <row r="951">
          <cell r="A951">
            <v>12804850000121</v>
          </cell>
          <cell r="B951">
            <v>2839.354819262101</v>
          </cell>
          <cell r="C951">
            <v>650.78000000000009</v>
          </cell>
          <cell r="D951">
            <v>0.22919995612564073</v>
          </cell>
          <cell r="E951">
            <v>0</v>
          </cell>
          <cell r="F951">
            <v>0</v>
          </cell>
          <cell r="G951">
            <v>0</v>
          </cell>
        </row>
        <row r="952">
          <cell r="A952">
            <v>22355280000193</v>
          </cell>
          <cell r="B952">
            <v>1761.7158770568651</v>
          </cell>
          <cell r="C952">
            <v>245.03000000000003</v>
          </cell>
          <cell r="D952">
            <v>0.13908599178282305</v>
          </cell>
          <cell r="E952">
            <v>137.85</v>
          </cell>
          <cell r="F952">
            <v>0</v>
          </cell>
          <cell r="G952">
            <v>137.85</v>
          </cell>
        </row>
        <row r="953">
          <cell r="A953">
            <v>7311428000102</v>
          </cell>
          <cell r="B953">
            <v>1981.6285802143368</v>
          </cell>
          <cell r="C953">
            <v>531.38000000000011</v>
          </cell>
          <cell r="D953">
            <v>0.26815317729345878</v>
          </cell>
          <cell r="E953">
            <v>717.99</v>
          </cell>
          <cell r="F953">
            <v>34.279999999999973</v>
          </cell>
          <cell r="G953">
            <v>683.71</v>
          </cell>
        </row>
        <row r="954">
          <cell r="A954">
            <v>1894476000186</v>
          </cell>
          <cell r="B954">
            <v>8291.7393723795649</v>
          </cell>
          <cell r="C954">
            <v>859.49</v>
          </cell>
          <cell r="D954">
            <v>0.10365617651502997</v>
          </cell>
          <cell r="E954">
            <v>1112.24</v>
          </cell>
          <cell r="F954">
            <v>0</v>
          </cell>
          <cell r="G954">
            <v>1112.24</v>
          </cell>
        </row>
        <row r="955">
          <cell r="A955">
            <v>16465328000113</v>
          </cell>
          <cell r="B955">
            <v>2136.6694745422456</v>
          </cell>
          <cell r="C955">
            <v>1014.5600000000001</v>
          </cell>
          <cell r="D955">
            <v>0.47483244932740787</v>
          </cell>
          <cell r="E955">
            <v>825.66</v>
          </cell>
          <cell r="F955">
            <v>0</v>
          </cell>
          <cell r="G955">
            <v>825.66</v>
          </cell>
        </row>
        <row r="956">
          <cell r="A956">
            <v>21996240000168</v>
          </cell>
          <cell r="B956">
            <v>3856.604008285623</v>
          </cell>
          <cell r="C956">
            <v>678.31999999999994</v>
          </cell>
          <cell r="D956">
            <v>0.17588531219245754</v>
          </cell>
          <cell r="E956">
            <v>0</v>
          </cell>
          <cell r="F956">
            <v>0</v>
          </cell>
          <cell r="G956">
            <v>0</v>
          </cell>
        </row>
        <row r="957">
          <cell r="A957">
            <v>27785214000258</v>
          </cell>
          <cell r="B957">
            <v>6839.2124209120338</v>
          </cell>
          <cell r="C957">
            <v>1242.8500000000001</v>
          </cell>
          <cell r="D957">
            <v>0.18172414066271414</v>
          </cell>
          <cell r="E957">
            <v>3701.9399999999996</v>
          </cell>
          <cell r="F957">
            <v>501.86999999999989</v>
          </cell>
          <cell r="G957">
            <v>3200.0699999999997</v>
          </cell>
        </row>
        <row r="958">
          <cell r="A958">
            <v>27785214000681</v>
          </cell>
          <cell r="B958">
            <v>5070.5321154154099</v>
          </cell>
          <cell r="C958">
            <v>1732.36</v>
          </cell>
          <cell r="D958">
            <v>0.34165250521405566</v>
          </cell>
          <cell r="E958">
            <v>3652.7799999999997</v>
          </cell>
          <cell r="F958">
            <v>101.92000000000007</v>
          </cell>
          <cell r="G958">
            <v>3550.8599999999997</v>
          </cell>
        </row>
        <row r="959">
          <cell r="A959">
            <v>23622022000199</v>
          </cell>
          <cell r="B959">
            <v>2626.5145244982809</v>
          </cell>
          <cell r="C959">
            <v>631.53</v>
          </cell>
          <cell r="D959">
            <v>0.24044413008553051</v>
          </cell>
          <cell r="E959">
            <v>763.36</v>
          </cell>
          <cell r="F959">
            <v>0</v>
          </cell>
          <cell r="G959">
            <v>763.36</v>
          </cell>
        </row>
        <row r="960">
          <cell r="A960">
            <v>14648568000128</v>
          </cell>
          <cell r="B960">
            <v>6005.2707388470726</v>
          </cell>
          <cell r="C960">
            <v>3802.2499999999995</v>
          </cell>
          <cell r="D960">
            <v>0.63315213673946336</v>
          </cell>
          <cell r="E960">
            <v>0</v>
          </cell>
          <cell r="F960">
            <v>0</v>
          </cell>
          <cell r="G960">
            <v>0</v>
          </cell>
        </row>
        <row r="961">
          <cell r="A961">
            <v>8986750000196</v>
          </cell>
          <cell r="B961">
            <v>1807.2592429206629</v>
          </cell>
          <cell r="C961">
            <v>177.47</v>
          </cell>
          <cell r="D961">
            <v>9.8198418790873362E-2</v>
          </cell>
          <cell r="E961">
            <v>0</v>
          </cell>
          <cell r="F961">
            <v>0</v>
          </cell>
          <cell r="G961">
            <v>0</v>
          </cell>
        </row>
        <row r="962">
          <cell r="A962">
            <v>8986750000277</v>
          </cell>
          <cell r="B962">
            <v>2549.3682453426709</v>
          </cell>
          <cell r="C962">
            <v>340.53999999999996</v>
          </cell>
          <cell r="D962">
            <v>0.1335781916253635</v>
          </cell>
          <cell r="E962">
            <v>1813.7400000000002</v>
          </cell>
          <cell r="F962">
            <v>76.559999999999945</v>
          </cell>
          <cell r="G962">
            <v>1737.1800000000003</v>
          </cell>
        </row>
        <row r="963">
          <cell r="A963">
            <v>8986750000358</v>
          </cell>
          <cell r="B963">
            <v>2338.3007894439406</v>
          </cell>
          <cell r="C963">
            <v>588.43000000000006</v>
          </cell>
          <cell r="D963">
            <v>0.25164854866252329</v>
          </cell>
          <cell r="E963">
            <v>0</v>
          </cell>
          <cell r="F963">
            <v>0</v>
          </cell>
          <cell r="G963">
            <v>0</v>
          </cell>
        </row>
        <row r="964">
          <cell r="A964">
            <v>43011126000174</v>
          </cell>
          <cell r="B964">
            <v>4492.9584413896009</v>
          </cell>
          <cell r="C964">
            <v>781.96999999999991</v>
          </cell>
          <cell r="D964">
            <v>0.17404345270510649</v>
          </cell>
          <cell r="E964">
            <v>0</v>
          </cell>
          <cell r="F964">
            <v>0</v>
          </cell>
          <cell r="G964">
            <v>0</v>
          </cell>
        </row>
        <row r="965">
          <cell r="A965">
            <v>5465757000174</v>
          </cell>
          <cell r="B965">
            <v>2270.7764072739437</v>
          </cell>
          <cell r="C965">
            <v>252.70000000000002</v>
          </cell>
          <cell r="D965">
            <v>0.11128352363998936</v>
          </cell>
          <cell r="E965">
            <v>1217.4699999999998</v>
          </cell>
          <cell r="F965">
            <v>82.440000000000055</v>
          </cell>
          <cell r="G965">
            <v>1135.0299999999997</v>
          </cell>
        </row>
        <row r="966">
          <cell r="A966">
            <v>33007949000172</v>
          </cell>
          <cell r="B966">
            <v>7742.3313115720584</v>
          </cell>
          <cell r="C966">
            <v>4090.9099999999989</v>
          </cell>
          <cell r="D966">
            <v>0.52838219334343506</v>
          </cell>
          <cell r="E966">
            <v>6386.6400000000012</v>
          </cell>
          <cell r="F966">
            <v>472.64000000000124</v>
          </cell>
          <cell r="G966">
            <v>5914</v>
          </cell>
        </row>
        <row r="967">
          <cell r="A967">
            <v>9039622000360</v>
          </cell>
          <cell r="B967">
            <v>12744.097746034086</v>
          </cell>
          <cell r="C967">
            <v>7216.2399999999989</v>
          </cell>
          <cell r="D967">
            <v>0.56624173353077623</v>
          </cell>
          <cell r="E967">
            <v>13492.979999999996</v>
          </cell>
          <cell r="F967">
            <v>1531.92</v>
          </cell>
          <cell r="G967">
            <v>11961.059999999996</v>
          </cell>
        </row>
        <row r="968">
          <cell r="A968">
            <v>48892332000154</v>
          </cell>
          <cell r="B968">
            <v>2630.6135406137546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</row>
        <row r="969">
          <cell r="A969">
            <v>11109080000134</v>
          </cell>
          <cell r="B969">
            <v>7062.1304273527403</v>
          </cell>
          <cell r="C969">
            <v>3070.4599999999996</v>
          </cell>
          <cell r="D969">
            <v>0.43477814967953943</v>
          </cell>
          <cell r="E969">
            <v>2300.0400000000004</v>
          </cell>
          <cell r="F969">
            <v>21.180000000000291</v>
          </cell>
          <cell r="G969">
            <v>2278.86</v>
          </cell>
        </row>
        <row r="970">
          <cell r="A970">
            <v>1177047000198</v>
          </cell>
          <cell r="B970">
            <v>11841.622491329699</v>
          </cell>
          <cell r="C970">
            <v>3244.04</v>
          </cell>
          <cell r="D970">
            <v>0.27395232387920226</v>
          </cell>
          <cell r="E970">
            <v>7479.91</v>
          </cell>
          <cell r="F970">
            <v>0</v>
          </cell>
          <cell r="G970">
            <v>7479.91</v>
          </cell>
        </row>
        <row r="971">
          <cell r="A971">
            <v>20759443000178</v>
          </cell>
          <cell r="B971">
            <v>431.30149027023356</v>
          </cell>
          <cell r="C971">
            <v>828.69</v>
          </cell>
          <cell r="D971">
            <v>1.9213705927164342</v>
          </cell>
          <cell r="E971">
            <v>0</v>
          </cell>
          <cell r="F971">
            <v>0</v>
          </cell>
          <cell r="G971">
            <v>0</v>
          </cell>
        </row>
        <row r="972">
          <cell r="A972">
            <v>53772681000172</v>
          </cell>
          <cell r="B972">
            <v>3050.0502534067914</v>
          </cell>
          <cell r="C972">
            <v>0</v>
          </cell>
          <cell r="D972">
            <v>0</v>
          </cell>
          <cell r="E972">
            <v>137.85</v>
          </cell>
          <cell r="F972">
            <v>137.85</v>
          </cell>
          <cell r="G972">
            <v>0</v>
          </cell>
        </row>
        <row r="973">
          <cell r="A973">
            <v>30049938000167</v>
          </cell>
          <cell r="B973">
            <v>6385.4593918910523</v>
          </cell>
          <cell r="C973">
            <v>771.7600000000001</v>
          </cell>
          <cell r="D973">
            <v>0.12086209505616222</v>
          </cell>
          <cell r="E973">
            <v>0</v>
          </cell>
          <cell r="F973">
            <v>0</v>
          </cell>
          <cell r="G973">
            <v>0</v>
          </cell>
        </row>
        <row r="974">
          <cell r="A974">
            <v>30461125000180</v>
          </cell>
          <cell r="B974">
            <v>7004.045530641165</v>
          </cell>
          <cell r="C974">
            <v>2007.9400000000003</v>
          </cell>
          <cell r="D974">
            <v>0.28668288794179059</v>
          </cell>
          <cell r="E974">
            <v>2383.9499999999998</v>
          </cell>
          <cell r="F974">
            <v>480.46000000000004</v>
          </cell>
          <cell r="G974">
            <v>1903.4899999999998</v>
          </cell>
        </row>
        <row r="975">
          <cell r="A975">
            <v>41196111000100</v>
          </cell>
          <cell r="B975">
            <v>3813.6797737231968</v>
          </cell>
          <cell r="C975">
            <v>819.19</v>
          </cell>
          <cell r="D975">
            <v>0.21480303764472758</v>
          </cell>
          <cell r="E975">
            <v>0</v>
          </cell>
          <cell r="F975">
            <v>0</v>
          </cell>
          <cell r="G975">
            <v>0</v>
          </cell>
        </row>
        <row r="976">
          <cell r="A976">
            <v>21082444000193</v>
          </cell>
          <cell r="B976">
            <v>4477.8773215552028</v>
          </cell>
          <cell r="C976">
            <v>777.89</v>
          </cell>
          <cell r="D976">
            <v>0.17371847063684909</v>
          </cell>
          <cell r="E976">
            <v>10315.460000000001</v>
          </cell>
          <cell r="F976">
            <v>102.13999999999942</v>
          </cell>
          <cell r="G976">
            <v>10213.320000000002</v>
          </cell>
        </row>
        <row r="977">
          <cell r="A977">
            <v>21082444000355</v>
          </cell>
          <cell r="B977">
            <v>1075.5054574711828</v>
          </cell>
          <cell r="C977">
            <v>988.42000000000007</v>
          </cell>
          <cell r="D977">
            <v>0.91902834442519221</v>
          </cell>
          <cell r="E977">
            <v>977.6099999999999</v>
          </cell>
          <cell r="F977">
            <v>60.319999999999936</v>
          </cell>
          <cell r="G977">
            <v>917.29</v>
          </cell>
        </row>
        <row r="978">
          <cell r="A978">
            <v>24127802000125</v>
          </cell>
          <cell r="B978">
            <v>1559.3665255502126</v>
          </cell>
          <cell r="C978">
            <v>90.17</v>
          </cell>
          <cell r="D978">
            <v>5.7824763147448027E-2</v>
          </cell>
          <cell r="E978">
            <v>2165.21</v>
          </cell>
          <cell r="F978">
            <v>18.940000000000055</v>
          </cell>
          <cell r="G978">
            <v>2146.27</v>
          </cell>
        </row>
        <row r="979">
          <cell r="A979">
            <v>57331628000197</v>
          </cell>
          <cell r="B979">
            <v>2042.0638189037388</v>
          </cell>
          <cell r="C979">
            <v>540.52</v>
          </cell>
          <cell r="D979">
            <v>0.26469300077515334</v>
          </cell>
          <cell r="E979">
            <v>1052.32</v>
          </cell>
          <cell r="F979">
            <v>37.539999999999964</v>
          </cell>
          <cell r="G979">
            <v>1014.78</v>
          </cell>
        </row>
        <row r="980">
          <cell r="A980">
            <v>59106417000186</v>
          </cell>
          <cell r="B980">
            <v>997.83757258175103</v>
          </cell>
          <cell r="C980">
            <v>200.88</v>
          </cell>
          <cell r="D980">
            <v>0.20131532978884922</v>
          </cell>
          <cell r="E980">
            <v>208.58000000000004</v>
          </cell>
          <cell r="F980">
            <v>11.710000000000008</v>
          </cell>
          <cell r="G980">
            <v>196.87000000000003</v>
          </cell>
        </row>
        <row r="981">
          <cell r="A981">
            <v>15794259000200</v>
          </cell>
          <cell r="B981">
            <v>3157.0520799078477</v>
          </cell>
          <cell r="C981">
            <v>415.54</v>
          </cell>
          <cell r="D981">
            <v>0.13162278907104041</v>
          </cell>
          <cell r="E981">
            <v>0</v>
          </cell>
          <cell r="F981">
            <v>0</v>
          </cell>
          <cell r="G981">
            <v>0</v>
          </cell>
        </row>
        <row r="982">
          <cell r="A982">
            <v>23585337000103</v>
          </cell>
          <cell r="B982">
            <v>5280.8004955206316</v>
          </cell>
          <cell r="C982">
            <v>779.09000000000015</v>
          </cell>
          <cell r="D982">
            <v>0.1475325569789756</v>
          </cell>
          <cell r="E982">
            <v>6505.4099999999989</v>
          </cell>
          <cell r="F982">
            <v>75.079999999999927</v>
          </cell>
          <cell r="G982">
            <v>6430.329999999999</v>
          </cell>
        </row>
        <row r="983">
          <cell r="A983">
            <v>33792896000148</v>
          </cell>
          <cell r="B983">
            <v>5437.3395123134669</v>
          </cell>
          <cell r="C983">
            <v>1599.9099999999999</v>
          </cell>
          <cell r="D983">
            <v>0.29424500647362994</v>
          </cell>
          <cell r="E983">
            <v>430.88</v>
          </cell>
          <cell r="F983">
            <v>0</v>
          </cell>
          <cell r="G983">
            <v>430.88</v>
          </cell>
        </row>
        <row r="984">
          <cell r="A984">
            <v>1282599000166</v>
          </cell>
          <cell r="B984">
            <v>5564.3590814763438</v>
          </cell>
          <cell r="C984">
            <v>2988.6000000000004</v>
          </cell>
          <cell r="D984">
            <v>0.53709689763714186</v>
          </cell>
          <cell r="E984">
            <v>2325.91</v>
          </cell>
          <cell r="F984">
            <v>0</v>
          </cell>
          <cell r="G984">
            <v>2325.91</v>
          </cell>
        </row>
        <row r="985">
          <cell r="A985">
            <v>17967556000235</v>
          </cell>
          <cell r="B985">
            <v>11463.870862312451</v>
          </cell>
          <cell r="C985">
            <v>3212.2799999999997</v>
          </cell>
          <cell r="D985">
            <v>0.28020901827849359</v>
          </cell>
          <cell r="E985">
            <v>29807.940000000006</v>
          </cell>
          <cell r="F985">
            <v>884.16999999999825</v>
          </cell>
          <cell r="G985">
            <v>28923.770000000008</v>
          </cell>
        </row>
        <row r="986">
          <cell r="A986">
            <v>2608021000110</v>
          </cell>
          <cell r="B986">
            <v>4180.2552141041697</v>
          </cell>
          <cell r="C986">
            <v>903.93000000000006</v>
          </cell>
          <cell r="D986">
            <v>0.21623799354406464</v>
          </cell>
          <cell r="E986">
            <v>137.85</v>
          </cell>
          <cell r="F986">
            <v>0</v>
          </cell>
          <cell r="G986">
            <v>137.85</v>
          </cell>
        </row>
        <row r="987">
          <cell r="A987">
            <v>27960067000124</v>
          </cell>
          <cell r="B987">
            <v>16628.131214617646</v>
          </cell>
          <cell r="C987">
            <v>3645.19</v>
          </cell>
          <cell r="D987">
            <v>0.21921826048591347</v>
          </cell>
          <cell r="E987">
            <v>16832.27</v>
          </cell>
          <cell r="F987">
            <v>2636.7700000000041</v>
          </cell>
          <cell r="G987">
            <v>14195.499999999996</v>
          </cell>
        </row>
        <row r="988">
          <cell r="A988">
            <v>49560389000208</v>
          </cell>
          <cell r="B988">
            <v>2067.1661373761167</v>
          </cell>
          <cell r="C988">
            <v>394.54999999999995</v>
          </cell>
          <cell r="D988">
            <v>0.19086516214937996</v>
          </cell>
          <cell r="E988">
            <v>0</v>
          </cell>
          <cell r="F988">
            <v>0</v>
          </cell>
          <cell r="G988">
            <v>0</v>
          </cell>
        </row>
        <row r="989">
          <cell r="A989">
            <v>23829894000122</v>
          </cell>
          <cell r="B989">
            <v>18833.694912583323</v>
          </cell>
          <cell r="C989">
            <v>12444.33</v>
          </cell>
          <cell r="D989">
            <v>0.66074819931831807</v>
          </cell>
          <cell r="E989">
            <v>13804.929999999997</v>
          </cell>
          <cell r="F989">
            <v>239.17000000000189</v>
          </cell>
          <cell r="G989">
            <v>13565.759999999995</v>
          </cell>
        </row>
        <row r="990">
          <cell r="A990">
            <v>37558194000155</v>
          </cell>
          <cell r="B990">
            <v>4772.5644446766901</v>
          </cell>
          <cell r="C990">
            <v>1357.58</v>
          </cell>
          <cell r="D990">
            <v>0.28445503790194854</v>
          </cell>
          <cell r="E990">
            <v>2504.6900000000005</v>
          </cell>
          <cell r="F990">
            <v>1435.7800000000004</v>
          </cell>
          <cell r="G990">
            <v>1068.9100000000001</v>
          </cell>
        </row>
        <row r="991">
          <cell r="A991">
            <v>10322682000102</v>
          </cell>
          <cell r="B991">
            <v>2180.5748598138771</v>
          </cell>
          <cell r="C991">
            <v>1496.8899999999999</v>
          </cell>
          <cell r="D991">
            <v>0.68646576991526298</v>
          </cell>
          <cell r="E991">
            <v>837.07</v>
          </cell>
          <cell r="F991">
            <v>17.300000000000068</v>
          </cell>
          <cell r="G991">
            <v>819.77</v>
          </cell>
        </row>
        <row r="992">
          <cell r="A992">
            <v>12930121000111</v>
          </cell>
          <cell r="B992">
            <v>4359.5926476783916</v>
          </cell>
          <cell r="C992">
            <v>1886.8700000000001</v>
          </cell>
          <cell r="D992">
            <v>0.43280878570267628</v>
          </cell>
          <cell r="E992">
            <v>2195.7199999999998</v>
          </cell>
          <cell r="F992">
            <v>0</v>
          </cell>
          <cell r="G992">
            <v>2195.7199999999998</v>
          </cell>
        </row>
        <row r="993">
          <cell r="A993">
            <v>21406206000196</v>
          </cell>
          <cell r="B993">
            <v>3200.8169605041721</v>
          </cell>
          <cell r="C993">
            <v>1552.22</v>
          </cell>
          <cell r="D993">
            <v>0.48494494347952477</v>
          </cell>
          <cell r="E993">
            <v>2788.5099999999998</v>
          </cell>
          <cell r="F993">
            <v>0</v>
          </cell>
          <cell r="G993">
            <v>2788.5099999999998</v>
          </cell>
        </row>
        <row r="994">
          <cell r="A994">
            <v>37515566000166</v>
          </cell>
          <cell r="B994">
            <v>3452.6163212742094</v>
          </cell>
          <cell r="C994">
            <v>947.95</v>
          </cell>
          <cell r="D994">
            <v>0.27455990234389938</v>
          </cell>
          <cell r="E994">
            <v>137.85</v>
          </cell>
          <cell r="F994">
            <v>0</v>
          </cell>
          <cell r="G994">
            <v>137.85</v>
          </cell>
        </row>
        <row r="995">
          <cell r="A995">
            <v>49560389000119</v>
          </cell>
          <cell r="B995">
            <v>2501.0830845813425</v>
          </cell>
          <cell r="C995">
            <v>546.45000000000005</v>
          </cell>
          <cell r="D995">
            <v>0.21848534475673789</v>
          </cell>
          <cell r="E995">
            <v>2678.01</v>
          </cell>
          <cell r="F995">
            <v>222.55000000000018</v>
          </cell>
          <cell r="G995">
            <v>2455.46</v>
          </cell>
        </row>
        <row r="996">
          <cell r="A996">
            <v>5235693000115</v>
          </cell>
          <cell r="B996">
            <v>6210.4684904646856</v>
          </cell>
          <cell r="C996">
            <v>1144.3</v>
          </cell>
          <cell r="D996">
            <v>0.18425341047248112</v>
          </cell>
          <cell r="E996">
            <v>2266.7700000000004</v>
          </cell>
          <cell r="F996">
            <v>0</v>
          </cell>
          <cell r="G996">
            <v>2266.7700000000004</v>
          </cell>
        </row>
        <row r="997">
          <cell r="A997">
            <v>33379672000109</v>
          </cell>
          <cell r="B997">
            <v>8119.540334122772</v>
          </cell>
          <cell r="C997">
            <v>7400.2199999999984</v>
          </cell>
          <cell r="D997">
            <v>0.91140873688381174</v>
          </cell>
          <cell r="E997">
            <v>6136.5300000000007</v>
          </cell>
          <cell r="F997">
            <v>0</v>
          </cell>
          <cell r="G997">
            <v>6136.5300000000007</v>
          </cell>
        </row>
        <row r="998">
          <cell r="A998">
            <v>32409163000119</v>
          </cell>
          <cell r="B998">
            <v>573.70855188588621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</row>
        <row r="999">
          <cell r="A999">
            <v>20103913000140</v>
          </cell>
          <cell r="B999">
            <v>14437.915320429171</v>
          </cell>
          <cell r="C999">
            <v>2954.01</v>
          </cell>
          <cell r="D999">
            <v>0.20460086753800075</v>
          </cell>
          <cell r="E999">
            <v>9035.5600000000013</v>
          </cell>
          <cell r="F999">
            <v>882.02999999999975</v>
          </cell>
          <cell r="G999">
            <v>8153.5300000000016</v>
          </cell>
        </row>
        <row r="1000">
          <cell r="A1000">
            <v>20103913000221</v>
          </cell>
          <cell r="B1000">
            <v>109379.3550727086</v>
          </cell>
          <cell r="C1000">
            <v>46477.430000000008</v>
          </cell>
          <cell r="D1000">
            <v>0.42491958349091291</v>
          </cell>
          <cell r="E1000">
            <v>60003.310000000005</v>
          </cell>
          <cell r="F1000">
            <v>5411.2299999999959</v>
          </cell>
          <cell r="G1000">
            <v>54592.080000000009</v>
          </cell>
        </row>
        <row r="1001">
          <cell r="A1001">
            <v>53494508000150</v>
          </cell>
          <cell r="B1001">
            <v>10835.852884797712</v>
          </cell>
          <cell r="C1001">
            <v>5974.5599999999995</v>
          </cell>
          <cell r="D1001">
            <v>0.55136961192801714</v>
          </cell>
          <cell r="E1001">
            <v>7168.2800000000007</v>
          </cell>
          <cell r="F1001">
            <v>1143.0600000000004</v>
          </cell>
          <cell r="G1001">
            <v>6025.22</v>
          </cell>
        </row>
        <row r="1002">
          <cell r="A1002">
            <v>52390785000150</v>
          </cell>
          <cell r="B1002">
            <v>2727.7842840925214</v>
          </cell>
          <cell r="C1002">
            <v>399.65999999999997</v>
          </cell>
          <cell r="D1002">
            <v>0.14651451814964861</v>
          </cell>
          <cell r="E1002">
            <v>0</v>
          </cell>
          <cell r="F1002">
            <v>0</v>
          </cell>
          <cell r="G1002">
            <v>0</v>
          </cell>
        </row>
        <row r="1003">
          <cell r="A1003">
            <v>58230920000186</v>
          </cell>
          <cell r="B1003">
            <v>1199.0290767975455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</row>
        <row r="1004">
          <cell r="A1004">
            <v>4924863000106</v>
          </cell>
          <cell r="B1004">
            <v>653.07817735526237</v>
          </cell>
          <cell r="C1004">
            <v>263.47000000000003</v>
          </cell>
          <cell r="D1004">
            <v>0.40342796488310351</v>
          </cell>
          <cell r="E1004">
            <v>137.85</v>
          </cell>
          <cell r="F1004">
            <v>0</v>
          </cell>
          <cell r="G1004">
            <v>137.85</v>
          </cell>
        </row>
        <row r="1005">
          <cell r="A1005">
            <v>15463847000180</v>
          </cell>
          <cell r="B1005">
            <v>9124.6937424769421</v>
          </cell>
          <cell r="C1005">
            <v>2351.11</v>
          </cell>
          <cell r="D1005">
            <v>0.25766453826885155</v>
          </cell>
          <cell r="E1005">
            <v>1384.56</v>
          </cell>
          <cell r="F1005">
            <v>153.11999999999989</v>
          </cell>
          <cell r="G1005">
            <v>1231.44</v>
          </cell>
        </row>
        <row r="1006">
          <cell r="A1006">
            <v>7629833000246</v>
          </cell>
          <cell r="B1006">
            <v>7523.4348274298809</v>
          </cell>
          <cell r="C1006">
            <v>2485.2200000000003</v>
          </cell>
          <cell r="D1006">
            <v>0.33033050156014832</v>
          </cell>
          <cell r="E1006">
            <v>3428.7900000000004</v>
          </cell>
          <cell r="F1006">
            <v>574.89999999999964</v>
          </cell>
          <cell r="G1006">
            <v>2853.8900000000008</v>
          </cell>
        </row>
        <row r="1007">
          <cell r="A1007">
            <v>54858819000113</v>
          </cell>
          <cell r="B1007">
            <v>8108.3938402961976</v>
          </cell>
          <cell r="C1007">
            <v>1197.6799999999998</v>
          </cell>
          <cell r="D1007">
            <v>0.1477086613686551</v>
          </cell>
          <cell r="E1007">
            <v>480.21999999999997</v>
          </cell>
          <cell r="F1007">
            <v>0</v>
          </cell>
          <cell r="G1007">
            <v>480.21999999999997</v>
          </cell>
        </row>
        <row r="1008">
          <cell r="A1008">
            <v>49007687000186</v>
          </cell>
          <cell r="B1008">
            <v>6176.7487480665768</v>
          </cell>
          <cell r="C1008">
            <v>2639.94</v>
          </cell>
          <cell r="D1008">
            <v>0.42739960902996815</v>
          </cell>
          <cell r="E1008">
            <v>6086.05</v>
          </cell>
          <cell r="F1008">
            <v>194.0600000000004</v>
          </cell>
          <cell r="G1008">
            <v>5891.99</v>
          </cell>
        </row>
        <row r="1009">
          <cell r="A1009">
            <v>22019833000137</v>
          </cell>
          <cell r="B1009">
            <v>5887.8773572750342</v>
          </cell>
          <cell r="C1009">
            <v>1628.9900000000002</v>
          </cell>
          <cell r="D1009">
            <v>0.27666846660575017</v>
          </cell>
          <cell r="E1009">
            <v>137.85</v>
          </cell>
          <cell r="F1009">
            <v>0</v>
          </cell>
          <cell r="G1009">
            <v>137.85</v>
          </cell>
        </row>
        <row r="1010">
          <cell r="A1010">
            <v>52331882000171</v>
          </cell>
          <cell r="B1010">
            <v>1506.2253021473482</v>
          </cell>
          <cell r="C1010">
            <v>827.67000000000007</v>
          </cell>
          <cell r="D1010">
            <v>0.54949946652737369</v>
          </cell>
          <cell r="E1010">
            <v>137.85</v>
          </cell>
          <cell r="F1010">
            <v>0</v>
          </cell>
          <cell r="G1010">
            <v>137.85</v>
          </cell>
        </row>
        <row r="1011">
          <cell r="A1011">
            <v>97528758000139</v>
          </cell>
          <cell r="B1011">
            <v>2536.1303154805719</v>
          </cell>
          <cell r="C1011">
            <v>749.82</v>
          </cell>
          <cell r="D1011">
            <v>0.29565515439923934</v>
          </cell>
          <cell r="E1011">
            <v>137.85</v>
          </cell>
          <cell r="F1011">
            <v>0</v>
          </cell>
          <cell r="G1011">
            <v>137.85</v>
          </cell>
        </row>
        <row r="1012">
          <cell r="A1012">
            <v>17660742000146</v>
          </cell>
          <cell r="B1012">
            <v>4679.482696383533</v>
          </cell>
          <cell r="C1012">
            <v>1157.45</v>
          </cell>
          <cell r="D1012">
            <v>0.24734571641744024</v>
          </cell>
          <cell r="E1012">
            <v>1363.05</v>
          </cell>
          <cell r="F1012">
            <v>0</v>
          </cell>
          <cell r="G1012">
            <v>1363.05</v>
          </cell>
        </row>
        <row r="1013">
          <cell r="A1013">
            <v>16926052000123</v>
          </cell>
          <cell r="B1013">
            <v>20021.720314359562</v>
          </cell>
          <cell r="C1013">
            <v>1892.5800000000002</v>
          </cell>
          <cell r="D1013">
            <v>9.4526342905841276E-2</v>
          </cell>
          <cell r="E1013">
            <v>0</v>
          </cell>
          <cell r="F1013">
            <v>0</v>
          </cell>
          <cell r="G1013">
            <v>0</v>
          </cell>
        </row>
        <row r="1014">
          <cell r="A1014">
            <v>29141097000134</v>
          </cell>
          <cell r="B1014">
            <v>3664.22340054799</v>
          </cell>
          <cell r="C1014">
            <v>871.00000000000023</v>
          </cell>
          <cell r="D1014">
            <v>0.23770384738816441</v>
          </cell>
          <cell r="E1014">
            <v>4364.37</v>
          </cell>
          <cell r="F1014">
            <v>81.179999999999382</v>
          </cell>
          <cell r="G1014">
            <v>4283.1900000000005</v>
          </cell>
        </row>
        <row r="1015">
          <cell r="A1015">
            <v>20119949000201</v>
          </cell>
          <cell r="B1015">
            <v>9423.1254584489707</v>
          </cell>
          <cell r="C1015">
            <v>3388.9599999999991</v>
          </cell>
          <cell r="D1015">
            <v>0.35964288228396524</v>
          </cell>
          <cell r="E1015">
            <v>4341.7900000000009</v>
          </cell>
          <cell r="F1015">
            <v>1981.8500000000008</v>
          </cell>
          <cell r="G1015">
            <v>2359.94</v>
          </cell>
        </row>
        <row r="1016">
          <cell r="A1016">
            <v>5382051000149</v>
          </cell>
          <cell r="B1016">
            <v>3924.3133275495543</v>
          </cell>
          <cell r="C1016">
            <v>303.85000000000002</v>
          </cell>
          <cell r="D1016">
            <v>7.742755856595479E-2</v>
          </cell>
          <cell r="E1016">
            <v>351.46999999999997</v>
          </cell>
          <cell r="F1016">
            <v>43.44</v>
          </cell>
          <cell r="G1016">
            <v>308.02999999999997</v>
          </cell>
        </row>
        <row r="1017">
          <cell r="A1017">
            <v>30274933000138</v>
          </cell>
          <cell r="B1017">
            <v>4208.0376928683327</v>
          </cell>
          <cell r="C1017">
            <v>2111.3400000000006</v>
          </cell>
          <cell r="D1017">
            <v>0.50173980227844484</v>
          </cell>
          <cell r="E1017">
            <v>1714.42</v>
          </cell>
          <cell r="F1017">
            <v>59.779999999999973</v>
          </cell>
          <cell r="G1017">
            <v>1654.64</v>
          </cell>
        </row>
        <row r="1018">
          <cell r="A1018">
            <v>12909312000100</v>
          </cell>
          <cell r="B1018">
            <v>3807.1865818788747</v>
          </cell>
          <cell r="C1018">
            <v>1617.0500000000002</v>
          </cell>
          <cell r="D1018">
            <v>0.42473621011817447</v>
          </cell>
          <cell r="E1018">
            <v>1650.6899999999996</v>
          </cell>
          <cell r="F1018">
            <v>204.55999999999972</v>
          </cell>
          <cell r="G1018">
            <v>1446.1299999999999</v>
          </cell>
        </row>
        <row r="1019">
          <cell r="A1019">
            <v>9559619000105</v>
          </cell>
          <cell r="B1019">
            <v>4804.8231582552589</v>
          </cell>
          <cell r="C1019">
            <v>1062.8600000000001</v>
          </cell>
          <cell r="D1019">
            <v>0.22120689253128492</v>
          </cell>
          <cell r="E1019">
            <v>0</v>
          </cell>
          <cell r="F1019">
            <v>0</v>
          </cell>
          <cell r="G1019">
            <v>0</v>
          </cell>
        </row>
        <row r="1020">
          <cell r="A1020">
            <v>27104567000164</v>
          </cell>
          <cell r="B1020">
            <v>3179.3592097864048</v>
          </cell>
          <cell r="C1020">
            <v>1396.6200000000001</v>
          </cell>
          <cell r="D1020">
            <v>0.43927719639261131</v>
          </cell>
          <cell r="E1020">
            <v>954.52999999999975</v>
          </cell>
          <cell r="F1020">
            <v>119.09999999999991</v>
          </cell>
          <cell r="G1020">
            <v>835.42999999999984</v>
          </cell>
        </row>
        <row r="1021">
          <cell r="A1021">
            <v>23202523000116</v>
          </cell>
          <cell r="B1021">
            <v>5262.1658100713994</v>
          </cell>
          <cell r="C1021">
            <v>1477.98</v>
          </cell>
          <cell r="D1021">
            <v>0.28086914273420549</v>
          </cell>
          <cell r="E1021">
            <v>6227.2800000000007</v>
          </cell>
          <cell r="F1021">
            <v>6227.2800000000007</v>
          </cell>
          <cell r="G1021">
            <v>0</v>
          </cell>
        </row>
        <row r="1022">
          <cell r="A1022">
            <v>15302745000182</v>
          </cell>
          <cell r="B1022">
            <v>4400.6658165482531</v>
          </cell>
          <cell r="C1022">
            <v>1596.2600000000002</v>
          </cell>
          <cell r="D1022">
            <v>0.36273147440494752</v>
          </cell>
          <cell r="E1022">
            <v>0</v>
          </cell>
          <cell r="F1022">
            <v>0</v>
          </cell>
          <cell r="G1022">
            <v>0</v>
          </cell>
        </row>
        <row r="1023">
          <cell r="A1023">
            <v>66613327000147</v>
          </cell>
          <cell r="B1023">
            <v>1437.2323276574921</v>
          </cell>
          <cell r="C1023">
            <v>1716.2300000000002</v>
          </cell>
          <cell r="D1023">
            <v>1.1941214840312138</v>
          </cell>
          <cell r="E1023">
            <v>845.23</v>
          </cell>
          <cell r="F1023">
            <v>0</v>
          </cell>
          <cell r="G1023">
            <v>845.23</v>
          </cell>
        </row>
        <row r="1024">
          <cell r="A1024">
            <v>34975101000108</v>
          </cell>
          <cell r="B1024">
            <v>4488.7591338650345</v>
          </cell>
          <cell r="C1024">
            <v>823</v>
          </cell>
          <cell r="D1024">
            <v>0.18334688395083432</v>
          </cell>
          <cell r="E1024">
            <v>0</v>
          </cell>
          <cell r="F1024">
            <v>0</v>
          </cell>
          <cell r="G1024">
            <v>0</v>
          </cell>
        </row>
        <row r="1025">
          <cell r="A1025">
            <v>23866159000199</v>
          </cell>
          <cell r="B1025">
            <v>3446.1822497787921</v>
          </cell>
          <cell r="C1025">
            <v>881.2299999999999</v>
          </cell>
          <cell r="D1025">
            <v>0.25571195489053589</v>
          </cell>
          <cell r="E1025">
            <v>0</v>
          </cell>
          <cell r="F1025">
            <v>0</v>
          </cell>
          <cell r="G1025">
            <v>0</v>
          </cell>
        </row>
        <row r="1026">
          <cell r="A1026">
            <v>61416946000128</v>
          </cell>
          <cell r="B1026">
            <v>10485.399079011015</v>
          </cell>
          <cell r="C1026">
            <v>3400.889999999999</v>
          </cell>
          <cell r="D1026">
            <v>0.32434530859275329</v>
          </cell>
          <cell r="E1026">
            <v>5766.4499999999989</v>
          </cell>
          <cell r="F1026">
            <v>3978.6499999999987</v>
          </cell>
          <cell r="G1026">
            <v>1787.8000000000002</v>
          </cell>
        </row>
        <row r="1027">
          <cell r="A1027">
            <v>58080762000125</v>
          </cell>
          <cell r="B1027">
            <v>2022.865579555963</v>
          </cell>
          <cell r="C1027">
            <v>539.69000000000005</v>
          </cell>
          <cell r="D1027">
            <v>0.2667947912379165</v>
          </cell>
          <cell r="E1027">
            <v>515.5</v>
          </cell>
          <cell r="F1027">
            <v>197.64000000000004</v>
          </cell>
          <cell r="G1027">
            <v>317.85999999999996</v>
          </cell>
        </row>
        <row r="1028">
          <cell r="A1028">
            <v>30531806000177</v>
          </cell>
          <cell r="B1028">
            <v>2633.404285375289</v>
          </cell>
          <cell r="C1028">
            <v>861.74</v>
          </cell>
          <cell r="D1028">
            <v>0.32723422103689354</v>
          </cell>
          <cell r="E1028">
            <v>900.04</v>
          </cell>
          <cell r="F1028">
            <v>0</v>
          </cell>
          <cell r="G1028">
            <v>900.04</v>
          </cell>
        </row>
        <row r="1029">
          <cell r="A1029">
            <v>12564855000124</v>
          </cell>
          <cell r="B1029">
            <v>9498.7797689554664</v>
          </cell>
          <cell r="C1029">
            <v>2381.0499999999997</v>
          </cell>
          <cell r="D1029">
            <v>0.25066903938355356</v>
          </cell>
          <cell r="E1029">
            <v>0</v>
          </cell>
          <cell r="F1029">
            <v>0</v>
          </cell>
          <cell r="G1029">
            <v>0</v>
          </cell>
        </row>
        <row r="1030">
          <cell r="A1030">
            <v>27449054000195</v>
          </cell>
          <cell r="B1030">
            <v>6773.9234275427962</v>
          </cell>
          <cell r="C1030">
            <v>3656.7800000000007</v>
          </cell>
          <cell r="D1030">
            <v>0.53983190673982528</v>
          </cell>
          <cell r="E1030">
            <v>2582.5499999999997</v>
          </cell>
          <cell r="F1030">
            <v>312.42999999999984</v>
          </cell>
          <cell r="G1030">
            <v>2270.12</v>
          </cell>
        </row>
        <row r="1031">
          <cell r="A1031">
            <v>49835112000151</v>
          </cell>
          <cell r="B1031">
            <v>4801.7735588080477</v>
          </cell>
          <cell r="C1031">
            <v>428.77</v>
          </cell>
          <cell r="D1031">
            <v>8.9294089933394175E-2</v>
          </cell>
          <cell r="E1031">
            <v>0</v>
          </cell>
          <cell r="F1031">
            <v>0</v>
          </cell>
          <cell r="G1031">
            <v>0</v>
          </cell>
        </row>
        <row r="1032">
          <cell r="A1032">
            <v>5112326000205</v>
          </cell>
          <cell r="B1032">
            <v>1270.6820360678303</v>
          </cell>
          <cell r="C1032">
            <v>403.01</v>
          </cell>
          <cell r="D1032">
            <v>0.31716038203162805</v>
          </cell>
          <cell r="E1032">
            <v>0</v>
          </cell>
          <cell r="F1032">
            <v>0</v>
          </cell>
          <cell r="G1032">
            <v>0</v>
          </cell>
        </row>
        <row r="1033">
          <cell r="A1033">
            <v>5112326000396</v>
          </cell>
          <cell r="B1033">
            <v>3063.3113318577648</v>
          </cell>
          <cell r="C1033">
            <v>934.31</v>
          </cell>
          <cell r="D1033">
            <v>0.30500001429282791</v>
          </cell>
          <cell r="E1033">
            <v>0</v>
          </cell>
          <cell r="F1033">
            <v>0</v>
          </cell>
          <cell r="G1033">
            <v>0</v>
          </cell>
        </row>
        <row r="1034">
          <cell r="A1034">
            <v>12104635000118</v>
          </cell>
          <cell r="B1034">
            <v>1482.8325909295763</v>
          </cell>
          <cell r="C1034">
            <v>559.31999999999994</v>
          </cell>
          <cell r="D1034">
            <v>0.3771969967623699</v>
          </cell>
          <cell r="E1034">
            <v>0</v>
          </cell>
          <cell r="F1034">
            <v>0</v>
          </cell>
          <cell r="G1034">
            <v>0</v>
          </cell>
        </row>
        <row r="1035">
          <cell r="A1035">
            <v>12237892000128</v>
          </cell>
          <cell r="B1035">
            <v>10452.576830972865</v>
          </cell>
          <cell r="C1035">
            <v>5503.0100000000011</v>
          </cell>
          <cell r="D1035">
            <v>0.52647400626547824</v>
          </cell>
          <cell r="E1035">
            <v>5765.9100000000017</v>
          </cell>
          <cell r="F1035">
            <v>257.81999999999971</v>
          </cell>
          <cell r="G1035">
            <v>5508.090000000002</v>
          </cell>
        </row>
        <row r="1036">
          <cell r="A1036">
            <v>21987208000116</v>
          </cell>
          <cell r="B1036">
            <v>11727.191540284415</v>
          </cell>
          <cell r="C1036">
            <v>4042.5299999999988</v>
          </cell>
          <cell r="D1036">
            <v>0.34471424689478186</v>
          </cell>
          <cell r="E1036">
            <v>16896.43</v>
          </cell>
          <cell r="F1036">
            <v>1500.1500000000015</v>
          </cell>
          <cell r="G1036">
            <v>15396.279999999999</v>
          </cell>
        </row>
        <row r="1037">
          <cell r="A1037">
            <v>22524747000181</v>
          </cell>
          <cell r="B1037">
            <v>9296.2182898952542</v>
          </cell>
          <cell r="C1037">
            <v>5365.0400000000009</v>
          </cell>
          <cell r="D1037">
            <v>0.57712069926667475</v>
          </cell>
          <cell r="E1037">
            <v>0</v>
          </cell>
          <cell r="F1037">
            <v>0</v>
          </cell>
          <cell r="G1037">
            <v>0</v>
          </cell>
        </row>
        <row r="1038">
          <cell r="A1038">
            <v>18768425000100</v>
          </cell>
          <cell r="B1038">
            <v>6342.2397267567148</v>
          </cell>
          <cell r="C1038">
            <v>2464.0599999999995</v>
          </cell>
          <cell r="D1038">
            <v>0.38851574619681978</v>
          </cell>
          <cell r="E1038">
            <v>0</v>
          </cell>
          <cell r="F1038">
            <v>0</v>
          </cell>
          <cell r="G1038">
            <v>0</v>
          </cell>
        </row>
        <row r="1039">
          <cell r="A1039">
            <v>59824286000172</v>
          </cell>
          <cell r="B1039">
            <v>2465.8097797338869</v>
          </cell>
          <cell r="C1039">
            <v>708.6400000000001</v>
          </cell>
          <cell r="D1039">
            <v>0.28738632064168279</v>
          </cell>
          <cell r="E1039">
            <v>195.85000000000002</v>
          </cell>
          <cell r="F1039">
            <v>0</v>
          </cell>
          <cell r="G1039">
            <v>195.85000000000002</v>
          </cell>
        </row>
        <row r="1040">
          <cell r="A1040">
            <v>10488667000139</v>
          </cell>
          <cell r="B1040">
            <v>3872.6576022265649</v>
          </cell>
          <cell r="C1040">
            <v>1777.2800000000004</v>
          </cell>
          <cell r="D1040">
            <v>0.45893032190043404</v>
          </cell>
          <cell r="E1040">
            <v>5232.99</v>
          </cell>
          <cell r="F1040">
            <v>5232.99</v>
          </cell>
          <cell r="G1040">
            <v>0</v>
          </cell>
        </row>
        <row r="1041">
          <cell r="A1041">
            <v>13289540000189</v>
          </cell>
          <cell r="B1041">
            <v>2365.7130154998008</v>
          </cell>
          <cell r="C1041">
            <v>1140.9100000000001</v>
          </cell>
          <cell r="D1041">
            <v>0.48226897874971603</v>
          </cell>
          <cell r="E1041">
            <v>0</v>
          </cell>
          <cell r="F1041">
            <v>0</v>
          </cell>
          <cell r="G1041">
            <v>0</v>
          </cell>
        </row>
        <row r="1042">
          <cell r="A1042">
            <v>17176661000175</v>
          </cell>
          <cell r="B1042">
            <v>11353.771623005443</v>
          </cell>
          <cell r="C1042">
            <v>3480.8500000000004</v>
          </cell>
          <cell r="D1042">
            <v>0.30658094204986208</v>
          </cell>
          <cell r="E1042">
            <v>7994.7200000000012</v>
          </cell>
          <cell r="F1042">
            <v>969.60000000000036</v>
          </cell>
          <cell r="G1042">
            <v>7025.1200000000008</v>
          </cell>
        </row>
        <row r="1043">
          <cell r="A1043">
            <v>17176661000256</v>
          </cell>
          <cell r="B1043">
            <v>1052.0197137956823</v>
          </cell>
          <cell r="C1043">
            <v>747.29</v>
          </cell>
          <cell r="D1043">
            <v>0.71033839974707425</v>
          </cell>
          <cell r="E1043">
            <v>0</v>
          </cell>
          <cell r="F1043">
            <v>0</v>
          </cell>
          <cell r="G1043">
            <v>0</v>
          </cell>
        </row>
        <row r="1044">
          <cell r="A1044">
            <v>62464432000100</v>
          </cell>
          <cell r="B1044">
            <v>5152.5426936792228</v>
          </cell>
          <cell r="C1044">
            <v>641.27999999999986</v>
          </cell>
          <cell r="D1044">
            <v>0.12445893961959346</v>
          </cell>
          <cell r="E1044">
            <v>0</v>
          </cell>
          <cell r="F1044">
            <v>0</v>
          </cell>
          <cell r="G1044">
            <v>0</v>
          </cell>
        </row>
        <row r="1045">
          <cell r="A1045">
            <v>20119949000112</v>
          </cell>
          <cell r="B1045">
            <v>3725.5510871931406</v>
          </cell>
          <cell r="C1045">
            <v>656.87</v>
          </cell>
          <cell r="D1045">
            <v>0.17631485507151937</v>
          </cell>
          <cell r="E1045">
            <v>0</v>
          </cell>
          <cell r="F1045">
            <v>0</v>
          </cell>
          <cell r="G1045">
            <v>0</v>
          </cell>
        </row>
        <row r="1046">
          <cell r="A1046">
            <v>13159261000109</v>
          </cell>
          <cell r="B1046">
            <v>6408.2385661138214</v>
          </cell>
          <cell r="C1046">
            <v>1202.49</v>
          </cell>
          <cell r="D1046">
            <v>0.18764750837440056</v>
          </cell>
          <cell r="E1046">
            <v>7684.2300000000014</v>
          </cell>
          <cell r="F1046">
            <v>665.77999999999975</v>
          </cell>
          <cell r="G1046">
            <v>7018.4500000000016</v>
          </cell>
        </row>
        <row r="1047">
          <cell r="A1047">
            <v>15317875000199</v>
          </cell>
          <cell r="B1047">
            <v>4935.7920655737107</v>
          </cell>
          <cell r="C1047">
            <v>3999.8600000000006</v>
          </cell>
          <cell r="D1047">
            <v>0.81037854651502172</v>
          </cell>
          <cell r="E1047">
            <v>3552.4299999999989</v>
          </cell>
          <cell r="F1047">
            <v>780.0099999999984</v>
          </cell>
          <cell r="G1047">
            <v>2772.4200000000005</v>
          </cell>
        </row>
        <row r="1048">
          <cell r="A1048">
            <v>33193160000153</v>
          </cell>
          <cell r="B1048">
            <v>4224.5038958684927</v>
          </cell>
          <cell r="C1048">
            <v>2166.1000000000004</v>
          </cell>
          <cell r="D1048">
            <v>0.51274659780013854</v>
          </cell>
          <cell r="E1048">
            <v>0</v>
          </cell>
          <cell r="F1048">
            <v>0</v>
          </cell>
          <cell r="G1048">
            <v>0</v>
          </cell>
        </row>
        <row r="1049">
          <cell r="A1049">
            <v>260180000140</v>
          </cell>
          <cell r="B1049">
            <v>5234.2294909505372</v>
          </cell>
          <cell r="C1049">
            <v>2652.17</v>
          </cell>
          <cell r="D1049">
            <v>0.50669730942927482</v>
          </cell>
          <cell r="E1049">
            <v>2849.62</v>
          </cell>
          <cell r="F1049">
            <v>364.73</v>
          </cell>
          <cell r="G1049">
            <v>2484.89</v>
          </cell>
        </row>
        <row r="1050">
          <cell r="A1050">
            <v>26860338000107</v>
          </cell>
          <cell r="B1050">
            <v>2534.1949727986221</v>
          </cell>
          <cell r="C1050">
            <v>349.21</v>
          </cell>
          <cell r="D1050">
            <v>0.13779918425706297</v>
          </cell>
          <cell r="E1050">
            <v>0</v>
          </cell>
          <cell r="F1050">
            <v>0</v>
          </cell>
          <cell r="G1050">
            <v>0</v>
          </cell>
        </row>
        <row r="1051">
          <cell r="A1051">
            <v>5674541000119</v>
          </cell>
          <cell r="B1051">
            <v>3834.8720979186519</v>
          </cell>
          <cell r="C1051">
            <v>1307.0399999999997</v>
          </cell>
          <cell r="D1051">
            <v>0.34083014156049324</v>
          </cell>
          <cell r="E1051">
            <v>0</v>
          </cell>
          <cell r="F1051">
            <v>0</v>
          </cell>
          <cell r="G1051">
            <v>0</v>
          </cell>
        </row>
        <row r="1052">
          <cell r="A1052">
            <v>2917723000185</v>
          </cell>
          <cell r="B1052">
            <v>21972.539655355049</v>
          </cell>
          <cell r="C1052">
            <v>2364.4199999999996</v>
          </cell>
          <cell r="D1052">
            <v>0.10760795233898936</v>
          </cell>
          <cell r="E1052">
            <v>28129.96</v>
          </cell>
          <cell r="F1052">
            <v>138.59000000000015</v>
          </cell>
          <cell r="G1052">
            <v>27991.37</v>
          </cell>
        </row>
        <row r="1053">
          <cell r="A1053">
            <v>3836752000185</v>
          </cell>
          <cell r="B1053">
            <v>7239.8632883610371</v>
          </cell>
          <cell r="C1053">
            <v>2742.04</v>
          </cell>
          <cell r="D1053">
            <v>0.37874195834721958</v>
          </cell>
          <cell r="E1053">
            <v>54.17</v>
          </cell>
          <cell r="F1053">
            <v>54.17</v>
          </cell>
          <cell r="G1053">
            <v>0</v>
          </cell>
        </row>
        <row r="1054">
          <cell r="A1054">
            <v>2441488000118</v>
          </cell>
          <cell r="B1054">
            <v>5349.6718401664639</v>
          </cell>
          <cell r="C1054">
            <v>1130.7</v>
          </cell>
          <cell r="D1054">
            <v>0.21135875877665358</v>
          </cell>
          <cell r="E1054">
            <v>360.46999999999997</v>
          </cell>
          <cell r="F1054">
            <v>0</v>
          </cell>
          <cell r="G1054">
            <v>360.46999999999997</v>
          </cell>
        </row>
        <row r="1055">
          <cell r="A1055">
            <v>7625132000158</v>
          </cell>
          <cell r="B1055">
            <v>12019.260241419184</v>
          </cell>
          <cell r="C1055">
            <v>2600.110000000001</v>
          </cell>
          <cell r="D1055">
            <v>0.21632862154359933</v>
          </cell>
          <cell r="E1055">
            <v>137.85</v>
          </cell>
          <cell r="F1055">
            <v>0</v>
          </cell>
          <cell r="G1055">
            <v>137.85</v>
          </cell>
        </row>
        <row r="1056">
          <cell r="A1056">
            <v>5015978000140</v>
          </cell>
          <cell r="B1056">
            <v>782.84146822178832</v>
          </cell>
          <cell r="C1056">
            <v>243.5</v>
          </cell>
          <cell r="D1056">
            <v>0.31104637386303297</v>
          </cell>
          <cell r="E1056">
            <v>0</v>
          </cell>
          <cell r="F1056">
            <v>0</v>
          </cell>
          <cell r="G1056">
            <v>0</v>
          </cell>
        </row>
        <row r="1057">
          <cell r="A1057">
            <v>5562705000116</v>
          </cell>
          <cell r="B1057">
            <v>4260.7273689377935</v>
          </cell>
          <cell r="C1057">
            <v>579.90000000000009</v>
          </cell>
          <cell r="D1057">
            <v>0.13610352171971288</v>
          </cell>
          <cell r="E1057">
            <v>758.37</v>
          </cell>
          <cell r="F1057">
            <v>0</v>
          </cell>
          <cell r="G1057">
            <v>758.37</v>
          </cell>
        </row>
        <row r="1058">
          <cell r="A1058">
            <v>3961703000174</v>
          </cell>
          <cell r="B1058">
            <v>4748.6352156567464</v>
          </cell>
          <cell r="C1058">
            <v>2299.0300000000002</v>
          </cell>
          <cell r="D1058">
            <v>0.48414542191403925</v>
          </cell>
          <cell r="E1058">
            <v>0</v>
          </cell>
          <cell r="F1058">
            <v>0</v>
          </cell>
          <cell r="G1058">
            <v>0</v>
          </cell>
        </row>
        <row r="1059">
          <cell r="A1059">
            <v>26829291000119</v>
          </cell>
          <cell r="B1059">
            <v>2915.9136037348071</v>
          </cell>
          <cell r="C1059">
            <v>371.6</v>
          </cell>
          <cell r="D1059">
            <v>0.12743861804548715</v>
          </cell>
          <cell r="E1059">
            <v>1449.0699999999997</v>
          </cell>
          <cell r="F1059">
            <v>55.959999999999809</v>
          </cell>
          <cell r="G1059">
            <v>1393.11</v>
          </cell>
        </row>
        <row r="1060">
          <cell r="A1060">
            <v>8226395000157</v>
          </cell>
          <cell r="B1060">
            <v>4374.9470766634358</v>
          </cell>
          <cell r="C1060">
            <v>113.17999999999999</v>
          </cell>
          <cell r="D1060">
            <v>2.5870027229293251E-2</v>
          </cell>
          <cell r="E1060">
            <v>0</v>
          </cell>
          <cell r="F1060">
            <v>0</v>
          </cell>
          <cell r="G1060">
            <v>0</v>
          </cell>
        </row>
        <row r="1061">
          <cell r="A1061">
            <v>4427375000193</v>
          </cell>
          <cell r="B1061">
            <v>10914.819766878143</v>
          </cell>
          <cell r="C1061">
            <v>987.42000000000019</v>
          </cell>
          <cell r="D1061">
            <v>9.0465992209637927E-2</v>
          </cell>
          <cell r="E1061">
            <v>7564.5099999999984</v>
          </cell>
          <cell r="F1061">
            <v>199.55999999999949</v>
          </cell>
          <cell r="G1061">
            <v>7364.9499999999989</v>
          </cell>
        </row>
        <row r="1062">
          <cell r="A1062">
            <v>36876993000107</v>
          </cell>
          <cell r="B1062">
            <v>5904.9096826950581</v>
          </cell>
          <cell r="C1062">
            <v>3138.68</v>
          </cell>
          <cell r="D1062">
            <v>0.53153734242510475</v>
          </cell>
          <cell r="E1062">
            <v>2046.6900000000003</v>
          </cell>
          <cell r="F1062">
            <v>69.409999999999854</v>
          </cell>
          <cell r="G1062">
            <v>1977.2800000000004</v>
          </cell>
        </row>
        <row r="1063">
          <cell r="A1063">
            <v>3476160000108</v>
          </cell>
          <cell r="B1063">
            <v>10159.443663872922</v>
          </cell>
          <cell r="C1063">
            <v>4193.25</v>
          </cell>
          <cell r="D1063">
            <v>0.41274405752268079</v>
          </cell>
          <cell r="E1063">
            <v>6207.4500000000007</v>
          </cell>
          <cell r="F1063">
            <v>281.42000000000007</v>
          </cell>
          <cell r="G1063">
            <v>5926.0300000000007</v>
          </cell>
        </row>
        <row r="1064">
          <cell r="A1064">
            <v>1090014000106</v>
          </cell>
          <cell r="B1064">
            <v>1005.013107941531</v>
          </cell>
          <cell r="C1064">
            <v>254.95000000000002</v>
          </cell>
          <cell r="D1064">
            <v>0.25367828338297888</v>
          </cell>
          <cell r="E1064">
            <v>0</v>
          </cell>
          <cell r="F1064">
            <v>0</v>
          </cell>
          <cell r="G1064">
            <v>0</v>
          </cell>
        </row>
        <row r="1065">
          <cell r="A1065">
            <v>2330943000108</v>
          </cell>
          <cell r="B1065">
            <v>5957.7762043805942</v>
          </cell>
          <cell r="C1065">
            <v>886.85</v>
          </cell>
          <cell r="D1065">
            <v>0.14885587668565375</v>
          </cell>
          <cell r="E1065">
            <v>2009.42</v>
          </cell>
          <cell r="F1065">
            <v>0</v>
          </cell>
          <cell r="G1065">
            <v>2009.42</v>
          </cell>
        </row>
        <row r="1066">
          <cell r="A1066">
            <v>60919809000143</v>
          </cell>
          <cell r="B1066">
            <v>4053.2231692512087</v>
          </cell>
          <cell r="C1066">
            <v>739.7</v>
          </cell>
          <cell r="D1066">
            <v>0.18249673632864682</v>
          </cell>
          <cell r="E1066">
            <v>0</v>
          </cell>
          <cell r="F1066">
            <v>0</v>
          </cell>
          <cell r="G1066">
            <v>0</v>
          </cell>
        </row>
        <row r="1067">
          <cell r="A1067">
            <v>27717961000178</v>
          </cell>
          <cell r="B1067">
            <v>7918.6791504710882</v>
          </cell>
          <cell r="C1067">
            <v>2043.4499999999996</v>
          </cell>
          <cell r="D1067">
            <v>0.25805440038297717</v>
          </cell>
          <cell r="E1067">
            <v>4913.0400000000009</v>
          </cell>
          <cell r="F1067">
            <v>0</v>
          </cell>
          <cell r="G1067">
            <v>4913.0400000000009</v>
          </cell>
        </row>
        <row r="1068">
          <cell r="A1068">
            <v>32666944000199</v>
          </cell>
          <cell r="B1068">
            <v>4581.2747624686299</v>
          </cell>
          <cell r="C1068">
            <v>2477.9899999999998</v>
          </cell>
          <cell r="D1068">
            <v>0.54089530283154841</v>
          </cell>
          <cell r="E1068">
            <v>6295.840000000002</v>
          </cell>
          <cell r="F1068">
            <v>560.98000000000047</v>
          </cell>
          <cell r="G1068">
            <v>5734.8600000000015</v>
          </cell>
        </row>
        <row r="1069">
          <cell r="A1069">
            <v>42162995000137</v>
          </cell>
          <cell r="B1069">
            <v>3316.486914874477</v>
          </cell>
          <cell r="C1069">
            <v>1857.04</v>
          </cell>
          <cell r="D1069">
            <v>0.55994190469172578</v>
          </cell>
          <cell r="E1069">
            <v>889.92</v>
          </cell>
          <cell r="F1069">
            <v>0</v>
          </cell>
          <cell r="G1069">
            <v>889.92</v>
          </cell>
        </row>
        <row r="1070">
          <cell r="A1070">
            <v>10680159000158</v>
          </cell>
          <cell r="B1070">
            <v>4384.7422492381847</v>
          </cell>
          <cell r="C1070">
            <v>1829.13</v>
          </cell>
          <cell r="D1070">
            <v>0.41715792993711259</v>
          </cell>
          <cell r="E1070">
            <v>6711.37</v>
          </cell>
          <cell r="F1070">
            <v>298.19999999999982</v>
          </cell>
          <cell r="G1070">
            <v>6413.17</v>
          </cell>
        </row>
        <row r="1071">
          <cell r="A1071">
            <v>23088454000161</v>
          </cell>
          <cell r="B1071">
            <v>3591.0654510559316</v>
          </cell>
          <cell r="C1071">
            <v>1005.71</v>
          </cell>
          <cell r="D1071">
            <v>0.2800589445408958</v>
          </cell>
          <cell r="E1071">
            <v>871.9899999999999</v>
          </cell>
          <cell r="F1071">
            <v>0</v>
          </cell>
          <cell r="G1071">
            <v>871.9899999999999</v>
          </cell>
        </row>
        <row r="1072">
          <cell r="A1072">
            <v>21082444000274</v>
          </cell>
          <cell r="B1072">
            <v>1446.8688066987625</v>
          </cell>
          <cell r="C1072">
            <v>430.72999999999996</v>
          </cell>
          <cell r="D1072">
            <v>0.2976980345459046</v>
          </cell>
          <cell r="E1072">
            <v>462.21999999999997</v>
          </cell>
          <cell r="F1072">
            <v>0</v>
          </cell>
          <cell r="G1072">
            <v>462.21999999999997</v>
          </cell>
        </row>
        <row r="1073">
          <cell r="A1073">
            <v>59454115000107</v>
          </cell>
          <cell r="B1073">
            <v>1261.0393328425444</v>
          </cell>
          <cell r="C1073">
            <v>485.8</v>
          </cell>
          <cell r="D1073">
            <v>0.38523778548996129</v>
          </cell>
          <cell r="E1073">
            <v>0</v>
          </cell>
          <cell r="F1073">
            <v>0</v>
          </cell>
          <cell r="G1073">
            <v>0</v>
          </cell>
        </row>
        <row r="1074">
          <cell r="A1074">
            <v>12026397000170</v>
          </cell>
          <cell r="B1074">
            <v>414.52835469912787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</row>
        <row r="1075">
          <cell r="A1075">
            <v>9447656000121</v>
          </cell>
          <cell r="B1075">
            <v>2213.5782668646507</v>
          </cell>
          <cell r="C1075">
            <v>564.63</v>
          </cell>
          <cell r="D1075">
            <v>0.25507568828806371</v>
          </cell>
          <cell r="E1075">
            <v>137.85</v>
          </cell>
          <cell r="F1075">
            <v>0</v>
          </cell>
          <cell r="G1075">
            <v>137.85</v>
          </cell>
        </row>
        <row r="1076">
          <cell r="A1076">
            <v>17684597000133</v>
          </cell>
          <cell r="B1076">
            <v>6061.5963289834635</v>
          </cell>
          <cell r="C1076">
            <v>3859.8000000000006</v>
          </cell>
          <cell r="D1076">
            <v>0.63676295657373372</v>
          </cell>
          <cell r="E1076">
            <v>3432.8</v>
          </cell>
          <cell r="F1076">
            <v>39.120000000000346</v>
          </cell>
          <cell r="G1076">
            <v>3393.68</v>
          </cell>
        </row>
        <row r="1077">
          <cell r="A1077">
            <v>17684597000214</v>
          </cell>
          <cell r="B1077">
            <v>2129.2709976619826</v>
          </cell>
          <cell r="C1077">
            <v>1813.9900000000005</v>
          </cell>
          <cell r="D1077">
            <v>0.85193007465551718</v>
          </cell>
          <cell r="E1077">
            <v>1584.6599999999999</v>
          </cell>
          <cell r="F1077">
            <v>0</v>
          </cell>
          <cell r="G1077">
            <v>1584.6599999999999</v>
          </cell>
        </row>
        <row r="1078">
          <cell r="A1078">
            <v>23288222000157</v>
          </cell>
          <cell r="B1078">
            <v>3192.4791422022754</v>
          </cell>
          <cell r="C1078">
            <v>693.62</v>
          </cell>
          <cell r="D1078">
            <v>0.21726688542169095</v>
          </cell>
          <cell r="E1078">
            <v>0</v>
          </cell>
          <cell r="F1078">
            <v>0</v>
          </cell>
          <cell r="G1078">
            <v>0</v>
          </cell>
        </row>
        <row r="1079">
          <cell r="A1079">
            <v>8087667000185</v>
          </cell>
          <cell r="B1079">
            <v>9228.1168122835843</v>
          </cell>
          <cell r="C1079">
            <v>3953.0899999999997</v>
          </cell>
          <cell r="D1079">
            <v>0.42837450808360222</v>
          </cell>
          <cell r="E1079">
            <v>4112.5300000000007</v>
          </cell>
          <cell r="F1079">
            <v>447.2800000000002</v>
          </cell>
          <cell r="G1079">
            <v>3665.2500000000005</v>
          </cell>
        </row>
        <row r="1080">
          <cell r="A1080">
            <v>8087667000266</v>
          </cell>
          <cell r="B1080">
            <v>19196.93634106134</v>
          </cell>
          <cell r="C1080">
            <v>4291</v>
          </cell>
          <cell r="D1080">
            <v>0.22352525026723943</v>
          </cell>
          <cell r="E1080">
            <v>6725.670000000001</v>
          </cell>
          <cell r="F1080">
            <v>2663.5800000000008</v>
          </cell>
          <cell r="G1080">
            <v>4062.09</v>
          </cell>
        </row>
        <row r="1081">
          <cell r="A1081">
            <v>8087667000347</v>
          </cell>
          <cell r="B1081">
            <v>9557.4635497934232</v>
          </cell>
          <cell r="C1081">
            <v>3919.8</v>
          </cell>
          <cell r="D1081">
            <v>0.41012973573775474</v>
          </cell>
          <cell r="E1081">
            <v>3160.8400000000006</v>
          </cell>
          <cell r="F1081">
            <v>719.35000000000036</v>
          </cell>
          <cell r="G1081">
            <v>2441.4900000000002</v>
          </cell>
        </row>
        <row r="1082">
          <cell r="A1082">
            <v>8087667000428</v>
          </cell>
          <cell r="B1082">
            <v>7820.4128431296222</v>
          </cell>
          <cell r="C1082">
            <v>2488.3199999999997</v>
          </cell>
          <cell r="D1082">
            <v>0.31818269059619214</v>
          </cell>
          <cell r="E1082">
            <v>3845.6</v>
          </cell>
          <cell r="F1082">
            <v>2154.0700000000002</v>
          </cell>
          <cell r="G1082">
            <v>1691.5299999999997</v>
          </cell>
        </row>
        <row r="1083">
          <cell r="A1083">
            <v>8087667000509</v>
          </cell>
          <cell r="B1083">
            <v>20483.428399132514</v>
          </cell>
          <cell r="C1083">
            <v>7209.88</v>
          </cell>
          <cell r="D1083">
            <v>0.35198599860877505</v>
          </cell>
          <cell r="E1083">
            <v>8683.3500000000022</v>
          </cell>
          <cell r="F1083">
            <v>2725.880000000001</v>
          </cell>
          <cell r="G1083">
            <v>5957.4700000000012</v>
          </cell>
        </row>
        <row r="1084">
          <cell r="A1084">
            <v>8087667000690</v>
          </cell>
          <cell r="B1084">
            <v>10213.031860593921</v>
          </cell>
          <cell r="C1084">
            <v>8380.58</v>
          </cell>
          <cell r="D1084">
            <v>0.82057709350107144</v>
          </cell>
          <cell r="E1084">
            <v>8183.0099999999993</v>
          </cell>
          <cell r="F1084">
            <v>414.32999999999993</v>
          </cell>
          <cell r="G1084">
            <v>7768.6799999999994</v>
          </cell>
        </row>
        <row r="1085">
          <cell r="A1085">
            <v>8087667000770</v>
          </cell>
          <cell r="B1085">
            <v>6436.2683542566438</v>
          </cell>
          <cell r="C1085">
            <v>1765.8700000000001</v>
          </cell>
          <cell r="D1085">
            <v>0.27436239491663478</v>
          </cell>
          <cell r="E1085">
            <v>2606.88</v>
          </cell>
          <cell r="F1085">
            <v>364.89000000000033</v>
          </cell>
          <cell r="G1085">
            <v>2241.9899999999998</v>
          </cell>
        </row>
        <row r="1086">
          <cell r="A1086">
            <v>8087667000851</v>
          </cell>
          <cell r="B1086">
            <v>7586.3901705853141</v>
          </cell>
          <cell r="C1086">
            <v>1070.6100000000001</v>
          </cell>
          <cell r="D1086">
            <v>0.14112245428017567</v>
          </cell>
          <cell r="E1086">
            <v>3193.62</v>
          </cell>
          <cell r="F1086">
            <v>383.94999999999982</v>
          </cell>
          <cell r="G1086">
            <v>2809.67</v>
          </cell>
        </row>
        <row r="1087">
          <cell r="A1087">
            <v>8087667000932</v>
          </cell>
          <cell r="B1087">
            <v>12662.594469881227</v>
          </cell>
          <cell r="C1087">
            <v>7862.1299999999992</v>
          </cell>
          <cell r="D1087">
            <v>0.62089408443905925</v>
          </cell>
          <cell r="E1087">
            <v>9381.2200000000012</v>
          </cell>
          <cell r="F1087">
            <v>1100.840000000002</v>
          </cell>
          <cell r="G1087">
            <v>8280.3799999999992</v>
          </cell>
        </row>
        <row r="1088">
          <cell r="A1088">
            <v>8087667001076</v>
          </cell>
          <cell r="B1088">
            <v>9042.4323150841465</v>
          </cell>
          <cell r="C1088">
            <v>3180.5700000000006</v>
          </cell>
          <cell r="D1088">
            <v>0.35173832539441058</v>
          </cell>
          <cell r="E1088">
            <v>3497.5299999999993</v>
          </cell>
          <cell r="F1088">
            <v>1116.0199999999991</v>
          </cell>
          <cell r="G1088">
            <v>2381.5100000000002</v>
          </cell>
        </row>
        <row r="1089">
          <cell r="A1089">
            <v>3577994000282</v>
          </cell>
          <cell r="B1089">
            <v>3673.1987321938732</v>
          </cell>
          <cell r="C1089">
            <v>1698.2999999999997</v>
          </cell>
          <cell r="D1089">
            <v>0.46234906516633378</v>
          </cell>
          <cell r="E1089">
            <v>1728.3899999999999</v>
          </cell>
          <cell r="F1089">
            <v>22.079999999999927</v>
          </cell>
          <cell r="G1089">
            <v>1706.31</v>
          </cell>
        </row>
        <row r="1090">
          <cell r="A1090">
            <v>9496232000157</v>
          </cell>
          <cell r="B1090">
            <v>28077.890651066617</v>
          </cell>
          <cell r="C1090">
            <v>5964.9000000000005</v>
          </cell>
          <cell r="D1090">
            <v>0.21244117209970712</v>
          </cell>
          <cell r="E1090">
            <v>6600.9400000000032</v>
          </cell>
          <cell r="F1090">
            <v>363.36000000000058</v>
          </cell>
          <cell r="G1090">
            <v>6237.5800000000027</v>
          </cell>
        </row>
        <row r="1091">
          <cell r="A1091">
            <v>9496232000238</v>
          </cell>
          <cell r="B1091">
            <v>7204.2443582709911</v>
          </cell>
          <cell r="C1091">
            <v>1225.75</v>
          </cell>
          <cell r="D1091">
            <v>0.17014275738617204</v>
          </cell>
          <cell r="E1091">
            <v>1572.4399999999998</v>
          </cell>
          <cell r="F1091">
            <v>487.5799999999997</v>
          </cell>
          <cell r="G1091">
            <v>1084.8600000000001</v>
          </cell>
        </row>
        <row r="1092">
          <cell r="A1092">
            <v>9496232000319</v>
          </cell>
          <cell r="B1092">
            <v>5322.3223908754517</v>
          </cell>
          <cell r="C1092">
            <v>219.5</v>
          </cell>
          <cell r="D1092">
            <v>4.1241394992589907E-2</v>
          </cell>
          <cell r="E1092">
            <v>180.64</v>
          </cell>
          <cell r="F1092">
            <v>89.029999999999987</v>
          </cell>
          <cell r="G1092">
            <v>91.61</v>
          </cell>
        </row>
        <row r="1093">
          <cell r="A1093">
            <v>29710511000189</v>
          </cell>
          <cell r="B1093">
            <v>4856.2176635139449</v>
          </cell>
          <cell r="C1093">
            <v>174.74</v>
          </cell>
          <cell r="D1093">
            <v>3.5982736382034135E-2</v>
          </cell>
          <cell r="E1093">
            <v>0</v>
          </cell>
          <cell r="F1093">
            <v>0</v>
          </cell>
          <cell r="G1093">
            <v>0</v>
          </cell>
        </row>
        <row r="1094">
          <cell r="A1094">
            <v>15558177000185</v>
          </cell>
          <cell r="B1094">
            <v>3233.4815706667932</v>
          </cell>
          <cell r="C1094">
            <v>231.43</v>
          </cell>
          <cell r="D1094">
            <v>7.1573007280902989E-2</v>
          </cell>
          <cell r="E1094">
            <v>0</v>
          </cell>
          <cell r="F1094">
            <v>0</v>
          </cell>
          <cell r="G1094">
            <v>0</v>
          </cell>
        </row>
        <row r="1095">
          <cell r="A1095">
            <v>13874468000157</v>
          </cell>
          <cell r="B1095">
            <v>9653.3507872678274</v>
          </cell>
          <cell r="C1095">
            <v>2662.51</v>
          </cell>
          <cell r="D1095">
            <v>0.27581200131167782</v>
          </cell>
          <cell r="E1095">
            <v>2362.4299999999998</v>
          </cell>
          <cell r="F1095">
            <v>411.34000000000015</v>
          </cell>
          <cell r="G1095">
            <v>1951.0899999999997</v>
          </cell>
        </row>
        <row r="1096">
          <cell r="A1096">
            <v>53284997000115</v>
          </cell>
          <cell r="B1096">
            <v>3368.4664161046585</v>
          </cell>
          <cell r="C1096">
            <v>519.7399999999999</v>
          </cell>
          <cell r="D1096">
            <v>0.15429573455597473</v>
          </cell>
          <cell r="E1096">
            <v>0</v>
          </cell>
          <cell r="F1096">
            <v>0</v>
          </cell>
          <cell r="G1096">
            <v>0</v>
          </cell>
        </row>
        <row r="1097">
          <cell r="A1097">
            <v>13874468000238</v>
          </cell>
          <cell r="B1097">
            <v>6396.0297213456552</v>
          </cell>
          <cell r="C1097">
            <v>1397.3400000000001</v>
          </cell>
          <cell r="D1097">
            <v>0.21846990412452538</v>
          </cell>
          <cell r="E1097">
            <v>791.22</v>
          </cell>
          <cell r="F1097">
            <v>455.93000000000006</v>
          </cell>
          <cell r="G1097">
            <v>335.28999999999996</v>
          </cell>
        </row>
        <row r="1098">
          <cell r="A1098">
            <v>11740637000130</v>
          </cell>
          <cell r="B1098">
            <v>5702.1742904174926</v>
          </cell>
          <cell r="C1098">
            <v>2212.1899999999996</v>
          </cell>
          <cell r="D1098">
            <v>0.38795552140831374</v>
          </cell>
          <cell r="E1098">
            <v>1813.4099999999999</v>
          </cell>
          <cell r="F1098">
            <v>411.33999999999992</v>
          </cell>
          <cell r="G1098">
            <v>1402.07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CNPJ</v>
          </cell>
          <cell r="B1" t="str">
            <v>Razão Social</v>
          </cell>
          <cell r="C1" t="str">
            <v>Bandeira</v>
          </cell>
          <cell r="D1" t="str">
            <v>Cidade</v>
          </cell>
          <cell r="E1" t="str">
            <v>UF</v>
          </cell>
          <cell r="F1" t="str">
            <v>Último Pedido</v>
          </cell>
          <cell r="G1" t="str">
            <v>Fat Marcas</v>
          </cell>
          <cell r="H1" t="str">
            <v>Fat SG</v>
          </cell>
          <cell r="I1" t="str">
            <v>Comprou?</v>
          </cell>
        </row>
        <row r="2">
          <cell r="A2">
            <v>36752663000100</v>
          </cell>
          <cell r="B2" t="str">
            <v>W M S DROGARIA</v>
          </cell>
          <cell r="C2" t="str">
            <v>MASTERFARMA</v>
          </cell>
          <cell r="D2" t="str">
            <v>PRIMAVERA DO LESTE</v>
          </cell>
          <cell r="E2" t="str">
            <v>MT</v>
          </cell>
          <cell r="F2">
            <v>46304</v>
          </cell>
          <cell r="G2">
            <v>5641.49</v>
          </cell>
          <cell r="I2" t="str">
            <v>Comprou Marcas</v>
          </cell>
        </row>
        <row r="3">
          <cell r="A3">
            <v>74641994000161</v>
          </cell>
          <cell r="B3" t="str">
            <v>VIVAMAIS FARMA</v>
          </cell>
          <cell r="C3" t="str">
            <v>DSG FARMA</v>
          </cell>
          <cell r="D3" t="str">
            <v>BIRIGUI</v>
          </cell>
          <cell r="E3" t="str">
            <v>SP</v>
          </cell>
          <cell r="I3" t="str">
            <v>Não Comprou</v>
          </cell>
        </row>
        <row r="4">
          <cell r="A4">
            <v>33587172000162</v>
          </cell>
          <cell r="B4" t="str">
            <v>VITOR FARMA</v>
          </cell>
          <cell r="C4" t="str">
            <v>DSG FARMA</v>
          </cell>
          <cell r="D4" t="str">
            <v>PARANAIBA</v>
          </cell>
          <cell r="E4" t="str">
            <v>MS</v>
          </cell>
          <cell r="F4">
            <v>46311</v>
          </cell>
          <cell r="G4">
            <v>1986.2399999999998</v>
          </cell>
          <cell r="I4" t="str">
            <v>Comprou Marcas</v>
          </cell>
        </row>
        <row r="5">
          <cell r="A5">
            <v>53532526000189</v>
          </cell>
          <cell r="B5" t="str">
            <v>VITOR FARMA</v>
          </cell>
          <cell r="C5" t="str">
            <v>DSG FARMA</v>
          </cell>
          <cell r="D5" t="str">
            <v>PARANAIBA</v>
          </cell>
          <cell r="E5" t="str">
            <v>MS</v>
          </cell>
          <cell r="I5" t="str">
            <v>Não Comprou</v>
          </cell>
        </row>
        <row r="6">
          <cell r="A6">
            <v>22836127000188</v>
          </cell>
          <cell r="B6" t="str">
            <v>VISTA BELA DROGARIA</v>
          </cell>
          <cell r="C6" t="str">
            <v>LUCREMAIS</v>
          </cell>
          <cell r="D6" t="str">
            <v>ARAGARCAS</v>
          </cell>
          <cell r="E6" t="str">
            <v>GO</v>
          </cell>
          <cell r="I6" t="str">
            <v>Não Comprou</v>
          </cell>
        </row>
        <row r="7">
          <cell r="A7">
            <v>34738410000156</v>
          </cell>
          <cell r="B7" t="str">
            <v>VGFARMA</v>
          </cell>
          <cell r="C7" t="str">
            <v>INDEPENDENTES VIN</v>
          </cell>
          <cell r="D7" t="str">
            <v>VARZEA GRANDE</v>
          </cell>
          <cell r="E7" t="str">
            <v>MT</v>
          </cell>
          <cell r="F7">
            <v>46310</v>
          </cell>
          <cell r="G7">
            <v>137.85</v>
          </cell>
          <cell r="I7" t="str">
            <v>Comprou Marcas</v>
          </cell>
        </row>
        <row r="8">
          <cell r="A8">
            <v>55557060000100</v>
          </cell>
          <cell r="B8" t="str">
            <v>VENCESLAU FARMA</v>
          </cell>
          <cell r="C8" t="str">
            <v>INDEPENDENTES VIN</v>
          </cell>
          <cell r="D8" t="str">
            <v>PRESIDENTE VENCESLAU</v>
          </cell>
          <cell r="E8" t="str">
            <v>SP</v>
          </cell>
          <cell r="F8">
            <v>46311</v>
          </cell>
          <cell r="G8">
            <v>2283.5700000000002</v>
          </cell>
          <cell r="H8">
            <v>2171.6999999999998</v>
          </cell>
          <cell r="I8" t="str">
            <v>Comprou Marcas e SG</v>
          </cell>
        </row>
        <row r="9">
          <cell r="A9">
            <v>32203543000100</v>
          </cell>
          <cell r="B9" t="str">
            <v>UP 2</v>
          </cell>
          <cell r="C9" t="str">
            <v>MASTERFARMA</v>
          </cell>
          <cell r="D9" t="str">
            <v>PONTA PORA</v>
          </cell>
          <cell r="E9" t="str">
            <v>MS</v>
          </cell>
          <cell r="I9" t="str">
            <v>Não Comprou</v>
          </cell>
        </row>
        <row r="10">
          <cell r="A10">
            <v>50413414000110</v>
          </cell>
          <cell r="B10" t="str">
            <v>ULTRAPOPULAR CACHOEIRA</v>
          </cell>
          <cell r="C10" t="str">
            <v>HIPER SAUDE</v>
          </cell>
          <cell r="D10" t="str">
            <v>CAMPO GRANDE</v>
          </cell>
          <cell r="E10" t="str">
            <v>MS</v>
          </cell>
          <cell r="I10" t="str">
            <v>Não Comprou</v>
          </cell>
        </row>
        <row r="11">
          <cell r="A11">
            <v>1938125000200</v>
          </cell>
          <cell r="B11" t="str">
            <v>ULTRAPOPULAR</v>
          </cell>
          <cell r="C11" t="str">
            <v>FARMARCAS</v>
          </cell>
          <cell r="D11" t="str">
            <v>MUNDO NOVO</v>
          </cell>
          <cell r="E11" t="str">
            <v>MS</v>
          </cell>
          <cell r="F11">
            <v>46309</v>
          </cell>
          <cell r="G11">
            <v>1330.7800000000002</v>
          </cell>
          <cell r="I11" t="str">
            <v>Comprou Marcas</v>
          </cell>
        </row>
        <row r="12">
          <cell r="A12">
            <v>34565893000215</v>
          </cell>
          <cell r="B12" t="str">
            <v>ULTRAPOPULAR</v>
          </cell>
          <cell r="C12" t="str">
            <v>FARMARCAS</v>
          </cell>
          <cell r="D12" t="str">
            <v>CAMPO GRANDE</v>
          </cell>
          <cell r="E12" t="str">
            <v>MS</v>
          </cell>
          <cell r="F12">
            <v>46303</v>
          </cell>
          <cell r="G12">
            <v>873.81999999999994</v>
          </cell>
          <cell r="I12" t="str">
            <v>Comprou Marcas</v>
          </cell>
        </row>
        <row r="13">
          <cell r="A13">
            <v>24769226000110</v>
          </cell>
          <cell r="B13" t="str">
            <v>ULTRAPOPULAR</v>
          </cell>
          <cell r="C13" t="str">
            <v>FARMARCAS</v>
          </cell>
          <cell r="D13" t="str">
            <v>JUINA</v>
          </cell>
          <cell r="E13" t="str">
            <v>MT</v>
          </cell>
          <cell r="F13">
            <v>46311</v>
          </cell>
          <cell r="G13">
            <v>11625.949999999999</v>
          </cell>
          <cell r="H13">
            <v>6386.4399999999987</v>
          </cell>
          <cell r="I13" t="str">
            <v>Comprou Marcas e SG</v>
          </cell>
        </row>
        <row r="14">
          <cell r="A14">
            <v>19651628000509</v>
          </cell>
          <cell r="B14" t="str">
            <v>ULTRAPOPULAR</v>
          </cell>
          <cell r="C14" t="str">
            <v>FARMARCAS</v>
          </cell>
          <cell r="D14" t="str">
            <v>SINOP</v>
          </cell>
          <cell r="E14" t="str">
            <v>MT</v>
          </cell>
          <cell r="F14">
            <v>46310</v>
          </cell>
          <cell r="G14">
            <v>2961.1899999999996</v>
          </cell>
          <cell r="H14">
            <v>9588.6000000000022</v>
          </cell>
          <cell r="I14" t="str">
            <v>Comprou Marcas e SG</v>
          </cell>
        </row>
        <row r="15">
          <cell r="A15">
            <v>44053810000181</v>
          </cell>
          <cell r="B15" t="str">
            <v>ULTRAFARMA</v>
          </cell>
          <cell r="C15" t="str">
            <v>ULTRAFARMA - FRANQUIA</v>
          </cell>
          <cell r="D15" t="str">
            <v>CAMPO GRANDE</v>
          </cell>
          <cell r="E15" t="str">
            <v>MS</v>
          </cell>
          <cell r="F15">
            <v>46311</v>
          </cell>
          <cell r="G15">
            <v>10643.730000000003</v>
          </cell>
          <cell r="I15" t="str">
            <v>Comprou Marcas</v>
          </cell>
        </row>
        <row r="16">
          <cell r="A16">
            <v>3577994000282</v>
          </cell>
          <cell r="B16" t="str">
            <v>ULTRAFARMA</v>
          </cell>
          <cell r="C16" t="str">
            <v>ASSOCIADAS</v>
          </cell>
          <cell r="D16" t="str">
            <v>PEIXOTO DE AZEVEDO</v>
          </cell>
          <cell r="E16" t="str">
            <v>MT</v>
          </cell>
          <cell r="F16">
            <v>46311</v>
          </cell>
          <cell r="G16">
            <v>1728.39</v>
          </cell>
          <cell r="I16" t="str">
            <v>Comprou Marcas</v>
          </cell>
        </row>
        <row r="17">
          <cell r="A17">
            <v>27545412000244</v>
          </cell>
          <cell r="B17" t="str">
            <v>ULTRA POPULAR SAO JOSE DO RIO CLARO</v>
          </cell>
          <cell r="C17" t="str">
            <v>FARMARCAS</v>
          </cell>
          <cell r="D17" t="str">
            <v>SAO JOSE DO RIO CLARO</v>
          </cell>
          <cell r="E17" t="str">
            <v>MT</v>
          </cell>
          <cell r="F17">
            <v>46311</v>
          </cell>
          <cell r="G17">
            <v>2319.5400000000004</v>
          </cell>
          <cell r="I17" t="str">
            <v>Comprou Marcas</v>
          </cell>
        </row>
        <row r="18">
          <cell r="A18">
            <v>27545412000678</v>
          </cell>
          <cell r="B18" t="str">
            <v>ULTRA POPULAR COLIDER FILIAL 05</v>
          </cell>
          <cell r="C18" t="str">
            <v>FARMARCAS</v>
          </cell>
          <cell r="D18" t="str">
            <v>COLIDER</v>
          </cell>
          <cell r="E18" t="str">
            <v>MT</v>
          </cell>
          <cell r="F18">
            <v>46311</v>
          </cell>
          <cell r="G18">
            <v>1539.95</v>
          </cell>
          <cell r="I18" t="str">
            <v>Comprou Marcas</v>
          </cell>
        </row>
        <row r="19">
          <cell r="A19">
            <v>27545412000325</v>
          </cell>
          <cell r="B19" t="str">
            <v>ULTRA POPULAR BRASNORTE FILIAL LL</v>
          </cell>
          <cell r="C19" t="str">
            <v>FARMARCAS</v>
          </cell>
          <cell r="D19" t="str">
            <v>BRASNORTE</v>
          </cell>
          <cell r="E19" t="str">
            <v>MT</v>
          </cell>
          <cell r="F19">
            <v>46311</v>
          </cell>
          <cell r="G19">
            <v>9250.9100000000017</v>
          </cell>
          <cell r="I19" t="str">
            <v>Comprou Marcas</v>
          </cell>
        </row>
        <row r="20">
          <cell r="A20">
            <v>27545412000163</v>
          </cell>
          <cell r="B20" t="str">
            <v>ULTRA POPULAR BRASNORTE</v>
          </cell>
          <cell r="C20" t="str">
            <v>FARMARCAS</v>
          </cell>
          <cell r="D20" t="str">
            <v>BRASNORTE</v>
          </cell>
          <cell r="E20" t="str">
            <v>MT</v>
          </cell>
          <cell r="F20">
            <v>46311</v>
          </cell>
          <cell r="G20">
            <v>1699.65</v>
          </cell>
          <cell r="I20" t="str">
            <v>Comprou Marcas</v>
          </cell>
        </row>
        <row r="21">
          <cell r="A21">
            <v>10378095000135</v>
          </cell>
          <cell r="B21" t="str">
            <v>ULTRA POPULAR 00129</v>
          </cell>
          <cell r="C21" t="str">
            <v>INDEPENDENTES VIN</v>
          </cell>
          <cell r="D21" t="str">
            <v>ARACATUBA</v>
          </cell>
          <cell r="E21" t="str">
            <v>SP</v>
          </cell>
          <cell r="F21">
            <v>46309</v>
          </cell>
          <cell r="G21">
            <v>4833.7599999999993</v>
          </cell>
          <cell r="H21">
            <v>6390.15</v>
          </cell>
          <cell r="I21" t="str">
            <v>Comprou Marcas e SG</v>
          </cell>
        </row>
        <row r="22">
          <cell r="A22">
            <v>4050862000694</v>
          </cell>
          <cell r="B22" t="str">
            <v>ULTRA POPULAR</v>
          </cell>
          <cell r="C22" t="str">
            <v>FARMARCAS</v>
          </cell>
          <cell r="D22" t="str">
            <v>CAMPO GRANDE</v>
          </cell>
          <cell r="E22" t="str">
            <v>MS</v>
          </cell>
          <cell r="F22">
            <v>46303</v>
          </cell>
          <cell r="G22">
            <v>817.56000000000006</v>
          </cell>
          <cell r="I22" t="str">
            <v>Comprou Marcas</v>
          </cell>
        </row>
        <row r="23">
          <cell r="A23">
            <v>4050862000775</v>
          </cell>
          <cell r="B23" t="str">
            <v>ULTRA POPULAR</v>
          </cell>
          <cell r="C23" t="str">
            <v>FARMARCAS</v>
          </cell>
          <cell r="D23" t="str">
            <v>AGUA CLARA</v>
          </cell>
          <cell r="E23" t="str">
            <v>MS</v>
          </cell>
          <cell r="F23">
            <v>46303</v>
          </cell>
          <cell r="G23">
            <v>2379.7600000000002</v>
          </cell>
          <cell r="I23" t="str">
            <v>Comprou Marcas</v>
          </cell>
        </row>
        <row r="24">
          <cell r="A24">
            <v>13938314000181</v>
          </cell>
          <cell r="B24" t="str">
            <v>ULTRA POPULAR</v>
          </cell>
          <cell r="C24" t="str">
            <v>FARMARCAS</v>
          </cell>
          <cell r="D24" t="str">
            <v>CAMPO GRANDE</v>
          </cell>
          <cell r="E24" t="str">
            <v>MS</v>
          </cell>
          <cell r="F24">
            <v>46303</v>
          </cell>
          <cell r="G24">
            <v>1056.74</v>
          </cell>
          <cell r="I24" t="str">
            <v>Comprou Marcas</v>
          </cell>
        </row>
        <row r="25">
          <cell r="A25">
            <v>19651628000266</v>
          </cell>
          <cell r="B25" t="str">
            <v>ULTRA POPULAR</v>
          </cell>
          <cell r="C25" t="str">
            <v>FARMARCAS</v>
          </cell>
          <cell r="D25" t="str">
            <v>SINOP</v>
          </cell>
          <cell r="E25" t="str">
            <v>MT</v>
          </cell>
          <cell r="F25">
            <v>46310</v>
          </cell>
          <cell r="G25">
            <v>2594.0700000000002</v>
          </cell>
          <cell r="H25">
            <v>11121.089999999998</v>
          </cell>
          <cell r="I25" t="str">
            <v>Comprou Marcas e SG</v>
          </cell>
        </row>
        <row r="26">
          <cell r="A26">
            <v>11051538000141</v>
          </cell>
          <cell r="B26" t="str">
            <v>ULTRA POPULAR</v>
          </cell>
          <cell r="C26" t="str">
            <v>FARMARCAS</v>
          </cell>
          <cell r="D26" t="str">
            <v>CANARANA</v>
          </cell>
          <cell r="E26" t="str">
            <v>MT</v>
          </cell>
          <cell r="F26">
            <v>46303</v>
          </cell>
          <cell r="G26">
            <v>3999.0500000000011</v>
          </cell>
          <cell r="I26" t="str">
            <v>Comprou Marcas</v>
          </cell>
        </row>
        <row r="27">
          <cell r="A27">
            <v>34565893000134</v>
          </cell>
          <cell r="B27" t="str">
            <v>ULTRA MAXI POPULAR</v>
          </cell>
          <cell r="C27" t="str">
            <v>FARMARCAS</v>
          </cell>
          <cell r="D27" t="str">
            <v>CAMPO GRANDE</v>
          </cell>
          <cell r="E27" t="str">
            <v>MS</v>
          </cell>
          <cell r="F27">
            <v>46303</v>
          </cell>
          <cell r="G27">
            <v>685.6099999999999</v>
          </cell>
          <cell r="I27" t="str">
            <v>Comprou Marcas</v>
          </cell>
        </row>
        <row r="28">
          <cell r="A28">
            <v>36728431000116</v>
          </cell>
          <cell r="B28" t="str">
            <v>ULTRA MAX POPULAR</v>
          </cell>
          <cell r="C28" t="str">
            <v>FARMARCAS</v>
          </cell>
          <cell r="D28" t="str">
            <v>CAMPO GRANDE</v>
          </cell>
          <cell r="E28" t="str">
            <v>MS</v>
          </cell>
          <cell r="F28">
            <v>46309</v>
          </cell>
          <cell r="G28">
            <v>3902.5000000000005</v>
          </cell>
          <cell r="I28" t="str">
            <v>Comprou Marcas</v>
          </cell>
        </row>
        <row r="29">
          <cell r="A29">
            <v>36728431000205</v>
          </cell>
          <cell r="B29" t="str">
            <v>ULTRA MAX POPULAR</v>
          </cell>
          <cell r="C29" t="str">
            <v>FARMARCAS</v>
          </cell>
          <cell r="D29" t="str">
            <v>CAMPO GRANDE</v>
          </cell>
          <cell r="E29" t="str">
            <v>MS</v>
          </cell>
          <cell r="F29">
            <v>46309</v>
          </cell>
          <cell r="G29">
            <v>6861.44</v>
          </cell>
          <cell r="I29" t="str">
            <v>Comprou Marcas</v>
          </cell>
        </row>
        <row r="30">
          <cell r="A30">
            <v>57259868000128</v>
          </cell>
          <cell r="B30" t="str">
            <v>TRIUNFO FARMACIAS</v>
          </cell>
          <cell r="C30" t="str">
            <v>INDEPENDENTES VIN</v>
          </cell>
          <cell r="D30" t="str">
            <v>TEODORO SAMPAIO</v>
          </cell>
          <cell r="E30" t="str">
            <v>SP</v>
          </cell>
          <cell r="I30" t="str">
            <v>Não Comprou</v>
          </cell>
        </row>
        <row r="31">
          <cell r="A31">
            <v>7211143000191</v>
          </cell>
          <cell r="B31" t="str">
            <v>TRI FARMA</v>
          </cell>
          <cell r="C31" t="str">
            <v>DSG FARMA</v>
          </cell>
          <cell r="D31" t="str">
            <v>ALTO ARAGUAIA</v>
          </cell>
          <cell r="E31" t="str">
            <v>MT</v>
          </cell>
          <cell r="F31">
            <v>46302</v>
          </cell>
          <cell r="G31">
            <v>514.08000000000004</v>
          </cell>
          <cell r="I31" t="str">
            <v>Comprou Marcas</v>
          </cell>
        </row>
        <row r="32">
          <cell r="A32">
            <v>45924995000115</v>
          </cell>
          <cell r="B32" t="str">
            <v>TOP FARMA POPULAR</v>
          </cell>
          <cell r="C32" t="str">
            <v>HIPER SAUDE</v>
          </cell>
          <cell r="D32" t="str">
            <v>SINOP</v>
          </cell>
          <cell r="E32" t="str">
            <v>MT</v>
          </cell>
          <cell r="F32">
            <v>46304</v>
          </cell>
          <cell r="G32">
            <v>1376.73</v>
          </cell>
          <cell r="I32" t="str">
            <v>Comprou Marcas</v>
          </cell>
        </row>
        <row r="33">
          <cell r="A33">
            <v>55292481000148</v>
          </cell>
          <cell r="B33" t="str">
            <v>TIAGO DE JESUS MOREIRA</v>
          </cell>
          <cell r="C33" t="str">
            <v>INDEPENDENTES VIN</v>
          </cell>
          <cell r="D33" t="str">
            <v>ARAPUTANGA</v>
          </cell>
          <cell r="E33" t="str">
            <v>MT</v>
          </cell>
          <cell r="F33">
            <v>46310</v>
          </cell>
          <cell r="G33">
            <v>902.99999999999989</v>
          </cell>
          <cell r="I33" t="str">
            <v>Comprou Marcas</v>
          </cell>
        </row>
        <row r="34">
          <cell r="A34">
            <v>28800059000426</v>
          </cell>
          <cell r="B34" t="str">
            <v>SZOCHALEWICZ, VALESSI &amp; CIA</v>
          </cell>
          <cell r="C34" t="str">
            <v>INDEPENDENTES VIN</v>
          </cell>
          <cell r="D34" t="str">
            <v>CAMPO GRANDE</v>
          </cell>
          <cell r="E34" t="str">
            <v>MS</v>
          </cell>
          <cell r="F34">
            <v>46311</v>
          </cell>
          <cell r="G34">
            <v>1248.6199999999999</v>
          </cell>
          <cell r="H34">
            <v>3734.4599999999996</v>
          </cell>
          <cell r="I34" t="str">
            <v>Comprou Marcas e SG</v>
          </cell>
        </row>
        <row r="35">
          <cell r="A35">
            <v>52950355000145</v>
          </cell>
          <cell r="B35" t="str">
            <v>SUPREMA FARMA SORRISO</v>
          </cell>
          <cell r="C35" t="str">
            <v>COMPRE BEM</v>
          </cell>
          <cell r="D35" t="str">
            <v>SORRISO</v>
          </cell>
          <cell r="E35" t="str">
            <v>MT</v>
          </cell>
          <cell r="F35">
            <v>46303</v>
          </cell>
          <cell r="G35">
            <v>439.1</v>
          </cell>
          <cell r="I35" t="str">
            <v>Comprou Marcas</v>
          </cell>
        </row>
        <row r="36">
          <cell r="A36">
            <v>52950355000226</v>
          </cell>
          <cell r="B36" t="str">
            <v>SUPREMA FARMA SORRISO</v>
          </cell>
          <cell r="C36" t="str">
            <v>COMPRE BEM</v>
          </cell>
          <cell r="D36" t="str">
            <v>SORRISO</v>
          </cell>
          <cell r="E36" t="str">
            <v>MT</v>
          </cell>
          <cell r="I36" t="str">
            <v>Não Comprou</v>
          </cell>
        </row>
        <row r="37">
          <cell r="A37">
            <v>11190148000152</v>
          </cell>
          <cell r="B37" t="str">
            <v>SUPER PRECO POPULAR</v>
          </cell>
          <cell r="C37" t="str">
            <v>HIPER SAUDE</v>
          </cell>
          <cell r="D37" t="str">
            <v>LUCAS DO RIO VERDE</v>
          </cell>
          <cell r="E37" t="str">
            <v>MT</v>
          </cell>
          <cell r="F37">
            <v>46311</v>
          </cell>
          <cell r="G37">
            <v>5751.7699999999977</v>
          </cell>
          <cell r="I37" t="str">
            <v>Comprou Marcas</v>
          </cell>
        </row>
        <row r="38">
          <cell r="A38">
            <v>11190148000233</v>
          </cell>
          <cell r="B38" t="str">
            <v>SUPER PRECO POPULAR</v>
          </cell>
          <cell r="C38" t="str">
            <v>HIPER SAUDE</v>
          </cell>
          <cell r="D38" t="str">
            <v>LUCAS DO RIO VERDE</v>
          </cell>
          <cell r="E38" t="str">
            <v>MT</v>
          </cell>
          <cell r="F38">
            <v>46311</v>
          </cell>
          <cell r="G38">
            <v>3303.62</v>
          </cell>
          <cell r="I38" t="str">
            <v>Comprou Marcas</v>
          </cell>
        </row>
        <row r="39">
          <cell r="A39">
            <v>2222873000174</v>
          </cell>
          <cell r="B39" t="str">
            <v>SUPER POPULAR</v>
          </cell>
          <cell r="C39" t="str">
            <v>MASTERFARMA</v>
          </cell>
          <cell r="D39" t="str">
            <v>BRASILANDIA</v>
          </cell>
          <cell r="E39" t="str">
            <v>MS</v>
          </cell>
          <cell r="F39">
            <v>46310</v>
          </cell>
          <cell r="G39">
            <v>291.87</v>
          </cell>
          <cell r="I39" t="str">
            <v>Comprou Marcas</v>
          </cell>
        </row>
        <row r="40">
          <cell r="A40">
            <v>29576260000191</v>
          </cell>
          <cell r="B40" t="str">
            <v>SLC DROGARIA - EIRELLI</v>
          </cell>
          <cell r="C40" t="str">
            <v>INDEPENDENTES VIN</v>
          </cell>
          <cell r="D40" t="str">
            <v>CAMPO GRANDE</v>
          </cell>
          <cell r="E40" t="str">
            <v>MS</v>
          </cell>
          <cell r="I40" t="str">
            <v>Não Comprou</v>
          </cell>
        </row>
        <row r="41">
          <cell r="A41">
            <v>65824591000167</v>
          </cell>
          <cell r="B41" t="str">
            <v>SEVEN PHARMA</v>
          </cell>
          <cell r="C41" t="str">
            <v>DSG FARMA</v>
          </cell>
          <cell r="D41" t="str">
            <v>MARTINOPOLIS</v>
          </cell>
          <cell r="E41" t="str">
            <v>SP</v>
          </cell>
          <cell r="F41">
            <v>46301</v>
          </cell>
          <cell r="G41">
            <v>1503.71</v>
          </cell>
          <cell r="I41" t="str">
            <v>Comprou Marcas</v>
          </cell>
        </row>
        <row r="42">
          <cell r="A42">
            <v>54297138000123</v>
          </cell>
          <cell r="B42" t="str">
            <v>SCALLA PRODUTOS MEDICOS E HOSPITALARES</v>
          </cell>
          <cell r="C42" t="str">
            <v>INDEPENDENTES VIN</v>
          </cell>
          <cell r="D42" t="str">
            <v>CAMPO GRANDE</v>
          </cell>
          <cell r="E42" t="str">
            <v>MS</v>
          </cell>
          <cell r="F42">
            <v>46303</v>
          </cell>
          <cell r="G42">
            <v>335.71000000000004</v>
          </cell>
          <cell r="I42" t="str">
            <v>Comprou Marcas</v>
          </cell>
        </row>
        <row r="43">
          <cell r="A43">
            <v>3480787000124</v>
          </cell>
          <cell r="B43" t="str">
            <v>SAO JOSE I</v>
          </cell>
          <cell r="C43" t="str">
            <v>INDEPENDENTES VIN</v>
          </cell>
          <cell r="D43" t="str">
            <v>APARECIDA DO TABOADO</v>
          </cell>
          <cell r="E43" t="str">
            <v>MS</v>
          </cell>
          <cell r="I43" t="str">
            <v>Não Comprou</v>
          </cell>
        </row>
        <row r="44">
          <cell r="A44">
            <v>48143588000169</v>
          </cell>
          <cell r="B44" t="str">
            <v>RM FARMA RONDONOPOLIS</v>
          </cell>
          <cell r="C44" t="str">
            <v>HIPER SAUDE</v>
          </cell>
          <cell r="D44" t="str">
            <v>RONDONOPOLIS</v>
          </cell>
          <cell r="E44" t="str">
            <v>MT</v>
          </cell>
          <cell r="F44">
            <v>46304</v>
          </cell>
          <cell r="G44">
            <v>3881.4800000000009</v>
          </cell>
          <cell r="H44">
            <v>2027.1900000000003</v>
          </cell>
          <cell r="I44" t="str">
            <v>Comprou Marcas e SG</v>
          </cell>
        </row>
        <row r="45">
          <cell r="A45">
            <v>26034403000145</v>
          </cell>
          <cell r="B45" t="str">
            <v>REDES DROGARIAS ECONOMICAS</v>
          </cell>
          <cell r="C45" t="str">
            <v>MASTERFARMA</v>
          </cell>
          <cell r="D45" t="str">
            <v>CUIABA</v>
          </cell>
          <cell r="E45" t="str">
            <v>MT</v>
          </cell>
          <cell r="F45">
            <v>46303</v>
          </cell>
          <cell r="G45">
            <v>137.85</v>
          </cell>
          <cell r="I45" t="str">
            <v>Comprou Marcas</v>
          </cell>
        </row>
        <row r="46">
          <cell r="A46">
            <v>40727407000130</v>
          </cell>
          <cell r="B46" t="str">
            <v>REDE POPULAR DROGA10</v>
          </cell>
          <cell r="C46" t="str">
            <v>DROGA 10</v>
          </cell>
          <cell r="D46" t="str">
            <v>CAMPO GRANDE</v>
          </cell>
          <cell r="E46" t="str">
            <v>MS</v>
          </cell>
          <cell r="F46">
            <v>46309</v>
          </cell>
          <cell r="G46">
            <v>1837.5400000000004</v>
          </cell>
          <cell r="I46" t="str">
            <v>Comprou Marcas</v>
          </cell>
        </row>
        <row r="47">
          <cell r="A47">
            <v>51041632000134</v>
          </cell>
          <cell r="B47" t="str">
            <v>REDE MASTER FARMA</v>
          </cell>
          <cell r="C47" t="str">
            <v>MASTERFARMA</v>
          </cell>
          <cell r="D47" t="str">
            <v>CUIABA</v>
          </cell>
          <cell r="E47" t="str">
            <v>MT</v>
          </cell>
          <cell r="I47" t="str">
            <v>Não Comprou</v>
          </cell>
        </row>
        <row r="48">
          <cell r="A48">
            <v>4201690000106</v>
          </cell>
          <cell r="B48" t="str">
            <v>REDE MARIA S - FARMACIA GLOBO</v>
          </cell>
          <cell r="C48" t="str">
            <v>INDEPENDENTES VIN</v>
          </cell>
          <cell r="D48" t="str">
            <v>SINOP</v>
          </cell>
          <cell r="E48" t="str">
            <v>MT</v>
          </cell>
          <cell r="I48" t="str">
            <v>Não Comprou</v>
          </cell>
        </row>
        <row r="49">
          <cell r="A49">
            <v>8087667000185</v>
          </cell>
          <cell r="B49" t="str">
            <v>REDE DE FARMACIAS ECONOMIZAR</v>
          </cell>
          <cell r="C49" t="str">
            <v>ASSOCIADAS</v>
          </cell>
          <cell r="D49" t="str">
            <v>PEIXOTO DE AZEVEDO</v>
          </cell>
          <cell r="E49" t="str">
            <v>MT</v>
          </cell>
          <cell r="F49">
            <v>46311</v>
          </cell>
          <cell r="G49">
            <v>3838.27</v>
          </cell>
          <cell r="I49" t="str">
            <v>Comprou Marcas</v>
          </cell>
        </row>
        <row r="50">
          <cell r="A50">
            <v>8087667000266</v>
          </cell>
          <cell r="B50" t="str">
            <v>REDE DE FARMACIAS ECONOMIZAR</v>
          </cell>
          <cell r="C50" t="str">
            <v>ASSOCIADAS</v>
          </cell>
          <cell r="D50" t="str">
            <v>GUARANTA DO NORTE</v>
          </cell>
          <cell r="E50" t="str">
            <v>MT</v>
          </cell>
          <cell r="F50">
            <v>46311</v>
          </cell>
          <cell r="G50">
            <v>4897.3099999999995</v>
          </cell>
          <cell r="I50" t="str">
            <v>Comprou Marcas</v>
          </cell>
        </row>
        <row r="51">
          <cell r="A51">
            <v>8087667000347</v>
          </cell>
          <cell r="B51" t="str">
            <v>REDE DE FARMACIAS ECONOMIZAR</v>
          </cell>
          <cell r="C51" t="str">
            <v>ASSOCIADAS</v>
          </cell>
          <cell r="D51" t="str">
            <v>PEIXOTO DE AZEVEDO</v>
          </cell>
          <cell r="E51" t="str">
            <v>MT</v>
          </cell>
          <cell r="F51">
            <v>46311</v>
          </cell>
          <cell r="G51">
            <v>2700.3500000000004</v>
          </cell>
          <cell r="I51" t="str">
            <v>Comprou Marcas</v>
          </cell>
        </row>
        <row r="52">
          <cell r="A52">
            <v>8087667000428</v>
          </cell>
          <cell r="B52" t="str">
            <v>REDE DE FARMACIAS ECONOMIZAR</v>
          </cell>
          <cell r="C52" t="str">
            <v>ASSOCIADAS</v>
          </cell>
          <cell r="D52" t="str">
            <v>ALTA FLORESTA</v>
          </cell>
          <cell r="E52" t="str">
            <v>MT</v>
          </cell>
          <cell r="F52">
            <v>46309</v>
          </cell>
          <cell r="G52">
            <v>1691.53</v>
          </cell>
          <cell r="I52" t="str">
            <v>Comprou Marcas</v>
          </cell>
        </row>
        <row r="53">
          <cell r="A53">
            <v>8087667000509</v>
          </cell>
          <cell r="B53" t="str">
            <v>REDE DE FARMACIAS ECONOMIZAR</v>
          </cell>
          <cell r="C53" t="str">
            <v>ASSOCIADAS</v>
          </cell>
          <cell r="D53" t="str">
            <v>SINOP</v>
          </cell>
          <cell r="E53" t="str">
            <v>MT</v>
          </cell>
          <cell r="F53">
            <v>46311</v>
          </cell>
          <cell r="G53">
            <v>6176.7200000000021</v>
          </cell>
          <cell r="I53" t="str">
            <v>Comprou Marcas</v>
          </cell>
        </row>
        <row r="54">
          <cell r="A54">
            <v>8087667000690</v>
          </cell>
          <cell r="B54" t="str">
            <v>REDE DE FARMACIAS ECONOMIZAR</v>
          </cell>
          <cell r="C54" t="str">
            <v>ASSOCIADAS</v>
          </cell>
          <cell r="D54" t="str">
            <v>SINOP</v>
          </cell>
          <cell r="E54" t="str">
            <v>MT</v>
          </cell>
          <cell r="F54">
            <v>46311</v>
          </cell>
          <cell r="G54">
            <v>7937.6799999999994</v>
          </cell>
          <cell r="I54" t="str">
            <v>Comprou Marcas</v>
          </cell>
        </row>
        <row r="55">
          <cell r="A55">
            <v>8087667000770</v>
          </cell>
          <cell r="B55" t="str">
            <v>REDE DE FARMACIAS ECONOMIZAR</v>
          </cell>
          <cell r="C55" t="str">
            <v>ASSOCIADAS</v>
          </cell>
          <cell r="D55" t="str">
            <v>SINOP</v>
          </cell>
          <cell r="E55" t="str">
            <v>MT</v>
          </cell>
          <cell r="F55">
            <v>46311</v>
          </cell>
          <cell r="G55">
            <v>2547.4500000000003</v>
          </cell>
          <cell r="I55" t="str">
            <v>Comprou Marcas</v>
          </cell>
        </row>
        <row r="56">
          <cell r="A56">
            <v>8087667000851</v>
          </cell>
          <cell r="B56" t="str">
            <v>REDE DE FARMACIAS ECONOMIZAR</v>
          </cell>
          <cell r="C56" t="str">
            <v>ASSOCIADAS</v>
          </cell>
          <cell r="D56" t="str">
            <v>COLIDER</v>
          </cell>
          <cell r="E56" t="str">
            <v>MT</v>
          </cell>
          <cell r="F56">
            <v>46311</v>
          </cell>
          <cell r="G56">
            <v>3159.06</v>
          </cell>
          <cell r="I56" t="str">
            <v>Comprou Marcas</v>
          </cell>
        </row>
        <row r="57">
          <cell r="A57">
            <v>8087667000932</v>
          </cell>
          <cell r="B57" t="str">
            <v>REDE DE FARMACIAS ECONOMIZAR</v>
          </cell>
          <cell r="C57" t="str">
            <v>ASSOCIADAS</v>
          </cell>
          <cell r="D57" t="str">
            <v>SINOP</v>
          </cell>
          <cell r="E57" t="str">
            <v>MT</v>
          </cell>
          <cell r="F57">
            <v>46311</v>
          </cell>
          <cell r="G57">
            <v>8715.6</v>
          </cell>
          <cell r="I57" t="str">
            <v>Comprou Marcas</v>
          </cell>
        </row>
        <row r="58">
          <cell r="A58">
            <v>8087667001076</v>
          </cell>
          <cell r="B58" t="str">
            <v>REDE DE FARMACIAS ECONOMIZAR</v>
          </cell>
          <cell r="C58" t="str">
            <v>ASSOCIADAS</v>
          </cell>
          <cell r="D58" t="str">
            <v>COLIDER</v>
          </cell>
          <cell r="E58" t="str">
            <v>MT</v>
          </cell>
          <cell r="F58">
            <v>46311</v>
          </cell>
          <cell r="G58">
            <v>2827.4100000000008</v>
          </cell>
          <cell r="I58" t="str">
            <v>Comprou Marcas</v>
          </cell>
        </row>
        <row r="59">
          <cell r="A59">
            <v>8087667001157</v>
          </cell>
          <cell r="B59" t="str">
            <v>REDE DE FARMACIAS ECONOMIZAR</v>
          </cell>
          <cell r="C59" t="str">
            <v>INDEPENDENTES VIN</v>
          </cell>
          <cell r="D59" t="str">
            <v>MATUPA</v>
          </cell>
          <cell r="E59" t="str">
            <v>MT</v>
          </cell>
          <cell r="F59">
            <v>46311</v>
          </cell>
          <cell r="G59">
            <v>4776.6900000000005</v>
          </cell>
          <cell r="I59" t="str">
            <v>Comprou Marcas</v>
          </cell>
        </row>
        <row r="60">
          <cell r="A60">
            <v>48798235000105</v>
          </cell>
          <cell r="B60" t="str">
            <v>REDE ANAFARMA - UNIDADE PRESIDENTE</v>
          </cell>
          <cell r="C60" t="str">
            <v>MULTIDROGAS</v>
          </cell>
          <cell r="D60" t="str">
            <v>PRESIDENTE PRUDENTE</v>
          </cell>
          <cell r="E60" t="str">
            <v>SP</v>
          </cell>
          <cell r="I60" t="str">
            <v>Não Comprou</v>
          </cell>
        </row>
        <row r="61">
          <cell r="A61">
            <v>14178866000100</v>
          </cell>
          <cell r="B61" t="str">
            <v>REAL FARMA</v>
          </cell>
          <cell r="C61" t="str">
            <v>INDEPENDENTES VIN</v>
          </cell>
          <cell r="D61" t="str">
            <v>TEODORO SAMPAIO</v>
          </cell>
          <cell r="E61" t="str">
            <v>SP</v>
          </cell>
          <cell r="I61" t="str">
            <v>Não Comprou</v>
          </cell>
        </row>
        <row r="62">
          <cell r="A62">
            <v>1878521000109</v>
          </cell>
          <cell r="B62" t="str">
            <v>QUEIROZ E SANTOS</v>
          </cell>
          <cell r="C62" t="str">
            <v>INDEPENDENTES VIN</v>
          </cell>
          <cell r="D62" t="str">
            <v>RIBAS DO RIO PARDO</v>
          </cell>
          <cell r="E62" t="str">
            <v>MS</v>
          </cell>
          <cell r="F62">
            <v>46308</v>
          </cell>
          <cell r="G62">
            <v>671.55000000000007</v>
          </cell>
          <cell r="I62" t="str">
            <v>Comprou Marcas</v>
          </cell>
        </row>
        <row r="63">
          <cell r="A63">
            <v>5255309000146</v>
          </cell>
          <cell r="B63" t="str">
            <v>PRUDEN MEDICAMENTOS</v>
          </cell>
          <cell r="C63" t="str">
            <v>MASTERFARMA</v>
          </cell>
          <cell r="D63" t="str">
            <v>BATAGUASSU</v>
          </cell>
          <cell r="E63" t="str">
            <v>MS</v>
          </cell>
          <cell r="F63">
            <v>46311</v>
          </cell>
          <cell r="G63">
            <v>931.90000000000009</v>
          </cell>
          <cell r="I63" t="str">
            <v>Comprou Marcas</v>
          </cell>
        </row>
        <row r="64">
          <cell r="A64">
            <v>62145174000108</v>
          </cell>
          <cell r="B64" t="str">
            <v>PRIME FARMA</v>
          </cell>
          <cell r="C64" t="str">
            <v>INDEPENDENTES VIN</v>
          </cell>
          <cell r="D64" t="str">
            <v>PRIMAVERA DO LESTE</v>
          </cell>
          <cell r="E64" t="str">
            <v>MT</v>
          </cell>
          <cell r="I64" t="str">
            <v>Não Comprou</v>
          </cell>
        </row>
        <row r="65">
          <cell r="A65">
            <v>23288222000157</v>
          </cell>
          <cell r="B65" t="str">
            <v>PREVI SAUDE</v>
          </cell>
          <cell r="C65" t="str">
            <v>ASSOCIADAS</v>
          </cell>
          <cell r="D65" t="str">
            <v>VARZEA GRANDE</v>
          </cell>
          <cell r="E65" t="str">
            <v>MT</v>
          </cell>
          <cell r="I65" t="str">
            <v>Não Comprou</v>
          </cell>
        </row>
        <row r="66">
          <cell r="A66">
            <v>17684597000133</v>
          </cell>
          <cell r="B66" t="str">
            <v>PRAMYM DROGARIAS</v>
          </cell>
          <cell r="C66" t="str">
            <v>ASSOCIADAS</v>
          </cell>
          <cell r="D66" t="str">
            <v>CUIABA</v>
          </cell>
          <cell r="E66" t="str">
            <v>MT</v>
          </cell>
          <cell r="F66">
            <v>46303</v>
          </cell>
          <cell r="G66">
            <v>3393.68</v>
          </cell>
          <cell r="I66" t="str">
            <v>Comprou Marcas</v>
          </cell>
        </row>
        <row r="67">
          <cell r="A67">
            <v>17684597000214</v>
          </cell>
          <cell r="B67" t="str">
            <v>PRAMYM DROGARIAS</v>
          </cell>
          <cell r="C67" t="str">
            <v>ASSOCIADAS</v>
          </cell>
          <cell r="D67" t="str">
            <v>CUIABA</v>
          </cell>
          <cell r="E67" t="str">
            <v>MT</v>
          </cell>
          <cell r="F67">
            <v>46303</v>
          </cell>
          <cell r="G67">
            <v>1584.6599999999999</v>
          </cell>
          <cell r="I67" t="str">
            <v>Comprou Marcas</v>
          </cell>
        </row>
        <row r="68">
          <cell r="A68">
            <v>39834323000116</v>
          </cell>
          <cell r="B68" t="str">
            <v>POUPE MAIS FARMA</v>
          </cell>
          <cell r="C68" t="str">
            <v>GRUPO MELHOR COMPRA</v>
          </cell>
          <cell r="D68" t="str">
            <v>SANTA RITA DO PARDO</v>
          </cell>
          <cell r="E68" t="str">
            <v>MS</v>
          </cell>
          <cell r="I68" t="str">
            <v>Não Comprou</v>
          </cell>
        </row>
        <row r="69">
          <cell r="A69">
            <v>9447656000121</v>
          </cell>
          <cell r="B69" t="str">
            <v>POSTO DE MEDICAMENTOS NIAGARA</v>
          </cell>
          <cell r="C69" t="str">
            <v>ASSOCIADAS</v>
          </cell>
          <cell r="D69" t="str">
            <v>SAO JOSE DO POVO</v>
          </cell>
          <cell r="E69" t="str">
            <v>MT</v>
          </cell>
          <cell r="F69">
            <v>46310</v>
          </cell>
          <cell r="G69">
            <v>137.85</v>
          </cell>
          <cell r="I69" t="str">
            <v>Comprou Marcas</v>
          </cell>
        </row>
        <row r="70">
          <cell r="A70">
            <v>29606556000108</v>
          </cell>
          <cell r="B70" t="str">
            <v>POPULAR FARMA</v>
          </cell>
          <cell r="C70" t="str">
            <v>INDEPENDENTES VIN</v>
          </cell>
          <cell r="D70" t="str">
            <v>SINOP</v>
          </cell>
          <cell r="E70" t="str">
            <v>MT</v>
          </cell>
          <cell r="F70">
            <v>46303</v>
          </cell>
          <cell r="G70">
            <v>546.78</v>
          </cell>
          <cell r="I70" t="str">
            <v>Comprou Marcas</v>
          </cell>
        </row>
        <row r="71">
          <cell r="A71">
            <v>43857147000105</v>
          </cell>
          <cell r="B71" t="str">
            <v>POP CENTER POPULAR</v>
          </cell>
          <cell r="C71" t="str">
            <v>MASTERFARMA</v>
          </cell>
          <cell r="D71" t="str">
            <v>NOVA XAVANTINA</v>
          </cell>
          <cell r="E71" t="str">
            <v>MT</v>
          </cell>
          <cell r="I71" t="str">
            <v>Não Comprou</v>
          </cell>
        </row>
        <row r="72">
          <cell r="A72">
            <v>60042541000104</v>
          </cell>
          <cell r="B72" t="str">
            <v>PHARMA VIDA III</v>
          </cell>
          <cell r="C72" t="str">
            <v>INDEPENDENTES VIN</v>
          </cell>
          <cell r="D72" t="str">
            <v>TRES LAGOAS</v>
          </cell>
          <cell r="E72" t="str">
            <v>MS</v>
          </cell>
          <cell r="F72">
            <v>46303</v>
          </cell>
          <cell r="G72">
            <v>812.31999999999994</v>
          </cell>
          <cell r="I72" t="str">
            <v>Comprou Marcas</v>
          </cell>
        </row>
        <row r="73">
          <cell r="A73">
            <v>21483918000109</v>
          </cell>
          <cell r="B73" t="str">
            <v>PHARMA SINOP</v>
          </cell>
          <cell r="C73" t="str">
            <v>REDE BEM DROGARIAS</v>
          </cell>
          <cell r="D73" t="str">
            <v>SINOP</v>
          </cell>
          <cell r="E73" t="str">
            <v>MT</v>
          </cell>
          <cell r="I73" t="str">
            <v>Não Comprou</v>
          </cell>
        </row>
        <row r="74">
          <cell r="A74">
            <v>56129324000189</v>
          </cell>
          <cell r="B74" t="str">
            <v>PFR COMERCIO DE MEDICAMENTOS E PERFUMARIA</v>
          </cell>
          <cell r="C74" t="str">
            <v>INDEPENDENTES VIN</v>
          </cell>
          <cell r="D74" t="str">
            <v>CAMPO GRANDE</v>
          </cell>
          <cell r="E74" t="str">
            <v>MS</v>
          </cell>
          <cell r="I74" t="str">
            <v>Não Comprou</v>
          </cell>
        </row>
        <row r="75">
          <cell r="A75">
            <v>62210039000190</v>
          </cell>
          <cell r="B75" t="str">
            <v>PERRONI FARMA</v>
          </cell>
          <cell r="C75" t="str">
            <v>INDEPENDENTES VIN</v>
          </cell>
          <cell r="D75" t="str">
            <v>INOCENCIA</v>
          </cell>
          <cell r="E75" t="str">
            <v>MS</v>
          </cell>
          <cell r="I75" t="str">
            <v>Não Comprou</v>
          </cell>
        </row>
        <row r="76">
          <cell r="A76">
            <v>46237162000149</v>
          </cell>
          <cell r="B76" t="str">
            <v>PANTANAL COMERCIO DE MEDICAMENTOS</v>
          </cell>
          <cell r="C76" t="str">
            <v>MASTERFARMA</v>
          </cell>
          <cell r="D76" t="str">
            <v>CAMPO GRANDE</v>
          </cell>
          <cell r="E76" t="str">
            <v>MS</v>
          </cell>
          <cell r="F76">
            <v>46310</v>
          </cell>
          <cell r="G76">
            <v>793.83000000000015</v>
          </cell>
          <cell r="I76" t="str">
            <v>Comprou Marcas</v>
          </cell>
        </row>
        <row r="77">
          <cell r="A77">
            <v>12026397000170</v>
          </cell>
          <cell r="B77" t="str">
            <v>OLIVEIRA FARMA</v>
          </cell>
          <cell r="C77" t="str">
            <v>ASSOCIADAS</v>
          </cell>
          <cell r="D77" t="str">
            <v>CAMPO GRANDE</v>
          </cell>
          <cell r="E77" t="str">
            <v>MS</v>
          </cell>
          <cell r="I77" t="str">
            <v>Não Comprou</v>
          </cell>
        </row>
        <row r="78">
          <cell r="A78">
            <v>23566528000128</v>
          </cell>
          <cell r="B78" t="str">
            <v>NOVA PHARMA</v>
          </cell>
          <cell r="C78" t="str">
            <v>MASTERFARMA</v>
          </cell>
          <cell r="D78" t="str">
            <v>IVINHEMA</v>
          </cell>
          <cell r="E78" t="str">
            <v>MS</v>
          </cell>
          <cell r="I78" t="str">
            <v>Não Comprou</v>
          </cell>
        </row>
        <row r="79">
          <cell r="A79">
            <v>35447691000150</v>
          </cell>
          <cell r="B79" t="str">
            <v>NOVA FARMA</v>
          </cell>
          <cell r="C79" t="str">
            <v>INDEPENDENTES VIN</v>
          </cell>
          <cell r="D79" t="str">
            <v>TANGARA DA SERRA</v>
          </cell>
          <cell r="E79" t="str">
            <v>MT</v>
          </cell>
          <cell r="F79">
            <v>46303</v>
          </cell>
          <cell r="G79">
            <v>883.64999999999986</v>
          </cell>
          <cell r="I79" t="str">
            <v>Comprou Marcas</v>
          </cell>
        </row>
        <row r="80">
          <cell r="A80">
            <v>51996536000140</v>
          </cell>
          <cell r="B80" t="str">
            <v>NERES &amp; NERES LTDA ME</v>
          </cell>
          <cell r="C80" t="str">
            <v>INDEPENDENTES VIN</v>
          </cell>
          <cell r="D80" t="str">
            <v>ARACATUBA</v>
          </cell>
          <cell r="E80" t="str">
            <v>SP</v>
          </cell>
          <cell r="F80">
            <v>46297</v>
          </cell>
          <cell r="G80">
            <v>309.18</v>
          </cell>
          <cell r="I80" t="str">
            <v>Comprou Marcas</v>
          </cell>
        </row>
        <row r="81">
          <cell r="A81">
            <v>59454115000107</v>
          </cell>
          <cell r="B81" t="str">
            <v>NEOFARMA POPULAR</v>
          </cell>
          <cell r="C81" t="str">
            <v>ASSOCIADAS</v>
          </cell>
          <cell r="D81" t="str">
            <v>PRIMAVERA DO LESTE</v>
          </cell>
          <cell r="E81" t="str">
            <v>MT</v>
          </cell>
          <cell r="I81" t="str">
            <v>Não Comprou</v>
          </cell>
        </row>
        <row r="82">
          <cell r="A82">
            <v>13435712000185</v>
          </cell>
          <cell r="B82" t="str">
            <v>NEI DROGAS II</v>
          </cell>
          <cell r="C82" t="str">
            <v>COMPRE BEM</v>
          </cell>
          <cell r="D82" t="str">
            <v>JUARA</v>
          </cell>
          <cell r="E82" t="str">
            <v>MT</v>
          </cell>
          <cell r="F82">
            <v>46311</v>
          </cell>
          <cell r="G82">
            <v>14010.620000000003</v>
          </cell>
          <cell r="I82" t="str">
            <v>Comprou Marcas</v>
          </cell>
        </row>
        <row r="83">
          <cell r="A83">
            <v>21082444000274</v>
          </cell>
          <cell r="B83" t="str">
            <v>NAYARA F. S. BRITTO</v>
          </cell>
          <cell r="C83" t="str">
            <v>ASSOCIADAS</v>
          </cell>
          <cell r="D83" t="str">
            <v>AQUIDAUANA</v>
          </cell>
          <cell r="E83" t="str">
            <v>MS</v>
          </cell>
          <cell r="F83">
            <v>46308</v>
          </cell>
          <cell r="G83">
            <v>462.22000000000008</v>
          </cell>
          <cell r="I83" t="str">
            <v>Comprou Marcas</v>
          </cell>
        </row>
        <row r="84">
          <cell r="A84">
            <v>17241854000162</v>
          </cell>
          <cell r="B84" t="str">
            <v>NAIARA BELON DE ALBUQUERQUE CARNIATO - DROGARIA</v>
          </cell>
          <cell r="C84" t="str">
            <v>FARMAIS</v>
          </cell>
          <cell r="D84" t="str">
            <v>SANTO ANASTACIO</v>
          </cell>
          <cell r="E84" t="str">
            <v>SP</v>
          </cell>
          <cell r="F84">
            <v>46311</v>
          </cell>
          <cell r="G84">
            <v>9576.27</v>
          </cell>
          <cell r="H84">
            <v>14976.180000000002</v>
          </cell>
          <cell r="I84" t="str">
            <v>Comprou Marcas e SG</v>
          </cell>
        </row>
        <row r="85">
          <cell r="A85">
            <v>23088454000161</v>
          </cell>
          <cell r="B85" t="str">
            <v>MULTI+FARMA</v>
          </cell>
          <cell r="C85" t="str">
            <v>ASSOCIADAS</v>
          </cell>
          <cell r="D85" t="str">
            <v>QUERENCIA</v>
          </cell>
          <cell r="E85" t="str">
            <v>MT</v>
          </cell>
          <cell r="F85">
            <v>46310</v>
          </cell>
          <cell r="G85">
            <v>871.99</v>
          </cell>
          <cell r="I85" t="str">
            <v>Comprou Marcas</v>
          </cell>
        </row>
        <row r="86">
          <cell r="A86">
            <v>10680159000158</v>
          </cell>
          <cell r="B86" t="str">
            <v>MULTI FARMA</v>
          </cell>
          <cell r="C86" t="str">
            <v>ASSOCIADAS</v>
          </cell>
          <cell r="D86" t="str">
            <v>DEODAPOLIS</v>
          </cell>
          <cell r="E86" t="str">
            <v>MS</v>
          </cell>
          <cell r="F86">
            <v>46310</v>
          </cell>
          <cell r="G86">
            <v>6413.17</v>
          </cell>
          <cell r="I86" t="str">
            <v>Comprou Marcas</v>
          </cell>
        </row>
        <row r="87">
          <cell r="A87">
            <v>31230095000163</v>
          </cell>
          <cell r="B87" t="str">
            <v>MS PHARMA</v>
          </cell>
          <cell r="C87" t="str">
            <v>INDEPENDENTES VIN</v>
          </cell>
          <cell r="D87" t="str">
            <v>COSTA RICA</v>
          </cell>
          <cell r="E87" t="str">
            <v>MS</v>
          </cell>
          <cell r="F87">
            <v>46310</v>
          </cell>
          <cell r="G87">
            <v>1712.69</v>
          </cell>
          <cell r="I87" t="str">
            <v>Comprou Marcas</v>
          </cell>
        </row>
        <row r="88">
          <cell r="A88">
            <v>11740637000130</v>
          </cell>
          <cell r="B88" t="str">
            <v>MOREIRA FARMA</v>
          </cell>
          <cell r="C88" t="str">
            <v>ASFAR FARMACIAS</v>
          </cell>
          <cell r="D88" t="str">
            <v>JUINA</v>
          </cell>
          <cell r="E88" t="str">
            <v>MT</v>
          </cell>
          <cell r="F88">
            <v>46310</v>
          </cell>
          <cell r="G88">
            <v>1402.07</v>
          </cell>
          <cell r="I88" t="str">
            <v>Comprou Marcas</v>
          </cell>
        </row>
        <row r="89">
          <cell r="A89">
            <v>51601157000103</v>
          </cell>
          <cell r="B89" t="str">
            <v>MINAS FARMA CARMINDO</v>
          </cell>
          <cell r="C89" t="str">
            <v>HIPER SAUDE</v>
          </cell>
          <cell r="D89" t="str">
            <v>CUIABA</v>
          </cell>
          <cell r="E89" t="str">
            <v>MT</v>
          </cell>
          <cell r="I89" t="str">
            <v>Não Comprou</v>
          </cell>
        </row>
        <row r="90">
          <cell r="A90">
            <v>12090789000106</v>
          </cell>
          <cell r="B90" t="str">
            <v>MEGA FARMA</v>
          </cell>
          <cell r="C90" t="str">
            <v>INDEPENDENTES VIN</v>
          </cell>
          <cell r="D90" t="str">
            <v>CULTURAMA (FATIMA DO SUL)</v>
          </cell>
          <cell r="E90" t="str">
            <v>MS</v>
          </cell>
          <cell r="I90" t="str">
            <v>Não Comprou</v>
          </cell>
        </row>
        <row r="91">
          <cell r="A91">
            <v>40883240000104</v>
          </cell>
          <cell r="B91" t="str">
            <v>MEGA DESCONTAO FARMA</v>
          </cell>
          <cell r="C91" t="str">
            <v>INDEPENDENTES VIN</v>
          </cell>
          <cell r="D91" t="str">
            <v>SINOP</v>
          </cell>
          <cell r="E91" t="str">
            <v>MT</v>
          </cell>
          <cell r="I91" t="str">
            <v>Não Comprou</v>
          </cell>
        </row>
        <row r="92">
          <cell r="A92">
            <v>63937486000109</v>
          </cell>
          <cell r="B92" t="str">
            <v>MEDEIROS &amp; GALINDO</v>
          </cell>
          <cell r="C92" t="str">
            <v>DROGARIA TOTAL</v>
          </cell>
          <cell r="D92" t="str">
            <v>PRESIDENTE PRUDENTE</v>
          </cell>
          <cell r="E92" t="str">
            <v>SP</v>
          </cell>
          <cell r="F92">
            <v>46311</v>
          </cell>
          <cell r="H92">
            <v>4516.9699999999993</v>
          </cell>
          <cell r="I92" t="str">
            <v>Comprou SG</v>
          </cell>
        </row>
        <row r="93">
          <cell r="A93">
            <v>10440010000100</v>
          </cell>
          <cell r="B93" t="str">
            <v>MAXPHARMA</v>
          </cell>
          <cell r="C93" t="str">
            <v>INDEPENDENTES VIN</v>
          </cell>
          <cell r="D93" t="str">
            <v>SORRISO</v>
          </cell>
          <cell r="E93" t="str">
            <v>MT</v>
          </cell>
          <cell r="I93" t="str">
            <v>Não Comprou</v>
          </cell>
        </row>
        <row r="94">
          <cell r="A94">
            <v>42162995000137</v>
          </cell>
          <cell r="B94" t="str">
            <v>MAXIFARMA POPULAR</v>
          </cell>
          <cell r="C94" t="str">
            <v>ASSOCIADAS</v>
          </cell>
          <cell r="D94" t="str">
            <v>CAMPO GRANDE</v>
          </cell>
          <cell r="E94" t="str">
            <v>MS</v>
          </cell>
          <cell r="F94">
            <v>46304</v>
          </cell>
          <cell r="G94">
            <v>889.92000000000007</v>
          </cell>
          <cell r="I94" t="str">
            <v>Comprou Marcas</v>
          </cell>
        </row>
        <row r="95">
          <cell r="A95">
            <v>27545412000597</v>
          </cell>
          <cell r="B95" t="str">
            <v>MAXI POPULAR SINOP</v>
          </cell>
          <cell r="C95" t="str">
            <v>FARMARCAS</v>
          </cell>
          <cell r="D95" t="str">
            <v>SINOP</v>
          </cell>
          <cell r="E95" t="str">
            <v>MT</v>
          </cell>
          <cell r="F95">
            <v>46311</v>
          </cell>
          <cell r="G95">
            <v>1273.8</v>
          </cell>
          <cell r="I95" t="str">
            <v>Comprou Marcas</v>
          </cell>
        </row>
        <row r="96">
          <cell r="A96">
            <v>6213559000186</v>
          </cell>
          <cell r="B96" t="str">
            <v>MAX FARMA</v>
          </cell>
          <cell r="C96" t="str">
            <v>REDE SMALLFARMA</v>
          </cell>
          <cell r="D96" t="str">
            <v>PRESIDENTE PRUDENTE</v>
          </cell>
          <cell r="E96" t="str">
            <v>SP</v>
          </cell>
          <cell r="I96" t="str">
            <v>Não Comprou</v>
          </cell>
        </row>
        <row r="97">
          <cell r="A97">
            <v>10309726000164</v>
          </cell>
          <cell r="B97" t="str">
            <v>MAX FARMA</v>
          </cell>
          <cell r="C97" t="str">
            <v>DROGARIA TOTAL</v>
          </cell>
          <cell r="D97" t="str">
            <v>TEODORO SAMPAIO</v>
          </cell>
          <cell r="E97" t="str">
            <v>SP</v>
          </cell>
          <cell r="F97">
            <v>46311</v>
          </cell>
          <cell r="H97">
            <v>6202.24</v>
          </cell>
          <cell r="I97" t="str">
            <v>Comprou SG</v>
          </cell>
        </row>
        <row r="98">
          <cell r="A98">
            <v>49182677000187</v>
          </cell>
          <cell r="B98" t="str">
            <v>MAX FARMA</v>
          </cell>
          <cell r="C98" t="str">
            <v>REDE SMALLFARMA</v>
          </cell>
          <cell r="D98" t="str">
            <v>PRESIDENTE PRUDENTE</v>
          </cell>
          <cell r="E98" t="str">
            <v>SP</v>
          </cell>
          <cell r="I98" t="str">
            <v>Não Comprou</v>
          </cell>
        </row>
        <row r="99">
          <cell r="A99">
            <v>3577994000100</v>
          </cell>
          <cell r="B99" t="str">
            <v>MASTER FARMA</v>
          </cell>
          <cell r="C99" t="str">
            <v>MASTERFARMA</v>
          </cell>
          <cell r="D99" t="str">
            <v>MATUPA</v>
          </cell>
          <cell r="E99" t="str">
            <v>MT</v>
          </cell>
          <cell r="F99">
            <v>46311</v>
          </cell>
          <cell r="G99">
            <v>1888.01</v>
          </cell>
          <cell r="I99" t="str">
            <v>Comprou Marcas</v>
          </cell>
        </row>
        <row r="100">
          <cell r="A100">
            <v>1478274000153</v>
          </cell>
          <cell r="B100" t="str">
            <v>MASTER FARMA</v>
          </cell>
          <cell r="C100" t="str">
            <v>MASTERFARMA</v>
          </cell>
          <cell r="D100" t="str">
            <v>CASSILANDIA</v>
          </cell>
          <cell r="E100" t="str">
            <v>MS</v>
          </cell>
          <cell r="I100" t="str">
            <v>Não Comprou</v>
          </cell>
        </row>
        <row r="101">
          <cell r="A101">
            <v>22315443000104</v>
          </cell>
          <cell r="B101" t="str">
            <v>MAIS HIPER POPULAR</v>
          </cell>
          <cell r="C101" t="str">
            <v>HIPER SAUDE</v>
          </cell>
          <cell r="D101" t="str">
            <v>VILA BELA DA SANTISSIMA TRINDADE</v>
          </cell>
          <cell r="E101" t="str">
            <v>MT</v>
          </cell>
          <cell r="F101">
            <v>46303</v>
          </cell>
          <cell r="G101">
            <v>1669.9499999999998</v>
          </cell>
          <cell r="I101" t="str">
            <v>Comprou Marcas</v>
          </cell>
        </row>
        <row r="102">
          <cell r="A102">
            <v>53933707000117</v>
          </cell>
          <cell r="B102" t="str">
            <v>MAIS DROGARIA AVENIDA</v>
          </cell>
          <cell r="C102" t="str">
            <v>INDEPENDENTES VIN</v>
          </cell>
          <cell r="D102" t="str">
            <v>NORTELANDIA</v>
          </cell>
          <cell r="E102" t="str">
            <v>MT</v>
          </cell>
          <cell r="I102" t="str">
            <v>Não Comprou</v>
          </cell>
        </row>
        <row r="103">
          <cell r="A103">
            <v>7236140000374</v>
          </cell>
          <cell r="B103" t="str">
            <v>M. G. DROGARIA</v>
          </cell>
          <cell r="C103" t="str">
            <v>FARMA &amp; FARMA</v>
          </cell>
          <cell r="D103" t="str">
            <v>PEIXOTO DE AZEVEDO</v>
          </cell>
          <cell r="E103" t="str">
            <v>MT</v>
          </cell>
          <cell r="F103">
            <v>46304</v>
          </cell>
          <cell r="G103">
            <v>5529.72</v>
          </cell>
          <cell r="I103" t="str">
            <v>Comprou Marcas</v>
          </cell>
        </row>
        <row r="104">
          <cell r="A104">
            <v>27855189000150</v>
          </cell>
          <cell r="B104" t="str">
            <v>M. A. GIACOMETTI DROGARIA</v>
          </cell>
          <cell r="C104" t="str">
            <v>REDE POUPE AQUI</v>
          </cell>
          <cell r="D104" t="str">
            <v>GUARARAPES</v>
          </cell>
          <cell r="E104" t="str">
            <v>SP</v>
          </cell>
          <cell r="F104">
            <v>46308</v>
          </cell>
          <cell r="H104">
            <v>4730.3999999999996</v>
          </cell>
          <cell r="I104" t="str">
            <v>Comprou SG</v>
          </cell>
        </row>
        <row r="105">
          <cell r="A105">
            <v>19942147000129</v>
          </cell>
          <cell r="B105" t="str">
            <v>M &amp; G DROGARIA</v>
          </cell>
          <cell r="C105" t="str">
            <v>INDEPENDENTES VIN</v>
          </cell>
          <cell r="D105" t="str">
            <v>CASSILANDIA</v>
          </cell>
          <cell r="E105" t="str">
            <v>MS</v>
          </cell>
          <cell r="I105" t="str">
            <v>Não Comprou</v>
          </cell>
        </row>
        <row r="106">
          <cell r="A106">
            <v>58694365000143</v>
          </cell>
          <cell r="B106" t="str">
            <v>LIDER FARMA</v>
          </cell>
          <cell r="C106" t="str">
            <v>SISFARMA</v>
          </cell>
          <cell r="D106" t="str">
            <v>ANDRADINA</v>
          </cell>
          <cell r="E106" t="str">
            <v>SP</v>
          </cell>
          <cell r="F106">
            <v>46309</v>
          </cell>
          <cell r="G106">
            <v>1743.8000000000002</v>
          </cell>
          <cell r="I106" t="str">
            <v>Comprou Marcas</v>
          </cell>
        </row>
        <row r="107">
          <cell r="A107">
            <v>11411195000189</v>
          </cell>
          <cell r="B107" t="str">
            <v>LC COMERCIO DE MED LTDA ME</v>
          </cell>
          <cell r="C107" t="str">
            <v>INDEPENDENTES VIN</v>
          </cell>
          <cell r="D107" t="str">
            <v>CAMPO GRANDE</v>
          </cell>
          <cell r="E107" t="str">
            <v>MS</v>
          </cell>
          <cell r="F107">
            <v>46310</v>
          </cell>
          <cell r="G107">
            <v>1782.69</v>
          </cell>
          <cell r="I107" t="str">
            <v>Comprou Marcas</v>
          </cell>
        </row>
        <row r="108">
          <cell r="A108">
            <v>32666944000199</v>
          </cell>
          <cell r="B108" t="str">
            <v>LARIFARMA</v>
          </cell>
          <cell r="C108" t="str">
            <v>ASSOCIADAS</v>
          </cell>
          <cell r="D108" t="str">
            <v>PONTA PORA</v>
          </cell>
          <cell r="E108" t="str">
            <v>MS</v>
          </cell>
          <cell r="F108">
            <v>46310</v>
          </cell>
          <cell r="G108">
            <v>5734.8599999999988</v>
          </cell>
          <cell r="I108" t="str">
            <v>Comprou Marcas</v>
          </cell>
        </row>
        <row r="109">
          <cell r="A109">
            <v>1374296000173</v>
          </cell>
          <cell r="B109" t="str">
            <v>LABOR/FARMACIA ANA JACINTA</v>
          </cell>
          <cell r="C109" t="str">
            <v>BIODROGAS</v>
          </cell>
          <cell r="D109" t="str">
            <v>PRESIDENTE PRUDENTE</v>
          </cell>
          <cell r="E109" t="str">
            <v>SP</v>
          </cell>
          <cell r="F109">
            <v>46308</v>
          </cell>
          <cell r="G109">
            <v>679.74</v>
          </cell>
          <cell r="I109" t="str">
            <v>Comprou Marcas</v>
          </cell>
        </row>
        <row r="110">
          <cell r="A110">
            <v>24415425000200</v>
          </cell>
          <cell r="B110" t="str">
            <v>L. I. MEGA POPULAR</v>
          </cell>
          <cell r="C110" t="str">
            <v>MASTERFARMA</v>
          </cell>
          <cell r="D110" t="str">
            <v>DOURADOS</v>
          </cell>
          <cell r="E110" t="str">
            <v>MS</v>
          </cell>
          <cell r="I110" t="str">
            <v>Não Comprou</v>
          </cell>
        </row>
        <row r="111">
          <cell r="A111">
            <v>64799330000171</v>
          </cell>
          <cell r="B111" t="str">
            <v>JP MEDICAMENTOS E PERFUMARIAS</v>
          </cell>
          <cell r="C111" t="str">
            <v>INDEPENDENTES VIN</v>
          </cell>
          <cell r="D111" t="str">
            <v>CAMPO GRANDE</v>
          </cell>
          <cell r="E111" t="str">
            <v>MS</v>
          </cell>
          <cell r="F111">
            <v>46309</v>
          </cell>
          <cell r="G111">
            <v>589.80000000000007</v>
          </cell>
          <cell r="I111" t="str">
            <v>Comprou Marcas</v>
          </cell>
        </row>
        <row r="112">
          <cell r="A112">
            <v>4252211000172</v>
          </cell>
          <cell r="B112" t="str">
            <v>JOTAFARMA</v>
          </cell>
          <cell r="C112" t="str">
            <v>MASTERFARMA</v>
          </cell>
          <cell r="D112" t="str">
            <v>CANARANA</v>
          </cell>
          <cell r="E112" t="str">
            <v>MT</v>
          </cell>
          <cell r="F112">
            <v>46311</v>
          </cell>
          <cell r="G112">
            <v>1579.8799999999997</v>
          </cell>
          <cell r="I112" t="str">
            <v>Comprou Marcas</v>
          </cell>
        </row>
        <row r="113">
          <cell r="A113">
            <v>27717961000178</v>
          </cell>
          <cell r="B113" t="str">
            <v>JAQUINTA &amp; SILVA</v>
          </cell>
          <cell r="C113" t="str">
            <v>ASSOCIADAS</v>
          </cell>
          <cell r="D113" t="str">
            <v>ELDORADO</v>
          </cell>
          <cell r="E113" t="str">
            <v>MS</v>
          </cell>
          <cell r="F113">
            <v>46309</v>
          </cell>
          <cell r="G113">
            <v>4913.04</v>
          </cell>
          <cell r="I113" t="str">
            <v>Comprou Marcas</v>
          </cell>
        </row>
        <row r="114">
          <cell r="A114">
            <v>46197707000130</v>
          </cell>
          <cell r="B114" t="str">
            <v>J.F MEDICAMENTOS E PERFUMARIA</v>
          </cell>
          <cell r="C114" t="str">
            <v>HIPER SAUDE</v>
          </cell>
          <cell r="D114" t="str">
            <v>VARZEA GRANDE</v>
          </cell>
          <cell r="E114" t="str">
            <v>MT</v>
          </cell>
          <cell r="F114">
            <v>46310</v>
          </cell>
          <cell r="G114">
            <v>137.85</v>
          </cell>
          <cell r="I114" t="str">
            <v>Comprou Marcas</v>
          </cell>
        </row>
        <row r="115">
          <cell r="A115">
            <v>28031224000180</v>
          </cell>
          <cell r="B115" t="str">
            <v>J FARMA POPULAR</v>
          </cell>
          <cell r="C115" t="str">
            <v>MASTERFARMA</v>
          </cell>
          <cell r="D115" t="str">
            <v>BARRA DO GARCAS</v>
          </cell>
          <cell r="E115" t="str">
            <v>MT</v>
          </cell>
          <cell r="F115">
            <v>46311</v>
          </cell>
          <cell r="G115">
            <v>1751.8500000000001</v>
          </cell>
          <cell r="I115" t="str">
            <v>Comprou Marcas</v>
          </cell>
        </row>
        <row r="116">
          <cell r="A116">
            <v>52464336000109</v>
          </cell>
          <cell r="B116" t="str">
            <v>IRMAS GONCALVES PENAPOLIS</v>
          </cell>
          <cell r="C116" t="str">
            <v>INDEPENDENTES VIN</v>
          </cell>
          <cell r="D116" t="str">
            <v>PENAPOLIS</v>
          </cell>
          <cell r="E116" t="str">
            <v>SP</v>
          </cell>
          <cell r="F116">
            <v>46301</v>
          </cell>
          <cell r="H116">
            <v>3848</v>
          </cell>
          <cell r="I116" t="str">
            <v>Comprou SG</v>
          </cell>
        </row>
        <row r="117">
          <cell r="A117">
            <v>62668131000107</v>
          </cell>
          <cell r="B117" t="str">
            <v>IPE FARMA</v>
          </cell>
          <cell r="C117" t="str">
            <v>INDEPENDENTES VIN</v>
          </cell>
          <cell r="D117" t="str">
            <v>TRES LAGOAS</v>
          </cell>
          <cell r="E117" t="str">
            <v>MS</v>
          </cell>
          <cell r="I117" t="str">
            <v>Não Comprou</v>
          </cell>
        </row>
        <row r="118">
          <cell r="A118">
            <v>30425108000197</v>
          </cell>
          <cell r="B118" t="str">
            <v>IORI FARMA</v>
          </cell>
          <cell r="C118" t="str">
            <v>INDEPENDENTES VIN</v>
          </cell>
          <cell r="D118" t="str">
            <v>SINOP</v>
          </cell>
          <cell r="E118" t="str">
            <v>MT</v>
          </cell>
          <cell r="I118" t="str">
            <v>Não Comprou</v>
          </cell>
        </row>
        <row r="119">
          <cell r="A119">
            <v>30425108000278</v>
          </cell>
          <cell r="B119" t="str">
            <v>IORI FARMA</v>
          </cell>
          <cell r="C119" t="str">
            <v>INDEPENDENTES VIN</v>
          </cell>
          <cell r="D119" t="str">
            <v>SINOP</v>
          </cell>
          <cell r="E119" t="str">
            <v>MT</v>
          </cell>
          <cell r="I119" t="str">
            <v>Não Comprou</v>
          </cell>
        </row>
        <row r="120">
          <cell r="A120">
            <v>56193995000109</v>
          </cell>
          <cell r="B120" t="str">
            <v>INOVEFARMA</v>
          </cell>
          <cell r="C120" t="str">
            <v>INDEPENDENTES VIN</v>
          </cell>
          <cell r="D120" t="str">
            <v>PEDRO GOMES</v>
          </cell>
          <cell r="E120" t="str">
            <v>MS</v>
          </cell>
          <cell r="I120" t="str">
            <v>Não Comprou</v>
          </cell>
        </row>
        <row r="121">
          <cell r="A121">
            <v>27127481000157</v>
          </cell>
          <cell r="B121" t="str">
            <v>INOVA FARMA</v>
          </cell>
          <cell r="C121" t="str">
            <v>INDEPENDENTES VIN</v>
          </cell>
          <cell r="D121" t="str">
            <v>TANGARA DA SERRA</v>
          </cell>
          <cell r="E121" t="str">
            <v>MT</v>
          </cell>
          <cell r="F121">
            <v>46303</v>
          </cell>
          <cell r="G121">
            <v>679.21</v>
          </cell>
          <cell r="I121" t="str">
            <v>Comprou Marcas</v>
          </cell>
        </row>
        <row r="122">
          <cell r="A122">
            <v>29041586000114</v>
          </cell>
          <cell r="B122" t="str">
            <v>IDEAL FARMA</v>
          </cell>
          <cell r="C122" t="str">
            <v>INDEPENDENTES VIN</v>
          </cell>
          <cell r="D122" t="str">
            <v>TANGARA DA SERRA</v>
          </cell>
          <cell r="E122" t="str">
            <v>MT</v>
          </cell>
          <cell r="I122" t="str">
            <v>Não Comprou</v>
          </cell>
        </row>
        <row r="123">
          <cell r="A123">
            <v>57680804000104</v>
          </cell>
          <cell r="B123" t="str">
            <v>HIPERPOPULAR DROGARIA AF</v>
          </cell>
          <cell r="C123" t="str">
            <v>HIPER SAUDE</v>
          </cell>
          <cell r="D123" t="str">
            <v>ALTA FLORESTA</v>
          </cell>
          <cell r="E123" t="str">
            <v>MT</v>
          </cell>
          <cell r="I123" t="str">
            <v>Não Comprou</v>
          </cell>
        </row>
        <row r="124">
          <cell r="A124">
            <v>64494102000193</v>
          </cell>
          <cell r="B124" t="str">
            <v>HIPER SAUDE</v>
          </cell>
          <cell r="C124" t="str">
            <v>HIPER SAUDE</v>
          </cell>
          <cell r="D124" t="str">
            <v>SINOP</v>
          </cell>
          <cell r="E124" t="str">
            <v>MT</v>
          </cell>
          <cell r="F124">
            <v>46311</v>
          </cell>
          <cell r="G124">
            <v>5346.0000000000018</v>
          </cell>
          <cell r="H124">
            <v>1160.27</v>
          </cell>
          <cell r="I124" t="str">
            <v>Comprou Marcas e SG</v>
          </cell>
        </row>
        <row r="125">
          <cell r="A125">
            <v>59535889000154</v>
          </cell>
          <cell r="B125" t="str">
            <v>HIPER SAUDE</v>
          </cell>
          <cell r="C125" t="str">
            <v>HIPER SAUDE</v>
          </cell>
          <cell r="D125" t="str">
            <v>NOVA XAVANTINA</v>
          </cell>
          <cell r="E125" t="str">
            <v>MT</v>
          </cell>
          <cell r="I125" t="str">
            <v>Não Comprou</v>
          </cell>
        </row>
        <row r="126">
          <cell r="A126">
            <v>19825473000318</v>
          </cell>
          <cell r="B126" t="str">
            <v>HIPER POPULAR DROGARIAS</v>
          </cell>
          <cell r="C126" t="str">
            <v>HIPER SAUDE</v>
          </cell>
          <cell r="D126" t="str">
            <v>NOVA MUTUM</v>
          </cell>
          <cell r="E126" t="str">
            <v>MT</v>
          </cell>
          <cell r="F126">
            <v>46311</v>
          </cell>
          <cell r="G126">
            <v>11148.030000000002</v>
          </cell>
          <cell r="I126" t="str">
            <v>Comprou Marcas</v>
          </cell>
        </row>
        <row r="127">
          <cell r="A127">
            <v>49340554000127</v>
          </cell>
          <cell r="B127" t="str">
            <v>HIPER POPULAR DROGARIA</v>
          </cell>
          <cell r="C127" t="str">
            <v>HIPER SAUDE</v>
          </cell>
          <cell r="D127" t="str">
            <v>SAPEZAL</v>
          </cell>
          <cell r="E127" t="str">
            <v>MT</v>
          </cell>
          <cell r="F127">
            <v>46308</v>
          </cell>
          <cell r="G127">
            <v>2670.2</v>
          </cell>
          <cell r="I127" t="str">
            <v>Comprou Marcas</v>
          </cell>
        </row>
        <row r="128">
          <cell r="A128">
            <v>35835186000183</v>
          </cell>
          <cell r="B128" t="str">
            <v>HIPER POPULAR</v>
          </cell>
          <cell r="C128" t="str">
            <v>HIPER SAUDE</v>
          </cell>
          <cell r="D128" t="str">
            <v>AMAMBAI</v>
          </cell>
          <cell r="E128" t="str">
            <v>MS</v>
          </cell>
          <cell r="I128" t="str">
            <v>Não Comprou</v>
          </cell>
        </row>
        <row r="129">
          <cell r="A129">
            <v>43054517000176</v>
          </cell>
          <cell r="B129" t="str">
            <v>HIPER POPULAR</v>
          </cell>
          <cell r="C129" t="str">
            <v>HIPER SAUDE</v>
          </cell>
          <cell r="D129" t="str">
            <v>FATIMA DO SUL</v>
          </cell>
          <cell r="E129" t="str">
            <v>MS</v>
          </cell>
          <cell r="F129">
            <v>46310</v>
          </cell>
          <cell r="G129">
            <v>6229.1900000000023</v>
          </cell>
          <cell r="I129" t="str">
            <v>Comprou Marcas</v>
          </cell>
        </row>
        <row r="130">
          <cell r="A130">
            <v>43054517000257</v>
          </cell>
          <cell r="B130" t="str">
            <v>HIPER POPULAR</v>
          </cell>
          <cell r="C130" t="str">
            <v>HIPER SAUDE</v>
          </cell>
          <cell r="D130" t="str">
            <v>DEODAPOLIS</v>
          </cell>
          <cell r="E130" t="str">
            <v>MS</v>
          </cell>
          <cell r="F130">
            <v>46310</v>
          </cell>
          <cell r="G130">
            <v>8167.5800000000017</v>
          </cell>
          <cell r="I130" t="str">
            <v>Comprou Marcas</v>
          </cell>
        </row>
        <row r="131">
          <cell r="A131">
            <v>57862460000146</v>
          </cell>
          <cell r="B131" t="str">
            <v>HIPER POPULAR</v>
          </cell>
          <cell r="C131" t="str">
            <v>HIPER SAUDE</v>
          </cell>
          <cell r="D131" t="str">
            <v>DOURADOS</v>
          </cell>
          <cell r="E131" t="str">
            <v>MS</v>
          </cell>
          <cell r="I131" t="str">
            <v>Não Comprou</v>
          </cell>
        </row>
        <row r="132">
          <cell r="A132">
            <v>29630512000113</v>
          </cell>
          <cell r="B132" t="str">
            <v>HIPER POPULAR</v>
          </cell>
          <cell r="C132" t="str">
            <v>HIPER SAUDE</v>
          </cell>
          <cell r="D132" t="str">
            <v>CUIABA</v>
          </cell>
          <cell r="E132" t="str">
            <v>MT</v>
          </cell>
          <cell r="F132">
            <v>46303</v>
          </cell>
          <cell r="G132">
            <v>137.85</v>
          </cell>
          <cell r="I132" t="str">
            <v>Comprou Marcas</v>
          </cell>
        </row>
        <row r="133">
          <cell r="A133">
            <v>52330020000124</v>
          </cell>
          <cell r="B133" t="str">
            <v>HIPER POPULAR</v>
          </cell>
          <cell r="C133" t="str">
            <v>HIPER SAUDE</v>
          </cell>
          <cell r="D133" t="str">
            <v>VARZEA GRANDE</v>
          </cell>
          <cell r="E133" t="str">
            <v>MT</v>
          </cell>
          <cell r="F133">
            <v>46303</v>
          </cell>
          <cell r="G133">
            <v>2298.9099999999994</v>
          </cell>
          <cell r="I133" t="str">
            <v>Comprou Marcas</v>
          </cell>
        </row>
        <row r="134">
          <cell r="A134">
            <v>35720208000160</v>
          </cell>
          <cell r="B134" t="str">
            <v>HIPER POPULAR</v>
          </cell>
          <cell r="C134" t="str">
            <v>HIPER SAUDE</v>
          </cell>
          <cell r="D134" t="str">
            <v>TANGARA DA SERRA</v>
          </cell>
          <cell r="E134" t="str">
            <v>MT</v>
          </cell>
          <cell r="I134" t="str">
            <v>Não Comprou</v>
          </cell>
        </row>
        <row r="135">
          <cell r="A135">
            <v>36014287000156</v>
          </cell>
          <cell r="B135" t="str">
            <v>HIPER POPULAR</v>
          </cell>
          <cell r="C135" t="str">
            <v>HIPER SAUDE</v>
          </cell>
          <cell r="D135" t="str">
            <v>PARAGUACU PAULISTA</v>
          </cell>
          <cell r="E135" t="str">
            <v>SP</v>
          </cell>
          <cell r="F135">
            <v>46310</v>
          </cell>
          <cell r="G135">
            <v>18154.129999999994</v>
          </cell>
          <cell r="H135">
            <v>3387</v>
          </cell>
          <cell r="I135" t="str">
            <v>Comprou Marcas e SG</v>
          </cell>
        </row>
        <row r="136">
          <cell r="A136">
            <v>60919809000143</v>
          </cell>
          <cell r="B136" t="str">
            <v>GT COMERCIO DE MEDICAMENTOS</v>
          </cell>
          <cell r="C136" t="str">
            <v>ASSOCIADAS</v>
          </cell>
          <cell r="D136" t="str">
            <v>DOURADOS</v>
          </cell>
          <cell r="E136" t="str">
            <v>MS</v>
          </cell>
          <cell r="I136" t="str">
            <v>Não Comprou</v>
          </cell>
        </row>
        <row r="137">
          <cell r="A137">
            <v>2560437000105</v>
          </cell>
          <cell r="B137" t="str">
            <v>GRUPO MULTIFARMA - UNIDADE PRACA</v>
          </cell>
          <cell r="C137" t="str">
            <v>GRUPO MF</v>
          </cell>
          <cell r="D137" t="str">
            <v>PIRAPOZINHO</v>
          </cell>
          <cell r="E137" t="str">
            <v>SP</v>
          </cell>
          <cell r="F137">
            <v>46304</v>
          </cell>
          <cell r="G137">
            <v>577.79</v>
          </cell>
          <cell r="I137" t="str">
            <v>Comprou Marcas</v>
          </cell>
        </row>
        <row r="138">
          <cell r="A138">
            <v>53039511000183</v>
          </cell>
          <cell r="B138" t="str">
            <v>G S C TREIS</v>
          </cell>
          <cell r="C138" t="str">
            <v>INDEPENDENTES VIN</v>
          </cell>
          <cell r="D138" t="str">
            <v>PRESIDENTE PRUDENTE</v>
          </cell>
          <cell r="E138" t="str">
            <v>SP</v>
          </cell>
          <cell r="F138">
            <v>46311</v>
          </cell>
          <cell r="G138">
            <v>1087.28</v>
          </cell>
          <cell r="I138" t="str">
            <v>Comprou Marcas</v>
          </cell>
        </row>
        <row r="139">
          <cell r="A139">
            <v>14132723000159</v>
          </cell>
          <cell r="B139" t="str">
            <v>FUZAFARMA</v>
          </cell>
          <cell r="C139" t="str">
            <v>DSG FARMA</v>
          </cell>
          <cell r="D139" t="str">
            <v>MUNDO NOVO</v>
          </cell>
          <cell r="E139" t="str">
            <v>MS</v>
          </cell>
          <cell r="F139">
            <v>46310</v>
          </cell>
          <cell r="G139">
            <v>7329.2900000000027</v>
          </cell>
          <cell r="I139" t="str">
            <v>Comprou Marcas</v>
          </cell>
        </row>
        <row r="140">
          <cell r="A140">
            <v>14132723000230</v>
          </cell>
          <cell r="B140" t="str">
            <v>FUZAFARMA</v>
          </cell>
          <cell r="C140" t="str">
            <v>DSG FARMA</v>
          </cell>
          <cell r="D140" t="str">
            <v>NAVIRAI</v>
          </cell>
          <cell r="E140" t="str">
            <v>MS</v>
          </cell>
          <cell r="F140">
            <v>46310</v>
          </cell>
          <cell r="G140">
            <v>9806.6999999999953</v>
          </cell>
          <cell r="I140" t="str">
            <v>Comprou Marcas</v>
          </cell>
        </row>
        <row r="141">
          <cell r="A141">
            <v>42286411000135</v>
          </cell>
          <cell r="B141" t="str">
            <v>FSJ COMERCIO DE MEDICAMENTOS</v>
          </cell>
          <cell r="C141" t="str">
            <v>COMPRE BEM</v>
          </cell>
          <cell r="D141" t="str">
            <v>JARDIM</v>
          </cell>
          <cell r="E141" t="str">
            <v>MS</v>
          </cell>
          <cell r="I141" t="str">
            <v>Não Comprou</v>
          </cell>
        </row>
        <row r="142">
          <cell r="A142">
            <v>9272038000198</v>
          </cell>
          <cell r="B142" t="str">
            <v>FORMULA FARMA</v>
          </cell>
          <cell r="C142" t="str">
            <v>MASTERFARMA</v>
          </cell>
          <cell r="D142" t="str">
            <v>LUCAS DO RIO VERDE</v>
          </cell>
          <cell r="E142" t="str">
            <v>MT</v>
          </cell>
          <cell r="F142">
            <v>46309</v>
          </cell>
          <cell r="G142">
            <v>1941.26</v>
          </cell>
          <cell r="I142" t="str">
            <v>Comprou Marcas</v>
          </cell>
        </row>
        <row r="143">
          <cell r="A143">
            <v>67778728000110</v>
          </cell>
          <cell r="B143" t="str">
            <v>FLEXXI FARMA E BENEFICIOS</v>
          </cell>
          <cell r="C143" t="str">
            <v>MASTERFARMA</v>
          </cell>
          <cell r="D143" t="str">
            <v>CAMPO NOVO DO PARECIS</v>
          </cell>
          <cell r="E143" t="str">
            <v>MT</v>
          </cell>
          <cell r="F143">
            <v>46303</v>
          </cell>
          <cell r="G143">
            <v>304.84999999999997</v>
          </cell>
          <cell r="I143" t="str">
            <v>Comprou Marcas</v>
          </cell>
        </row>
        <row r="144">
          <cell r="A144">
            <v>54172723000105</v>
          </cell>
          <cell r="B144" t="str">
            <v>FDA PRODUTOS FARMACEUTICOS</v>
          </cell>
          <cell r="C144" t="str">
            <v>MASTERFARMA</v>
          </cell>
          <cell r="D144" t="str">
            <v>CAMPO GRANDE</v>
          </cell>
          <cell r="E144" t="str">
            <v>MS</v>
          </cell>
          <cell r="F144">
            <v>46308</v>
          </cell>
          <cell r="G144">
            <v>933.19999999999982</v>
          </cell>
          <cell r="I144" t="str">
            <v>Comprou Marcas</v>
          </cell>
        </row>
        <row r="145">
          <cell r="A145">
            <v>4641689000194</v>
          </cell>
          <cell r="B145" t="str">
            <v>FCIA VICENTE L LENTE</v>
          </cell>
          <cell r="C145" t="str">
            <v>MASTERFARMA</v>
          </cell>
          <cell r="D145" t="str">
            <v>NOVA OLIMPIA</v>
          </cell>
          <cell r="E145" t="str">
            <v>MT</v>
          </cell>
          <cell r="I145" t="str">
            <v>Não Comprou</v>
          </cell>
        </row>
        <row r="146">
          <cell r="A146">
            <v>4994525000140</v>
          </cell>
          <cell r="B146" t="str">
            <v>FCIA VALDIR JACINTO</v>
          </cell>
          <cell r="C146" t="str">
            <v>INDEPENDENTES VIN</v>
          </cell>
          <cell r="D146" t="str">
            <v>INDAPOLIS (DOURADOS)</v>
          </cell>
          <cell r="E146" t="str">
            <v>MS</v>
          </cell>
          <cell r="I146" t="str">
            <v>Não Comprou</v>
          </cell>
        </row>
        <row r="147">
          <cell r="A147">
            <v>55288708000181</v>
          </cell>
          <cell r="B147" t="str">
            <v>FCIA SAO PAULO</v>
          </cell>
          <cell r="C147" t="str">
            <v>INDEPENDENTES VIN</v>
          </cell>
          <cell r="D147" t="str">
            <v>PRESIDENTE EPITACIO</v>
          </cell>
          <cell r="E147" t="str">
            <v>SP</v>
          </cell>
          <cell r="F147">
            <v>46311</v>
          </cell>
          <cell r="G147">
            <v>4388.13</v>
          </cell>
          <cell r="H147">
            <v>2947.32</v>
          </cell>
          <cell r="I147" t="str">
            <v>Comprou Marcas e SG</v>
          </cell>
        </row>
        <row r="148">
          <cell r="A148">
            <v>2330943000108</v>
          </cell>
          <cell r="B148" t="str">
            <v>FCIA SAO MARCOS</v>
          </cell>
          <cell r="C148" t="str">
            <v>ASSOCIADAS</v>
          </cell>
          <cell r="D148" t="str">
            <v>AMAMBAI</v>
          </cell>
          <cell r="E148" t="str">
            <v>MS</v>
          </cell>
          <cell r="F148">
            <v>46309</v>
          </cell>
          <cell r="G148">
            <v>2009.42</v>
          </cell>
          <cell r="I148" t="str">
            <v>Comprou Marcas</v>
          </cell>
        </row>
        <row r="149">
          <cell r="A149">
            <v>24622755000196</v>
          </cell>
          <cell r="B149" t="str">
            <v>FCIA SAO JOSE</v>
          </cell>
          <cell r="C149" t="str">
            <v>REDE SOMA</v>
          </cell>
          <cell r="D149" t="str">
            <v>INOCENCIA</v>
          </cell>
          <cell r="E149" t="str">
            <v>MS</v>
          </cell>
          <cell r="F149">
            <v>46309</v>
          </cell>
          <cell r="G149">
            <v>828.31999999999994</v>
          </cell>
          <cell r="I149" t="str">
            <v>Comprou Marcas</v>
          </cell>
        </row>
        <row r="150">
          <cell r="A150">
            <v>6316789000170</v>
          </cell>
          <cell r="B150" t="str">
            <v>FCIA SAO JOAO</v>
          </cell>
          <cell r="C150" t="str">
            <v>INDEPENDENTES VIN</v>
          </cell>
          <cell r="D150" t="str">
            <v>BATAGUASSU</v>
          </cell>
          <cell r="E150" t="str">
            <v>MS</v>
          </cell>
          <cell r="I150" t="str">
            <v>Não Comprou</v>
          </cell>
        </row>
        <row r="151">
          <cell r="A151">
            <v>4745484000159</v>
          </cell>
          <cell r="B151" t="str">
            <v>FCIA SANTO ANTONIO</v>
          </cell>
          <cell r="C151" t="str">
            <v>INDEPENDENTES VIN</v>
          </cell>
          <cell r="D151" t="str">
            <v>JUTI</v>
          </cell>
          <cell r="E151" t="str">
            <v>MS</v>
          </cell>
          <cell r="I151" t="str">
            <v>Não Comprou</v>
          </cell>
        </row>
        <row r="152">
          <cell r="A152">
            <v>7110508000191</v>
          </cell>
          <cell r="B152" t="str">
            <v>FCIA SANTO ANTONIO</v>
          </cell>
          <cell r="C152" t="str">
            <v>INDEPENDENTES VIN</v>
          </cell>
          <cell r="D152" t="str">
            <v>ITAPORA</v>
          </cell>
          <cell r="E152" t="str">
            <v>MS</v>
          </cell>
          <cell r="F152">
            <v>46304</v>
          </cell>
          <cell r="G152">
            <v>197.26999999999998</v>
          </cell>
          <cell r="I152" t="str">
            <v>Comprou Marcas</v>
          </cell>
        </row>
        <row r="153">
          <cell r="A153">
            <v>1090014000106</v>
          </cell>
          <cell r="B153" t="str">
            <v>FCIA SANTA TEREZINHA</v>
          </cell>
          <cell r="C153" t="str">
            <v>ASSOCIADAS</v>
          </cell>
          <cell r="D153" t="str">
            <v>DOURADOS</v>
          </cell>
          <cell r="E153" t="str">
            <v>MS</v>
          </cell>
          <cell r="I153" t="str">
            <v>Não Comprou</v>
          </cell>
        </row>
        <row r="154">
          <cell r="A154">
            <v>8966998000195</v>
          </cell>
          <cell r="B154" t="str">
            <v>FCIA SANTA TEREZINHA</v>
          </cell>
          <cell r="C154" t="str">
            <v>INDEPENDENTES VIN</v>
          </cell>
          <cell r="D154" t="str">
            <v>PACAEMBU</v>
          </cell>
          <cell r="E154" t="str">
            <v>SP</v>
          </cell>
          <cell r="F154">
            <v>46302</v>
          </cell>
          <cell r="G154">
            <v>3225.96</v>
          </cell>
          <cell r="I154" t="str">
            <v>Comprou Marcas</v>
          </cell>
        </row>
        <row r="155">
          <cell r="A155">
            <v>5335462000183</v>
          </cell>
          <cell r="B155" t="str">
            <v>FCIA SANTA TERESA</v>
          </cell>
          <cell r="C155" t="str">
            <v>INDEPENDENTES VIN</v>
          </cell>
          <cell r="D155" t="str">
            <v>CORUMBA</v>
          </cell>
          <cell r="E155" t="str">
            <v>MS</v>
          </cell>
          <cell r="I155" t="str">
            <v>Não Comprou</v>
          </cell>
        </row>
        <row r="156">
          <cell r="A156">
            <v>3476160000108</v>
          </cell>
          <cell r="B156" t="str">
            <v>FCIA SANTA MONICA</v>
          </cell>
          <cell r="C156" t="str">
            <v>ASSOCIADAS</v>
          </cell>
          <cell r="D156" t="str">
            <v>CHAPADAO DO SUL</v>
          </cell>
          <cell r="E156" t="str">
            <v>MS</v>
          </cell>
          <cell r="F156">
            <v>46311</v>
          </cell>
          <cell r="G156">
            <v>6150.63</v>
          </cell>
          <cell r="H156">
            <v>1628</v>
          </cell>
          <cell r="I156" t="str">
            <v>Comprou Marcas e SG</v>
          </cell>
        </row>
        <row r="157">
          <cell r="A157">
            <v>8596888000189</v>
          </cell>
          <cell r="B157" t="str">
            <v>FCIA SANTA LUZIA II</v>
          </cell>
          <cell r="C157" t="str">
            <v>MASTERFARMA</v>
          </cell>
          <cell r="D157" t="str">
            <v>FATIMA DO SUL</v>
          </cell>
          <cell r="E157" t="str">
            <v>MS</v>
          </cell>
          <cell r="I157" t="str">
            <v>Não Comprou</v>
          </cell>
        </row>
        <row r="158">
          <cell r="A158">
            <v>4621137000114</v>
          </cell>
          <cell r="B158" t="str">
            <v>FCIA SANTA ISABEL</v>
          </cell>
          <cell r="C158" t="str">
            <v>INDEPENDENTES VIN</v>
          </cell>
          <cell r="D158" t="str">
            <v>CAMPO GRANDE</v>
          </cell>
          <cell r="E158" t="str">
            <v>MS</v>
          </cell>
          <cell r="F158">
            <v>46308</v>
          </cell>
          <cell r="G158">
            <v>2930.6200000000008</v>
          </cell>
          <cell r="I158" t="str">
            <v>Comprou Marcas</v>
          </cell>
        </row>
        <row r="159">
          <cell r="A159">
            <v>36876993000107</v>
          </cell>
          <cell r="B159" t="str">
            <v>FCIA SANTA GEMA</v>
          </cell>
          <cell r="C159" t="str">
            <v>ASSOCIADAS</v>
          </cell>
          <cell r="D159" t="str">
            <v>JUINA</v>
          </cell>
          <cell r="E159" t="str">
            <v>MT</v>
          </cell>
          <cell r="F159">
            <v>46303</v>
          </cell>
          <cell r="G159">
            <v>1977.2799999999993</v>
          </cell>
          <cell r="I159" t="str">
            <v>Comprou Marcas</v>
          </cell>
        </row>
        <row r="160">
          <cell r="A160">
            <v>15910375000166</v>
          </cell>
          <cell r="B160" t="str">
            <v>FCIA SANRIVAL</v>
          </cell>
          <cell r="C160" t="str">
            <v>HIPER SAUDE</v>
          </cell>
          <cell r="D160" t="str">
            <v>CHAPADAO DO SUL</v>
          </cell>
          <cell r="E160" t="str">
            <v>MS</v>
          </cell>
          <cell r="F160">
            <v>46303</v>
          </cell>
          <cell r="G160">
            <v>2280.8999999999996</v>
          </cell>
          <cell r="I160" t="str">
            <v>Comprou Marcas</v>
          </cell>
        </row>
        <row r="161">
          <cell r="A161">
            <v>5052802000169</v>
          </cell>
          <cell r="B161" t="str">
            <v>FCIA RANGDORF</v>
          </cell>
          <cell r="C161" t="str">
            <v>MASTERFARMA</v>
          </cell>
          <cell r="D161" t="str">
            <v>FATIMA DO SUL</v>
          </cell>
          <cell r="E161" t="str">
            <v>MS</v>
          </cell>
          <cell r="I161" t="str">
            <v>Não Comprou</v>
          </cell>
        </row>
        <row r="162">
          <cell r="A162">
            <v>15900640000125</v>
          </cell>
          <cell r="B162" t="str">
            <v>FCIA PROGRESSO</v>
          </cell>
          <cell r="C162" t="str">
            <v>INDEPENDENTES VIN</v>
          </cell>
          <cell r="D162" t="str">
            <v>RIO BRILHANTE</v>
          </cell>
          <cell r="E162" t="str">
            <v>MS</v>
          </cell>
          <cell r="I162" t="str">
            <v>Não Comprou</v>
          </cell>
        </row>
        <row r="163">
          <cell r="A163">
            <v>5867754000167</v>
          </cell>
          <cell r="B163" t="str">
            <v>FCIA POPULAR</v>
          </cell>
          <cell r="C163" t="str">
            <v>INDEPENDENTES VIN</v>
          </cell>
          <cell r="D163" t="str">
            <v>DOURADOS</v>
          </cell>
          <cell r="E163" t="str">
            <v>MS</v>
          </cell>
          <cell r="F163">
            <v>46309</v>
          </cell>
          <cell r="G163">
            <v>5525.4299999999994</v>
          </cell>
          <cell r="I163" t="str">
            <v>Comprou Marcas</v>
          </cell>
        </row>
        <row r="164">
          <cell r="A164">
            <v>5558461000106</v>
          </cell>
          <cell r="B164" t="str">
            <v>FCIA POPULAR</v>
          </cell>
          <cell r="C164" t="str">
            <v>INDEPENDENTES VIN</v>
          </cell>
          <cell r="D164" t="str">
            <v>SINOP</v>
          </cell>
          <cell r="E164" t="str">
            <v>MT</v>
          </cell>
          <cell r="I164" t="str">
            <v>Não Comprou</v>
          </cell>
        </row>
        <row r="165">
          <cell r="A165">
            <v>1738769000174</v>
          </cell>
          <cell r="B165" t="str">
            <v>FCIA PARANA</v>
          </cell>
          <cell r="C165" t="str">
            <v>INDEPENDENTES VIN</v>
          </cell>
          <cell r="D165" t="str">
            <v>CAMPO NOVO DO PARECIS</v>
          </cell>
          <cell r="E165" t="str">
            <v>MT</v>
          </cell>
          <cell r="F165">
            <v>46309</v>
          </cell>
          <cell r="G165">
            <v>1896.2400000000002</v>
          </cell>
          <cell r="I165" t="str">
            <v>Comprou Marcas</v>
          </cell>
        </row>
        <row r="166">
          <cell r="A166">
            <v>8143052000129</v>
          </cell>
          <cell r="B166" t="str">
            <v>FCIA OURO PRETO</v>
          </cell>
          <cell r="C166" t="str">
            <v>REDE COMPRE CERTO</v>
          </cell>
          <cell r="D166" t="str">
            <v>CASTILHO</v>
          </cell>
          <cell r="E166" t="str">
            <v>SP</v>
          </cell>
          <cell r="F166">
            <v>46303</v>
          </cell>
          <cell r="G166">
            <v>3663.56</v>
          </cell>
          <cell r="I166" t="str">
            <v>Comprou Marcas</v>
          </cell>
        </row>
        <row r="167">
          <cell r="A167">
            <v>4427375000193</v>
          </cell>
          <cell r="B167" t="str">
            <v>FCIA NSA SRA APARECIDA</v>
          </cell>
          <cell r="C167" t="str">
            <v>ASSOCIADAS</v>
          </cell>
          <cell r="D167" t="str">
            <v>MIRANDA</v>
          </cell>
          <cell r="E167" t="str">
            <v>MS</v>
          </cell>
          <cell r="F167">
            <v>46311</v>
          </cell>
          <cell r="G167">
            <v>7364.9499999999989</v>
          </cell>
          <cell r="H167">
            <v>3611.4599999999996</v>
          </cell>
          <cell r="I167" t="str">
            <v>Comprou Marcas e SG</v>
          </cell>
        </row>
        <row r="168">
          <cell r="A168">
            <v>818504000113</v>
          </cell>
          <cell r="B168" t="str">
            <v>FCIA NAVIRAI</v>
          </cell>
          <cell r="C168" t="str">
            <v>INDEPENDENTES VIN</v>
          </cell>
          <cell r="D168" t="str">
            <v>NAVIRAI</v>
          </cell>
          <cell r="E168" t="str">
            <v>MS</v>
          </cell>
          <cell r="I168" t="str">
            <v>Não Comprou</v>
          </cell>
        </row>
        <row r="169">
          <cell r="A169">
            <v>8226395000157</v>
          </cell>
          <cell r="B169" t="str">
            <v>FCIA NAJA III</v>
          </cell>
          <cell r="C169" t="str">
            <v>ASSOCIADAS</v>
          </cell>
          <cell r="D169" t="str">
            <v>GLORIA DE DOURADOS</v>
          </cell>
          <cell r="E169" t="str">
            <v>MS</v>
          </cell>
          <cell r="I169" t="str">
            <v>Não Comprou</v>
          </cell>
        </row>
        <row r="170">
          <cell r="A170">
            <v>26829291000119</v>
          </cell>
          <cell r="B170" t="str">
            <v>FCIA NAJA</v>
          </cell>
          <cell r="C170" t="str">
            <v>ASSOCIADAS</v>
          </cell>
          <cell r="D170" t="str">
            <v>ITAQUIRAI</v>
          </cell>
          <cell r="E170" t="str">
            <v>MS</v>
          </cell>
          <cell r="F170">
            <v>46310</v>
          </cell>
          <cell r="G170">
            <v>1393.1100000000001</v>
          </cell>
          <cell r="I170" t="str">
            <v>Comprou Marcas</v>
          </cell>
        </row>
        <row r="171">
          <cell r="A171">
            <v>3961703000174</v>
          </cell>
          <cell r="B171" t="str">
            <v>FCIA MUNDO NOVO</v>
          </cell>
          <cell r="C171" t="str">
            <v>ASSOCIADAS</v>
          </cell>
          <cell r="D171" t="str">
            <v>MUNDO NOVO</v>
          </cell>
          <cell r="E171" t="str">
            <v>MS</v>
          </cell>
          <cell r="I171" t="str">
            <v>Não Comprou</v>
          </cell>
        </row>
        <row r="172">
          <cell r="A172">
            <v>5562705000116</v>
          </cell>
          <cell r="B172" t="str">
            <v>FCIA MODERNA</v>
          </cell>
          <cell r="C172" t="str">
            <v>ASSOCIADAS</v>
          </cell>
          <cell r="D172" t="str">
            <v>CAMPO NOVO DO PARECIS</v>
          </cell>
          <cell r="E172" t="str">
            <v>MT</v>
          </cell>
          <cell r="F172">
            <v>46310</v>
          </cell>
          <cell r="G172">
            <v>758.37</v>
          </cell>
          <cell r="I172" t="str">
            <v>Comprou Marcas</v>
          </cell>
        </row>
        <row r="173">
          <cell r="A173">
            <v>5015978000140</v>
          </cell>
          <cell r="B173" t="str">
            <v>FCIA MARLEY ZEILINGER</v>
          </cell>
          <cell r="C173" t="str">
            <v>ASSOCIADAS</v>
          </cell>
          <cell r="D173" t="str">
            <v>NOVA ANDRADINA</v>
          </cell>
          <cell r="E173" t="str">
            <v>MS</v>
          </cell>
          <cell r="I173" t="str">
            <v>Não Comprou</v>
          </cell>
        </row>
        <row r="174">
          <cell r="A174">
            <v>1956853000164</v>
          </cell>
          <cell r="B174" t="str">
            <v>FCIA MARIALVA LTDA</v>
          </cell>
          <cell r="C174" t="str">
            <v>HIPER SAUDE</v>
          </cell>
          <cell r="D174" t="str">
            <v>AQUIDAUANA</v>
          </cell>
          <cell r="E174" t="str">
            <v>MS</v>
          </cell>
          <cell r="I174" t="str">
            <v>Não Comprou</v>
          </cell>
        </row>
        <row r="175">
          <cell r="A175">
            <v>43162536000116</v>
          </cell>
          <cell r="B175" t="str">
            <v>FCIA MARCONDENSE</v>
          </cell>
          <cell r="C175" t="str">
            <v>INDEPENDENTES VIN</v>
          </cell>
          <cell r="D175" t="str">
            <v>ALFREDO MARCONDES</v>
          </cell>
          <cell r="E175" t="str">
            <v>SP</v>
          </cell>
          <cell r="F175">
            <v>46303</v>
          </cell>
          <cell r="H175">
            <v>6564.58</v>
          </cell>
          <cell r="I175" t="str">
            <v>Comprou SG</v>
          </cell>
        </row>
        <row r="176">
          <cell r="A176">
            <v>1203805000103</v>
          </cell>
          <cell r="B176" t="str">
            <v>FCIA MANIP ANASFARMA</v>
          </cell>
          <cell r="C176" t="str">
            <v>INDEPENDENTES VIN</v>
          </cell>
          <cell r="D176" t="str">
            <v>SANTO ANASTACIO</v>
          </cell>
          <cell r="E176" t="str">
            <v>SP</v>
          </cell>
          <cell r="F176">
            <v>46311</v>
          </cell>
          <cell r="G176">
            <v>979.68000000000006</v>
          </cell>
          <cell r="I176" t="str">
            <v>Comprou Marcas</v>
          </cell>
        </row>
        <row r="177">
          <cell r="A177">
            <v>3484949000100</v>
          </cell>
          <cell r="B177" t="str">
            <v>FCIA MANIP ALQUIMIA</v>
          </cell>
          <cell r="C177" t="str">
            <v>INDEPENDENTES VIN</v>
          </cell>
          <cell r="D177" t="str">
            <v>CASSILANDIA</v>
          </cell>
          <cell r="E177" t="str">
            <v>MS</v>
          </cell>
          <cell r="F177">
            <v>46302</v>
          </cell>
          <cell r="G177">
            <v>883.63</v>
          </cell>
          <cell r="I177" t="str">
            <v>Comprou Marcas</v>
          </cell>
        </row>
        <row r="178">
          <cell r="A178">
            <v>2291187000155</v>
          </cell>
          <cell r="B178" t="str">
            <v>FCIA LUCINEIA FERREIRA</v>
          </cell>
          <cell r="C178" t="str">
            <v>INDEPENDENTES VIN</v>
          </cell>
          <cell r="D178" t="str">
            <v>PIRAPOZINHO</v>
          </cell>
          <cell r="E178" t="str">
            <v>SP</v>
          </cell>
          <cell r="F178">
            <v>46310</v>
          </cell>
          <cell r="G178">
            <v>212.07</v>
          </cell>
          <cell r="I178" t="str">
            <v>Comprou Marcas</v>
          </cell>
        </row>
        <row r="179">
          <cell r="A179">
            <v>16042681000190</v>
          </cell>
          <cell r="B179" t="str">
            <v>FCIA INOFARMA</v>
          </cell>
          <cell r="C179" t="str">
            <v>INDEPENDENTES VIN</v>
          </cell>
          <cell r="D179" t="str">
            <v>INOCENCIA</v>
          </cell>
          <cell r="E179" t="str">
            <v>MS</v>
          </cell>
          <cell r="F179">
            <v>46309</v>
          </cell>
          <cell r="G179">
            <v>951.62999999999988</v>
          </cell>
          <cell r="I179" t="str">
            <v>Comprou Marcas</v>
          </cell>
        </row>
        <row r="180">
          <cell r="A180">
            <v>37203809000120</v>
          </cell>
          <cell r="B180" t="str">
            <v>FCIA HILDA F S OLIVEIRA</v>
          </cell>
          <cell r="C180" t="str">
            <v>INDEPENDENTES VIN</v>
          </cell>
          <cell r="D180" t="str">
            <v>PEDRO GOMES</v>
          </cell>
          <cell r="E180" t="str">
            <v>MS</v>
          </cell>
          <cell r="I180" t="str">
            <v>Não Comprou</v>
          </cell>
        </row>
        <row r="181">
          <cell r="A181">
            <v>4877066000115</v>
          </cell>
          <cell r="B181" t="str">
            <v>FCIA GENERICO FARMA</v>
          </cell>
          <cell r="C181" t="str">
            <v>INDEPENDENTES VIN</v>
          </cell>
          <cell r="D181" t="str">
            <v>COSTA RICA</v>
          </cell>
          <cell r="E181" t="str">
            <v>MS</v>
          </cell>
          <cell r="I181" t="str">
            <v>Não Comprou</v>
          </cell>
        </row>
        <row r="182">
          <cell r="A182">
            <v>3318604000179</v>
          </cell>
          <cell r="B182" t="str">
            <v>FCIA FUTURA</v>
          </cell>
          <cell r="C182" t="str">
            <v>INDEPENDENTES VIN</v>
          </cell>
          <cell r="D182" t="str">
            <v>BIRIGUI</v>
          </cell>
          <cell r="E182" t="str">
            <v>SP</v>
          </cell>
          <cell r="F182">
            <v>46308</v>
          </cell>
          <cell r="G182">
            <v>1036.7600000000002</v>
          </cell>
          <cell r="I182" t="str">
            <v>Comprou Marcas</v>
          </cell>
        </row>
        <row r="183">
          <cell r="A183">
            <v>7284256000117</v>
          </cell>
          <cell r="B183" t="str">
            <v>FCIA FARMAUTIL</v>
          </cell>
          <cell r="C183" t="str">
            <v>MASTERFARMA</v>
          </cell>
          <cell r="D183" t="str">
            <v>DOURADOS</v>
          </cell>
          <cell r="E183" t="str">
            <v>MS</v>
          </cell>
          <cell r="F183">
            <v>46304</v>
          </cell>
          <cell r="G183">
            <v>1406.6400000000003</v>
          </cell>
          <cell r="I183" t="str">
            <v>Comprou Marcas</v>
          </cell>
        </row>
        <row r="184">
          <cell r="A184">
            <v>8984188000161</v>
          </cell>
          <cell r="B184" t="str">
            <v>FCIA FARMASSIST</v>
          </cell>
          <cell r="C184" t="str">
            <v>HIPER SAUDE</v>
          </cell>
          <cell r="D184" t="str">
            <v>GUIA LOPES DA LAGUNA</v>
          </cell>
          <cell r="E184" t="str">
            <v>MS</v>
          </cell>
          <cell r="F184">
            <v>46311</v>
          </cell>
          <cell r="G184">
            <v>1118.1199999999999</v>
          </cell>
          <cell r="H184">
            <v>1344.9400000000003</v>
          </cell>
          <cell r="I184" t="str">
            <v>Comprou Marcas e SG</v>
          </cell>
        </row>
        <row r="185">
          <cell r="A185">
            <v>7625132000158</v>
          </cell>
          <cell r="B185" t="str">
            <v>FCIA FARMA FACIL</v>
          </cell>
          <cell r="C185" t="str">
            <v>ASSOCIADAS</v>
          </cell>
          <cell r="D185" t="str">
            <v>CUIABA</v>
          </cell>
          <cell r="E185" t="str">
            <v>MT</v>
          </cell>
          <cell r="F185">
            <v>46310</v>
          </cell>
          <cell r="G185">
            <v>137.85</v>
          </cell>
          <cell r="I185" t="str">
            <v>Comprou Marcas</v>
          </cell>
        </row>
        <row r="186">
          <cell r="A186">
            <v>2441488000118</v>
          </cell>
          <cell r="B186" t="str">
            <v>FCIA FARMA E CIA</v>
          </cell>
          <cell r="C186" t="str">
            <v>ASSOCIADAS</v>
          </cell>
          <cell r="D186" t="str">
            <v>RIO BRILHANTE</v>
          </cell>
          <cell r="E186" t="str">
            <v>MS</v>
          </cell>
          <cell r="F186">
            <v>46300</v>
          </cell>
          <cell r="G186">
            <v>360.46999999999997</v>
          </cell>
          <cell r="I186" t="str">
            <v>Comprou Marcas</v>
          </cell>
        </row>
        <row r="187">
          <cell r="A187">
            <v>3836752000185</v>
          </cell>
          <cell r="B187" t="str">
            <v>FCIA FARMA</v>
          </cell>
          <cell r="C187" t="str">
            <v>ASSOCIADAS</v>
          </cell>
          <cell r="D187" t="str">
            <v>DOURADOS</v>
          </cell>
          <cell r="E187" t="str">
            <v>MS</v>
          </cell>
          <cell r="I187" t="str">
            <v>Não Comprou</v>
          </cell>
        </row>
        <row r="188">
          <cell r="A188">
            <v>4822740000164</v>
          </cell>
          <cell r="B188" t="str">
            <v>FCIA EDMILSON N SANTOS</v>
          </cell>
          <cell r="C188" t="str">
            <v>DSG FARMA</v>
          </cell>
          <cell r="D188" t="str">
            <v>CAIABU</v>
          </cell>
          <cell r="E188" t="str">
            <v>SP</v>
          </cell>
          <cell r="F188">
            <v>46311</v>
          </cell>
          <cell r="H188">
            <v>6587.4</v>
          </cell>
          <cell r="I188" t="str">
            <v>Comprou SG</v>
          </cell>
        </row>
        <row r="189">
          <cell r="A189">
            <v>982959000170</v>
          </cell>
          <cell r="B189" t="str">
            <v>FCIA DROGAMARA</v>
          </cell>
          <cell r="C189" t="str">
            <v>INDEPENDENTES VIN</v>
          </cell>
          <cell r="D189" t="str">
            <v>MARACAJU</v>
          </cell>
          <cell r="E189" t="str">
            <v>MS</v>
          </cell>
          <cell r="I189" t="str">
            <v>Não Comprou</v>
          </cell>
        </row>
        <row r="190">
          <cell r="A190">
            <v>26543256000139</v>
          </cell>
          <cell r="B190" t="str">
            <v>FCIA DROGACITY</v>
          </cell>
          <cell r="C190" t="str">
            <v>INDEPENDENTES VIN</v>
          </cell>
          <cell r="D190" t="str">
            <v>CAMPO NOVO DO PARECIS</v>
          </cell>
          <cell r="E190" t="str">
            <v>MT</v>
          </cell>
          <cell r="I190" t="str">
            <v>Não Comprou</v>
          </cell>
        </row>
        <row r="191">
          <cell r="A191">
            <v>2917723000185</v>
          </cell>
          <cell r="B191" t="str">
            <v>FCIA DROGA CRUZ</v>
          </cell>
          <cell r="C191" t="str">
            <v>ASSOCIADAS</v>
          </cell>
          <cell r="D191" t="str">
            <v>BONITO</v>
          </cell>
          <cell r="E191" t="str">
            <v>MS</v>
          </cell>
          <cell r="F191">
            <v>46311</v>
          </cell>
          <cell r="G191">
            <v>27991.370000000003</v>
          </cell>
          <cell r="H191">
            <v>6997.66</v>
          </cell>
          <cell r="I191" t="str">
            <v>Comprou Marcas e SG</v>
          </cell>
        </row>
        <row r="192">
          <cell r="A192">
            <v>5674541000119</v>
          </cell>
          <cell r="B192" t="str">
            <v>FCIA DROG VIDA</v>
          </cell>
          <cell r="C192" t="str">
            <v>ASSOCIADAS</v>
          </cell>
          <cell r="D192" t="str">
            <v>CASSILANDIA</v>
          </cell>
          <cell r="E192" t="str">
            <v>MS</v>
          </cell>
          <cell r="I192" t="str">
            <v>Não Comprou</v>
          </cell>
        </row>
        <row r="193">
          <cell r="A193">
            <v>7056130000195</v>
          </cell>
          <cell r="B193" t="str">
            <v>FCIA DO POVO</v>
          </cell>
          <cell r="C193" t="str">
            <v>DSG FARMA</v>
          </cell>
          <cell r="D193" t="str">
            <v>SINOP</v>
          </cell>
          <cell r="E193" t="str">
            <v>MT</v>
          </cell>
          <cell r="I193" t="str">
            <v>Não Comprou</v>
          </cell>
        </row>
        <row r="194">
          <cell r="A194">
            <v>3100938000171</v>
          </cell>
          <cell r="B194" t="str">
            <v>FCIA DO EDSON</v>
          </cell>
          <cell r="C194" t="str">
            <v>INDEPENDENTES VIN</v>
          </cell>
          <cell r="D194" t="str">
            <v>AMAMBAI</v>
          </cell>
          <cell r="E194" t="str">
            <v>MS</v>
          </cell>
          <cell r="F194">
            <v>46303</v>
          </cell>
          <cell r="G194">
            <v>2428.31</v>
          </cell>
          <cell r="I194" t="str">
            <v>Comprou Marcas</v>
          </cell>
        </row>
        <row r="195">
          <cell r="A195">
            <v>5438909000140</v>
          </cell>
          <cell r="B195" t="str">
            <v>FCIA DE MANIP ANGPHARMA</v>
          </cell>
          <cell r="C195" t="str">
            <v>INDEPENDENTES VIN</v>
          </cell>
          <cell r="D195" t="str">
            <v>BIRIGUI</v>
          </cell>
          <cell r="E195" t="str">
            <v>SP</v>
          </cell>
          <cell r="F195">
            <v>46309</v>
          </cell>
          <cell r="G195">
            <v>1890.6000000000001</v>
          </cell>
          <cell r="I195" t="str">
            <v>Comprou Marcas</v>
          </cell>
        </row>
        <row r="196">
          <cell r="A196">
            <v>26860338000107</v>
          </cell>
          <cell r="B196" t="str">
            <v>FCIA COMETE</v>
          </cell>
          <cell r="C196" t="str">
            <v>ASSOCIADAS</v>
          </cell>
          <cell r="D196" t="str">
            <v>VILA VARGAS (DOURADOS)</v>
          </cell>
          <cell r="E196" t="str">
            <v>MS</v>
          </cell>
          <cell r="I196" t="str">
            <v>Não Comprou</v>
          </cell>
        </row>
        <row r="197">
          <cell r="A197">
            <v>18715418000140</v>
          </cell>
          <cell r="B197" t="str">
            <v>FCIA CITELI &amp; CIA</v>
          </cell>
          <cell r="C197" t="str">
            <v>DSG FARMA</v>
          </cell>
          <cell r="D197" t="str">
            <v>LUCELIA</v>
          </cell>
          <cell r="E197" t="str">
            <v>SP</v>
          </cell>
          <cell r="F197">
            <v>46311</v>
          </cell>
          <cell r="G197">
            <v>1558.2999999999995</v>
          </cell>
          <cell r="H197">
            <v>3948.6999999999994</v>
          </cell>
          <cell r="I197" t="str">
            <v>Comprou Marcas e SG</v>
          </cell>
        </row>
        <row r="198">
          <cell r="A198">
            <v>55733059000180</v>
          </cell>
          <cell r="B198" t="str">
            <v>FCIA CENTRAL</v>
          </cell>
          <cell r="C198" t="str">
            <v>DSG FARMA</v>
          </cell>
          <cell r="D198" t="str">
            <v>BRAUNA</v>
          </cell>
          <cell r="E198" t="str">
            <v>SP</v>
          </cell>
          <cell r="I198" t="str">
            <v>Não Comprou</v>
          </cell>
        </row>
        <row r="199">
          <cell r="A199">
            <v>15448038000107</v>
          </cell>
          <cell r="B199" t="str">
            <v>FCIA BRASIL</v>
          </cell>
          <cell r="C199" t="str">
            <v>INDEPENDENTES VIN</v>
          </cell>
          <cell r="D199" t="str">
            <v>ELDORADO</v>
          </cell>
          <cell r="E199" t="str">
            <v>MS</v>
          </cell>
          <cell r="F199">
            <v>46311</v>
          </cell>
          <cell r="G199">
            <v>1048.96</v>
          </cell>
          <cell r="I199" t="str">
            <v>Comprou Marcas</v>
          </cell>
        </row>
        <row r="200">
          <cell r="A200">
            <v>260180000140</v>
          </cell>
          <cell r="B200" t="str">
            <v>FCIA BRASIL</v>
          </cell>
          <cell r="C200" t="str">
            <v>ASSOCIADAS</v>
          </cell>
          <cell r="D200" t="str">
            <v>JUINA</v>
          </cell>
          <cell r="E200" t="str">
            <v>MT</v>
          </cell>
          <cell r="F200">
            <v>46309</v>
          </cell>
          <cell r="G200">
            <v>2484.89</v>
          </cell>
          <cell r="I200" t="str">
            <v>Comprou Marcas</v>
          </cell>
        </row>
        <row r="201">
          <cell r="A201">
            <v>33193160000153</v>
          </cell>
          <cell r="B201" t="str">
            <v>FCIA BIOFARMA</v>
          </cell>
          <cell r="C201" t="str">
            <v>ASSOCIADAS</v>
          </cell>
          <cell r="D201" t="str">
            <v>AMAMBAI</v>
          </cell>
          <cell r="E201" t="str">
            <v>MS</v>
          </cell>
          <cell r="I201" t="str">
            <v>Não Comprou</v>
          </cell>
        </row>
        <row r="202">
          <cell r="A202">
            <v>55354724000125</v>
          </cell>
          <cell r="B202" t="str">
            <v>FCIA ANTONINHO LTDA</v>
          </cell>
          <cell r="C202" t="str">
            <v>INDEPENDENTES VIN</v>
          </cell>
          <cell r="D202" t="str">
            <v>PRESIDENTE PRUDENTE</v>
          </cell>
          <cell r="E202" t="str">
            <v>SP</v>
          </cell>
          <cell r="I202" t="str">
            <v>Não Comprou</v>
          </cell>
        </row>
        <row r="203">
          <cell r="A203">
            <v>4383728000109</v>
          </cell>
          <cell r="B203" t="str">
            <v>FCIA ANHANI &amp; LISBOA</v>
          </cell>
          <cell r="C203" t="str">
            <v>DSG FARMA</v>
          </cell>
          <cell r="D203" t="str">
            <v>MIRANDOPOLIS</v>
          </cell>
          <cell r="E203" t="str">
            <v>SP</v>
          </cell>
          <cell r="F203">
            <v>46311</v>
          </cell>
          <cell r="G203">
            <v>3135.9399999999991</v>
          </cell>
          <cell r="H203">
            <v>1100.49</v>
          </cell>
          <cell r="I203" t="str">
            <v>Comprou Marcas e SG</v>
          </cell>
        </row>
        <row r="204">
          <cell r="A204">
            <v>3070289000103</v>
          </cell>
          <cell r="B204" t="str">
            <v>FCIA ALTERNATIVA</v>
          </cell>
          <cell r="C204" t="str">
            <v>HIPER SAUDE</v>
          </cell>
          <cell r="D204" t="str">
            <v>SELVIRIA</v>
          </cell>
          <cell r="E204" t="str">
            <v>MS</v>
          </cell>
          <cell r="F204">
            <v>46297</v>
          </cell>
          <cell r="G204">
            <v>314.10000000000002</v>
          </cell>
          <cell r="I204" t="str">
            <v>Comprou Marcas</v>
          </cell>
        </row>
        <row r="205">
          <cell r="A205">
            <v>64096542000192</v>
          </cell>
          <cell r="B205" t="str">
            <v>FARMUTUM</v>
          </cell>
          <cell r="C205" t="str">
            <v>INDEPENDENTES VIN</v>
          </cell>
          <cell r="D205" t="str">
            <v>NOVA MUTUM</v>
          </cell>
          <cell r="E205" t="str">
            <v>MT</v>
          </cell>
          <cell r="F205">
            <v>46308</v>
          </cell>
          <cell r="G205">
            <v>432.17</v>
          </cell>
          <cell r="I205" t="str">
            <v>Comprou Marcas</v>
          </cell>
        </row>
        <row r="206">
          <cell r="A206">
            <v>3511815000123</v>
          </cell>
          <cell r="B206" t="str">
            <v>FARMINEI POPULAR</v>
          </cell>
          <cell r="C206" t="str">
            <v>INDEPENDENTES VIN</v>
          </cell>
          <cell r="D206" t="str">
            <v>CAMPO GRANDE</v>
          </cell>
          <cell r="E206" t="str">
            <v>MS</v>
          </cell>
          <cell r="F206">
            <v>46304</v>
          </cell>
          <cell r="G206">
            <v>2900.0999999999995</v>
          </cell>
          <cell r="I206" t="str">
            <v>Comprou Marcas</v>
          </cell>
        </row>
        <row r="207">
          <cell r="A207">
            <v>38662089000124</v>
          </cell>
          <cell r="B207" t="str">
            <v>FARMELHOR</v>
          </cell>
          <cell r="C207" t="str">
            <v>FARMELHOR</v>
          </cell>
          <cell r="D207" t="str">
            <v>QUERENCIA</v>
          </cell>
          <cell r="E207" t="str">
            <v>MT</v>
          </cell>
          <cell r="F207">
            <v>46311</v>
          </cell>
          <cell r="G207">
            <v>2018.6100000000001</v>
          </cell>
          <cell r="I207" t="str">
            <v>Comprou Marcas</v>
          </cell>
        </row>
        <row r="208">
          <cell r="A208">
            <v>29301968000130</v>
          </cell>
          <cell r="B208" t="str">
            <v>FARMAZIL</v>
          </cell>
          <cell r="C208" t="str">
            <v>INDEPENDENTES VIN</v>
          </cell>
          <cell r="D208" t="str">
            <v>CUIABA</v>
          </cell>
          <cell r="E208" t="str">
            <v>MT</v>
          </cell>
          <cell r="F208">
            <v>46307</v>
          </cell>
          <cell r="G208">
            <v>2940.67</v>
          </cell>
          <cell r="I208" t="str">
            <v>Comprou Marcas</v>
          </cell>
        </row>
        <row r="209">
          <cell r="A209">
            <v>50963555000107</v>
          </cell>
          <cell r="B209" t="str">
            <v>FARMAVOCE</v>
          </cell>
          <cell r="C209" t="str">
            <v>INDEPENDENTES VIN</v>
          </cell>
          <cell r="D209" t="str">
            <v>COLIDER</v>
          </cell>
          <cell r="E209" t="str">
            <v>MT</v>
          </cell>
          <cell r="F209">
            <v>46310</v>
          </cell>
          <cell r="G209">
            <v>2171.0200000000004</v>
          </cell>
          <cell r="I209" t="str">
            <v>Comprou Marcas</v>
          </cell>
        </row>
        <row r="210">
          <cell r="A210">
            <v>5939112000126</v>
          </cell>
          <cell r="B210" t="str">
            <v>FARMAVIDA FARMACIA</v>
          </cell>
          <cell r="C210" t="str">
            <v>FARMARCAS</v>
          </cell>
          <cell r="D210" t="str">
            <v>SAPEZAL</v>
          </cell>
          <cell r="E210" t="str">
            <v>MT</v>
          </cell>
          <cell r="I210" t="str">
            <v>Não Comprou</v>
          </cell>
        </row>
        <row r="211">
          <cell r="A211">
            <v>531367000131</v>
          </cell>
          <cell r="B211" t="str">
            <v>FARMAVIDA</v>
          </cell>
          <cell r="C211" t="str">
            <v>FARMARCAS</v>
          </cell>
          <cell r="D211" t="str">
            <v>NOVA ALVORADA DO SUL</v>
          </cell>
          <cell r="E211" t="str">
            <v>MS</v>
          </cell>
          <cell r="F211">
            <v>46310</v>
          </cell>
          <cell r="G211">
            <v>764.8900000000001</v>
          </cell>
          <cell r="I211" t="str">
            <v>Comprou Marcas</v>
          </cell>
        </row>
        <row r="212">
          <cell r="A212">
            <v>531367000212</v>
          </cell>
          <cell r="B212" t="str">
            <v>FARMAVIDA</v>
          </cell>
          <cell r="C212" t="str">
            <v>FARMARCAS</v>
          </cell>
          <cell r="D212" t="str">
            <v>NOVA ALVORADA DO SUL</v>
          </cell>
          <cell r="E212" t="str">
            <v>MS</v>
          </cell>
          <cell r="F212">
            <v>46311</v>
          </cell>
          <cell r="G212">
            <v>3154.6099999999997</v>
          </cell>
          <cell r="I212" t="str">
            <v>Comprou Marcas</v>
          </cell>
        </row>
        <row r="213">
          <cell r="A213">
            <v>531367000301</v>
          </cell>
          <cell r="B213" t="str">
            <v>FARMAVIDA</v>
          </cell>
          <cell r="C213" t="str">
            <v>FARMARCAS</v>
          </cell>
          <cell r="D213" t="str">
            <v>NOVA ALVORADA DO SUL</v>
          </cell>
          <cell r="E213" t="str">
            <v>MS</v>
          </cell>
          <cell r="F213">
            <v>46311</v>
          </cell>
          <cell r="G213">
            <v>5225.62</v>
          </cell>
          <cell r="I213" t="str">
            <v>Comprou Marcas</v>
          </cell>
        </row>
        <row r="214">
          <cell r="A214">
            <v>15317875000199</v>
          </cell>
          <cell r="B214" t="str">
            <v>FARMAVIDA</v>
          </cell>
          <cell r="C214" t="str">
            <v>ASSOCIADAS</v>
          </cell>
          <cell r="D214" t="str">
            <v>FATIMA DO SUL</v>
          </cell>
          <cell r="E214" t="str">
            <v>MS</v>
          </cell>
          <cell r="F214">
            <v>46311</v>
          </cell>
          <cell r="G214">
            <v>2772.4200000000005</v>
          </cell>
          <cell r="I214" t="str">
            <v>Comprou Marcas</v>
          </cell>
        </row>
        <row r="215">
          <cell r="A215">
            <v>7865786000159</v>
          </cell>
          <cell r="B215" t="str">
            <v>FARMAVIDA</v>
          </cell>
          <cell r="C215" t="str">
            <v>INDEPENDENTES VIN</v>
          </cell>
          <cell r="D215" t="str">
            <v>MIRANDA</v>
          </cell>
          <cell r="E215" t="str">
            <v>MS</v>
          </cell>
          <cell r="F215">
            <v>46311</v>
          </cell>
          <cell r="G215">
            <v>1961.36</v>
          </cell>
          <cell r="I215" t="str">
            <v>Comprou Marcas</v>
          </cell>
        </row>
        <row r="216">
          <cell r="A216">
            <v>13159261000109</v>
          </cell>
          <cell r="B216" t="str">
            <v>FARMAVIDA</v>
          </cell>
          <cell r="C216" t="str">
            <v>ASSOCIADAS</v>
          </cell>
          <cell r="D216" t="str">
            <v>DOIS IRMAOS DO BURITI</v>
          </cell>
          <cell r="E216" t="str">
            <v>MS</v>
          </cell>
          <cell r="F216">
            <v>46309</v>
          </cell>
          <cell r="G216">
            <v>7018.4500000000016</v>
          </cell>
          <cell r="I216" t="str">
            <v>Comprou Marcas</v>
          </cell>
        </row>
        <row r="217">
          <cell r="A217">
            <v>9101173000170</v>
          </cell>
          <cell r="B217" t="str">
            <v>FARMAVIDA</v>
          </cell>
          <cell r="C217" t="str">
            <v>DROGARIA TOTAL</v>
          </cell>
          <cell r="D217" t="str">
            <v>BIRIGUI</v>
          </cell>
          <cell r="E217" t="str">
            <v>SP</v>
          </cell>
          <cell r="I217" t="str">
            <v>Não Comprou</v>
          </cell>
        </row>
        <row r="218">
          <cell r="A218">
            <v>9417126000130</v>
          </cell>
          <cell r="B218" t="str">
            <v>FARMAVIDA</v>
          </cell>
          <cell r="C218" t="str">
            <v>MULTIDROGAS</v>
          </cell>
          <cell r="D218" t="str">
            <v>GUARACAI</v>
          </cell>
          <cell r="E218" t="str">
            <v>SP</v>
          </cell>
          <cell r="F218">
            <v>46311</v>
          </cell>
          <cell r="G218">
            <v>2962.6599999999994</v>
          </cell>
          <cell r="H218">
            <v>5018.68</v>
          </cell>
          <cell r="I218" t="str">
            <v>Comprou Marcas e SG</v>
          </cell>
        </row>
        <row r="219">
          <cell r="A219">
            <v>4050862000180</v>
          </cell>
          <cell r="B219" t="str">
            <v>FARMATOTAL</v>
          </cell>
          <cell r="C219" t="str">
            <v>FARMARCAS</v>
          </cell>
          <cell r="D219" t="str">
            <v>CAMPO GRANDE</v>
          </cell>
          <cell r="E219" t="str">
            <v>MS</v>
          </cell>
          <cell r="F219">
            <v>46303</v>
          </cell>
          <cell r="G219">
            <v>866.25</v>
          </cell>
          <cell r="I219" t="str">
            <v>Comprou Marcas</v>
          </cell>
        </row>
        <row r="220">
          <cell r="A220">
            <v>4050862000260</v>
          </cell>
          <cell r="B220" t="str">
            <v>FARMATOTAL</v>
          </cell>
          <cell r="C220" t="str">
            <v>FARMARCAS</v>
          </cell>
          <cell r="D220" t="str">
            <v>CAMPO GRANDE</v>
          </cell>
          <cell r="E220" t="str">
            <v>MS</v>
          </cell>
          <cell r="F220">
            <v>46303</v>
          </cell>
          <cell r="G220">
            <v>1324.7799999999997</v>
          </cell>
          <cell r="I220" t="str">
            <v>Comprou Marcas</v>
          </cell>
        </row>
        <row r="221">
          <cell r="A221">
            <v>4050862000341</v>
          </cell>
          <cell r="B221" t="str">
            <v>FARMATOTAL</v>
          </cell>
          <cell r="C221" t="str">
            <v>FARMARCAS</v>
          </cell>
          <cell r="D221" t="str">
            <v>CAMPO GRANDE</v>
          </cell>
          <cell r="E221" t="str">
            <v>MS</v>
          </cell>
          <cell r="F221">
            <v>46303</v>
          </cell>
          <cell r="G221">
            <v>2756.55</v>
          </cell>
          <cell r="I221" t="str">
            <v>Comprou Marcas</v>
          </cell>
        </row>
        <row r="222">
          <cell r="A222">
            <v>13938314000262</v>
          </cell>
          <cell r="B222" t="str">
            <v>FARMATOTAL</v>
          </cell>
          <cell r="C222" t="str">
            <v>FARMARCAS</v>
          </cell>
          <cell r="D222" t="str">
            <v>CAMPO GRANDE</v>
          </cell>
          <cell r="E222" t="str">
            <v>MS</v>
          </cell>
          <cell r="F222">
            <v>46303</v>
          </cell>
          <cell r="G222">
            <v>1087.56</v>
          </cell>
          <cell r="I222" t="str">
            <v>Comprou Marcas</v>
          </cell>
        </row>
        <row r="223">
          <cell r="A223">
            <v>20119949000112</v>
          </cell>
          <cell r="B223" t="str">
            <v>FARMATOTAL</v>
          </cell>
          <cell r="C223" t="str">
            <v>ASSOCIADAS</v>
          </cell>
          <cell r="D223" t="str">
            <v>CAMPO GRANDE</v>
          </cell>
          <cell r="E223" t="str">
            <v>MS</v>
          </cell>
          <cell r="I223" t="str">
            <v>Não Comprou</v>
          </cell>
        </row>
        <row r="224">
          <cell r="A224">
            <v>96252382000110</v>
          </cell>
          <cell r="B224" t="str">
            <v>FARMASUSI</v>
          </cell>
          <cell r="C224" t="str">
            <v>INDEPENDENTES VIN</v>
          </cell>
          <cell r="D224" t="str">
            <v>ALVARES MACHADO</v>
          </cell>
          <cell r="E224" t="str">
            <v>SP</v>
          </cell>
          <cell r="F224">
            <v>46311</v>
          </cell>
          <cell r="G224">
            <v>749.79000000000008</v>
          </cell>
          <cell r="I224" t="str">
            <v>Comprou Marcas</v>
          </cell>
        </row>
        <row r="225">
          <cell r="A225">
            <v>1357742000131</v>
          </cell>
          <cell r="B225" t="str">
            <v>FARMASUL</v>
          </cell>
          <cell r="C225" t="str">
            <v>REDE MADEIRA</v>
          </cell>
          <cell r="D225" t="str">
            <v>SINOP</v>
          </cell>
          <cell r="E225" t="str">
            <v>MT</v>
          </cell>
          <cell r="F225">
            <v>46310</v>
          </cell>
          <cell r="G225">
            <v>27812.030000000002</v>
          </cell>
          <cell r="H225">
            <v>10550.28</v>
          </cell>
          <cell r="I225" t="str">
            <v>Comprou Marcas e SG</v>
          </cell>
        </row>
        <row r="226">
          <cell r="A226">
            <v>37563038000182</v>
          </cell>
          <cell r="B226" t="str">
            <v>FARMASINTESE</v>
          </cell>
          <cell r="C226" t="str">
            <v>MASTERFARMA</v>
          </cell>
          <cell r="D226" t="str">
            <v>MARACAJU</v>
          </cell>
          <cell r="E226" t="str">
            <v>MS</v>
          </cell>
          <cell r="I226" t="str">
            <v>Não Comprou</v>
          </cell>
        </row>
        <row r="227">
          <cell r="A227">
            <v>55913843000170</v>
          </cell>
          <cell r="B227" t="str">
            <v>FARMARELA</v>
          </cell>
          <cell r="C227" t="str">
            <v>ECONOMIZE RONDONOPOLIS</v>
          </cell>
          <cell r="D227" t="str">
            <v>CUIABA</v>
          </cell>
          <cell r="E227" t="str">
            <v>MT</v>
          </cell>
          <cell r="I227" t="str">
            <v>Não Comprou</v>
          </cell>
        </row>
        <row r="228">
          <cell r="A228">
            <v>62464432000100</v>
          </cell>
          <cell r="B228" t="str">
            <v>FARMARCIA GERIZIM</v>
          </cell>
          <cell r="C228" t="str">
            <v>ASSOCIADAS</v>
          </cell>
          <cell r="D228" t="str">
            <v>RIBAS DO RIO PARDO</v>
          </cell>
          <cell r="E228" t="str">
            <v>MS</v>
          </cell>
          <cell r="I228" t="str">
            <v>Não Comprou</v>
          </cell>
        </row>
        <row r="229">
          <cell r="A229">
            <v>4564557000106</v>
          </cell>
          <cell r="B229" t="str">
            <v>FARMAR</v>
          </cell>
          <cell r="C229" t="str">
            <v>INDEPENDENTES VIN</v>
          </cell>
          <cell r="D229" t="str">
            <v>GUARARAPES</v>
          </cell>
          <cell r="E229" t="str">
            <v>SP</v>
          </cell>
          <cell r="F229">
            <v>46302</v>
          </cell>
          <cell r="G229">
            <v>267.67</v>
          </cell>
          <cell r="H229">
            <v>1175</v>
          </cell>
          <cell r="I229" t="str">
            <v>Comprou Marcas e SG</v>
          </cell>
        </row>
        <row r="230">
          <cell r="A230">
            <v>86309000146</v>
          </cell>
          <cell r="B230" t="str">
            <v>FARMANOVA</v>
          </cell>
          <cell r="C230" t="str">
            <v>MASTERFARMA</v>
          </cell>
          <cell r="D230" t="str">
            <v>AGUA CLARA</v>
          </cell>
          <cell r="E230" t="str">
            <v>MS</v>
          </cell>
          <cell r="F230">
            <v>46310</v>
          </cell>
          <cell r="G230">
            <v>1131.56</v>
          </cell>
          <cell r="I230" t="str">
            <v>Comprou Marcas</v>
          </cell>
        </row>
        <row r="231">
          <cell r="A231">
            <v>56129324000260</v>
          </cell>
          <cell r="B231" t="str">
            <v>FARMANIA</v>
          </cell>
          <cell r="C231" t="str">
            <v>INDEPENDENTES VIN</v>
          </cell>
          <cell r="D231" t="str">
            <v>CAMPO GRANDE</v>
          </cell>
          <cell r="E231" t="str">
            <v>MS</v>
          </cell>
          <cell r="I231" t="str">
            <v>Não Comprou</v>
          </cell>
        </row>
        <row r="232">
          <cell r="A232">
            <v>40627707000147</v>
          </cell>
          <cell r="B232" t="str">
            <v>FARMAMIL</v>
          </cell>
          <cell r="C232" t="str">
            <v>MASTERFARMA</v>
          </cell>
          <cell r="D232" t="str">
            <v>PONTA PORA</v>
          </cell>
          <cell r="E232" t="str">
            <v>MS</v>
          </cell>
          <cell r="I232" t="str">
            <v>Não Comprou</v>
          </cell>
        </row>
        <row r="233">
          <cell r="A233">
            <v>14511974000144</v>
          </cell>
          <cell r="B233" t="str">
            <v>FARMALINE</v>
          </cell>
          <cell r="C233" t="str">
            <v>DSG FARMA</v>
          </cell>
          <cell r="D233" t="str">
            <v>CAMPO GRANDE</v>
          </cell>
          <cell r="E233" t="str">
            <v>MS</v>
          </cell>
          <cell r="I233" t="str">
            <v>Não Comprou</v>
          </cell>
        </row>
        <row r="234">
          <cell r="A234">
            <v>10673419000168</v>
          </cell>
          <cell r="B234" t="str">
            <v>FARMAJULIA</v>
          </cell>
          <cell r="C234" t="str">
            <v>INDEPENDENTES VIN</v>
          </cell>
          <cell r="D234" t="str">
            <v>SINOP</v>
          </cell>
          <cell r="E234" t="str">
            <v>MT</v>
          </cell>
          <cell r="I234" t="str">
            <v>Não Comprou</v>
          </cell>
        </row>
        <row r="235">
          <cell r="A235">
            <v>17176661000175</v>
          </cell>
          <cell r="B235" t="str">
            <v>FARMAIVI</v>
          </cell>
          <cell r="C235" t="str">
            <v>ASSOCIADAS</v>
          </cell>
          <cell r="D235" t="str">
            <v>IVINHEMA</v>
          </cell>
          <cell r="E235" t="str">
            <v>MS</v>
          </cell>
          <cell r="F235">
            <v>46310</v>
          </cell>
          <cell r="G235">
            <v>7025.12</v>
          </cell>
          <cell r="I235" t="str">
            <v>Comprou Marcas</v>
          </cell>
        </row>
        <row r="236">
          <cell r="A236">
            <v>17176661000256</v>
          </cell>
          <cell r="B236" t="str">
            <v>FARMAIVI</v>
          </cell>
          <cell r="C236" t="str">
            <v>ASSOCIADAS</v>
          </cell>
          <cell r="D236" t="str">
            <v>IVINHEMA</v>
          </cell>
          <cell r="E236" t="str">
            <v>MS</v>
          </cell>
          <cell r="I236" t="str">
            <v>Não Comprou</v>
          </cell>
        </row>
        <row r="237">
          <cell r="A237">
            <v>3921201000110</v>
          </cell>
          <cell r="B237" t="str">
            <v>FARMAIS TEODORO SAMPAIO</v>
          </cell>
          <cell r="C237" t="str">
            <v>FARMAIS</v>
          </cell>
          <cell r="D237" t="str">
            <v>TEODORO SAMPAIO</v>
          </cell>
          <cell r="E237" t="str">
            <v>SP</v>
          </cell>
          <cell r="F237">
            <v>46311</v>
          </cell>
          <cell r="G237">
            <v>2978.57</v>
          </cell>
          <cell r="I237" t="str">
            <v>Comprou Marcas</v>
          </cell>
        </row>
        <row r="238">
          <cell r="A238">
            <v>10309605000112</v>
          </cell>
          <cell r="B238" t="str">
            <v>FARMAIS PARANAIBA</v>
          </cell>
          <cell r="C238" t="str">
            <v>FARMAIS</v>
          </cell>
          <cell r="D238" t="str">
            <v>PARANAIBA</v>
          </cell>
          <cell r="E238" t="str">
            <v>MS</v>
          </cell>
          <cell r="F238">
            <v>46311</v>
          </cell>
          <cell r="G238">
            <v>4498.5400000000009</v>
          </cell>
          <cell r="I238" t="str">
            <v>Comprou Marcas</v>
          </cell>
        </row>
        <row r="239">
          <cell r="A239">
            <v>48808406000121</v>
          </cell>
          <cell r="B239" t="str">
            <v>FARMAIS</v>
          </cell>
          <cell r="C239" t="str">
            <v>FARMAIS</v>
          </cell>
          <cell r="D239" t="str">
            <v>TUPI PAULISTA</v>
          </cell>
          <cell r="E239" t="str">
            <v>SP</v>
          </cell>
          <cell r="I239" t="str">
            <v>Não Comprou</v>
          </cell>
        </row>
        <row r="240">
          <cell r="A240">
            <v>72855430000104</v>
          </cell>
          <cell r="B240" t="str">
            <v>FARMAIS</v>
          </cell>
          <cell r="C240" t="str">
            <v>FARMAIS</v>
          </cell>
          <cell r="D240" t="str">
            <v>PRESIDENTE EPITACIO</v>
          </cell>
          <cell r="E240" t="str">
            <v>SP</v>
          </cell>
          <cell r="F240">
            <v>46311</v>
          </cell>
          <cell r="G240">
            <v>724.04000000000008</v>
          </cell>
          <cell r="H240">
            <v>2772.6</v>
          </cell>
          <cell r="I240" t="str">
            <v>Comprou Marcas e SG</v>
          </cell>
        </row>
        <row r="241">
          <cell r="A241">
            <v>22073444000190</v>
          </cell>
          <cell r="B241" t="str">
            <v>FARMACIDADE</v>
          </cell>
          <cell r="C241" t="str">
            <v>MASTERFARMA</v>
          </cell>
          <cell r="D241" t="str">
            <v>SINOP</v>
          </cell>
          <cell r="E241" t="str">
            <v>MT</v>
          </cell>
          <cell r="F241">
            <v>46303</v>
          </cell>
          <cell r="G241">
            <v>86.84</v>
          </cell>
          <cell r="I241" t="str">
            <v>Comprou Marcas</v>
          </cell>
        </row>
        <row r="242">
          <cell r="A242">
            <v>13289540000189</v>
          </cell>
          <cell r="B242" t="str">
            <v>FARMACIAS SUPRAVITA</v>
          </cell>
          <cell r="C242" t="str">
            <v>ASSOCIADAS</v>
          </cell>
          <cell r="D242" t="str">
            <v>SINOP</v>
          </cell>
          <cell r="E242" t="str">
            <v>MT</v>
          </cell>
          <cell r="I242" t="str">
            <v>Não Comprou</v>
          </cell>
        </row>
        <row r="243">
          <cell r="A243">
            <v>24920461000221</v>
          </cell>
          <cell r="B243" t="str">
            <v>FARMACIAS POPULAR BAIRRO</v>
          </cell>
          <cell r="C243" t="str">
            <v>ECONOMIZE RONDONOPOLIS</v>
          </cell>
          <cell r="D243" t="str">
            <v>NOVA MUTUM</v>
          </cell>
          <cell r="E243" t="str">
            <v>MT</v>
          </cell>
          <cell r="F243">
            <v>46311</v>
          </cell>
          <cell r="G243">
            <v>2853.3399999999992</v>
          </cell>
          <cell r="I243" t="str">
            <v>Comprou Marcas</v>
          </cell>
        </row>
        <row r="244">
          <cell r="A244">
            <v>24920461000140</v>
          </cell>
          <cell r="B244" t="str">
            <v>FARMACIAS POPULAR</v>
          </cell>
          <cell r="C244" t="str">
            <v>ECONOMIZE RONDONOPOLIS</v>
          </cell>
          <cell r="D244" t="str">
            <v>NOVA MUTUM</v>
          </cell>
          <cell r="E244" t="str">
            <v>MT</v>
          </cell>
          <cell r="F244">
            <v>46311</v>
          </cell>
          <cell r="G244">
            <v>11965.180000000004</v>
          </cell>
          <cell r="I244" t="str">
            <v>Comprou Marcas</v>
          </cell>
        </row>
        <row r="245">
          <cell r="A245">
            <v>6368293000140</v>
          </cell>
          <cell r="B245" t="str">
            <v>FARMACIAS MEIO PRECO INGAS</v>
          </cell>
          <cell r="C245" t="str">
            <v>INDEPENDENTES VIN</v>
          </cell>
          <cell r="D245" t="str">
            <v>SINOP</v>
          </cell>
          <cell r="E245" t="str">
            <v>MT</v>
          </cell>
          <cell r="I245" t="str">
            <v>Não Comprou</v>
          </cell>
        </row>
        <row r="246">
          <cell r="A246">
            <v>65892972000183</v>
          </cell>
          <cell r="B246" t="str">
            <v>FARMACIAS MAIS ECONOMICA</v>
          </cell>
          <cell r="C246" t="str">
            <v>INDEPENDENTES VIN</v>
          </cell>
          <cell r="D246" t="str">
            <v>BARRA DO BUGRES</v>
          </cell>
          <cell r="E246" t="str">
            <v>MT</v>
          </cell>
          <cell r="F246">
            <v>46303</v>
          </cell>
          <cell r="G246">
            <v>1724.05</v>
          </cell>
          <cell r="I246" t="str">
            <v>Comprou Marcas</v>
          </cell>
        </row>
        <row r="247">
          <cell r="A247">
            <v>33019679000110</v>
          </cell>
          <cell r="B247" t="str">
            <v>FARMACIAS DESCONTO FACIL</v>
          </cell>
          <cell r="C247" t="str">
            <v>ECONOMIZE RONDONOPOLIS</v>
          </cell>
          <cell r="D247" t="str">
            <v>TANGARA DA SERRA</v>
          </cell>
          <cell r="E247" t="str">
            <v>MT</v>
          </cell>
          <cell r="F247">
            <v>46310</v>
          </cell>
          <cell r="G247">
            <v>3612.3900000000012</v>
          </cell>
          <cell r="I247" t="str">
            <v>Comprou Marcas</v>
          </cell>
        </row>
        <row r="248">
          <cell r="A248">
            <v>13874468000238</v>
          </cell>
          <cell r="B248" t="str">
            <v>FARMACIA VITA FARMA II</v>
          </cell>
          <cell r="C248" t="str">
            <v>ASFAR FARMACIAS</v>
          </cell>
          <cell r="D248" t="str">
            <v>SINOP</v>
          </cell>
          <cell r="E248" t="str">
            <v>MT</v>
          </cell>
          <cell r="F248">
            <v>46310</v>
          </cell>
          <cell r="G248">
            <v>335.28999999999996</v>
          </cell>
          <cell r="I248" t="str">
            <v>Comprou Marcas</v>
          </cell>
        </row>
        <row r="249">
          <cell r="A249">
            <v>13874468000157</v>
          </cell>
          <cell r="B249" t="str">
            <v>FARMACIA VITA FARMA</v>
          </cell>
          <cell r="C249" t="str">
            <v>ASFAR FARMACIAS</v>
          </cell>
          <cell r="D249" t="str">
            <v>SINOP</v>
          </cell>
          <cell r="E249" t="str">
            <v>MT</v>
          </cell>
          <cell r="F249">
            <v>46310</v>
          </cell>
          <cell r="G249">
            <v>1951.0899999999997</v>
          </cell>
          <cell r="I249" t="str">
            <v>Comprou Marcas</v>
          </cell>
        </row>
        <row r="250">
          <cell r="A250">
            <v>53284997000115</v>
          </cell>
          <cell r="B250" t="str">
            <v>FARMACIA VITA FARMA</v>
          </cell>
          <cell r="C250" t="str">
            <v>ASFAR FARMACIAS</v>
          </cell>
          <cell r="D250" t="str">
            <v>SINOP</v>
          </cell>
          <cell r="E250" t="str">
            <v>MT</v>
          </cell>
          <cell r="I250" t="str">
            <v>Não Comprou</v>
          </cell>
        </row>
        <row r="251">
          <cell r="A251">
            <v>1770218000198</v>
          </cell>
          <cell r="B251" t="str">
            <v>FARMACIA VIDEIRA</v>
          </cell>
          <cell r="C251" t="str">
            <v>MULTIDROGAS</v>
          </cell>
          <cell r="D251" t="str">
            <v>VALPARAISO</v>
          </cell>
          <cell r="E251" t="str">
            <v>SP</v>
          </cell>
          <cell r="F251">
            <v>46303</v>
          </cell>
          <cell r="G251">
            <v>176.63000000000002</v>
          </cell>
          <cell r="I251" t="str">
            <v>Comprou Marcas</v>
          </cell>
        </row>
        <row r="252">
          <cell r="A252">
            <v>10488667000139</v>
          </cell>
          <cell r="B252" t="str">
            <v>FARMACIA VASCO</v>
          </cell>
          <cell r="C252" t="str">
            <v>ASSOCIADAS</v>
          </cell>
          <cell r="D252" t="str">
            <v>INOCENCIA</v>
          </cell>
          <cell r="E252" t="str">
            <v>MS</v>
          </cell>
          <cell r="F252">
            <v>46310</v>
          </cell>
          <cell r="G252">
            <v>5176.29</v>
          </cell>
          <cell r="I252" t="str">
            <v>Comprou Marcas</v>
          </cell>
        </row>
        <row r="253">
          <cell r="A253">
            <v>10299122000184</v>
          </cell>
          <cell r="B253" t="str">
            <v>FARMACIA UNIVERSAL</v>
          </cell>
          <cell r="C253" t="str">
            <v>INDEPENDENTES VIN</v>
          </cell>
          <cell r="D253" t="str">
            <v>COXIM</v>
          </cell>
          <cell r="E253" t="str">
            <v>MS</v>
          </cell>
          <cell r="F253">
            <v>46300</v>
          </cell>
          <cell r="G253">
            <v>548.76</v>
          </cell>
          <cell r="I253" t="str">
            <v>Comprou Marcas</v>
          </cell>
        </row>
        <row r="254">
          <cell r="A254">
            <v>24676884000248</v>
          </cell>
          <cell r="B254" t="str">
            <v>FARMACIA UNIMED</v>
          </cell>
          <cell r="C254" t="str">
            <v>INDEPENDENTES VIN</v>
          </cell>
          <cell r="D254" t="str">
            <v>RONDONOPOLIS</v>
          </cell>
          <cell r="E254" t="str">
            <v>MT</v>
          </cell>
          <cell r="F254">
            <v>46308</v>
          </cell>
          <cell r="G254">
            <v>3232.6800000000003</v>
          </cell>
          <cell r="I254" t="str">
            <v>Comprou Marcas</v>
          </cell>
        </row>
        <row r="255">
          <cell r="A255">
            <v>5778971000180</v>
          </cell>
          <cell r="B255" t="str">
            <v>FARMACIA UNIFARMA</v>
          </cell>
          <cell r="C255" t="str">
            <v>MULTIDROGAS</v>
          </cell>
          <cell r="D255" t="str">
            <v>IVINHEMA</v>
          </cell>
          <cell r="E255" t="str">
            <v>MS</v>
          </cell>
          <cell r="F255">
            <v>46303</v>
          </cell>
          <cell r="G255">
            <v>1530.0299999999997</v>
          </cell>
          <cell r="I255" t="str">
            <v>Comprou Marcas</v>
          </cell>
        </row>
        <row r="256">
          <cell r="A256">
            <v>43002849000107</v>
          </cell>
          <cell r="B256" t="str">
            <v>FARMACIA UNIAO</v>
          </cell>
          <cell r="C256" t="str">
            <v>INDEPENDENTES VIN</v>
          </cell>
          <cell r="D256" t="str">
            <v>ADAMANTINA</v>
          </cell>
          <cell r="E256" t="str">
            <v>SP</v>
          </cell>
          <cell r="F256">
            <v>46311</v>
          </cell>
          <cell r="G256">
            <v>1192.5300000000002</v>
          </cell>
          <cell r="I256" t="str">
            <v>Comprou Marcas</v>
          </cell>
        </row>
        <row r="257">
          <cell r="A257">
            <v>32162131000161</v>
          </cell>
          <cell r="B257" t="str">
            <v>FARMACIA ULTRA POPULAR DE ALTO ARAGUAIA</v>
          </cell>
          <cell r="C257" t="str">
            <v>FARMARCAS</v>
          </cell>
          <cell r="D257" t="str">
            <v>ALTO ARAGUAIA</v>
          </cell>
          <cell r="E257" t="str">
            <v>MT</v>
          </cell>
          <cell r="F257">
            <v>46309</v>
          </cell>
          <cell r="G257">
            <v>3036.2400000000002</v>
          </cell>
          <cell r="I257" t="str">
            <v>Comprou Marcas</v>
          </cell>
        </row>
        <row r="258">
          <cell r="A258">
            <v>18806193000138</v>
          </cell>
          <cell r="B258" t="str">
            <v>FARMACIA ULTRA POPULAR</v>
          </cell>
          <cell r="C258" t="str">
            <v>FARMARCAS</v>
          </cell>
          <cell r="D258" t="str">
            <v>TANGARA DA SERRA</v>
          </cell>
          <cell r="E258" t="str">
            <v>MT</v>
          </cell>
          <cell r="F258">
            <v>46308</v>
          </cell>
          <cell r="G258">
            <v>3918.8300000000004</v>
          </cell>
          <cell r="I258" t="str">
            <v>Comprou Marcas</v>
          </cell>
        </row>
        <row r="259">
          <cell r="A259">
            <v>18806193000219</v>
          </cell>
          <cell r="B259" t="str">
            <v>FARMACIA ULTRA POPULAR</v>
          </cell>
          <cell r="C259" t="str">
            <v>FARMARCAS</v>
          </cell>
          <cell r="D259" t="str">
            <v>TANGARA DA SERRA</v>
          </cell>
          <cell r="E259" t="str">
            <v>MT</v>
          </cell>
          <cell r="F259">
            <v>46308</v>
          </cell>
          <cell r="G259">
            <v>907.99</v>
          </cell>
          <cell r="I259" t="str">
            <v>Comprou Marcas</v>
          </cell>
        </row>
        <row r="260">
          <cell r="A260">
            <v>18806193000308</v>
          </cell>
          <cell r="B260" t="str">
            <v>FARMACIA ULTRA POPULAR</v>
          </cell>
          <cell r="C260" t="str">
            <v>FARMARCAS</v>
          </cell>
          <cell r="D260" t="str">
            <v>NOVA OLIMPIA</v>
          </cell>
          <cell r="E260" t="str">
            <v>MT</v>
          </cell>
          <cell r="F260">
            <v>46308</v>
          </cell>
          <cell r="G260">
            <v>3168.1399999999994</v>
          </cell>
          <cell r="I260" t="str">
            <v>Comprou Marcas</v>
          </cell>
        </row>
        <row r="261">
          <cell r="A261">
            <v>18806193000561</v>
          </cell>
          <cell r="B261" t="str">
            <v>FARMACIA ULTRA POPULAR</v>
          </cell>
          <cell r="C261" t="str">
            <v>FARMARCAS</v>
          </cell>
          <cell r="D261" t="str">
            <v>TANGARA DA SERRA</v>
          </cell>
          <cell r="E261" t="str">
            <v>MT</v>
          </cell>
          <cell r="F261">
            <v>46308</v>
          </cell>
          <cell r="G261">
            <v>2021.5400000000004</v>
          </cell>
          <cell r="I261" t="str">
            <v>Comprou Marcas</v>
          </cell>
        </row>
        <row r="262">
          <cell r="A262">
            <v>18806193000642</v>
          </cell>
          <cell r="B262" t="str">
            <v>FARMACIA ULTRA POPULAR</v>
          </cell>
          <cell r="C262" t="str">
            <v>FARMARCAS</v>
          </cell>
          <cell r="D262" t="str">
            <v>TANGARA DA SERRA</v>
          </cell>
          <cell r="E262" t="str">
            <v>MT</v>
          </cell>
          <cell r="F262">
            <v>46308</v>
          </cell>
          <cell r="G262">
            <v>1626.9</v>
          </cell>
          <cell r="I262" t="str">
            <v>Comprou Marcas</v>
          </cell>
        </row>
        <row r="263">
          <cell r="A263">
            <v>18806193000723</v>
          </cell>
          <cell r="B263" t="str">
            <v>FARMACIA ULTRA POPULAR</v>
          </cell>
          <cell r="C263" t="str">
            <v>FARMARCAS</v>
          </cell>
          <cell r="D263" t="str">
            <v>TANGARA DA SERRA</v>
          </cell>
          <cell r="E263" t="str">
            <v>MT</v>
          </cell>
          <cell r="F263">
            <v>46308</v>
          </cell>
          <cell r="G263">
            <v>2614.170000000001</v>
          </cell>
          <cell r="I263" t="str">
            <v>Comprou Marcas</v>
          </cell>
        </row>
        <row r="264">
          <cell r="A264">
            <v>18806193000804</v>
          </cell>
          <cell r="B264" t="str">
            <v>FARMACIA ULTRA POPULAR</v>
          </cell>
          <cell r="C264" t="str">
            <v>FARMARCAS</v>
          </cell>
          <cell r="D264" t="str">
            <v>BARRA DO BUGRES</v>
          </cell>
          <cell r="E264" t="str">
            <v>MT</v>
          </cell>
          <cell r="F264">
            <v>46308</v>
          </cell>
          <cell r="G264">
            <v>874.97</v>
          </cell>
          <cell r="I264" t="str">
            <v>Comprou Marcas</v>
          </cell>
        </row>
        <row r="265">
          <cell r="A265">
            <v>18806193000995</v>
          </cell>
          <cell r="B265" t="str">
            <v>FARMACIA ULTRA POPULAR</v>
          </cell>
          <cell r="C265" t="str">
            <v>FARMARCAS</v>
          </cell>
          <cell r="D265" t="str">
            <v>BARRA DO BUGRES</v>
          </cell>
          <cell r="E265" t="str">
            <v>MT</v>
          </cell>
          <cell r="F265">
            <v>46308</v>
          </cell>
          <cell r="G265">
            <v>1054.6199999999999</v>
          </cell>
          <cell r="I265" t="str">
            <v>Comprou Marcas</v>
          </cell>
        </row>
        <row r="266">
          <cell r="A266">
            <v>34152830000156</v>
          </cell>
          <cell r="B266" t="str">
            <v>FARMACIA SUPER POPULAR</v>
          </cell>
          <cell r="C266" t="str">
            <v>MASTERFARMA</v>
          </cell>
          <cell r="D266" t="str">
            <v>CULTURAMA (FATIMA DO SUL)</v>
          </cell>
          <cell r="E266" t="str">
            <v>MS</v>
          </cell>
          <cell r="I266" t="str">
            <v>Não Comprou</v>
          </cell>
        </row>
        <row r="267">
          <cell r="A267">
            <v>49672071000120</v>
          </cell>
          <cell r="B267" t="str">
            <v>FARMACIA SUPER POPULAR</v>
          </cell>
          <cell r="C267" t="str">
            <v>MASTERFARMA</v>
          </cell>
          <cell r="D267" t="str">
            <v>VICENTINA</v>
          </cell>
          <cell r="E267" t="str">
            <v>MS</v>
          </cell>
          <cell r="I267" t="str">
            <v>Não Comprou</v>
          </cell>
        </row>
        <row r="268">
          <cell r="A268">
            <v>31832914000142</v>
          </cell>
          <cell r="B268" t="str">
            <v>FARMACIA SUPER POPULAR</v>
          </cell>
          <cell r="C268" t="str">
            <v>MASTERFARMA</v>
          </cell>
          <cell r="D268" t="str">
            <v>CAMPO GRANDE</v>
          </cell>
          <cell r="E268" t="str">
            <v>MS</v>
          </cell>
          <cell r="F268">
            <v>46304</v>
          </cell>
          <cell r="G268">
            <v>1599.83</v>
          </cell>
          <cell r="I268" t="str">
            <v>Comprou Marcas</v>
          </cell>
        </row>
        <row r="269">
          <cell r="A269">
            <v>55312241000168</v>
          </cell>
          <cell r="B269" t="str">
            <v>FARMACIA SUPER POPULAR</v>
          </cell>
          <cell r="C269" t="str">
            <v>MASTERFARMA</v>
          </cell>
          <cell r="D269" t="str">
            <v>CORUMBA</v>
          </cell>
          <cell r="E269" t="str">
            <v>MS</v>
          </cell>
          <cell r="I269" t="str">
            <v>Não Comprou</v>
          </cell>
        </row>
        <row r="270">
          <cell r="A270">
            <v>59472205000112</v>
          </cell>
          <cell r="B270" t="str">
            <v>FARMACIA SUPER POPULAR</v>
          </cell>
          <cell r="C270" t="str">
            <v>MASTERFARMA</v>
          </cell>
          <cell r="D270" t="str">
            <v>SINOP</v>
          </cell>
          <cell r="E270" t="str">
            <v>MT</v>
          </cell>
          <cell r="I270" t="str">
            <v>Não Comprou</v>
          </cell>
        </row>
        <row r="271">
          <cell r="A271">
            <v>4538037000129</v>
          </cell>
          <cell r="B271" t="str">
            <v>FARMACIA SAO VICENTE II</v>
          </cell>
          <cell r="C271" t="str">
            <v>MULTIDROGAS</v>
          </cell>
          <cell r="D271" t="str">
            <v>ARACATUBA</v>
          </cell>
          <cell r="E271" t="str">
            <v>SP</v>
          </cell>
          <cell r="F271">
            <v>46310</v>
          </cell>
          <cell r="G271">
            <v>259.19</v>
          </cell>
          <cell r="I271" t="str">
            <v>Comprou Marcas</v>
          </cell>
        </row>
        <row r="272">
          <cell r="A272">
            <v>24092237000108</v>
          </cell>
          <cell r="B272" t="str">
            <v>FARMACIA SAO PEDRO</v>
          </cell>
          <cell r="C272" t="str">
            <v>FARMA &amp; FARMA</v>
          </cell>
          <cell r="D272" t="str">
            <v>SAO GABRIEL DO OESTE</v>
          </cell>
          <cell r="E272" t="str">
            <v>MS</v>
          </cell>
          <cell r="I272" t="str">
            <v>Não Comprou</v>
          </cell>
        </row>
        <row r="273">
          <cell r="A273">
            <v>3521179000110</v>
          </cell>
          <cell r="B273" t="str">
            <v>FARMACIA SAO MATEUS</v>
          </cell>
          <cell r="C273" t="str">
            <v>BIODROGAS</v>
          </cell>
          <cell r="D273" t="str">
            <v>PIRAPOZINHO</v>
          </cell>
          <cell r="E273" t="str">
            <v>SP</v>
          </cell>
          <cell r="F273">
            <v>46303</v>
          </cell>
          <cell r="G273">
            <v>352.43</v>
          </cell>
          <cell r="H273">
            <v>1992.6</v>
          </cell>
          <cell r="I273" t="str">
            <v>Comprou Marcas e SG</v>
          </cell>
        </row>
        <row r="274">
          <cell r="A274">
            <v>59824286000172</v>
          </cell>
          <cell r="B274" t="str">
            <v>FARMACIA SAO JOSE</v>
          </cell>
          <cell r="C274" t="str">
            <v>ASSOCIADAS</v>
          </cell>
          <cell r="D274" t="str">
            <v>DOURADOS</v>
          </cell>
          <cell r="E274" t="str">
            <v>MS</v>
          </cell>
          <cell r="F274">
            <v>46301</v>
          </cell>
          <cell r="G274">
            <v>195.85000000000002</v>
          </cell>
          <cell r="H274">
            <v>473.53999999999996</v>
          </cell>
          <cell r="I274" t="str">
            <v>Comprou Marcas e SG</v>
          </cell>
        </row>
        <row r="275">
          <cell r="A275">
            <v>18768425000100</v>
          </cell>
          <cell r="B275" t="str">
            <v>FARMACIA SAO JOSE</v>
          </cell>
          <cell r="C275" t="str">
            <v>ASSOCIADAS</v>
          </cell>
          <cell r="D275" t="str">
            <v>COSTA RICA</v>
          </cell>
          <cell r="E275" t="str">
            <v>MS</v>
          </cell>
          <cell r="I275" t="str">
            <v>Não Comprou</v>
          </cell>
        </row>
        <row r="276">
          <cell r="A276">
            <v>22524747000181</v>
          </cell>
          <cell r="B276" t="str">
            <v>FARMACIA SAO JOAO</v>
          </cell>
          <cell r="C276" t="str">
            <v>ASSOCIADAS</v>
          </cell>
          <cell r="D276" t="str">
            <v>PEDRO GOMES</v>
          </cell>
          <cell r="E276" t="str">
            <v>MS</v>
          </cell>
          <cell r="I276" t="str">
            <v>Não Comprou</v>
          </cell>
        </row>
        <row r="277">
          <cell r="A277">
            <v>40735109000191</v>
          </cell>
          <cell r="B277" t="str">
            <v>FARMACIA SAO JOAO</v>
          </cell>
          <cell r="C277" t="str">
            <v>DSG FARMA</v>
          </cell>
          <cell r="D277" t="str">
            <v>SINOP</v>
          </cell>
          <cell r="E277" t="str">
            <v>MT</v>
          </cell>
          <cell r="I277" t="str">
            <v>Não Comprou</v>
          </cell>
        </row>
        <row r="278">
          <cell r="A278">
            <v>21987208000116</v>
          </cell>
          <cell r="B278" t="str">
            <v>FARMACIA SANTO ANTONIO</v>
          </cell>
          <cell r="C278" t="str">
            <v>ASSOCIADAS</v>
          </cell>
          <cell r="D278" t="str">
            <v>GLORIA DE DOURADOS</v>
          </cell>
          <cell r="E278" t="str">
            <v>MS</v>
          </cell>
          <cell r="F278">
            <v>46309</v>
          </cell>
          <cell r="G278">
            <v>15396.279999999995</v>
          </cell>
          <cell r="I278" t="str">
            <v>Comprou Marcas</v>
          </cell>
        </row>
        <row r="279">
          <cell r="A279">
            <v>12237892000128</v>
          </cell>
          <cell r="B279" t="str">
            <v>FARMACIA SANTA MONICA</v>
          </cell>
          <cell r="C279" t="str">
            <v>ASSOCIADAS</v>
          </cell>
          <cell r="D279" t="str">
            <v>CHAPADAO DO SUL</v>
          </cell>
          <cell r="E279" t="str">
            <v>MS</v>
          </cell>
          <cell r="F279">
            <v>46311</v>
          </cell>
          <cell r="G279">
            <v>5508.09</v>
          </cell>
          <cell r="H279">
            <v>1404.7099999999998</v>
          </cell>
          <cell r="I279" t="str">
            <v>Comprou Marcas e SG</v>
          </cell>
        </row>
        <row r="280">
          <cell r="A280">
            <v>17373000175</v>
          </cell>
          <cell r="B280" t="str">
            <v>FARMACIA SANTA LUCIA</v>
          </cell>
          <cell r="C280" t="str">
            <v>INDEPENDENTES VIN</v>
          </cell>
          <cell r="D280" t="str">
            <v>DRACENA</v>
          </cell>
          <cell r="E280" t="str">
            <v>SP</v>
          </cell>
          <cell r="F280">
            <v>46311</v>
          </cell>
          <cell r="G280">
            <v>10550.75</v>
          </cell>
          <cell r="I280" t="str">
            <v>Comprou Marcas</v>
          </cell>
        </row>
        <row r="281">
          <cell r="A281">
            <v>72834815000187</v>
          </cell>
          <cell r="B281" t="str">
            <v>FARMACIA SANTA LUCIA</v>
          </cell>
          <cell r="C281" t="str">
            <v>DROGARIA TOTAL</v>
          </cell>
          <cell r="D281" t="str">
            <v>VALPARAISO</v>
          </cell>
          <cell r="E281" t="str">
            <v>SP</v>
          </cell>
          <cell r="F281">
            <v>46303</v>
          </cell>
          <cell r="G281">
            <v>735.53</v>
          </cell>
          <cell r="I281" t="str">
            <v>Comprou Marcas</v>
          </cell>
        </row>
        <row r="282">
          <cell r="A282">
            <v>19797575000105</v>
          </cell>
          <cell r="B282" t="str">
            <v>FARMACIA SANTA LAURA</v>
          </cell>
          <cell r="C282" t="str">
            <v>INDEPENDENTES VIN</v>
          </cell>
          <cell r="D282" t="str">
            <v>BATAGUASSU</v>
          </cell>
          <cell r="E282" t="str">
            <v>MS</v>
          </cell>
          <cell r="I282" t="str">
            <v>Não Comprou</v>
          </cell>
        </row>
        <row r="283">
          <cell r="A283">
            <v>52619699000176</v>
          </cell>
          <cell r="B283" t="str">
            <v>FARMACIA SANTA CRUZ</v>
          </cell>
          <cell r="C283" t="str">
            <v>INDEPENDENTES VIN</v>
          </cell>
          <cell r="D283" t="str">
            <v>MARACAI</v>
          </cell>
          <cell r="E283" t="str">
            <v>SP</v>
          </cell>
          <cell r="I283" t="str">
            <v>Não Comprou</v>
          </cell>
        </row>
        <row r="284">
          <cell r="A284">
            <v>4834843003321</v>
          </cell>
          <cell r="B284" t="str">
            <v>FARMACIA SANTA CATARINA DE PRESIDENTE PRUDENTE LTD</v>
          </cell>
          <cell r="C284" t="str">
            <v>REDE SANTA CATARINA</v>
          </cell>
          <cell r="D284" t="str">
            <v>NARANDIBA</v>
          </cell>
          <cell r="E284" t="str">
            <v>SP</v>
          </cell>
          <cell r="F284">
            <v>46310</v>
          </cell>
          <cell r="G284">
            <v>1526.3900000000003</v>
          </cell>
          <cell r="I284" t="str">
            <v>Comprou Marcas</v>
          </cell>
        </row>
        <row r="285">
          <cell r="A285">
            <v>4834843000144</v>
          </cell>
          <cell r="B285" t="str">
            <v>FARMACIA SANTA CATARINA DE PRESIDENTE PRUDENTE</v>
          </cell>
          <cell r="C285" t="str">
            <v>REDE SANTA CATARINA</v>
          </cell>
          <cell r="D285" t="str">
            <v>PRESIDENTE PRUDENTE</v>
          </cell>
          <cell r="E285" t="str">
            <v>SP</v>
          </cell>
          <cell r="F285">
            <v>46310</v>
          </cell>
          <cell r="G285">
            <v>2740.2100000000005</v>
          </cell>
          <cell r="I285" t="str">
            <v>Comprou Marcas</v>
          </cell>
        </row>
        <row r="286">
          <cell r="A286">
            <v>4834843000225</v>
          </cell>
          <cell r="B286" t="str">
            <v>FARMACIA SANTA CATARINA DE PRESIDENTE PRUDENTE</v>
          </cell>
          <cell r="C286" t="str">
            <v>REDE SANTA CATARINA</v>
          </cell>
          <cell r="D286" t="str">
            <v>PIRAPOZINHO</v>
          </cell>
          <cell r="E286" t="str">
            <v>SP</v>
          </cell>
          <cell r="F286">
            <v>46311</v>
          </cell>
          <cell r="G286">
            <v>8248.56</v>
          </cell>
          <cell r="I286" t="str">
            <v>Comprou Marcas</v>
          </cell>
        </row>
        <row r="287">
          <cell r="A287">
            <v>4834843000306</v>
          </cell>
          <cell r="B287" t="str">
            <v>FARMACIA SANTA CATARINA DE PRESIDENTE PRUDENTE</v>
          </cell>
          <cell r="C287" t="str">
            <v>REDE SANTA CATARINA</v>
          </cell>
          <cell r="D287" t="str">
            <v>ALVARES MACHADO</v>
          </cell>
          <cell r="E287" t="str">
            <v>SP</v>
          </cell>
          <cell r="F287">
            <v>46310</v>
          </cell>
          <cell r="G287">
            <v>7723.9700000000021</v>
          </cell>
          <cell r="I287" t="str">
            <v>Comprou Marcas</v>
          </cell>
        </row>
        <row r="288">
          <cell r="A288">
            <v>4834843000497</v>
          </cell>
          <cell r="B288" t="str">
            <v>FARMACIA SANTA CATARINA DE PRESIDENTE PRUDENTE</v>
          </cell>
          <cell r="C288" t="str">
            <v>REDE SANTA CATARINA</v>
          </cell>
          <cell r="D288" t="str">
            <v>PRESIDENTE BERNARDES</v>
          </cell>
          <cell r="E288" t="str">
            <v>SP</v>
          </cell>
          <cell r="F288">
            <v>46310</v>
          </cell>
          <cell r="G288">
            <v>8236.6799999999985</v>
          </cell>
          <cell r="I288" t="str">
            <v>Comprou Marcas</v>
          </cell>
        </row>
        <row r="289">
          <cell r="A289">
            <v>4834843000578</v>
          </cell>
          <cell r="B289" t="str">
            <v>FARMACIA SANTA CATARINA DE PRESIDENTE PRUDENTE</v>
          </cell>
          <cell r="C289" t="str">
            <v>REDE SANTA CATARINA</v>
          </cell>
          <cell r="D289" t="str">
            <v>QUATA</v>
          </cell>
          <cell r="E289" t="str">
            <v>SP</v>
          </cell>
          <cell r="F289">
            <v>46311</v>
          </cell>
          <cell r="G289">
            <v>5485.6699999999992</v>
          </cell>
          <cell r="I289" t="str">
            <v>Comprou Marcas</v>
          </cell>
        </row>
        <row r="290">
          <cell r="A290">
            <v>4834843000659</v>
          </cell>
          <cell r="B290" t="str">
            <v>FARMACIA SANTA CATARINA DE PRESIDENTE PRUDENTE</v>
          </cell>
          <cell r="C290" t="str">
            <v>REDE SANTA CATARINA</v>
          </cell>
          <cell r="D290" t="str">
            <v>QUATA</v>
          </cell>
          <cell r="E290" t="str">
            <v>SP</v>
          </cell>
          <cell r="F290">
            <v>46311</v>
          </cell>
          <cell r="G290">
            <v>5593.9999999999982</v>
          </cell>
          <cell r="I290" t="str">
            <v>Comprou Marcas</v>
          </cell>
        </row>
        <row r="291">
          <cell r="A291">
            <v>4834843000730</v>
          </cell>
          <cell r="B291" t="str">
            <v>FARMACIA SANTA CATARINA DE PRESIDENTE PRUDENTE</v>
          </cell>
          <cell r="C291" t="str">
            <v>REDE SANTA CATARINA</v>
          </cell>
          <cell r="D291" t="str">
            <v>MIRANTE DO PARANAPANEMA</v>
          </cell>
          <cell r="E291" t="str">
            <v>SP</v>
          </cell>
          <cell r="F291">
            <v>46311</v>
          </cell>
          <cell r="G291">
            <v>8168.6500000000024</v>
          </cell>
          <cell r="I291" t="str">
            <v>Comprou Marcas</v>
          </cell>
        </row>
        <row r="292">
          <cell r="A292">
            <v>4834843000810</v>
          </cell>
          <cell r="B292" t="str">
            <v>FARMACIA SANTA CATARINA DE PRESIDENTE PRUDENTE</v>
          </cell>
          <cell r="C292" t="str">
            <v>REDE SANTA CATARINA</v>
          </cell>
          <cell r="D292" t="str">
            <v>RANCHARIA</v>
          </cell>
          <cell r="E292" t="str">
            <v>SP</v>
          </cell>
          <cell r="F292">
            <v>46310</v>
          </cell>
          <cell r="G292">
            <v>2336.9300000000003</v>
          </cell>
          <cell r="I292" t="str">
            <v>Comprou Marcas</v>
          </cell>
        </row>
        <row r="293">
          <cell r="A293">
            <v>4834843000900</v>
          </cell>
          <cell r="B293" t="str">
            <v>FARMACIA SANTA CATARINA DE PRESIDENTE PRUDENTE</v>
          </cell>
          <cell r="C293" t="str">
            <v>REDE SANTA CATARINA</v>
          </cell>
          <cell r="D293" t="str">
            <v>PRESIDENTE PRUDENTE</v>
          </cell>
          <cell r="E293" t="str">
            <v>SP</v>
          </cell>
          <cell r="F293">
            <v>46311</v>
          </cell>
          <cell r="G293">
            <v>4360.9299999999985</v>
          </cell>
          <cell r="I293" t="str">
            <v>Comprou Marcas</v>
          </cell>
        </row>
        <row r="294">
          <cell r="A294">
            <v>4834843001035</v>
          </cell>
          <cell r="B294" t="str">
            <v>FARMACIA SANTA CATARINA DE PRESIDENTE PRUDENTE</v>
          </cell>
          <cell r="C294" t="str">
            <v>REDE SANTA CATARINA</v>
          </cell>
          <cell r="D294" t="str">
            <v>OSVALDO CRUZ</v>
          </cell>
          <cell r="E294" t="str">
            <v>SP</v>
          </cell>
          <cell r="F294">
            <v>46311</v>
          </cell>
          <cell r="G294">
            <v>11664.929999999997</v>
          </cell>
          <cell r="I294" t="str">
            <v>Comprou Marcas</v>
          </cell>
        </row>
        <row r="295">
          <cell r="A295">
            <v>4834843001116</v>
          </cell>
          <cell r="B295" t="str">
            <v>FARMACIA SANTA CATARINA DE PRESIDENTE PRUDENTE</v>
          </cell>
          <cell r="C295" t="str">
            <v>REDE SANTA CATARINA</v>
          </cell>
          <cell r="D295" t="str">
            <v>PARAPUA</v>
          </cell>
          <cell r="E295" t="str">
            <v>SP</v>
          </cell>
          <cell r="F295">
            <v>46311</v>
          </cell>
          <cell r="G295">
            <v>6807.2800000000034</v>
          </cell>
          <cell r="I295" t="str">
            <v>Comprou Marcas</v>
          </cell>
        </row>
        <row r="296">
          <cell r="A296">
            <v>4834843001205</v>
          </cell>
          <cell r="B296" t="str">
            <v>FARMACIA SANTA CATARINA DE PRESIDENTE PRUDENTE</v>
          </cell>
          <cell r="C296" t="str">
            <v>REDE SANTA CATARINA</v>
          </cell>
          <cell r="D296" t="str">
            <v>FLORIDA PAULISTA</v>
          </cell>
          <cell r="E296" t="str">
            <v>SP</v>
          </cell>
          <cell r="F296">
            <v>46311</v>
          </cell>
          <cell r="G296">
            <v>5935.2999999999984</v>
          </cell>
          <cell r="I296" t="str">
            <v>Comprou Marcas</v>
          </cell>
        </row>
        <row r="297">
          <cell r="A297">
            <v>4834843001388</v>
          </cell>
          <cell r="B297" t="str">
            <v>FARMACIA SANTA CATARINA DE PRESIDENTE PRUDENTE</v>
          </cell>
          <cell r="C297" t="str">
            <v>REDE SANTA CATARINA</v>
          </cell>
          <cell r="D297" t="str">
            <v>LUCELIA</v>
          </cell>
          <cell r="E297" t="str">
            <v>SP</v>
          </cell>
          <cell r="F297">
            <v>46311</v>
          </cell>
          <cell r="G297">
            <v>2858.2700000000004</v>
          </cell>
          <cell r="I297" t="str">
            <v>Comprou Marcas</v>
          </cell>
        </row>
        <row r="298">
          <cell r="A298">
            <v>4834843001469</v>
          </cell>
          <cell r="B298" t="str">
            <v>FARMACIA SANTA CATARINA DE PRESIDENTE PRUDENTE</v>
          </cell>
          <cell r="C298" t="str">
            <v>REDE SANTA CATARINA</v>
          </cell>
          <cell r="D298" t="str">
            <v>NOVA ESPERANCA</v>
          </cell>
          <cell r="E298" t="str">
            <v>PR</v>
          </cell>
          <cell r="F298">
            <v>46311</v>
          </cell>
          <cell r="G298">
            <v>2680.43</v>
          </cell>
          <cell r="H298">
            <v>1729.13</v>
          </cell>
          <cell r="I298" t="str">
            <v>Comprou Marcas e SG</v>
          </cell>
        </row>
        <row r="299">
          <cell r="A299">
            <v>4834843001620</v>
          </cell>
          <cell r="B299" t="str">
            <v>FARMACIA SANTA CATARINA DE PRESIDENTE PRUDENTE</v>
          </cell>
          <cell r="C299" t="str">
            <v>REDE SANTA CATARINA</v>
          </cell>
          <cell r="D299" t="str">
            <v>TEODORO SAMPAIO</v>
          </cell>
          <cell r="E299" t="str">
            <v>SP</v>
          </cell>
          <cell r="F299">
            <v>46311</v>
          </cell>
          <cell r="G299">
            <v>5119.29</v>
          </cell>
          <cell r="I299" t="str">
            <v>Comprou Marcas</v>
          </cell>
        </row>
        <row r="300">
          <cell r="A300">
            <v>4834843001701</v>
          </cell>
          <cell r="B300" t="str">
            <v>FARMACIA SANTA CATARINA DE PRESIDENTE PRUDENTE</v>
          </cell>
          <cell r="C300" t="str">
            <v>REDE SANTA CATARINA</v>
          </cell>
          <cell r="D300" t="str">
            <v>MARACAI</v>
          </cell>
          <cell r="E300" t="str">
            <v>SP</v>
          </cell>
          <cell r="F300">
            <v>46311</v>
          </cell>
          <cell r="G300">
            <v>3589.0599999999995</v>
          </cell>
          <cell r="I300" t="str">
            <v>Comprou Marcas</v>
          </cell>
        </row>
        <row r="301">
          <cell r="A301">
            <v>4834843001892</v>
          </cell>
          <cell r="B301" t="str">
            <v>FARMACIA SANTA CATARINA DE PRESIDENTE PRUDENTE</v>
          </cell>
          <cell r="C301" t="str">
            <v>REDE SANTA CATARINA</v>
          </cell>
          <cell r="D301" t="str">
            <v>TARUMA</v>
          </cell>
          <cell r="E301" t="str">
            <v>SP</v>
          </cell>
          <cell r="F301">
            <v>46311</v>
          </cell>
          <cell r="G301">
            <v>5931.7600000000029</v>
          </cell>
          <cell r="I301" t="str">
            <v>Comprou Marcas</v>
          </cell>
        </row>
        <row r="302">
          <cell r="A302">
            <v>4834843001973</v>
          </cell>
          <cell r="B302" t="str">
            <v>FARMACIA SANTA CATARINA DE PRESIDENTE PRUDENTE</v>
          </cell>
          <cell r="C302" t="str">
            <v>REDE SANTA CATARINA</v>
          </cell>
          <cell r="D302" t="str">
            <v>BASTOS</v>
          </cell>
          <cell r="E302" t="str">
            <v>SP</v>
          </cell>
          <cell r="F302">
            <v>46311</v>
          </cell>
          <cell r="G302">
            <v>5827.95</v>
          </cell>
          <cell r="I302" t="str">
            <v>Comprou Marcas</v>
          </cell>
        </row>
        <row r="303">
          <cell r="A303">
            <v>4834843002007</v>
          </cell>
          <cell r="B303" t="str">
            <v>FARMACIA SANTA CATARINA DE PRESIDENTE PRUDENTE</v>
          </cell>
          <cell r="C303" t="str">
            <v>REDE SANTA CATARINA</v>
          </cell>
          <cell r="D303" t="str">
            <v>LUCELIA</v>
          </cell>
          <cell r="E303" t="str">
            <v>SP</v>
          </cell>
          <cell r="F303">
            <v>46311</v>
          </cell>
          <cell r="G303">
            <v>2355.2699999999995</v>
          </cell>
          <cell r="I303" t="str">
            <v>Comprou Marcas</v>
          </cell>
        </row>
        <row r="304">
          <cell r="A304">
            <v>4834843002198</v>
          </cell>
          <cell r="B304" t="str">
            <v>FARMACIA SANTA CATARINA DE PRESIDENTE PRUDENTE</v>
          </cell>
          <cell r="C304" t="str">
            <v>REDE SANTA CATARINA</v>
          </cell>
          <cell r="D304" t="str">
            <v>RINOPOLIS</v>
          </cell>
          <cell r="E304" t="str">
            <v>SP</v>
          </cell>
          <cell r="F304">
            <v>46311</v>
          </cell>
          <cell r="G304">
            <v>5216.1100000000024</v>
          </cell>
          <cell r="I304" t="str">
            <v>Comprou Marcas</v>
          </cell>
        </row>
        <row r="305">
          <cell r="A305">
            <v>4834843002279</v>
          </cell>
          <cell r="B305" t="str">
            <v>FARMACIA SANTA CATARINA DE PRESIDENTE PRUDENTE</v>
          </cell>
          <cell r="C305" t="str">
            <v>REDE SANTA CATARINA</v>
          </cell>
          <cell r="D305" t="str">
            <v>PRESIDENTE PRUDENTE</v>
          </cell>
          <cell r="E305" t="str">
            <v>SP</v>
          </cell>
          <cell r="F305">
            <v>46311</v>
          </cell>
          <cell r="G305">
            <v>10966.800000000007</v>
          </cell>
          <cell r="I305" t="str">
            <v>Comprou Marcas</v>
          </cell>
        </row>
        <row r="306">
          <cell r="A306">
            <v>4834843002350</v>
          </cell>
          <cell r="B306" t="str">
            <v>FARMACIA SANTA CATARINA DE PRESIDENTE PRUDENTE</v>
          </cell>
          <cell r="C306" t="str">
            <v>REDE SANTA CATARINA</v>
          </cell>
          <cell r="D306" t="str">
            <v>PRESIDENTE PRUDENTE</v>
          </cell>
          <cell r="E306" t="str">
            <v>SP</v>
          </cell>
          <cell r="F306">
            <v>46311</v>
          </cell>
          <cell r="G306">
            <v>6368.5000000000036</v>
          </cell>
          <cell r="I306" t="str">
            <v>Comprou Marcas</v>
          </cell>
        </row>
        <row r="307">
          <cell r="A307">
            <v>4834843002430</v>
          </cell>
          <cell r="B307" t="str">
            <v>FARMACIA SANTA CATARINA DE PRESIDENTE PRUDENTE</v>
          </cell>
          <cell r="C307" t="str">
            <v>REDE SANTA CATARINA</v>
          </cell>
          <cell r="D307" t="str">
            <v>MIRANTE DO PARANAPANEMA</v>
          </cell>
          <cell r="E307" t="str">
            <v>SP</v>
          </cell>
          <cell r="F307">
            <v>46311</v>
          </cell>
          <cell r="G307">
            <v>7577.3000000000011</v>
          </cell>
          <cell r="I307" t="str">
            <v>Comprou Marcas</v>
          </cell>
        </row>
        <row r="308">
          <cell r="A308">
            <v>4834843002511</v>
          </cell>
          <cell r="B308" t="str">
            <v>FARMACIA SANTA CATARINA DE PRESIDENTE PRUDENTE</v>
          </cell>
          <cell r="C308" t="str">
            <v>REDE SANTA CATARINA</v>
          </cell>
          <cell r="D308" t="str">
            <v>ADAMANTINA</v>
          </cell>
          <cell r="E308" t="str">
            <v>SP</v>
          </cell>
          <cell r="F308">
            <v>46311</v>
          </cell>
          <cell r="G308">
            <v>7096.9900000000025</v>
          </cell>
          <cell r="I308" t="str">
            <v>Comprou Marcas</v>
          </cell>
        </row>
        <row r="309">
          <cell r="A309">
            <v>4834843002600</v>
          </cell>
          <cell r="B309" t="str">
            <v>FARMACIA SANTA CATARINA DE PRESIDENTE PRUDENTE</v>
          </cell>
          <cell r="C309" t="str">
            <v>REDE SANTA CATARINA</v>
          </cell>
          <cell r="D309" t="str">
            <v>ANDRADINA</v>
          </cell>
          <cell r="E309" t="str">
            <v>SP</v>
          </cell>
          <cell r="F309">
            <v>46311</v>
          </cell>
          <cell r="G309">
            <v>7719.4399999999978</v>
          </cell>
          <cell r="I309" t="str">
            <v>Comprou Marcas</v>
          </cell>
        </row>
        <row r="310">
          <cell r="A310">
            <v>4834843002783</v>
          </cell>
          <cell r="B310" t="str">
            <v>FARMACIA SANTA CATARINA DE PRESIDENTE PRUDENTE</v>
          </cell>
          <cell r="C310" t="str">
            <v>REDE SANTA CATARINA</v>
          </cell>
          <cell r="D310" t="str">
            <v>PRESIDENTE PRUDENTE</v>
          </cell>
          <cell r="E310" t="str">
            <v>SP</v>
          </cell>
          <cell r="F310">
            <v>46311</v>
          </cell>
          <cell r="G310">
            <v>1889.5400000000006</v>
          </cell>
          <cell r="I310" t="str">
            <v>Comprou Marcas</v>
          </cell>
        </row>
        <row r="311">
          <cell r="A311">
            <v>4834843002945</v>
          </cell>
          <cell r="B311" t="str">
            <v>FARMACIA SANTA CATARINA DE PRESIDENTE PRUDENTE</v>
          </cell>
          <cell r="C311" t="str">
            <v>REDE SANTA CATARINA</v>
          </cell>
          <cell r="D311" t="str">
            <v>TARABAI</v>
          </cell>
          <cell r="E311" t="str">
            <v>SP</v>
          </cell>
          <cell r="F311">
            <v>46311</v>
          </cell>
          <cell r="G311">
            <v>2392.1999999999998</v>
          </cell>
          <cell r="I311" t="str">
            <v>Comprou Marcas</v>
          </cell>
        </row>
        <row r="312">
          <cell r="A312">
            <v>4834843003089</v>
          </cell>
          <cell r="B312" t="str">
            <v>FARMACIA SANTA CATARINA DE PRESIDENTE PRUDENTE</v>
          </cell>
          <cell r="C312" t="str">
            <v>REDE SANTA CATARINA</v>
          </cell>
          <cell r="D312" t="str">
            <v>CASTILHO</v>
          </cell>
          <cell r="E312" t="str">
            <v>SP</v>
          </cell>
          <cell r="F312">
            <v>46311</v>
          </cell>
          <cell r="G312">
            <v>1936.0600000000004</v>
          </cell>
          <cell r="I312" t="str">
            <v>Comprou Marcas</v>
          </cell>
        </row>
        <row r="313">
          <cell r="A313">
            <v>4834843003160</v>
          </cell>
          <cell r="B313" t="str">
            <v>FARMACIA SANTA CATARINA DE PRESIDENTE PRUDENTE</v>
          </cell>
          <cell r="C313" t="str">
            <v>REDE SANTA CATARINA</v>
          </cell>
          <cell r="D313" t="str">
            <v>PEREIRA BARRETO</v>
          </cell>
          <cell r="E313" t="str">
            <v>SP</v>
          </cell>
          <cell r="F313">
            <v>46311</v>
          </cell>
          <cell r="G313">
            <v>2663.37</v>
          </cell>
          <cell r="I313" t="str">
            <v>Comprou Marcas</v>
          </cell>
        </row>
        <row r="314">
          <cell r="A314">
            <v>4834843003240</v>
          </cell>
          <cell r="B314" t="str">
            <v>FARMACIA SANTA CATARINA DE PRESIDENTE PRUDENTE</v>
          </cell>
          <cell r="C314" t="str">
            <v>REDE SANTA CATARINA</v>
          </cell>
          <cell r="D314" t="str">
            <v>ROSANA</v>
          </cell>
          <cell r="E314" t="str">
            <v>SP</v>
          </cell>
          <cell r="F314">
            <v>46308</v>
          </cell>
          <cell r="G314">
            <v>1460.4200000000003</v>
          </cell>
          <cell r="I314" t="str">
            <v>Comprou Marcas</v>
          </cell>
        </row>
        <row r="315">
          <cell r="A315">
            <v>4834843001540</v>
          </cell>
          <cell r="B315" t="str">
            <v>FARMACIA SANTA CATARINA</v>
          </cell>
          <cell r="C315" t="str">
            <v>REDE SANTA CATARINA</v>
          </cell>
          <cell r="D315" t="str">
            <v>TUPA</v>
          </cell>
          <cell r="E315" t="str">
            <v>SP</v>
          </cell>
          <cell r="F315">
            <v>46311</v>
          </cell>
          <cell r="G315">
            <v>9705.14</v>
          </cell>
          <cell r="I315" t="str">
            <v>Comprou Marcas</v>
          </cell>
        </row>
        <row r="316">
          <cell r="A316">
            <v>4834843002864</v>
          </cell>
          <cell r="B316" t="str">
            <v>FARMACIA SANTA CATARINA</v>
          </cell>
          <cell r="C316" t="str">
            <v>REDE SANTA CATARINA</v>
          </cell>
          <cell r="D316" t="str">
            <v>PARAGUACU PAULISTA</v>
          </cell>
          <cell r="E316" t="str">
            <v>SP</v>
          </cell>
          <cell r="F316">
            <v>46311</v>
          </cell>
          <cell r="G316">
            <v>2410.9499999999989</v>
          </cell>
          <cell r="I316" t="str">
            <v>Comprou Marcas</v>
          </cell>
        </row>
        <row r="317">
          <cell r="A317">
            <v>47468096000180</v>
          </cell>
          <cell r="B317" t="str">
            <v>FARMACIA SANRIVAL III</v>
          </cell>
          <cell r="C317" t="str">
            <v>HIPER SAUDE</v>
          </cell>
          <cell r="D317" t="str">
            <v>CHAPADAO DO SUL</v>
          </cell>
          <cell r="E317" t="str">
            <v>MS</v>
          </cell>
          <cell r="F317">
            <v>46303</v>
          </cell>
          <cell r="G317">
            <v>226.8</v>
          </cell>
          <cell r="I317" t="str">
            <v>Comprou Marcas</v>
          </cell>
        </row>
        <row r="318">
          <cell r="A318">
            <v>44192893000190</v>
          </cell>
          <cell r="B318" t="str">
            <v>FARMACIA SANRIVAL II</v>
          </cell>
          <cell r="C318" t="str">
            <v>HIPER SAUDE</v>
          </cell>
          <cell r="D318" t="str">
            <v>CHAPADAO DO SUL</v>
          </cell>
          <cell r="E318" t="str">
            <v>MS</v>
          </cell>
          <cell r="I318" t="str">
            <v>Não Comprou</v>
          </cell>
        </row>
        <row r="319">
          <cell r="A319">
            <v>62623466000109</v>
          </cell>
          <cell r="B319" t="str">
            <v>FARMACIA SAGRADA FAMILIA</v>
          </cell>
          <cell r="C319" t="str">
            <v>INDEPENDENTES VIN</v>
          </cell>
          <cell r="D319" t="str">
            <v>BONITO</v>
          </cell>
          <cell r="E319" t="str">
            <v>MS</v>
          </cell>
          <cell r="F319">
            <v>46303</v>
          </cell>
          <cell r="G319">
            <v>57.93</v>
          </cell>
          <cell r="I319" t="str">
            <v>Comprou Marcas</v>
          </cell>
        </row>
        <row r="320">
          <cell r="A320">
            <v>5112326000205</v>
          </cell>
          <cell r="B320" t="str">
            <v>FARMACIA ROMANA</v>
          </cell>
          <cell r="C320" t="str">
            <v>ASSOCIADAS</v>
          </cell>
          <cell r="D320" t="str">
            <v>CAARAPO</v>
          </cell>
          <cell r="E320" t="str">
            <v>MS</v>
          </cell>
          <cell r="I320" t="str">
            <v>Não Comprou</v>
          </cell>
        </row>
        <row r="321">
          <cell r="A321">
            <v>5112326000396</v>
          </cell>
          <cell r="B321" t="str">
            <v>FARMACIA ROMANA</v>
          </cell>
          <cell r="C321" t="str">
            <v>ASSOCIADAS</v>
          </cell>
          <cell r="D321" t="str">
            <v>JUTI</v>
          </cell>
          <cell r="E321" t="str">
            <v>MS</v>
          </cell>
          <cell r="I321" t="str">
            <v>Não Comprou</v>
          </cell>
        </row>
        <row r="322">
          <cell r="A322">
            <v>12104635000118</v>
          </cell>
          <cell r="B322" t="str">
            <v>FARMACIA ROMANA</v>
          </cell>
          <cell r="C322" t="str">
            <v>ASSOCIADAS</v>
          </cell>
          <cell r="D322" t="str">
            <v>CAARAPO</v>
          </cell>
          <cell r="E322" t="str">
            <v>MS</v>
          </cell>
          <cell r="I322" t="str">
            <v>Não Comprou</v>
          </cell>
        </row>
        <row r="323">
          <cell r="A323">
            <v>49835112000151</v>
          </cell>
          <cell r="B323" t="str">
            <v>FARMACIA ROMA</v>
          </cell>
          <cell r="C323" t="str">
            <v>ASSOCIADAS</v>
          </cell>
          <cell r="D323" t="str">
            <v>PRIMAVERA DO LESTE</v>
          </cell>
          <cell r="E323" t="str">
            <v>MT</v>
          </cell>
          <cell r="I323" t="str">
            <v>Não Comprou</v>
          </cell>
        </row>
        <row r="324">
          <cell r="A324">
            <v>18429327000149</v>
          </cell>
          <cell r="B324" t="str">
            <v>FARMACIA REZENFARMA</v>
          </cell>
          <cell r="C324" t="str">
            <v>INDEPENDENTES VIN</v>
          </cell>
          <cell r="D324" t="str">
            <v>CAMPO GRANDE</v>
          </cell>
          <cell r="E324" t="str">
            <v>MS</v>
          </cell>
          <cell r="F324">
            <v>46297</v>
          </cell>
          <cell r="H324">
            <v>634.6</v>
          </cell>
          <cell r="I324" t="str">
            <v>Comprou SG</v>
          </cell>
        </row>
        <row r="325">
          <cell r="A325">
            <v>4716183000288</v>
          </cell>
          <cell r="B325" t="str">
            <v>FARMACIA PROGRESSO 2</v>
          </cell>
          <cell r="C325" t="str">
            <v>BIODROGAS</v>
          </cell>
          <cell r="D325" t="str">
            <v>PRESIDENTE EPITACIO</v>
          </cell>
          <cell r="E325" t="str">
            <v>SP</v>
          </cell>
          <cell r="F325">
            <v>46303</v>
          </cell>
          <cell r="G325">
            <v>1122.6000000000001</v>
          </cell>
          <cell r="H325">
            <v>5753.3199999999988</v>
          </cell>
          <cell r="I325" t="str">
            <v>Comprou Marcas e SG</v>
          </cell>
        </row>
        <row r="326">
          <cell r="A326">
            <v>3477379000113</v>
          </cell>
          <cell r="B326" t="str">
            <v>FARMACIA PROGRESSO</v>
          </cell>
          <cell r="C326" t="str">
            <v>INDEPENDENTES VIN</v>
          </cell>
          <cell r="D326" t="str">
            <v>FATIMA DO SUL</v>
          </cell>
          <cell r="E326" t="str">
            <v>MS</v>
          </cell>
          <cell r="F326">
            <v>46308</v>
          </cell>
          <cell r="G326">
            <v>791.55</v>
          </cell>
          <cell r="I326" t="str">
            <v>Comprou Marcas</v>
          </cell>
        </row>
        <row r="327">
          <cell r="A327">
            <v>4716183000105</v>
          </cell>
          <cell r="B327" t="str">
            <v>FARMACIA PROGRESSO</v>
          </cell>
          <cell r="C327" t="str">
            <v>BIODROGAS</v>
          </cell>
          <cell r="D327" t="str">
            <v>PRESIDENTE EPITACIO</v>
          </cell>
          <cell r="E327" t="str">
            <v>SP</v>
          </cell>
          <cell r="F327">
            <v>46303</v>
          </cell>
          <cell r="G327">
            <v>3597.8300000000004</v>
          </cell>
          <cell r="H327">
            <v>7002.3799999999983</v>
          </cell>
          <cell r="I327" t="str">
            <v>Comprou Marcas e SG</v>
          </cell>
        </row>
        <row r="328">
          <cell r="A328">
            <v>27704045000101</v>
          </cell>
          <cell r="B328" t="str">
            <v>FARMACIA PRO VIDA</v>
          </cell>
          <cell r="C328" t="str">
            <v>INDEPENDENTES VIN</v>
          </cell>
          <cell r="D328" t="str">
            <v>MIRASSOL D'OESTE</v>
          </cell>
          <cell r="E328" t="str">
            <v>MT</v>
          </cell>
          <cell r="I328" t="str">
            <v>Não Comprou</v>
          </cell>
        </row>
        <row r="329">
          <cell r="A329">
            <v>30879844000115</v>
          </cell>
          <cell r="B329" t="str">
            <v>FARMACIA PRO SAUDE</v>
          </cell>
          <cell r="C329" t="str">
            <v>ECONOMIZE RONDONOPOLIS</v>
          </cell>
          <cell r="D329" t="str">
            <v>CAARAPO</v>
          </cell>
          <cell r="E329" t="str">
            <v>MS</v>
          </cell>
          <cell r="I329" t="str">
            <v>Não Comprou</v>
          </cell>
        </row>
        <row r="330">
          <cell r="A330">
            <v>68204486000202</v>
          </cell>
          <cell r="B330" t="str">
            <v>FARMACIA PRIVATIVA UNIMED</v>
          </cell>
          <cell r="C330" t="str">
            <v>UNIMED</v>
          </cell>
          <cell r="D330" t="str">
            <v>DRACENA</v>
          </cell>
          <cell r="E330" t="str">
            <v>SP</v>
          </cell>
          <cell r="F330">
            <v>46308</v>
          </cell>
          <cell r="G330">
            <v>842.07</v>
          </cell>
          <cell r="I330" t="str">
            <v>Comprou Marcas</v>
          </cell>
        </row>
        <row r="331">
          <cell r="A331">
            <v>28846852000113</v>
          </cell>
          <cell r="B331" t="str">
            <v>FARMACIA PRECO POPULAR</v>
          </cell>
          <cell r="C331" t="str">
            <v>INDEPENDENTES VIN</v>
          </cell>
          <cell r="D331" t="str">
            <v>LUCAS DO RIO VERDE</v>
          </cell>
          <cell r="E331" t="str">
            <v>MT</v>
          </cell>
          <cell r="F331">
            <v>46311</v>
          </cell>
          <cell r="G331">
            <v>5886.5</v>
          </cell>
          <cell r="I331" t="str">
            <v>Comprou Marcas</v>
          </cell>
        </row>
        <row r="332">
          <cell r="A332">
            <v>27449054000195</v>
          </cell>
          <cell r="B332" t="str">
            <v>FARMACIA POUPE MAIS</v>
          </cell>
          <cell r="C332" t="str">
            <v>ASSOCIADAS</v>
          </cell>
          <cell r="D332" t="str">
            <v>CUIABA</v>
          </cell>
          <cell r="E332" t="str">
            <v>MT</v>
          </cell>
          <cell r="F332">
            <v>46301</v>
          </cell>
          <cell r="G332">
            <v>2270.1200000000003</v>
          </cell>
          <cell r="I332" t="str">
            <v>Comprou Marcas</v>
          </cell>
        </row>
        <row r="333">
          <cell r="A333">
            <v>30539610000129</v>
          </cell>
          <cell r="B333" t="str">
            <v>FARMACIA POUP AQUI</v>
          </cell>
          <cell r="C333" t="str">
            <v>REDE POUPE AQUI</v>
          </cell>
          <cell r="D333" t="str">
            <v>ADAMANTINA</v>
          </cell>
          <cell r="E333" t="str">
            <v>SP</v>
          </cell>
          <cell r="F333">
            <v>46304</v>
          </cell>
          <cell r="H333">
            <v>1730.63</v>
          </cell>
          <cell r="I333" t="str">
            <v>Comprou SG</v>
          </cell>
        </row>
        <row r="334">
          <cell r="A334">
            <v>17479487000130</v>
          </cell>
          <cell r="B334" t="str">
            <v>FARMACIA POPULAR SANTA LUZIA - COMPER</v>
          </cell>
          <cell r="C334" t="str">
            <v>MASTERFARMA</v>
          </cell>
          <cell r="D334" t="str">
            <v>CAMPO GRANDE</v>
          </cell>
          <cell r="E334" t="str">
            <v>MS</v>
          </cell>
          <cell r="F334">
            <v>46303</v>
          </cell>
          <cell r="G334">
            <v>702.11999999999989</v>
          </cell>
          <cell r="I334" t="str">
            <v>Comprou Marcas</v>
          </cell>
        </row>
        <row r="335">
          <cell r="A335">
            <v>17479487000210</v>
          </cell>
          <cell r="B335" t="str">
            <v>FARMACIA POPULAR SANTA LUZIA</v>
          </cell>
          <cell r="C335" t="str">
            <v>INDEPENDENTES VIN</v>
          </cell>
          <cell r="D335" t="str">
            <v>CAMPO GRANDE</v>
          </cell>
          <cell r="E335" t="str">
            <v>MS</v>
          </cell>
          <cell r="F335">
            <v>46309</v>
          </cell>
          <cell r="G335">
            <v>373.19</v>
          </cell>
          <cell r="I335" t="str">
            <v>Comprou Marcas</v>
          </cell>
        </row>
        <row r="336">
          <cell r="A336">
            <v>23350836000111</v>
          </cell>
          <cell r="B336" t="str">
            <v>FARMACIA POPULAR SANTA LUZIA</v>
          </cell>
          <cell r="C336" t="str">
            <v>MASTERFARMA</v>
          </cell>
          <cell r="D336" t="str">
            <v>CAMPO GRANDE</v>
          </cell>
          <cell r="E336" t="str">
            <v>MS</v>
          </cell>
          <cell r="F336">
            <v>46304</v>
          </cell>
          <cell r="G336">
            <v>1965.9699999999998</v>
          </cell>
          <cell r="I336" t="str">
            <v>Comprou Marcas</v>
          </cell>
        </row>
        <row r="337">
          <cell r="A337">
            <v>19651628000428</v>
          </cell>
          <cell r="B337" t="str">
            <v>FARMACIA POPULAR MENDONCA</v>
          </cell>
          <cell r="C337" t="str">
            <v>FARMARCAS</v>
          </cell>
          <cell r="D337" t="str">
            <v>SINOP</v>
          </cell>
          <cell r="E337" t="str">
            <v>MT</v>
          </cell>
          <cell r="F337">
            <v>46310</v>
          </cell>
          <cell r="G337">
            <v>772.06</v>
          </cell>
          <cell r="H337">
            <v>2042.6899999999998</v>
          </cell>
          <cell r="I337" t="str">
            <v>Comprou Marcas e SG</v>
          </cell>
        </row>
        <row r="338">
          <cell r="A338">
            <v>19651628000690</v>
          </cell>
          <cell r="B338" t="str">
            <v>FARMACIA POPULAR MENDONCA</v>
          </cell>
          <cell r="C338" t="str">
            <v>FARMARCAS</v>
          </cell>
          <cell r="D338" t="str">
            <v>SINOP</v>
          </cell>
          <cell r="E338" t="str">
            <v>MT</v>
          </cell>
          <cell r="F338">
            <v>46310</v>
          </cell>
          <cell r="G338">
            <v>3698.4500000000003</v>
          </cell>
          <cell r="H338">
            <v>7328.0800000000017</v>
          </cell>
          <cell r="I338" t="str">
            <v>Comprou Marcas e SG</v>
          </cell>
        </row>
        <row r="339">
          <cell r="A339">
            <v>36199591000115</v>
          </cell>
          <cell r="B339" t="str">
            <v>FARMACIA POPULAR MAIS SAUDE</v>
          </cell>
          <cell r="C339" t="str">
            <v>INDEPENDENTES VIN</v>
          </cell>
          <cell r="D339" t="str">
            <v>CAMPO GRANDE</v>
          </cell>
          <cell r="E339" t="str">
            <v>MS</v>
          </cell>
          <cell r="F339">
            <v>46304</v>
          </cell>
          <cell r="G339">
            <v>1109.4100000000001</v>
          </cell>
          <cell r="I339" t="str">
            <v>Comprou Marcas</v>
          </cell>
        </row>
        <row r="340">
          <cell r="A340">
            <v>12564855000124</v>
          </cell>
          <cell r="B340" t="str">
            <v>FARMACIA POPULAR MAIS</v>
          </cell>
          <cell r="C340" t="str">
            <v>ASSOCIADAS</v>
          </cell>
          <cell r="D340" t="str">
            <v>CAARAPO</v>
          </cell>
          <cell r="E340" t="str">
            <v>MS</v>
          </cell>
          <cell r="I340" t="str">
            <v>Não Comprou</v>
          </cell>
        </row>
        <row r="341">
          <cell r="A341">
            <v>51905753000187</v>
          </cell>
          <cell r="B341" t="str">
            <v>FARMACIA POPULAR EM CASA</v>
          </cell>
          <cell r="C341" t="str">
            <v>INDEPENDENTES VIN</v>
          </cell>
          <cell r="D341" t="str">
            <v>CUIABA</v>
          </cell>
          <cell r="E341" t="str">
            <v>MT</v>
          </cell>
          <cell r="I341" t="str">
            <v>Não Comprou</v>
          </cell>
        </row>
        <row r="342">
          <cell r="A342">
            <v>30531806000177</v>
          </cell>
          <cell r="B342" t="str">
            <v>FARMACIA POPULAR DOM ANTONIO LTDA</v>
          </cell>
          <cell r="C342" t="str">
            <v>ASSOCIADAS</v>
          </cell>
          <cell r="D342" t="str">
            <v>CAMPO GRANDE</v>
          </cell>
          <cell r="E342" t="str">
            <v>MS</v>
          </cell>
          <cell r="F342">
            <v>46308</v>
          </cell>
          <cell r="G342">
            <v>900.04</v>
          </cell>
          <cell r="I342" t="str">
            <v>Comprou Marcas</v>
          </cell>
        </row>
        <row r="343">
          <cell r="A343">
            <v>58080762000125</v>
          </cell>
          <cell r="B343" t="str">
            <v>FARMACIA POPULAR BOA SAUDE</v>
          </cell>
          <cell r="C343" t="str">
            <v>ASSOCIADAS</v>
          </cell>
          <cell r="D343" t="str">
            <v>TANGARA DA SERRA</v>
          </cell>
          <cell r="E343" t="str">
            <v>MT</v>
          </cell>
          <cell r="F343">
            <v>46303</v>
          </cell>
          <cell r="G343">
            <v>317.86</v>
          </cell>
          <cell r="I343" t="str">
            <v>Comprou Marcas</v>
          </cell>
        </row>
        <row r="344">
          <cell r="A344">
            <v>7549438000172</v>
          </cell>
          <cell r="B344" t="str">
            <v>FARMACIA POPULAR</v>
          </cell>
          <cell r="C344" t="str">
            <v>INDEPENDENTES VIN</v>
          </cell>
          <cell r="D344" t="str">
            <v>SORRISO</v>
          </cell>
          <cell r="E344" t="str">
            <v>MT</v>
          </cell>
          <cell r="F344">
            <v>46310</v>
          </cell>
          <cell r="G344">
            <v>1250.8000000000002</v>
          </cell>
          <cell r="I344" t="str">
            <v>Comprou Marcas</v>
          </cell>
        </row>
        <row r="345">
          <cell r="A345">
            <v>13667030000106</v>
          </cell>
          <cell r="B345" t="str">
            <v>FARMACIA PLURI PHARMA</v>
          </cell>
          <cell r="C345" t="str">
            <v>DSG FARMA</v>
          </cell>
          <cell r="D345" t="str">
            <v>PRESIDENTE EPITACIO</v>
          </cell>
          <cell r="E345" t="str">
            <v>SP</v>
          </cell>
          <cell r="F345">
            <v>46309</v>
          </cell>
          <cell r="G345">
            <v>3858.6999999999994</v>
          </cell>
          <cell r="H345">
            <v>5738.3899999999994</v>
          </cell>
          <cell r="I345" t="str">
            <v>Comprou Marcas e SG</v>
          </cell>
        </row>
        <row r="346">
          <cell r="A346">
            <v>3940865000126</v>
          </cell>
          <cell r="B346" t="str">
            <v>FARMACIA PLANALTO</v>
          </cell>
          <cell r="C346" t="str">
            <v>COMPRE BEM</v>
          </cell>
          <cell r="D346" t="str">
            <v>CAARAPO</v>
          </cell>
          <cell r="E346" t="str">
            <v>MS</v>
          </cell>
          <cell r="I346" t="str">
            <v>Não Comprou</v>
          </cell>
        </row>
        <row r="347">
          <cell r="A347">
            <v>10742383000127</v>
          </cell>
          <cell r="B347" t="str">
            <v>FARMACIA PIONEIRA</v>
          </cell>
          <cell r="C347" t="str">
            <v>INDEPENDENTES VIN</v>
          </cell>
          <cell r="D347" t="str">
            <v>SINOP</v>
          </cell>
          <cell r="E347" t="str">
            <v>MT</v>
          </cell>
          <cell r="I347" t="str">
            <v>Não Comprou</v>
          </cell>
        </row>
        <row r="348">
          <cell r="A348">
            <v>23952661000112</v>
          </cell>
          <cell r="B348" t="str">
            <v>FARMACIA PIONEIRA</v>
          </cell>
          <cell r="C348" t="str">
            <v>INDEPENDENTES VIN</v>
          </cell>
          <cell r="D348" t="str">
            <v>SINOP</v>
          </cell>
          <cell r="E348" t="str">
            <v>MT</v>
          </cell>
          <cell r="F348">
            <v>46308</v>
          </cell>
          <cell r="G348">
            <v>1099.26</v>
          </cell>
          <cell r="I348" t="str">
            <v>Comprou Marcas</v>
          </cell>
        </row>
        <row r="349">
          <cell r="A349">
            <v>199752000395</v>
          </cell>
          <cell r="B349" t="str">
            <v>FARMACIA ODEON</v>
          </cell>
          <cell r="C349" t="str">
            <v>ODEON</v>
          </cell>
          <cell r="D349" t="str">
            <v>TRES LAGOAS</v>
          </cell>
          <cell r="E349" t="str">
            <v>MS</v>
          </cell>
          <cell r="F349">
            <v>46303</v>
          </cell>
          <cell r="G349">
            <v>17539.989999999998</v>
          </cell>
          <cell r="H349">
            <v>425.81999999999994</v>
          </cell>
          <cell r="I349" t="str">
            <v>Comprou Marcas e SG</v>
          </cell>
        </row>
        <row r="350">
          <cell r="A350">
            <v>199752000638</v>
          </cell>
          <cell r="B350" t="str">
            <v>FARMACIA ODEON</v>
          </cell>
          <cell r="C350" t="str">
            <v>ODEON</v>
          </cell>
          <cell r="D350" t="str">
            <v>TRES LAGOAS</v>
          </cell>
          <cell r="E350" t="str">
            <v>MS</v>
          </cell>
          <cell r="F350">
            <v>46304</v>
          </cell>
          <cell r="G350">
            <v>8233.01</v>
          </cell>
          <cell r="I350" t="str">
            <v>Comprou Marcas</v>
          </cell>
        </row>
        <row r="351">
          <cell r="A351">
            <v>61416946000128</v>
          </cell>
          <cell r="B351" t="str">
            <v>FARMACIA ODEON</v>
          </cell>
          <cell r="C351" t="str">
            <v>ASSOCIADAS</v>
          </cell>
          <cell r="D351" t="str">
            <v>TRES LAGOAS</v>
          </cell>
          <cell r="E351" t="str">
            <v>MS</v>
          </cell>
          <cell r="F351">
            <v>46311</v>
          </cell>
          <cell r="G351">
            <v>5292.840000000002</v>
          </cell>
          <cell r="H351">
            <v>395.77</v>
          </cell>
          <cell r="I351" t="str">
            <v>Comprou Marcas e SG</v>
          </cell>
        </row>
        <row r="352">
          <cell r="A352">
            <v>193631000174</v>
          </cell>
          <cell r="B352" t="str">
            <v>FARMACIA NAKAYAMA LTDA</v>
          </cell>
          <cell r="C352" t="str">
            <v>INDEPENDENTES VIN</v>
          </cell>
          <cell r="D352" t="str">
            <v>CAARAPO</v>
          </cell>
          <cell r="E352" t="str">
            <v>MS</v>
          </cell>
          <cell r="I352" t="str">
            <v>Não Comprou</v>
          </cell>
        </row>
        <row r="353">
          <cell r="A353">
            <v>23866159000199</v>
          </cell>
          <cell r="B353" t="str">
            <v>FARMACIA NAJA V</v>
          </cell>
          <cell r="C353" t="str">
            <v>ASSOCIADAS</v>
          </cell>
          <cell r="D353" t="str">
            <v>ITAQUIRAI</v>
          </cell>
          <cell r="E353" t="str">
            <v>MS</v>
          </cell>
          <cell r="I353" t="str">
            <v>Não Comprou</v>
          </cell>
        </row>
        <row r="354">
          <cell r="A354">
            <v>33202736000100</v>
          </cell>
          <cell r="B354" t="str">
            <v>FARMACIA MOURA E ASSIS</v>
          </cell>
          <cell r="C354" t="str">
            <v>INDEPENDENTES VIN</v>
          </cell>
          <cell r="D354" t="str">
            <v>CAMPO GRANDE</v>
          </cell>
          <cell r="E354" t="str">
            <v>MS</v>
          </cell>
          <cell r="F354">
            <v>46311</v>
          </cell>
          <cell r="G354">
            <v>862.44999999999982</v>
          </cell>
          <cell r="H354">
            <v>2295.3100000000009</v>
          </cell>
          <cell r="I354" t="str">
            <v>Comprou Marcas e SG</v>
          </cell>
        </row>
        <row r="355">
          <cell r="A355">
            <v>64621083000119</v>
          </cell>
          <cell r="B355" t="str">
            <v>FARMACIA MODERNA + POPULAR DOIS</v>
          </cell>
          <cell r="C355" t="str">
            <v>INDEPENDENTES VIN</v>
          </cell>
          <cell r="D355" t="str">
            <v>CAMPO NOVO DO PARECIS</v>
          </cell>
          <cell r="E355" t="str">
            <v>MT</v>
          </cell>
          <cell r="I355" t="str">
            <v>Não Comprou</v>
          </cell>
        </row>
        <row r="356">
          <cell r="A356">
            <v>2956282000120</v>
          </cell>
          <cell r="B356" t="str">
            <v>FARMACIA MODERNA</v>
          </cell>
          <cell r="C356" t="str">
            <v>FARMARCAS</v>
          </cell>
          <cell r="D356" t="str">
            <v>ITAPORA</v>
          </cell>
          <cell r="E356" t="str">
            <v>MS</v>
          </cell>
          <cell r="F356">
            <v>46310</v>
          </cell>
          <cell r="G356">
            <v>1400.48</v>
          </cell>
          <cell r="I356" t="str">
            <v>Comprou Marcas</v>
          </cell>
        </row>
        <row r="357">
          <cell r="A357">
            <v>4411142000100</v>
          </cell>
          <cell r="B357" t="str">
            <v>FARMACIA MODERNA</v>
          </cell>
          <cell r="C357" t="str">
            <v>DSG FARMA</v>
          </cell>
          <cell r="D357" t="str">
            <v>DOURADOS</v>
          </cell>
          <cell r="E357" t="str">
            <v>MS</v>
          </cell>
          <cell r="F357">
            <v>46310</v>
          </cell>
          <cell r="G357">
            <v>678.61999999999989</v>
          </cell>
          <cell r="H357">
            <v>321.14</v>
          </cell>
          <cell r="I357" t="str">
            <v>Comprou Marcas e SG</v>
          </cell>
        </row>
        <row r="358">
          <cell r="A358">
            <v>34975101000108</v>
          </cell>
          <cell r="B358" t="str">
            <v>FARMACIA MINI PRECO</v>
          </cell>
          <cell r="C358" t="str">
            <v>ASSOCIADAS</v>
          </cell>
          <cell r="D358" t="str">
            <v>CAMPO NOVO DO PARECIS</v>
          </cell>
          <cell r="E358" t="str">
            <v>MT</v>
          </cell>
          <cell r="I358" t="str">
            <v>Não Comprou</v>
          </cell>
        </row>
        <row r="359">
          <cell r="A359">
            <v>24415425000120</v>
          </cell>
          <cell r="B359" t="str">
            <v>FARMACIA MEGA POPULAR</v>
          </cell>
          <cell r="C359" t="str">
            <v>MASTERFARMA</v>
          </cell>
          <cell r="D359" t="str">
            <v>DOURADOS</v>
          </cell>
          <cell r="E359" t="str">
            <v>MS</v>
          </cell>
          <cell r="F359">
            <v>46304</v>
          </cell>
          <cell r="G359">
            <v>119.98</v>
          </cell>
          <cell r="I359" t="str">
            <v>Comprou Marcas</v>
          </cell>
        </row>
        <row r="360">
          <cell r="A360">
            <v>28032369000103</v>
          </cell>
          <cell r="B360" t="str">
            <v>FARMACIA MEDICAMENTO BARATO</v>
          </cell>
          <cell r="C360" t="str">
            <v>COMPRE BEM</v>
          </cell>
          <cell r="D360" t="str">
            <v>SAPEZAL</v>
          </cell>
          <cell r="E360" t="str">
            <v>MT</v>
          </cell>
          <cell r="F360">
            <v>46308</v>
          </cell>
          <cell r="G360">
            <v>4256.7200000000021</v>
          </cell>
          <cell r="I360" t="str">
            <v>Comprou Marcas</v>
          </cell>
        </row>
        <row r="361">
          <cell r="A361">
            <v>24724080000196</v>
          </cell>
          <cell r="B361" t="str">
            <v>FARMACIA MATOGROSSENSE</v>
          </cell>
          <cell r="C361" t="str">
            <v>INDEPENDENTES VIN</v>
          </cell>
          <cell r="D361" t="str">
            <v>AGUA BOA</v>
          </cell>
          <cell r="E361" t="str">
            <v>MT</v>
          </cell>
          <cell r="I361" t="str">
            <v>Não Comprou</v>
          </cell>
        </row>
        <row r="362">
          <cell r="A362">
            <v>20750641000170</v>
          </cell>
          <cell r="B362" t="str">
            <v>FARMACIA MARACAJU FARMA</v>
          </cell>
          <cell r="C362" t="str">
            <v>INDEPENDENTES VIN</v>
          </cell>
          <cell r="D362" t="str">
            <v>MARACAJU</v>
          </cell>
          <cell r="E362" t="str">
            <v>MS</v>
          </cell>
          <cell r="I362" t="str">
            <v>Não Comprou</v>
          </cell>
        </row>
        <row r="363">
          <cell r="A363">
            <v>49685257000113</v>
          </cell>
          <cell r="B363" t="str">
            <v>FARMACIA MAIS VIDA</v>
          </cell>
          <cell r="C363" t="str">
            <v>INDEPENDENTES VIN</v>
          </cell>
          <cell r="D363" t="str">
            <v>CANARANA</v>
          </cell>
          <cell r="E363" t="str">
            <v>MT</v>
          </cell>
          <cell r="I363" t="str">
            <v>Não Comprou</v>
          </cell>
        </row>
        <row r="364">
          <cell r="A364">
            <v>22977550000106</v>
          </cell>
          <cell r="B364" t="str">
            <v>FARMACIA MAIS POPULAR</v>
          </cell>
          <cell r="C364" t="str">
            <v>MASTERFARMA</v>
          </cell>
          <cell r="D364" t="str">
            <v>CARLINDA</v>
          </cell>
          <cell r="E364" t="str">
            <v>MT</v>
          </cell>
          <cell r="I364" t="str">
            <v>Não Comprou</v>
          </cell>
        </row>
        <row r="365">
          <cell r="A365">
            <v>28800059000183</v>
          </cell>
          <cell r="B365" t="str">
            <v>FARMACIA MAIS ECONOMICA</v>
          </cell>
          <cell r="C365" t="str">
            <v>INDEPENDENTES VIN</v>
          </cell>
          <cell r="D365" t="str">
            <v>CORUMBA</v>
          </cell>
          <cell r="E365" t="str">
            <v>MS</v>
          </cell>
          <cell r="F365">
            <v>46311</v>
          </cell>
          <cell r="G365">
            <v>1078.01</v>
          </cell>
          <cell r="H365">
            <v>3516.72</v>
          </cell>
          <cell r="I365" t="str">
            <v>Comprou Marcas e SG</v>
          </cell>
        </row>
        <row r="366">
          <cell r="A366">
            <v>16825373000131</v>
          </cell>
          <cell r="B366" t="str">
            <v>FARMACIA MAIS</v>
          </cell>
          <cell r="C366" t="str">
            <v>INDEPENDENTES VIN</v>
          </cell>
          <cell r="D366" t="str">
            <v>RIO BRILHANTE</v>
          </cell>
          <cell r="E366" t="str">
            <v>MS</v>
          </cell>
          <cell r="I366" t="str">
            <v>Não Comprou</v>
          </cell>
        </row>
        <row r="367">
          <cell r="A367">
            <v>4972853000146</v>
          </cell>
          <cell r="B367" t="str">
            <v>FARMACIA MADEIRA</v>
          </cell>
          <cell r="C367" t="str">
            <v>REDE MADEIRA</v>
          </cell>
          <cell r="D367" t="str">
            <v>SINOP</v>
          </cell>
          <cell r="E367" t="str">
            <v>MT</v>
          </cell>
          <cell r="F367">
            <v>46310</v>
          </cell>
          <cell r="G367">
            <v>15431.189999999999</v>
          </cell>
          <cell r="H367">
            <v>6899.0400000000009</v>
          </cell>
          <cell r="I367" t="str">
            <v>Comprou Marcas e SG</v>
          </cell>
        </row>
        <row r="368">
          <cell r="A368">
            <v>4972853000227</v>
          </cell>
          <cell r="B368" t="str">
            <v>FARMACIA MADEIRA</v>
          </cell>
          <cell r="C368" t="str">
            <v>REDE MADEIRA</v>
          </cell>
          <cell r="D368" t="str">
            <v>SINOP</v>
          </cell>
          <cell r="E368" t="str">
            <v>MT</v>
          </cell>
          <cell r="F368">
            <v>46310</v>
          </cell>
          <cell r="G368">
            <v>13253.789999999997</v>
          </cell>
          <cell r="H368">
            <v>7037.4600000000009</v>
          </cell>
          <cell r="I368" t="str">
            <v>Comprou Marcas e SG</v>
          </cell>
        </row>
        <row r="369">
          <cell r="A369">
            <v>4972853000308</v>
          </cell>
          <cell r="B369" t="str">
            <v>FARMACIA MADEIRA</v>
          </cell>
          <cell r="C369" t="str">
            <v>REDE MADEIRA</v>
          </cell>
          <cell r="D369" t="str">
            <v>SINOP</v>
          </cell>
          <cell r="E369" t="str">
            <v>MT</v>
          </cell>
          <cell r="F369">
            <v>46310</v>
          </cell>
          <cell r="G369">
            <v>18776.049999999996</v>
          </cell>
          <cell r="H369">
            <v>8878.7900000000009</v>
          </cell>
          <cell r="I369" t="str">
            <v>Comprou Marcas e SG</v>
          </cell>
        </row>
        <row r="370">
          <cell r="A370">
            <v>4972853000499</v>
          </cell>
          <cell r="B370" t="str">
            <v>FARMACIA MADEIRA</v>
          </cell>
          <cell r="C370" t="str">
            <v>REDE MADEIRA</v>
          </cell>
          <cell r="D370" t="str">
            <v>SINOP</v>
          </cell>
          <cell r="E370" t="str">
            <v>MT</v>
          </cell>
          <cell r="F370">
            <v>46310</v>
          </cell>
          <cell r="G370">
            <v>3181.670000000001</v>
          </cell>
          <cell r="H370">
            <v>1654.6999999999996</v>
          </cell>
          <cell r="I370" t="str">
            <v>Comprou Marcas e SG</v>
          </cell>
        </row>
        <row r="371">
          <cell r="A371">
            <v>4972853000570</v>
          </cell>
          <cell r="B371" t="str">
            <v>FARMACIA MADEIRA</v>
          </cell>
          <cell r="C371" t="str">
            <v>REDE MADEIRA</v>
          </cell>
          <cell r="D371" t="str">
            <v>SORRISO</v>
          </cell>
          <cell r="E371" t="str">
            <v>MT</v>
          </cell>
          <cell r="F371">
            <v>46310</v>
          </cell>
          <cell r="G371">
            <v>9071.8599999999988</v>
          </cell>
          <cell r="H371">
            <v>3804.4099999999994</v>
          </cell>
          <cell r="I371" t="str">
            <v>Comprou Marcas e SG</v>
          </cell>
        </row>
        <row r="372">
          <cell r="A372">
            <v>4972853000650</v>
          </cell>
          <cell r="B372" t="str">
            <v>FARMACIA MADEIRA</v>
          </cell>
          <cell r="C372" t="str">
            <v>REDE MADEIRA</v>
          </cell>
          <cell r="D372" t="str">
            <v>SINOP</v>
          </cell>
          <cell r="E372" t="str">
            <v>MT</v>
          </cell>
          <cell r="F372">
            <v>46310</v>
          </cell>
          <cell r="G372">
            <v>9501.4900000000016</v>
          </cell>
          <cell r="H372">
            <v>5927.56</v>
          </cell>
          <cell r="I372" t="str">
            <v>Comprou Marcas e SG</v>
          </cell>
        </row>
        <row r="373">
          <cell r="A373">
            <v>4972853000731</v>
          </cell>
          <cell r="B373" t="str">
            <v>FARMACIA MADEIRA</v>
          </cell>
          <cell r="C373" t="str">
            <v>REDE MADEIRA</v>
          </cell>
          <cell r="D373" t="str">
            <v>SINOP</v>
          </cell>
          <cell r="E373" t="str">
            <v>MT</v>
          </cell>
          <cell r="F373">
            <v>46310</v>
          </cell>
          <cell r="G373">
            <v>4752.0499999999993</v>
          </cell>
          <cell r="H373">
            <v>2615.4</v>
          </cell>
          <cell r="I373" t="str">
            <v>Comprou Marcas e SG</v>
          </cell>
        </row>
        <row r="374">
          <cell r="A374">
            <v>4972853000812</v>
          </cell>
          <cell r="B374" t="str">
            <v>FARMACIA MADEIRA</v>
          </cell>
          <cell r="C374" t="str">
            <v>REDE MADEIRA</v>
          </cell>
          <cell r="D374" t="str">
            <v>SINOP</v>
          </cell>
          <cell r="E374" t="str">
            <v>MT</v>
          </cell>
          <cell r="F374">
            <v>46310</v>
          </cell>
          <cell r="G374">
            <v>31001.469999999994</v>
          </cell>
          <cell r="H374">
            <v>9363.85</v>
          </cell>
          <cell r="I374" t="str">
            <v>Comprou Marcas e SG</v>
          </cell>
        </row>
        <row r="375">
          <cell r="A375">
            <v>14492828000119</v>
          </cell>
          <cell r="B375" t="str">
            <v>FARMACIA MADEIRA</v>
          </cell>
          <cell r="C375" t="str">
            <v>INDEPENDENTES VIN</v>
          </cell>
          <cell r="D375" t="str">
            <v>GUARANTA DO NORTE</v>
          </cell>
          <cell r="E375" t="str">
            <v>MT</v>
          </cell>
          <cell r="F375">
            <v>46311</v>
          </cell>
          <cell r="G375">
            <v>748.32</v>
          </cell>
          <cell r="I375" t="str">
            <v>Comprou Marcas</v>
          </cell>
        </row>
        <row r="376">
          <cell r="A376">
            <v>37629799000190</v>
          </cell>
          <cell r="B376" t="str">
            <v>FARMACIA MACHADO</v>
          </cell>
          <cell r="C376" t="str">
            <v>INDEPENDENTES VIN</v>
          </cell>
          <cell r="D376" t="str">
            <v>ALTA FLORESTA</v>
          </cell>
          <cell r="E376" t="str">
            <v>MT</v>
          </cell>
          <cell r="F376">
            <v>46311</v>
          </cell>
          <cell r="G376">
            <v>1267.4199999999998</v>
          </cell>
          <cell r="I376" t="str">
            <v>Comprou Marcas</v>
          </cell>
        </row>
        <row r="377">
          <cell r="A377">
            <v>8793169000158</v>
          </cell>
          <cell r="B377" t="str">
            <v>FARMACIA LUZ E VIDA</v>
          </cell>
          <cell r="C377" t="str">
            <v>MASTERFARMA</v>
          </cell>
          <cell r="D377" t="str">
            <v>SINOP</v>
          </cell>
          <cell r="E377" t="str">
            <v>MT</v>
          </cell>
          <cell r="I377" t="str">
            <v>Não Comprou</v>
          </cell>
        </row>
        <row r="378">
          <cell r="A378">
            <v>66160225000113</v>
          </cell>
          <cell r="B378" t="str">
            <v>FARMACIA KASPEICHAKI</v>
          </cell>
          <cell r="C378" t="str">
            <v>INDEPENDENTES VIN</v>
          </cell>
          <cell r="D378" t="str">
            <v>CAMPO NOVO DO PARECIS</v>
          </cell>
          <cell r="E378" t="str">
            <v>MT</v>
          </cell>
          <cell r="I378" t="str">
            <v>Não Comprou</v>
          </cell>
        </row>
        <row r="379">
          <cell r="A379">
            <v>55283212000115</v>
          </cell>
          <cell r="B379" t="str">
            <v>FARMACIA IRAPURU</v>
          </cell>
          <cell r="C379" t="str">
            <v>FARMAIS</v>
          </cell>
          <cell r="D379" t="str">
            <v>IRAPURU</v>
          </cell>
          <cell r="E379" t="str">
            <v>SP</v>
          </cell>
          <cell r="I379" t="str">
            <v>Não Comprou</v>
          </cell>
        </row>
        <row r="380">
          <cell r="A380">
            <v>11368538000170</v>
          </cell>
          <cell r="B380" t="str">
            <v>FARMACIA INDEPENDENCIA</v>
          </cell>
          <cell r="C380" t="str">
            <v>FARMARCAS</v>
          </cell>
          <cell r="D380" t="str">
            <v>PENAPOLIS</v>
          </cell>
          <cell r="E380" t="str">
            <v>SP</v>
          </cell>
          <cell r="F380">
            <v>46311</v>
          </cell>
          <cell r="H380">
            <v>36925.289999999994</v>
          </cell>
          <cell r="I380" t="str">
            <v>Comprou SG</v>
          </cell>
        </row>
        <row r="381">
          <cell r="A381">
            <v>49852577000110</v>
          </cell>
          <cell r="B381" t="str">
            <v>FARMACIA IMPERIAL</v>
          </cell>
          <cell r="C381" t="str">
            <v>INDEPENDENTES VIN</v>
          </cell>
          <cell r="D381" t="str">
            <v>TEODORO SAMPAIO</v>
          </cell>
          <cell r="E381" t="str">
            <v>SP</v>
          </cell>
          <cell r="F381">
            <v>46311</v>
          </cell>
          <cell r="G381">
            <v>16360.110000000002</v>
          </cell>
          <cell r="H381">
            <v>22396.35</v>
          </cell>
          <cell r="I381" t="str">
            <v>Comprou Marcas e SG</v>
          </cell>
        </row>
        <row r="382">
          <cell r="A382">
            <v>52286494000116</v>
          </cell>
          <cell r="B382" t="str">
            <v>FARMACIA HIPER POPULAR</v>
          </cell>
          <cell r="C382" t="str">
            <v>HIPER SAUDE</v>
          </cell>
          <cell r="D382" t="str">
            <v>NAVIRAI</v>
          </cell>
          <cell r="E382" t="str">
            <v>MS</v>
          </cell>
          <cell r="F382">
            <v>46303</v>
          </cell>
          <cell r="G382">
            <v>1111.74</v>
          </cell>
          <cell r="I382" t="str">
            <v>Comprou Marcas</v>
          </cell>
        </row>
        <row r="383">
          <cell r="A383">
            <v>66613327000147</v>
          </cell>
          <cell r="B383" t="str">
            <v>FARMACIA GERIZIM</v>
          </cell>
          <cell r="C383" t="str">
            <v>ASSOCIADAS</v>
          </cell>
          <cell r="D383" t="str">
            <v>INOCENCIA</v>
          </cell>
          <cell r="E383" t="str">
            <v>MS</v>
          </cell>
          <cell r="F383">
            <v>46309</v>
          </cell>
          <cell r="G383">
            <v>845.23</v>
          </cell>
          <cell r="I383" t="str">
            <v>Comprou Marcas</v>
          </cell>
        </row>
        <row r="384">
          <cell r="A384">
            <v>33675901000132</v>
          </cell>
          <cell r="B384" t="str">
            <v>FARMACIA GERALDO TOMAS</v>
          </cell>
          <cell r="C384" t="str">
            <v>MASTERFARMA</v>
          </cell>
          <cell r="D384" t="str">
            <v>ARAGUAIANA</v>
          </cell>
          <cell r="E384" t="str">
            <v>MT</v>
          </cell>
          <cell r="I384" t="str">
            <v>Não Comprou</v>
          </cell>
        </row>
        <row r="385">
          <cell r="A385">
            <v>1938125000120</v>
          </cell>
          <cell r="B385" t="str">
            <v>FARMACIA GAUCHA</v>
          </cell>
          <cell r="C385" t="str">
            <v>FARMARCAS</v>
          </cell>
          <cell r="D385" t="str">
            <v>IGUATEMI</v>
          </cell>
          <cell r="E385" t="str">
            <v>MS</v>
          </cell>
          <cell r="F385">
            <v>46309</v>
          </cell>
          <cell r="G385">
            <v>7456.0699999999979</v>
          </cell>
          <cell r="I385" t="str">
            <v>Comprou Marcas</v>
          </cell>
        </row>
        <row r="386">
          <cell r="A386">
            <v>10737685000450</v>
          </cell>
          <cell r="B386" t="str">
            <v>FARMACIA GALENA MANIPULACAO DE FORMULAS</v>
          </cell>
          <cell r="C386" t="str">
            <v>ECONOMIZE RONDONOPOLIS</v>
          </cell>
          <cell r="D386" t="str">
            <v>CACERES</v>
          </cell>
          <cell r="E386" t="str">
            <v>MT</v>
          </cell>
          <cell r="F386">
            <v>46311</v>
          </cell>
          <cell r="G386">
            <v>8672.0500000000011</v>
          </cell>
          <cell r="I386" t="str">
            <v>Comprou Marcas</v>
          </cell>
        </row>
        <row r="387">
          <cell r="A387">
            <v>10737685000530</v>
          </cell>
          <cell r="B387" t="str">
            <v>FARMACIA GALENA MANIPULACAO DE FORMULAS</v>
          </cell>
          <cell r="C387" t="str">
            <v>ECONOMIZE RONDONOPOLIS</v>
          </cell>
          <cell r="D387" t="str">
            <v>CAMPOS DE JULIO</v>
          </cell>
          <cell r="E387" t="str">
            <v>MT</v>
          </cell>
          <cell r="F387">
            <v>46303</v>
          </cell>
          <cell r="G387">
            <v>1446.1</v>
          </cell>
          <cell r="I387" t="str">
            <v>Comprou Marcas</v>
          </cell>
        </row>
        <row r="388">
          <cell r="A388">
            <v>4276276000158</v>
          </cell>
          <cell r="B388" t="str">
            <v>FARMACIA FLORAL</v>
          </cell>
          <cell r="C388" t="str">
            <v>INDEPENDENTES VIN</v>
          </cell>
          <cell r="D388" t="str">
            <v>MIRASSOL D'OESTE</v>
          </cell>
          <cell r="E388" t="str">
            <v>MT</v>
          </cell>
          <cell r="I388" t="str">
            <v>Não Comprou</v>
          </cell>
        </row>
        <row r="389">
          <cell r="A389">
            <v>2703345000137</v>
          </cell>
          <cell r="B389" t="str">
            <v>FARMACIA FLOR DE MAIO</v>
          </cell>
          <cell r="C389" t="str">
            <v>INDEPENDENTES VIN</v>
          </cell>
          <cell r="D389" t="str">
            <v>SINOP</v>
          </cell>
          <cell r="E389" t="str">
            <v>MT</v>
          </cell>
          <cell r="I389" t="str">
            <v>Não Comprou</v>
          </cell>
        </row>
        <row r="390">
          <cell r="A390">
            <v>9539583000106</v>
          </cell>
          <cell r="B390" t="str">
            <v>FARMACIA FLOR DE MAIO</v>
          </cell>
          <cell r="C390" t="str">
            <v>INDEPENDENTES VIN</v>
          </cell>
          <cell r="D390" t="str">
            <v>SINOP</v>
          </cell>
          <cell r="E390" t="str">
            <v>MT</v>
          </cell>
          <cell r="I390" t="str">
            <v>Não Comprou</v>
          </cell>
        </row>
        <row r="391">
          <cell r="A391">
            <v>35595811000167</v>
          </cell>
          <cell r="B391" t="str">
            <v>FARMACIA FLOR DE MAIO</v>
          </cell>
          <cell r="C391" t="str">
            <v>INDEPENDENTES VIN</v>
          </cell>
          <cell r="D391" t="str">
            <v>SINOP</v>
          </cell>
          <cell r="E391" t="str">
            <v>MT</v>
          </cell>
          <cell r="I391" t="str">
            <v>Não Comprou</v>
          </cell>
        </row>
        <row r="392">
          <cell r="A392">
            <v>13475688000108</v>
          </cell>
          <cell r="B392" t="str">
            <v>FARMACIA FLOR DE LIS</v>
          </cell>
          <cell r="C392" t="str">
            <v>ECONOMIZE RONDONOPOLIS</v>
          </cell>
          <cell r="D392" t="str">
            <v>PORTO ESPERIDIAO</v>
          </cell>
          <cell r="E392" t="str">
            <v>MT</v>
          </cell>
          <cell r="I392" t="str">
            <v>Não Comprou</v>
          </cell>
        </row>
        <row r="393">
          <cell r="A393">
            <v>44864960000175</v>
          </cell>
          <cell r="B393" t="str">
            <v>FARMACIA FAVORITA</v>
          </cell>
          <cell r="C393" t="str">
            <v>MASTERFARMA</v>
          </cell>
          <cell r="D393" t="str">
            <v>COXIM</v>
          </cell>
          <cell r="E393" t="str">
            <v>MS</v>
          </cell>
          <cell r="F393">
            <v>46304</v>
          </cell>
          <cell r="G393">
            <v>332.4</v>
          </cell>
          <cell r="I393" t="str">
            <v>Comprou Marcas</v>
          </cell>
        </row>
        <row r="394">
          <cell r="A394">
            <v>9652569000106</v>
          </cell>
          <cell r="B394" t="str">
            <v>FARMACIA FARMAVIDA</v>
          </cell>
          <cell r="C394" t="str">
            <v>HIPER SAUDE</v>
          </cell>
          <cell r="D394" t="str">
            <v>MUNDO NOVO</v>
          </cell>
          <cell r="E394" t="str">
            <v>MS</v>
          </cell>
          <cell r="F394">
            <v>46303</v>
          </cell>
          <cell r="G394">
            <v>2893.6899999999996</v>
          </cell>
          <cell r="I394" t="str">
            <v>Comprou Marcas</v>
          </cell>
        </row>
        <row r="395">
          <cell r="A395">
            <v>5051579000135</v>
          </cell>
          <cell r="B395" t="str">
            <v>FARMACIA FARMAMED</v>
          </cell>
          <cell r="C395" t="str">
            <v>INDEPENDENTES VIN</v>
          </cell>
          <cell r="D395" t="str">
            <v>COXIM</v>
          </cell>
          <cell r="E395" t="str">
            <v>MS</v>
          </cell>
          <cell r="I395" t="str">
            <v>Não Comprou</v>
          </cell>
        </row>
        <row r="396">
          <cell r="A396">
            <v>19934714000103</v>
          </cell>
          <cell r="B396" t="str">
            <v>FARMACIA FARMALITTER</v>
          </cell>
          <cell r="C396" t="str">
            <v>INDEPENDENTES VIN</v>
          </cell>
          <cell r="D396" t="str">
            <v>FATIMA DO SUL</v>
          </cell>
          <cell r="E396" t="str">
            <v>MS</v>
          </cell>
          <cell r="F396">
            <v>46310</v>
          </cell>
          <cell r="G396">
            <v>1597.62</v>
          </cell>
          <cell r="I396" t="str">
            <v>Comprou Marcas</v>
          </cell>
        </row>
        <row r="397">
          <cell r="A397">
            <v>9495338000136</v>
          </cell>
          <cell r="B397" t="str">
            <v>FARMACIA FARMACLIN</v>
          </cell>
          <cell r="C397" t="str">
            <v>HIPER SAUDE</v>
          </cell>
          <cell r="D397" t="str">
            <v>PONTA PORA</v>
          </cell>
          <cell r="E397" t="str">
            <v>MS</v>
          </cell>
          <cell r="F397">
            <v>46311</v>
          </cell>
          <cell r="G397">
            <v>3708.32</v>
          </cell>
          <cell r="I397" t="str">
            <v>Comprou Marcas</v>
          </cell>
        </row>
        <row r="398">
          <cell r="A398">
            <v>14324344000160</v>
          </cell>
          <cell r="B398" t="str">
            <v>FARMACIA FARMA 1000</v>
          </cell>
          <cell r="C398" t="str">
            <v>VIVER MAIS</v>
          </cell>
          <cell r="D398" t="str">
            <v>NAVIRAI</v>
          </cell>
          <cell r="E398" t="str">
            <v>MS</v>
          </cell>
          <cell r="F398">
            <v>46301</v>
          </cell>
          <cell r="H398">
            <v>752.04</v>
          </cell>
          <cell r="I398" t="str">
            <v>Comprou SG</v>
          </cell>
        </row>
        <row r="399">
          <cell r="A399">
            <v>26661675000175</v>
          </cell>
          <cell r="B399" t="str">
            <v>FARMACIA FARMA +</v>
          </cell>
          <cell r="C399" t="str">
            <v>FARMA &amp; FARMA</v>
          </cell>
          <cell r="D399" t="str">
            <v>SORRISO</v>
          </cell>
          <cell r="E399" t="str">
            <v>MT</v>
          </cell>
          <cell r="F399">
            <v>46311</v>
          </cell>
          <cell r="G399">
            <v>5795.35</v>
          </cell>
          <cell r="I399" t="str">
            <v>Comprou Marcas</v>
          </cell>
        </row>
        <row r="400">
          <cell r="A400">
            <v>54593917000176</v>
          </cell>
          <cell r="B400" t="str">
            <v>FARMACIA FAR MED</v>
          </cell>
          <cell r="C400" t="str">
            <v>INDEPENDENTES VIN</v>
          </cell>
          <cell r="D400" t="str">
            <v>CAMPO GRANDE</v>
          </cell>
          <cell r="E400" t="str">
            <v>MS</v>
          </cell>
          <cell r="I400" t="str">
            <v>Não Comprou</v>
          </cell>
        </row>
        <row r="401">
          <cell r="A401">
            <v>57629502000101</v>
          </cell>
          <cell r="B401" t="str">
            <v>FARMACIA ESSENCIAL</v>
          </cell>
          <cell r="C401" t="str">
            <v>INDEPENDENTES VIN</v>
          </cell>
          <cell r="D401" t="str">
            <v>PEDRO GOMES</v>
          </cell>
          <cell r="E401" t="str">
            <v>MS</v>
          </cell>
          <cell r="I401" t="str">
            <v>Não Comprou</v>
          </cell>
        </row>
        <row r="402">
          <cell r="A402">
            <v>8856967000181</v>
          </cell>
          <cell r="B402" t="str">
            <v>FARMACIA ECONOMIZE SINOP</v>
          </cell>
          <cell r="C402" t="str">
            <v>ECONOMIZE RONDONOPOLIS</v>
          </cell>
          <cell r="D402" t="str">
            <v>SINOP</v>
          </cell>
          <cell r="E402" t="str">
            <v>MT</v>
          </cell>
          <cell r="F402">
            <v>46303</v>
          </cell>
          <cell r="G402">
            <v>2642.61</v>
          </cell>
          <cell r="I402" t="str">
            <v>Comprou Marcas</v>
          </cell>
        </row>
        <row r="403">
          <cell r="A403">
            <v>8856967000262</v>
          </cell>
          <cell r="B403" t="str">
            <v>FARMACIA ECONOMIZE SINOP</v>
          </cell>
          <cell r="C403" t="str">
            <v>ECONOMIZE RONDONOPOLIS</v>
          </cell>
          <cell r="D403" t="str">
            <v>SINOP</v>
          </cell>
          <cell r="E403" t="str">
            <v>MT</v>
          </cell>
          <cell r="I403" t="str">
            <v>Não Comprou</v>
          </cell>
        </row>
        <row r="404">
          <cell r="A404">
            <v>8856967000343</v>
          </cell>
          <cell r="B404" t="str">
            <v>FARMACIA ECONOMIZE SINOP</v>
          </cell>
          <cell r="C404" t="str">
            <v>ECONOMIZE RONDONOPOLIS</v>
          </cell>
          <cell r="D404" t="str">
            <v>SINOP</v>
          </cell>
          <cell r="E404" t="str">
            <v>MT</v>
          </cell>
          <cell r="I404" t="str">
            <v>Não Comprou</v>
          </cell>
        </row>
        <row r="405">
          <cell r="A405">
            <v>8252612000183</v>
          </cell>
          <cell r="B405" t="str">
            <v>FARMACIA ECONOMIZE</v>
          </cell>
          <cell r="C405" t="str">
            <v>ECONOMIZE RONDONOPOLIS</v>
          </cell>
          <cell r="D405" t="str">
            <v>GUIRATINGA</v>
          </cell>
          <cell r="E405" t="str">
            <v>MT</v>
          </cell>
          <cell r="I405" t="str">
            <v>Não Comprou</v>
          </cell>
        </row>
        <row r="406">
          <cell r="A406">
            <v>10737685000107</v>
          </cell>
          <cell r="B406" t="str">
            <v>FARMACIA ECONOMIZE</v>
          </cell>
          <cell r="C406" t="str">
            <v>ECONOMIZE RONDONOPOLIS</v>
          </cell>
          <cell r="D406" t="str">
            <v>CACERES</v>
          </cell>
          <cell r="E406" t="str">
            <v>MT</v>
          </cell>
          <cell r="F406">
            <v>46311</v>
          </cell>
          <cell r="G406">
            <v>14440.700000000003</v>
          </cell>
          <cell r="I406" t="str">
            <v>Comprou Marcas</v>
          </cell>
        </row>
        <row r="407">
          <cell r="A407">
            <v>10737685000379</v>
          </cell>
          <cell r="B407" t="str">
            <v>FARMACIA ECONOMIZE</v>
          </cell>
          <cell r="C407" t="str">
            <v>ECONOMIZE RONDONOPOLIS</v>
          </cell>
          <cell r="D407" t="str">
            <v>CACERES</v>
          </cell>
          <cell r="E407" t="str">
            <v>MT</v>
          </cell>
          <cell r="F407">
            <v>46311</v>
          </cell>
          <cell r="G407">
            <v>11907.399999999998</v>
          </cell>
          <cell r="I407" t="str">
            <v>Comprou Marcas</v>
          </cell>
        </row>
        <row r="408">
          <cell r="A408">
            <v>53062463000144</v>
          </cell>
          <cell r="B408" t="str">
            <v>FARMACIA ECONOMIZE</v>
          </cell>
          <cell r="C408" t="str">
            <v>ECONOMIZE RONDONOPOLIS</v>
          </cell>
          <cell r="D408" t="str">
            <v>PONTES E LACERDA</v>
          </cell>
          <cell r="E408" t="str">
            <v>MT</v>
          </cell>
          <cell r="I408" t="str">
            <v>Não Comprou</v>
          </cell>
        </row>
        <row r="409">
          <cell r="A409">
            <v>2440068000206</v>
          </cell>
          <cell r="B409" t="str">
            <v>FARMACIA ECONOMIZE</v>
          </cell>
          <cell r="C409" t="str">
            <v>ECONOMIZE RONDONOPOLIS</v>
          </cell>
          <cell r="D409" t="str">
            <v>BARRA DO BUGRES</v>
          </cell>
          <cell r="E409" t="str">
            <v>MT</v>
          </cell>
          <cell r="F409">
            <v>46311</v>
          </cell>
          <cell r="G409">
            <v>3698.4700000000012</v>
          </cell>
          <cell r="I409" t="str">
            <v>Comprou Marcas</v>
          </cell>
        </row>
        <row r="410">
          <cell r="A410">
            <v>7217112000571</v>
          </cell>
          <cell r="B410" t="str">
            <v>FARMACIA ECONOMIZE</v>
          </cell>
          <cell r="C410" t="str">
            <v>ECONOMIZE RONDONOPOLIS</v>
          </cell>
          <cell r="D410" t="str">
            <v>NOVO DIAMANTINO (DIAMANTINO)</v>
          </cell>
          <cell r="E410" t="str">
            <v>MT</v>
          </cell>
          <cell r="F410">
            <v>46308</v>
          </cell>
          <cell r="G410">
            <v>2348.0100000000002</v>
          </cell>
          <cell r="I410" t="str">
            <v>Comprou Marcas</v>
          </cell>
        </row>
        <row r="411">
          <cell r="A411">
            <v>21013882000108</v>
          </cell>
          <cell r="B411" t="str">
            <v>FARMACIA ECONOMIZE</v>
          </cell>
          <cell r="C411" t="str">
            <v>ECONOMIZE RONDONOPOLIS</v>
          </cell>
          <cell r="D411" t="str">
            <v>LUCAS DO RIO VERDE</v>
          </cell>
          <cell r="E411" t="str">
            <v>MT</v>
          </cell>
          <cell r="F411">
            <v>46308</v>
          </cell>
          <cell r="G411">
            <v>22659.54</v>
          </cell>
          <cell r="I411" t="str">
            <v>Comprou Marcas</v>
          </cell>
        </row>
        <row r="412">
          <cell r="A412">
            <v>21013882000280</v>
          </cell>
          <cell r="B412" t="str">
            <v>FARMACIA ECONOMIZE</v>
          </cell>
          <cell r="C412" t="str">
            <v>ECONOMIZE RONDONOPOLIS</v>
          </cell>
          <cell r="D412" t="str">
            <v>LUCAS DO RIO VERDE</v>
          </cell>
          <cell r="E412" t="str">
            <v>MT</v>
          </cell>
          <cell r="F412">
            <v>46303</v>
          </cell>
          <cell r="G412">
            <v>4514.38</v>
          </cell>
          <cell r="I412" t="str">
            <v>Comprou Marcas</v>
          </cell>
        </row>
        <row r="413">
          <cell r="A413">
            <v>21013882000361</v>
          </cell>
          <cell r="B413" t="str">
            <v>FARMACIA ECONOMIZE</v>
          </cell>
          <cell r="C413" t="str">
            <v>ECONOMIZE RONDONOPOLIS</v>
          </cell>
          <cell r="D413" t="str">
            <v>LUCAS DO RIO VERDE</v>
          </cell>
          <cell r="E413" t="str">
            <v>MT</v>
          </cell>
          <cell r="F413">
            <v>46303</v>
          </cell>
          <cell r="G413">
            <v>4348.9500000000007</v>
          </cell>
          <cell r="I413" t="str">
            <v>Comprou Marcas</v>
          </cell>
        </row>
        <row r="414">
          <cell r="A414">
            <v>21013882000442</v>
          </cell>
          <cell r="B414" t="str">
            <v>FARMACIA ECONOMIZE</v>
          </cell>
          <cell r="C414" t="str">
            <v>ECONOMIZE RONDONOPOLIS</v>
          </cell>
          <cell r="D414" t="str">
            <v>LUCAS DO RIO VERDE</v>
          </cell>
          <cell r="E414" t="str">
            <v>MT</v>
          </cell>
          <cell r="F414">
            <v>46303</v>
          </cell>
          <cell r="G414">
            <v>4845.82</v>
          </cell>
          <cell r="I414" t="str">
            <v>Comprou Marcas</v>
          </cell>
        </row>
        <row r="415">
          <cell r="A415">
            <v>49413331000142</v>
          </cell>
          <cell r="B415" t="str">
            <v>FARMACIA ECONOMIZE</v>
          </cell>
          <cell r="C415" t="str">
            <v>ECONOMIZE RONDONOPOLIS</v>
          </cell>
          <cell r="D415" t="str">
            <v>PEIXOTO DE AZEVEDO</v>
          </cell>
          <cell r="E415" t="str">
            <v>MT</v>
          </cell>
          <cell r="I415" t="str">
            <v>Não Comprou</v>
          </cell>
        </row>
        <row r="416">
          <cell r="A416">
            <v>55133314000154</v>
          </cell>
          <cell r="B416" t="str">
            <v>FARMACIA ECONOMIZE</v>
          </cell>
          <cell r="C416" t="str">
            <v>ECONOMIZE RONDONOPOLIS</v>
          </cell>
          <cell r="D416" t="str">
            <v>SINOP</v>
          </cell>
          <cell r="E416" t="str">
            <v>MT</v>
          </cell>
          <cell r="I416" t="str">
            <v>Não Comprou</v>
          </cell>
        </row>
        <row r="417">
          <cell r="A417">
            <v>8954076000168</v>
          </cell>
          <cell r="B417" t="str">
            <v>FARMACIA ECONOMIZE</v>
          </cell>
          <cell r="C417" t="str">
            <v>ECONOMIZE RONDONOPOLIS</v>
          </cell>
          <cell r="D417" t="str">
            <v>PARANATINGA</v>
          </cell>
          <cell r="E417" t="str">
            <v>MT</v>
          </cell>
          <cell r="I417" t="str">
            <v>Não Comprou</v>
          </cell>
        </row>
        <row r="418">
          <cell r="A418">
            <v>8954076000320</v>
          </cell>
          <cell r="B418" t="str">
            <v>FARMACIA ECONOMIZE</v>
          </cell>
          <cell r="C418" t="str">
            <v>ECONOMIZE RONDONOPOLIS</v>
          </cell>
          <cell r="D418" t="str">
            <v>PARANATINGA</v>
          </cell>
          <cell r="E418" t="str">
            <v>MT</v>
          </cell>
          <cell r="I418" t="str">
            <v>Não Comprou</v>
          </cell>
        </row>
        <row r="419">
          <cell r="A419">
            <v>10693312000181</v>
          </cell>
          <cell r="B419" t="str">
            <v>FARMACIA ECONOMIZE</v>
          </cell>
          <cell r="C419" t="str">
            <v>ECONOMIZE RONDONOPOLIS</v>
          </cell>
          <cell r="D419" t="str">
            <v>PRIMAVERA DO LESTE</v>
          </cell>
          <cell r="E419" t="str">
            <v>MT</v>
          </cell>
          <cell r="F419">
            <v>46311</v>
          </cell>
          <cell r="G419">
            <v>6317.5499999999993</v>
          </cell>
          <cell r="H419">
            <v>3827.22</v>
          </cell>
          <cell r="I419" t="str">
            <v>Comprou Marcas e SG</v>
          </cell>
        </row>
        <row r="420">
          <cell r="A420">
            <v>10693312000505</v>
          </cell>
          <cell r="B420" t="str">
            <v>FARMACIA ECONOMIZE</v>
          </cell>
          <cell r="C420" t="str">
            <v>ECONOMIZE RONDONOPOLIS</v>
          </cell>
          <cell r="D420" t="str">
            <v>PRIMAVERA DO LESTE</v>
          </cell>
          <cell r="E420" t="str">
            <v>MT</v>
          </cell>
          <cell r="F420">
            <v>46311</v>
          </cell>
          <cell r="G420">
            <v>13354.600000000004</v>
          </cell>
          <cell r="H420">
            <v>1626.0500000000002</v>
          </cell>
          <cell r="I420" t="str">
            <v>Comprou Marcas e SG</v>
          </cell>
        </row>
        <row r="421">
          <cell r="A421">
            <v>25043201000105</v>
          </cell>
          <cell r="B421" t="str">
            <v>FARMACIA ECONOMIZE</v>
          </cell>
          <cell r="C421" t="str">
            <v>ECONOMIZE RONDONOPOLIS</v>
          </cell>
          <cell r="D421" t="str">
            <v>ALTO GARCAS</v>
          </cell>
          <cell r="E421" t="str">
            <v>MT</v>
          </cell>
          <cell r="I421" t="str">
            <v>Não Comprou</v>
          </cell>
        </row>
        <row r="422">
          <cell r="A422">
            <v>15302745000182</v>
          </cell>
          <cell r="B422" t="str">
            <v>FARMACIA ECONOMICA</v>
          </cell>
          <cell r="C422" t="str">
            <v>ASSOCIADAS</v>
          </cell>
          <cell r="D422" t="str">
            <v>ITAPORA</v>
          </cell>
          <cell r="E422" t="str">
            <v>MS</v>
          </cell>
          <cell r="I422" t="str">
            <v>Não Comprou</v>
          </cell>
        </row>
        <row r="423">
          <cell r="A423">
            <v>18876606000231</v>
          </cell>
          <cell r="B423" t="str">
            <v>FARMACIA ECCOCHAPADA</v>
          </cell>
          <cell r="C423" t="str">
            <v>INDEPENDENTES VIN</v>
          </cell>
          <cell r="D423" t="str">
            <v>CUIABA</v>
          </cell>
          <cell r="E423" t="str">
            <v>MT</v>
          </cell>
          <cell r="I423" t="str">
            <v>Não Comprou</v>
          </cell>
        </row>
        <row r="424">
          <cell r="A424">
            <v>43533082000142</v>
          </cell>
          <cell r="B424" t="str">
            <v>FARMACIA E DROGARIA XAVIER</v>
          </cell>
          <cell r="C424" t="str">
            <v>INDEPENDENTES VIN</v>
          </cell>
          <cell r="D424" t="str">
            <v>ANDRADINA</v>
          </cell>
          <cell r="E424" t="str">
            <v>SP</v>
          </cell>
          <cell r="I424" t="str">
            <v>Não Comprou</v>
          </cell>
        </row>
        <row r="425">
          <cell r="A425">
            <v>29809750000190</v>
          </cell>
          <cell r="B425" t="str">
            <v>FARMACIA E DROGARIA DROGACERTA</v>
          </cell>
          <cell r="C425" t="str">
            <v>INDEPENDENTES VIN</v>
          </cell>
          <cell r="D425" t="str">
            <v>ALTO ARAGUAIA</v>
          </cell>
          <cell r="E425" t="str">
            <v>MT</v>
          </cell>
          <cell r="I425" t="str">
            <v>Não Comprou</v>
          </cell>
        </row>
        <row r="426">
          <cell r="A426">
            <v>15946916000106</v>
          </cell>
          <cell r="B426" t="str">
            <v>FARMACIA E DROGARIA BIOTEC</v>
          </cell>
          <cell r="C426" t="str">
            <v>HIPER SAUDE</v>
          </cell>
          <cell r="D426" t="str">
            <v>ALTA FLORESTA</v>
          </cell>
          <cell r="E426" t="str">
            <v>MT</v>
          </cell>
          <cell r="F426">
            <v>46311</v>
          </cell>
          <cell r="G426">
            <v>3433.22</v>
          </cell>
          <cell r="I426" t="str">
            <v>Comprou Marcas</v>
          </cell>
        </row>
        <row r="427">
          <cell r="A427">
            <v>10695648000183</v>
          </cell>
          <cell r="B427" t="str">
            <v>FARMACIA DROGANOSSA</v>
          </cell>
          <cell r="C427" t="str">
            <v>HIPER SAUDE</v>
          </cell>
          <cell r="D427" t="str">
            <v>AMAMBAI</v>
          </cell>
          <cell r="E427" t="str">
            <v>MS</v>
          </cell>
          <cell r="F427">
            <v>46311</v>
          </cell>
          <cell r="G427">
            <v>3322.1599999999994</v>
          </cell>
          <cell r="I427" t="str">
            <v>Comprou Marcas</v>
          </cell>
        </row>
        <row r="428">
          <cell r="A428">
            <v>43000736000172</v>
          </cell>
          <cell r="B428" t="str">
            <v>FARMACIA DROGACITY</v>
          </cell>
          <cell r="C428" t="str">
            <v>INDEPENDENTES VIN</v>
          </cell>
          <cell r="D428" t="str">
            <v>ADAMANTINA</v>
          </cell>
          <cell r="E428" t="str">
            <v>SP</v>
          </cell>
          <cell r="F428">
            <v>46303</v>
          </cell>
          <cell r="G428">
            <v>1054.18</v>
          </cell>
          <cell r="I428" t="str">
            <v>Comprou Marcas</v>
          </cell>
        </row>
        <row r="429">
          <cell r="A429">
            <v>35633493000181</v>
          </cell>
          <cell r="B429" t="str">
            <v>FARMACIA DOM ORIONE</v>
          </cell>
          <cell r="C429" t="str">
            <v>HIPER SAUDE</v>
          </cell>
          <cell r="D429" t="str">
            <v>GUARARAPES</v>
          </cell>
          <cell r="E429" t="str">
            <v>SP</v>
          </cell>
          <cell r="F429">
            <v>46311</v>
          </cell>
          <cell r="G429">
            <v>484.19</v>
          </cell>
          <cell r="I429" t="str">
            <v>Comprou Marcas</v>
          </cell>
        </row>
        <row r="430">
          <cell r="A430">
            <v>11318768000124</v>
          </cell>
          <cell r="B430" t="str">
            <v>FARMACIA DOIS IRMAOS</v>
          </cell>
          <cell r="C430" t="str">
            <v>MULTIDROGAS</v>
          </cell>
          <cell r="D430" t="str">
            <v>INOCENCIA</v>
          </cell>
          <cell r="E430" t="str">
            <v>MS</v>
          </cell>
          <cell r="I430" t="str">
            <v>Não Comprou</v>
          </cell>
        </row>
        <row r="431">
          <cell r="A431">
            <v>9516908000127</v>
          </cell>
          <cell r="B431" t="str">
            <v>FARMACIA DO ZENILDO</v>
          </cell>
          <cell r="C431" t="str">
            <v>MASTERFARMA</v>
          </cell>
          <cell r="D431" t="str">
            <v>SETE QUEDAS</v>
          </cell>
          <cell r="E431" t="str">
            <v>MS</v>
          </cell>
          <cell r="F431">
            <v>46303</v>
          </cell>
          <cell r="G431">
            <v>220.76</v>
          </cell>
          <cell r="I431" t="str">
            <v>Comprou Marcas</v>
          </cell>
        </row>
        <row r="432">
          <cell r="A432">
            <v>18208965000130</v>
          </cell>
          <cell r="B432" t="str">
            <v>FARMACIA DO POVO</v>
          </cell>
          <cell r="C432" t="str">
            <v>HIPER SAUDE</v>
          </cell>
          <cell r="D432" t="str">
            <v>AGUA CLARA</v>
          </cell>
          <cell r="E432" t="str">
            <v>MS</v>
          </cell>
          <cell r="F432">
            <v>46311</v>
          </cell>
          <cell r="G432">
            <v>155.74</v>
          </cell>
          <cell r="I432" t="str">
            <v>Comprou Marcas</v>
          </cell>
        </row>
        <row r="433">
          <cell r="A433">
            <v>15558177000347</v>
          </cell>
          <cell r="B433" t="str">
            <v>FARMACIA DO POLACO</v>
          </cell>
          <cell r="C433" t="str">
            <v>INDEPENDENTES VIN</v>
          </cell>
          <cell r="D433" t="str">
            <v>COLIDER</v>
          </cell>
          <cell r="E433" t="str">
            <v>MT</v>
          </cell>
          <cell r="F433">
            <v>46309</v>
          </cell>
          <cell r="G433">
            <v>962.86</v>
          </cell>
          <cell r="I433" t="str">
            <v>Comprou Marcas</v>
          </cell>
        </row>
        <row r="434">
          <cell r="A434">
            <v>2021988000109</v>
          </cell>
          <cell r="B434" t="str">
            <v>FARMACIA DO JOAO E DROGARIA</v>
          </cell>
          <cell r="C434" t="str">
            <v>INDEPENDENTES VIN</v>
          </cell>
          <cell r="D434" t="str">
            <v>AGUA CLARA</v>
          </cell>
          <cell r="E434" t="str">
            <v>MS</v>
          </cell>
          <cell r="I434" t="str">
            <v>Não Comprou</v>
          </cell>
        </row>
        <row r="435">
          <cell r="A435">
            <v>41955400000138</v>
          </cell>
          <cell r="B435" t="str">
            <v>FARMACIA DO CLOVIS</v>
          </cell>
          <cell r="C435" t="str">
            <v>INDEPENDENTES VIN</v>
          </cell>
          <cell r="D435" t="str">
            <v>BONITO</v>
          </cell>
          <cell r="E435" t="str">
            <v>MS</v>
          </cell>
          <cell r="I435" t="str">
            <v>Não Comprou</v>
          </cell>
        </row>
        <row r="436">
          <cell r="A436">
            <v>23202523000116</v>
          </cell>
          <cell r="B436" t="str">
            <v>FARMACIA DO ADILSON</v>
          </cell>
          <cell r="C436" t="str">
            <v>ASSOCIADAS</v>
          </cell>
          <cell r="D436" t="str">
            <v>ITIQUIRA</v>
          </cell>
          <cell r="E436" t="str">
            <v>MT</v>
          </cell>
          <cell r="F436">
            <v>46311</v>
          </cell>
          <cell r="G436">
            <v>5617.3</v>
          </cell>
          <cell r="I436" t="str">
            <v>Comprou Marcas</v>
          </cell>
        </row>
        <row r="437">
          <cell r="A437">
            <v>27104567000164</v>
          </cell>
          <cell r="B437" t="str">
            <v>FARMACIA CV POPULAR</v>
          </cell>
          <cell r="C437" t="str">
            <v>ASSOCIADAS</v>
          </cell>
          <cell r="D437" t="str">
            <v>CAMPO GRANDE</v>
          </cell>
          <cell r="E437" t="str">
            <v>MS</v>
          </cell>
          <cell r="F437">
            <v>46302</v>
          </cell>
          <cell r="G437">
            <v>835.42999999999984</v>
          </cell>
          <cell r="I437" t="str">
            <v>Comprou Marcas</v>
          </cell>
        </row>
        <row r="438">
          <cell r="A438">
            <v>73399826000149</v>
          </cell>
          <cell r="B438" t="str">
            <v>FARMACIA CRISTO REI LTDA-</v>
          </cell>
          <cell r="C438" t="str">
            <v>DSG FARMA</v>
          </cell>
          <cell r="D438" t="str">
            <v>CAMPO GRANDE</v>
          </cell>
          <cell r="E438" t="str">
            <v>MS</v>
          </cell>
          <cell r="I438" t="str">
            <v>Não Comprou</v>
          </cell>
        </row>
        <row r="439">
          <cell r="A439">
            <v>21287037000112</v>
          </cell>
          <cell r="B439" t="str">
            <v>FARMACIA CONFIANCA</v>
          </cell>
          <cell r="C439" t="str">
            <v>INDEPENDENTES VIN</v>
          </cell>
          <cell r="D439" t="str">
            <v>BATAGUASSU</v>
          </cell>
          <cell r="E439" t="str">
            <v>MS</v>
          </cell>
          <cell r="I439" t="str">
            <v>Não Comprou</v>
          </cell>
        </row>
        <row r="440">
          <cell r="A440">
            <v>597452000100</v>
          </cell>
          <cell r="B440" t="str">
            <v>FARMACIA CENTRO AMERICA</v>
          </cell>
          <cell r="C440" t="str">
            <v>HIPER SAUDE</v>
          </cell>
          <cell r="D440" t="str">
            <v>CUIABA</v>
          </cell>
          <cell r="E440" t="str">
            <v>MT</v>
          </cell>
          <cell r="I440" t="str">
            <v>Não Comprou</v>
          </cell>
        </row>
        <row r="441">
          <cell r="A441">
            <v>11288508000153</v>
          </cell>
          <cell r="B441" t="str">
            <v>FARMACIA CENTRAL</v>
          </cell>
          <cell r="C441" t="str">
            <v>MASTERFARMA</v>
          </cell>
          <cell r="D441" t="str">
            <v>BONITO</v>
          </cell>
          <cell r="E441" t="str">
            <v>MS</v>
          </cell>
          <cell r="I441" t="str">
            <v>Não Comprou</v>
          </cell>
        </row>
        <row r="442">
          <cell r="A442">
            <v>13280617000150</v>
          </cell>
          <cell r="B442" t="str">
            <v>FARMACIA CENTRAL</v>
          </cell>
          <cell r="C442" t="str">
            <v>INDEPENDENTES VIN</v>
          </cell>
          <cell r="D442" t="str">
            <v>IVINHEMA</v>
          </cell>
          <cell r="E442" t="str">
            <v>MS</v>
          </cell>
          <cell r="F442">
            <v>46311</v>
          </cell>
          <cell r="G442">
            <v>2181.7900000000004</v>
          </cell>
          <cell r="I442" t="str">
            <v>Comprou Marcas</v>
          </cell>
        </row>
        <row r="443">
          <cell r="A443">
            <v>9559619000105</v>
          </cell>
          <cell r="B443" t="str">
            <v>FARMACIA CENTRAL</v>
          </cell>
          <cell r="C443" t="str">
            <v>ASSOCIADAS</v>
          </cell>
          <cell r="D443" t="str">
            <v>ALTO ARAGUAIA</v>
          </cell>
          <cell r="E443" t="str">
            <v>MT</v>
          </cell>
          <cell r="I443" t="str">
            <v>Não Comprou</v>
          </cell>
        </row>
        <row r="444">
          <cell r="A444">
            <v>9165147000106</v>
          </cell>
          <cell r="B444" t="str">
            <v>FARMACIA BRASIL</v>
          </cell>
          <cell r="C444" t="str">
            <v>INDEPENDENTES VIN</v>
          </cell>
          <cell r="D444" t="str">
            <v>ITAQUIRAI</v>
          </cell>
          <cell r="E444" t="str">
            <v>MS</v>
          </cell>
          <cell r="I444" t="str">
            <v>Não Comprou</v>
          </cell>
        </row>
        <row r="445">
          <cell r="A445">
            <v>49841927000143</v>
          </cell>
          <cell r="B445" t="str">
            <v>FARMACIA BRASIL</v>
          </cell>
          <cell r="C445" t="str">
            <v>DROGARIA TOTAL</v>
          </cell>
          <cell r="D445" t="str">
            <v>REGENTE FEIJO</v>
          </cell>
          <cell r="E445" t="str">
            <v>SP</v>
          </cell>
          <cell r="I445" t="str">
            <v>Não Comprou</v>
          </cell>
        </row>
        <row r="446">
          <cell r="A446">
            <v>12909312000100</v>
          </cell>
          <cell r="B446" t="str">
            <v>FARMACIA BIOFARMA</v>
          </cell>
          <cell r="C446" t="str">
            <v>ASSOCIADAS</v>
          </cell>
          <cell r="D446" t="str">
            <v>NOVA MUTUM</v>
          </cell>
          <cell r="E446" t="str">
            <v>MT</v>
          </cell>
          <cell r="F446">
            <v>46310</v>
          </cell>
          <cell r="G446">
            <v>1446.1299999999997</v>
          </cell>
          <cell r="I446" t="str">
            <v>Comprou Marcas</v>
          </cell>
        </row>
        <row r="447">
          <cell r="A447">
            <v>4965393000129</v>
          </cell>
          <cell r="B447" t="str">
            <v>FARMACIA BIOFARMA</v>
          </cell>
          <cell r="C447" t="str">
            <v>COMPRE BEM</v>
          </cell>
          <cell r="D447" t="str">
            <v>PRIMAVERA DO LESTE</v>
          </cell>
          <cell r="E447" t="str">
            <v>MT</v>
          </cell>
          <cell r="F447">
            <v>46303</v>
          </cell>
          <cell r="G447">
            <v>3296.63</v>
          </cell>
          <cell r="I447" t="str">
            <v>Comprou Marcas</v>
          </cell>
        </row>
        <row r="448">
          <cell r="A448">
            <v>33964781000193</v>
          </cell>
          <cell r="B448" t="str">
            <v>FARMACIA BEM MAIS POPULAR</v>
          </cell>
          <cell r="C448" t="str">
            <v>FARMAIS</v>
          </cell>
          <cell r="D448" t="str">
            <v>BIRIGUI</v>
          </cell>
          <cell r="E448" t="str">
            <v>SP</v>
          </cell>
          <cell r="F448">
            <v>46296</v>
          </cell>
          <cell r="H448">
            <v>373.39</v>
          </cell>
          <cell r="I448" t="str">
            <v>Comprou SG</v>
          </cell>
        </row>
        <row r="449">
          <cell r="A449">
            <v>30455750000119</v>
          </cell>
          <cell r="B449" t="str">
            <v>FARMACIA BEM ESTAR</v>
          </cell>
          <cell r="C449" t="str">
            <v>MASTERFARMA</v>
          </cell>
          <cell r="D449" t="str">
            <v>AMAMBAI</v>
          </cell>
          <cell r="E449" t="str">
            <v>MS</v>
          </cell>
          <cell r="F449">
            <v>46303</v>
          </cell>
          <cell r="G449">
            <v>247.95</v>
          </cell>
          <cell r="I449" t="str">
            <v>Comprou Marcas</v>
          </cell>
        </row>
        <row r="450">
          <cell r="A450">
            <v>6940115000142</v>
          </cell>
          <cell r="B450" t="str">
            <v>FARMACIA BEM ESTAR</v>
          </cell>
          <cell r="C450" t="str">
            <v>REDE INOVA</v>
          </cell>
          <cell r="D450" t="str">
            <v>SINOP</v>
          </cell>
          <cell r="E450" t="str">
            <v>MT</v>
          </cell>
          <cell r="F450">
            <v>46308</v>
          </cell>
          <cell r="G450">
            <v>225.22</v>
          </cell>
          <cell r="I450" t="str">
            <v>Comprou Marcas</v>
          </cell>
        </row>
        <row r="451">
          <cell r="A451">
            <v>33586036000158</v>
          </cell>
          <cell r="B451" t="str">
            <v>FARMACIA BEM ESTAR</v>
          </cell>
          <cell r="C451" t="str">
            <v>INDEPENDENTES VIN</v>
          </cell>
          <cell r="D451" t="str">
            <v>SINOP</v>
          </cell>
          <cell r="E451" t="str">
            <v>MT</v>
          </cell>
          <cell r="I451" t="str">
            <v>Não Comprou</v>
          </cell>
        </row>
        <row r="452">
          <cell r="A452">
            <v>30890084000147</v>
          </cell>
          <cell r="B452" t="str">
            <v>FARMACIA AVENIDA</v>
          </cell>
          <cell r="C452" t="str">
            <v>INDEPENDENTES VIN</v>
          </cell>
          <cell r="D452" t="str">
            <v>DEODAPOLIS</v>
          </cell>
          <cell r="E452" t="str">
            <v>MS</v>
          </cell>
          <cell r="F452">
            <v>46310</v>
          </cell>
          <cell r="G452">
            <v>211.90999999999997</v>
          </cell>
          <cell r="I452" t="str">
            <v>Comprou Marcas</v>
          </cell>
        </row>
        <row r="453">
          <cell r="A453">
            <v>52837594000193</v>
          </cell>
          <cell r="B453" t="str">
            <v>FARMACIA AMARELINHA POPULAR</v>
          </cell>
          <cell r="C453" t="str">
            <v>INDEPENDENTES VIN</v>
          </cell>
          <cell r="D453" t="str">
            <v>NOVA OLIMPIA</v>
          </cell>
          <cell r="E453" t="str">
            <v>MT</v>
          </cell>
          <cell r="I453" t="str">
            <v>Não Comprou</v>
          </cell>
        </row>
        <row r="454">
          <cell r="A454">
            <v>22954090000192</v>
          </cell>
          <cell r="B454" t="str">
            <v>FARMACIA ALMEIDA + POPULAR</v>
          </cell>
          <cell r="C454" t="str">
            <v>INDEPENDENTES VIN</v>
          </cell>
          <cell r="D454" t="str">
            <v>SAPEZAL</v>
          </cell>
          <cell r="E454" t="str">
            <v>MT</v>
          </cell>
          <cell r="I454" t="str">
            <v>Não Comprou</v>
          </cell>
        </row>
        <row r="455">
          <cell r="A455">
            <v>52479223000187</v>
          </cell>
          <cell r="B455" t="str">
            <v>FARMACIA ALAMEDA</v>
          </cell>
          <cell r="C455" t="str">
            <v>COMPRE BEM</v>
          </cell>
          <cell r="D455" t="str">
            <v>VARZEA GRANDE</v>
          </cell>
          <cell r="E455" t="str">
            <v>MT</v>
          </cell>
          <cell r="I455" t="str">
            <v>Não Comprou</v>
          </cell>
        </row>
        <row r="456">
          <cell r="A456">
            <v>50372246000162</v>
          </cell>
          <cell r="B456" t="str">
            <v>FARMACIA + SAUDE</v>
          </cell>
          <cell r="C456" t="str">
            <v>INDEPENDENTES VIN</v>
          </cell>
          <cell r="D456" t="str">
            <v>TRES LAGOAS</v>
          </cell>
          <cell r="E456" t="str">
            <v>MS</v>
          </cell>
          <cell r="I456" t="str">
            <v>Não Comprou</v>
          </cell>
        </row>
        <row r="457">
          <cell r="A457">
            <v>49674943000199</v>
          </cell>
          <cell r="B457" t="str">
            <v>FARMACIA + POPULAR</v>
          </cell>
          <cell r="C457" t="str">
            <v>INDEPENDENTES VIN</v>
          </cell>
          <cell r="D457" t="str">
            <v>DOURADOS</v>
          </cell>
          <cell r="E457" t="str">
            <v>MS</v>
          </cell>
          <cell r="F457">
            <v>46310</v>
          </cell>
          <cell r="G457">
            <v>119.08</v>
          </cell>
          <cell r="I457" t="str">
            <v>Comprou Marcas</v>
          </cell>
        </row>
        <row r="458">
          <cell r="A458">
            <v>28800059000345</v>
          </cell>
          <cell r="B458" t="str">
            <v>FARMACIA + ECONOMICA LADARIO</v>
          </cell>
          <cell r="C458" t="str">
            <v>INDEPENDENTES VIN</v>
          </cell>
          <cell r="D458" t="str">
            <v>LADARIO</v>
          </cell>
          <cell r="E458" t="str">
            <v>MS</v>
          </cell>
          <cell r="F458">
            <v>46311</v>
          </cell>
          <cell r="G458">
            <v>845.59999999999991</v>
          </cell>
          <cell r="H458">
            <v>4066.43</v>
          </cell>
          <cell r="I458" t="str">
            <v>Comprou Marcas e SG</v>
          </cell>
        </row>
        <row r="459">
          <cell r="A459">
            <v>28800059000264</v>
          </cell>
          <cell r="B459" t="str">
            <v>FARMACIA + ECONOMICA</v>
          </cell>
          <cell r="C459" t="str">
            <v>INDEPENDENTES VIN</v>
          </cell>
          <cell r="D459" t="str">
            <v>CORUMBA</v>
          </cell>
          <cell r="E459" t="str">
            <v>MS</v>
          </cell>
          <cell r="F459">
            <v>46311</v>
          </cell>
          <cell r="G459">
            <v>33317.93</v>
          </cell>
          <cell r="H459">
            <v>12694.879999999997</v>
          </cell>
          <cell r="I459" t="str">
            <v>Comprou Marcas e SG</v>
          </cell>
        </row>
        <row r="460">
          <cell r="A460">
            <v>569000000107</v>
          </cell>
          <cell r="B460" t="str">
            <v>FARMACIA &amp; SAUDE</v>
          </cell>
          <cell r="C460" t="str">
            <v>DSG FARMA</v>
          </cell>
          <cell r="D460" t="str">
            <v>ITAPORA</v>
          </cell>
          <cell r="E460" t="str">
            <v>MS</v>
          </cell>
          <cell r="I460" t="str">
            <v>Não Comprou</v>
          </cell>
        </row>
        <row r="461">
          <cell r="A461">
            <v>52189626000191</v>
          </cell>
          <cell r="B461" t="str">
            <v>FARMABEM</v>
          </cell>
          <cell r="C461" t="str">
            <v>INDEPENDENTES VIN</v>
          </cell>
          <cell r="D461" t="str">
            <v>CUIABA</v>
          </cell>
          <cell r="E461" t="str">
            <v>MT</v>
          </cell>
          <cell r="I461" t="str">
            <v>Não Comprou</v>
          </cell>
        </row>
        <row r="462">
          <cell r="A462">
            <v>3662213000177</v>
          </cell>
          <cell r="B462" t="str">
            <v>FARMA VIDA II</v>
          </cell>
          <cell r="C462" t="str">
            <v>INDEPENDENTES VIN</v>
          </cell>
          <cell r="D462" t="str">
            <v>TRES LAGOAS</v>
          </cell>
          <cell r="E462" t="str">
            <v>MS</v>
          </cell>
          <cell r="F462">
            <v>46304</v>
          </cell>
          <cell r="G462">
            <v>463.82</v>
          </cell>
          <cell r="I462" t="str">
            <v>Comprou Marcas</v>
          </cell>
        </row>
        <row r="463">
          <cell r="A463">
            <v>30274933000138</v>
          </cell>
          <cell r="B463" t="str">
            <v>FARMA VIDA</v>
          </cell>
          <cell r="C463" t="str">
            <v>ASSOCIADAS</v>
          </cell>
          <cell r="D463" t="str">
            <v>RONDONOPOLIS</v>
          </cell>
          <cell r="E463" t="str">
            <v>MT</v>
          </cell>
          <cell r="F463">
            <v>46303</v>
          </cell>
          <cell r="G463">
            <v>1654.64</v>
          </cell>
          <cell r="I463" t="str">
            <v>Comprou Marcas</v>
          </cell>
        </row>
        <row r="464">
          <cell r="A464">
            <v>11751725000138</v>
          </cell>
          <cell r="B464" t="str">
            <v>FARMA VIDA</v>
          </cell>
          <cell r="C464" t="str">
            <v>BIODROGAS</v>
          </cell>
          <cell r="D464" t="str">
            <v>INDIANA</v>
          </cell>
          <cell r="E464" t="str">
            <v>SP</v>
          </cell>
          <cell r="F464">
            <v>46302</v>
          </cell>
          <cell r="G464">
            <v>80.010000000000005</v>
          </cell>
          <cell r="I464" t="str">
            <v>Comprou Marcas</v>
          </cell>
        </row>
        <row r="465">
          <cell r="A465">
            <v>15056307000181</v>
          </cell>
          <cell r="B465" t="str">
            <v>FARMA VIDA</v>
          </cell>
          <cell r="C465" t="str">
            <v>REDE INOVA</v>
          </cell>
          <cell r="D465" t="str">
            <v>FLORIDA PAULISTA</v>
          </cell>
          <cell r="E465" t="str">
            <v>SP</v>
          </cell>
          <cell r="I465" t="str">
            <v>Não Comprou</v>
          </cell>
        </row>
        <row r="466">
          <cell r="A466">
            <v>8476603000176</v>
          </cell>
          <cell r="B466" t="str">
            <v>FARMA VIDA</v>
          </cell>
          <cell r="C466" t="str">
            <v>INDEPENDENTES VIN</v>
          </cell>
          <cell r="D466" t="str">
            <v>TRES LAGOAS</v>
          </cell>
          <cell r="E466" t="str">
            <v>MS</v>
          </cell>
          <cell r="F466">
            <v>46297</v>
          </cell>
          <cell r="G466">
            <v>2070.2999999999997</v>
          </cell>
          <cell r="I466" t="str">
            <v>Comprou Marcas</v>
          </cell>
        </row>
        <row r="467">
          <cell r="A467">
            <v>12476127000160</v>
          </cell>
          <cell r="B467" t="str">
            <v>FARMA VIDA</v>
          </cell>
          <cell r="C467" t="str">
            <v>MASTERFARMA</v>
          </cell>
          <cell r="D467" t="str">
            <v>INOCENCIA</v>
          </cell>
          <cell r="E467" t="str">
            <v>MS</v>
          </cell>
          <cell r="F467">
            <v>46309</v>
          </cell>
          <cell r="G467">
            <v>3857.65</v>
          </cell>
          <cell r="I467" t="str">
            <v>Comprou Marcas</v>
          </cell>
        </row>
        <row r="468">
          <cell r="A468">
            <v>47541257000114</v>
          </cell>
          <cell r="B468" t="str">
            <v>FARMA TCHE</v>
          </cell>
          <cell r="C468" t="str">
            <v>INDEPENDENTES VIN</v>
          </cell>
          <cell r="D468" t="str">
            <v>ARAGUAIANA</v>
          </cell>
          <cell r="E468" t="str">
            <v>MT</v>
          </cell>
          <cell r="I468" t="str">
            <v>Não Comprou</v>
          </cell>
        </row>
        <row r="469">
          <cell r="A469">
            <v>33909525000101</v>
          </cell>
          <cell r="B469" t="str">
            <v>FARMA SAUDE</v>
          </cell>
          <cell r="C469" t="str">
            <v>DSG FARMA</v>
          </cell>
          <cell r="D469" t="str">
            <v>SINOP</v>
          </cell>
          <cell r="E469" t="str">
            <v>MT</v>
          </cell>
          <cell r="F469">
            <v>46301</v>
          </cell>
          <cell r="G469">
            <v>500.28000000000003</v>
          </cell>
          <cell r="I469" t="str">
            <v>Comprou Marcas</v>
          </cell>
        </row>
        <row r="470">
          <cell r="A470">
            <v>5382051000149</v>
          </cell>
          <cell r="B470" t="str">
            <v>FARMA REAL</v>
          </cell>
          <cell r="C470" t="str">
            <v>ASSOCIADAS</v>
          </cell>
          <cell r="D470" t="str">
            <v>DOURADOS</v>
          </cell>
          <cell r="E470" t="str">
            <v>MS</v>
          </cell>
          <cell r="F470">
            <v>46308</v>
          </cell>
          <cell r="G470">
            <v>308.02999999999997</v>
          </cell>
          <cell r="I470" t="str">
            <v>Comprou Marcas</v>
          </cell>
        </row>
        <row r="471">
          <cell r="A471">
            <v>20119949000201</v>
          </cell>
          <cell r="B471" t="str">
            <v>FARMA POPULAR</v>
          </cell>
          <cell r="C471" t="str">
            <v>ASSOCIADAS</v>
          </cell>
          <cell r="D471" t="str">
            <v>CAMPO GRANDE</v>
          </cell>
          <cell r="E471" t="str">
            <v>MS</v>
          </cell>
          <cell r="F471">
            <v>46309</v>
          </cell>
          <cell r="G471">
            <v>2359.94</v>
          </cell>
          <cell r="I471" t="str">
            <v>Comprou Marcas</v>
          </cell>
        </row>
        <row r="472">
          <cell r="A472">
            <v>21206725000100</v>
          </cell>
          <cell r="B472" t="str">
            <v>FARMA POPULAR</v>
          </cell>
          <cell r="C472" t="str">
            <v>HIPER SAUDE</v>
          </cell>
          <cell r="D472" t="str">
            <v>CUIABA</v>
          </cell>
          <cell r="E472" t="str">
            <v>MT</v>
          </cell>
          <cell r="F472">
            <v>46303</v>
          </cell>
          <cell r="G472">
            <v>137.85</v>
          </cell>
          <cell r="I472" t="str">
            <v>Comprou Marcas</v>
          </cell>
        </row>
        <row r="473">
          <cell r="A473">
            <v>26476385000151</v>
          </cell>
          <cell r="B473" t="str">
            <v>FARMA POPULAR</v>
          </cell>
          <cell r="C473" t="str">
            <v>FARMARCAS</v>
          </cell>
          <cell r="D473" t="str">
            <v>CLAUDIA</v>
          </cell>
          <cell r="E473" t="str">
            <v>MT</v>
          </cell>
          <cell r="F473">
            <v>46303</v>
          </cell>
          <cell r="G473">
            <v>2995.5400000000004</v>
          </cell>
          <cell r="I473" t="str">
            <v>Comprou Marcas</v>
          </cell>
        </row>
        <row r="474">
          <cell r="A474">
            <v>51190802000142</v>
          </cell>
          <cell r="B474" t="str">
            <v>FARMA POP</v>
          </cell>
          <cell r="C474" t="str">
            <v>HIPER SAUDE</v>
          </cell>
          <cell r="D474" t="str">
            <v>PARAISO DAS AGUAS</v>
          </cell>
          <cell r="E474" t="str">
            <v>MS</v>
          </cell>
          <cell r="F474">
            <v>46308</v>
          </cell>
          <cell r="G474">
            <v>2618.59</v>
          </cell>
          <cell r="I474" t="str">
            <v>Comprou Marcas</v>
          </cell>
        </row>
        <row r="475">
          <cell r="A475">
            <v>62811078000143</v>
          </cell>
          <cell r="B475" t="str">
            <v>FARMA PLUS</v>
          </cell>
          <cell r="C475" t="str">
            <v>MASTERFARMA</v>
          </cell>
          <cell r="D475" t="str">
            <v>DEODAPOLIS</v>
          </cell>
          <cell r="E475" t="str">
            <v>MS</v>
          </cell>
          <cell r="I475" t="str">
            <v>Não Comprou</v>
          </cell>
        </row>
        <row r="476">
          <cell r="A476">
            <v>11277593000154</v>
          </cell>
          <cell r="B476" t="str">
            <v>FARMA NOSSA</v>
          </cell>
          <cell r="C476" t="str">
            <v>MASTERFARMA</v>
          </cell>
          <cell r="D476" t="str">
            <v>IVINHEMA</v>
          </cell>
          <cell r="E476" t="str">
            <v>MS</v>
          </cell>
          <cell r="F476">
            <v>46302</v>
          </cell>
          <cell r="G476">
            <v>160.88</v>
          </cell>
          <cell r="I476" t="str">
            <v>Comprou Marcas</v>
          </cell>
        </row>
        <row r="477">
          <cell r="A477">
            <v>12881115000111</v>
          </cell>
          <cell r="B477" t="str">
            <v>FARMA NOSSA</v>
          </cell>
          <cell r="C477" t="str">
            <v>HIPER SAUDE</v>
          </cell>
          <cell r="D477" t="str">
            <v>MIRASSOL D'OESTE</v>
          </cell>
          <cell r="E477" t="str">
            <v>MT</v>
          </cell>
          <cell r="I477" t="str">
            <v>Não Comprou</v>
          </cell>
        </row>
        <row r="478">
          <cell r="A478">
            <v>5215960000192</v>
          </cell>
          <cell r="B478" t="str">
            <v>FARMA MIL</v>
          </cell>
          <cell r="C478" t="str">
            <v>MASTERFARMA</v>
          </cell>
          <cell r="D478" t="str">
            <v>PARANAIBA</v>
          </cell>
          <cell r="E478" t="str">
            <v>MS</v>
          </cell>
          <cell r="F478">
            <v>46311</v>
          </cell>
          <cell r="G478">
            <v>1119.3400000000001</v>
          </cell>
          <cell r="I478" t="str">
            <v>Comprou Marcas</v>
          </cell>
        </row>
        <row r="479">
          <cell r="A479">
            <v>13701031000111</v>
          </cell>
          <cell r="B479" t="str">
            <v>FARMA LIVIA</v>
          </cell>
          <cell r="C479" t="str">
            <v>MULTIDROGAS</v>
          </cell>
          <cell r="D479" t="str">
            <v>MIRANTE DO PARANAPANEMA</v>
          </cell>
          <cell r="E479" t="str">
            <v>SP</v>
          </cell>
          <cell r="F479">
            <v>46310</v>
          </cell>
          <cell r="G479">
            <v>1641.76</v>
          </cell>
          <cell r="I479" t="str">
            <v>Comprou Marcas</v>
          </cell>
        </row>
        <row r="480">
          <cell r="A480">
            <v>29141097000134</v>
          </cell>
          <cell r="B480" t="str">
            <v>FARMA LISBOA POPULAR</v>
          </cell>
          <cell r="C480" t="str">
            <v>ASSOCIADAS</v>
          </cell>
          <cell r="D480" t="str">
            <v>CUIABA</v>
          </cell>
          <cell r="E480" t="str">
            <v>MT</v>
          </cell>
          <cell r="F480">
            <v>46310</v>
          </cell>
          <cell r="G480">
            <v>4283.1900000000014</v>
          </cell>
          <cell r="I480" t="str">
            <v>Comprou Marcas</v>
          </cell>
        </row>
        <row r="481">
          <cell r="A481">
            <v>15272871000131</v>
          </cell>
          <cell r="B481" t="str">
            <v>FARMA LIMA</v>
          </cell>
          <cell r="C481" t="str">
            <v>INDEPENDENTES VIN</v>
          </cell>
          <cell r="D481" t="str">
            <v>TANGARA DA SERRA</v>
          </cell>
          <cell r="E481" t="str">
            <v>MT</v>
          </cell>
          <cell r="I481" t="str">
            <v>Não Comprou</v>
          </cell>
        </row>
        <row r="482">
          <cell r="A482">
            <v>24385511000137</v>
          </cell>
          <cell r="B482" t="str">
            <v>FARMA LIFE</v>
          </cell>
          <cell r="C482" t="str">
            <v>INDEPENDENTES VIN</v>
          </cell>
          <cell r="D482" t="str">
            <v>CAARAPO</v>
          </cell>
          <cell r="E482" t="str">
            <v>MS</v>
          </cell>
          <cell r="I482" t="str">
            <v>Não Comprou</v>
          </cell>
        </row>
        <row r="483">
          <cell r="A483">
            <v>16926052000123</v>
          </cell>
          <cell r="B483" t="str">
            <v>FARMA KILL</v>
          </cell>
          <cell r="C483" t="str">
            <v>ASSOCIADAS</v>
          </cell>
          <cell r="D483" t="str">
            <v>SAO GABRIEL DO OESTE</v>
          </cell>
          <cell r="E483" t="str">
            <v>MS</v>
          </cell>
          <cell r="I483" t="str">
            <v>Não Comprou</v>
          </cell>
        </row>
        <row r="484">
          <cell r="A484">
            <v>17660742000146</v>
          </cell>
          <cell r="B484" t="str">
            <v>FARMA JARDIM</v>
          </cell>
          <cell r="C484" t="str">
            <v>ASSOCIADAS</v>
          </cell>
          <cell r="D484" t="str">
            <v>CAMPO GRANDE</v>
          </cell>
          <cell r="E484" t="str">
            <v>MS</v>
          </cell>
          <cell r="F484">
            <v>46310</v>
          </cell>
          <cell r="G484">
            <v>1363.0500000000002</v>
          </cell>
          <cell r="I484" t="str">
            <v>Comprou Marcas</v>
          </cell>
        </row>
        <row r="485">
          <cell r="A485">
            <v>22019833000137</v>
          </cell>
          <cell r="B485" t="str">
            <v>FARMA FACIL</v>
          </cell>
          <cell r="C485" t="str">
            <v>ASSOCIADAS</v>
          </cell>
          <cell r="D485" t="str">
            <v>CUIABA</v>
          </cell>
          <cell r="E485" t="str">
            <v>MT</v>
          </cell>
          <cell r="F485">
            <v>46310</v>
          </cell>
          <cell r="G485">
            <v>137.85</v>
          </cell>
          <cell r="I485" t="str">
            <v>Comprou Marcas</v>
          </cell>
        </row>
        <row r="486">
          <cell r="A486">
            <v>52331882000171</v>
          </cell>
          <cell r="B486" t="str">
            <v>FARMA FACIL</v>
          </cell>
          <cell r="C486" t="str">
            <v>ASSOCIADAS</v>
          </cell>
          <cell r="D486" t="str">
            <v>CUIABA</v>
          </cell>
          <cell r="E486" t="str">
            <v>MT</v>
          </cell>
          <cell r="F486">
            <v>46310</v>
          </cell>
          <cell r="G486">
            <v>137.85</v>
          </cell>
          <cell r="I486" t="str">
            <v>Comprou Marcas</v>
          </cell>
        </row>
        <row r="487">
          <cell r="A487">
            <v>97528758000139</v>
          </cell>
          <cell r="B487" t="str">
            <v>FARMA FACIL</v>
          </cell>
          <cell r="C487" t="str">
            <v>ASSOCIADAS</v>
          </cell>
          <cell r="D487" t="str">
            <v>VARZEA GRANDE</v>
          </cell>
          <cell r="E487" t="str">
            <v>MT</v>
          </cell>
          <cell r="F487">
            <v>46310</v>
          </cell>
          <cell r="G487">
            <v>137.85</v>
          </cell>
          <cell r="I487" t="str">
            <v>Comprou Marcas</v>
          </cell>
        </row>
        <row r="488">
          <cell r="A488">
            <v>49007687000186</v>
          </cell>
          <cell r="B488" t="str">
            <v>FARMA DELTA</v>
          </cell>
          <cell r="C488" t="str">
            <v>ASSOCIADAS</v>
          </cell>
          <cell r="D488" t="str">
            <v>CAMPOS DE JULIO</v>
          </cell>
          <cell r="E488" t="str">
            <v>MT</v>
          </cell>
          <cell r="F488">
            <v>46310</v>
          </cell>
          <cell r="G488">
            <v>5891.9900000000016</v>
          </cell>
          <cell r="I488" t="str">
            <v>Comprou Marcas</v>
          </cell>
        </row>
        <row r="489">
          <cell r="A489">
            <v>54858819000113</v>
          </cell>
          <cell r="B489" t="str">
            <v>FARMA 10</v>
          </cell>
          <cell r="C489" t="str">
            <v>ASSOCIADAS</v>
          </cell>
          <cell r="D489" t="str">
            <v>CORUMBA</v>
          </cell>
          <cell r="E489" t="str">
            <v>MS</v>
          </cell>
          <cell r="F489">
            <v>46303</v>
          </cell>
          <cell r="G489">
            <v>480.22</v>
          </cell>
          <cell r="I489" t="str">
            <v>Comprou Marcas</v>
          </cell>
        </row>
        <row r="490">
          <cell r="A490">
            <v>19436506000176</v>
          </cell>
          <cell r="B490" t="str">
            <v>FAMARCIA CENTRAL</v>
          </cell>
          <cell r="C490" t="str">
            <v>DROGARIA TOTAL</v>
          </cell>
          <cell r="D490" t="str">
            <v>SANTOPOLIS DO AGUAPEI</v>
          </cell>
          <cell r="E490" t="str">
            <v>SP</v>
          </cell>
          <cell r="F490">
            <v>46310</v>
          </cell>
          <cell r="G490">
            <v>1494.3100000000002</v>
          </cell>
          <cell r="I490" t="str">
            <v>Comprou Marcas</v>
          </cell>
        </row>
        <row r="491">
          <cell r="A491">
            <v>38335229000150</v>
          </cell>
          <cell r="B491" t="str">
            <v>F. H. S. MATRICARDI DROGARIA PIRAPOZINHO</v>
          </cell>
          <cell r="C491" t="str">
            <v>REDE POUPE AQUI</v>
          </cell>
          <cell r="D491" t="str">
            <v>PIRAPOZINHO</v>
          </cell>
          <cell r="E491" t="str">
            <v>SP</v>
          </cell>
          <cell r="F491">
            <v>46304</v>
          </cell>
          <cell r="G491">
            <v>705.46999999999991</v>
          </cell>
          <cell r="H491">
            <v>4400.88</v>
          </cell>
          <cell r="I491" t="str">
            <v>Comprou Marcas e SG</v>
          </cell>
        </row>
        <row r="492">
          <cell r="A492">
            <v>4007182000183</v>
          </cell>
          <cell r="B492" t="str">
            <v>ESSENCIAL VIDA</v>
          </cell>
          <cell r="C492" t="str">
            <v>DROGARIA TOTAL</v>
          </cell>
          <cell r="D492" t="str">
            <v>BIRIGUI</v>
          </cell>
          <cell r="E492" t="str">
            <v>SP</v>
          </cell>
          <cell r="I492" t="str">
            <v>Não Comprou</v>
          </cell>
        </row>
        <row r="493">
          <cell r="A493">
            <v>20947414000130</v>
          </cell>
          <cell r="B493" t="str">
            <v>ESPACO FARMACIA SAUDE</v>
          </cell>
          <cell r="C493" t="str">
            <v>FARMA &amp; FARMA</v>
          </cell>
          <cell r="D493" t="str">
            <v>DOURADOS</v>
          </cell>
          <cell r="E493" t="str">
            <v>MS</v>
          </cell>
          <cell r="F493">
            <v>46311</v>
          </cell>
          <cell r="G493">
            <v>1489.8000000000002</v>
          </cell>
          <cell r="I493" t="str">
            <v>Comprou Marcas</v>
          </cell>
        </row>
        <row r="494">
          <cell r="A494">
            <v>422093000142</v>
          </cell>
          <cell r="B494" t="str">
            <v>EDUFARMA</v>
          </cell>
          <cell r="C494" t="str">
            <v>INDEPENDENTES VIN</v>
          </cell>
          <cell r="D494" t="str">
            <v>ANDRADINA</v>
          </cell>
          <cell r="E494" t="str">
            <v>SP</v>
          </cell>
          <cell r="F494">
            <v>46304</v>
          </cell>
          <cell r="G494">
            <v>2324.4100000000003</v>
          </cell>
          <cell r="I494" t="str">
            <v>Comprou Marcas</v>
          </cell>
        </row>
        <row r="495">
          <cell r="A495">
            <v>7504369000180</v>
          </cell>
          <cell r="B495" t="str">
            <v>EDU FARMA</v>
          </cell>
          <cell r="C495" t="str">
            <v>MASTERFARMA</v>
          </cell>
          <cell r="D495" t="str">
            <v>TANGARA DA SERRA</v>
          </cell>
          <cell r="E495" t="str">
            <v>MT</v>
          </cell>
          <cell r="I495" t="str">
            <v>Não Comprou</v>
          </cell>
        </row>
        <row r="496">
          <cell r="A496">
            <v>9039622000289</v>
          </cell>
          <cell r="B496" t="str">
            <v>DRUGSTORE NEBRASCA 24H</v>
          </cell>
          <cell r="C496" t="str">
            <v>HIPER SAUDE</v>
          </cell>
          <cell r="D496" t="str">
            <v>SORRISO</v>
          </cell>
          <cell r="E496" t="str">
            <v>MT</v>
          </cell>
          <cell r="F496">
            <v>46310</v>
          </cell>
          <cell r="G496">
            <v>35787.909999999996</v>
          </cell>
          <cell r="H496">
            <v>49805.179999999986</v>
          </cell>
          <cell r="I496" t="str">
            <v>Comprou Marcas e SG</v>
          </cell>
        </row>
        <row r="497">
          <cell r="A497">
            <v>64822703000188</v>
          </cell>
          <cell r="B497" t="str">
            <v>DROGAZE</v>
          </cell>
          <cell r="C497" t="str">
            <v>HIPER SAUDE</v>
          </cell>
          <cell r="D497" t="str">
            <v>DRACENA</v>
          </cell>
          <cell r="E497" t="str">
            <v>SP</v>
          </cell>
          <cell r="F497">
            <v>46310</v>
          </cell>
          <cell r="G497">
            <v>165.98</v>
          </cell>
          <cell r="I497" t="str">
            <v>Comprou Marcas</v>
          </cell>
        </row>
        <row r="498">
          <cell r="A498">
            <v>5628142000111</v>
          </cell>
          <cell r="B498" t="str">
            <v>DROGAVITA</v>
          </cell>
          <cell r="C498" t="str">
            <v>DROGARIA TOTAL</v>
          </cell>
          <cell r="D498" t="str">
            <v>PRESIDENTE PRUDENTE</v>
          </cell>
          <cell r="E498" t="str">
            <v>SP</v>
          </cell>
          <cell r="F498">
            <v>46296</v>
          </cell>
          <cell r="G498">
            <v>109.9</v>
          </cell>
          <cell r="I498" t="str">
            <v>Comprou Marcas</v>
          </cell>
        </row>
        <row r="499">
          <cell r="A499">
            <v>7629833000246</v>
          </cell>
          <cell r="B499" t="str">
            <v>DROGAVIDA CIDADE NOVA</v>
          </cell>
          <cell r="C499" t="str">
            <v>ASSOCIADAS</v>
          </cell>
          <cell r="D499" t="str">
            <v>LUCAS DO RIO VERDE</v>
          </cell>
          <cell r="E499" t="str">
            <v>MT</v>
          </cell>
          <cell r="F499">
            <v>46311</v>
          </cell>
          <cell r="G499">
            <v>2853.8900000000003</v>
          </cell>
          <cell r="I499" t="str">
            <v>Comprou Marcas</v>
          </cell>
        </row>
        <row r="500">
          <cell r="A500">
            <v>7629833000165</v>
          </cell>
          <cell r="B500" t="str">
            <v>DROGAVIDA CENTRO</v>
          </cell>
          <cell r="C500" t="str">
            <v>HIPER SAUDE</v>
          </cell>
          <cell r="D500" t="str">
            <v>LUCAS DO RIO VERDE</v>
          </cell>
          <cell r="E500" t="str">
            <v>MT</v>
          </cell>
          <cell r="F500">
            <v>46311</v>
          </cell>
          <cell r="G500">
            <v>8217.6900000000023</v>
          </cell>
          <cell r="I500" t="str">
            <v>Comprou Marcas</v>
          </cell>
        </row>
        <row r="501">
          <cell r="A501">
            <v>2100833000150</v>
          </cell>
          <cell r="B501" t="str">
            <v>DROGATOP</v>
          </cell>
          <cell r="C501" t="str">
            <v>FARMARCAS</v>
          </cell>
          <cell r="D501" t="str">
            <v>CORUMBA</v>
          </cell>
          <cell r="E501" t="str">
            <v>MS</v>
          </cell>
          <cell r="F501">
            <v>46309</v>
          </cell>
          <cell r="G501">
            <v>11093.48</v>
          </cell>
          <cell r="H501">
            <v>629.79</v>
          </cell>
          <cell r="I501" t="str">
            <v>Comprou Marcas e SG</v>
          </cell>
        </row>
        <row r="502">
          <cell r="A502">
            <v>2100833000230</v>
          </cell>
          <cell r="B502" t="str">
            <v>DROGATOP</v>
          </cell>
          <cell r="C502" t="str">
            <v>FARMARCAS</v>
          </cell>
          <cell r="D502" t="str">
            <v>CORUMBA</v>
          </cell>
          <cell r="E502" t="str">
            <v>MS</v>
          </cell>
          <cell r="F502">
            <v>46310</v>
          </cell>
          <cell r="G502">
            <v>12131.319999999996</v>
          </cell>
          <cell r="H502">
            <v>354.19</v>
          </cell>
          <cell r="I502" t="str">
            <v>Comprou Marcas e SG</v>
          </cell>
        </row>
        <row r="503">
          <cell r="A503">
            <v>13079901000162</v>
          </cell>
          <cell r="B503" t="str">
            <v>DROGASUPER</v>
          </cell>
          <cell r="C503" t="str">
            <v>INDEPENDENTES VIN</v>
          </cell>
          <cell r="D503" t="str">
            <v>PARANATINGA</v>
          </cell>
          <cell r="E503" t="str">
            <v>MT</v>
          </cell>
          <cell r="F503">
            <v>46310</v>
          </cell>
          <cell r="G503">
            <v>728.6</v>
          </cell>
          <cell r="H503">
            <v>2735.76</v>
          </cell>
          <cell r="I503" t="str">
            <v>Comprou Marcas e SG</v>
          </cell>
        </row>
        <row r="504">
          <cell r="A504">
            <v>48210177000149</v>
          </cell>
          <cell r="B504" t="str">
            <v>DROGASHOP</v>
          </cell>
          <cell r="C504" t="str">
            <v>DROGASHOP</v>
          </cell>
          <cell r="D504" t="str">
            <v>NOVA XAVANTINA</v>
          </cell>
          <cell r="E504" t="str">
            <v>MT</v>
          </cell>
          <cell r="I504" t="str">
            <v>Não Comprou</v>
          </cell>
        </row>
        <row r="505">
          <cell r="A505">
            <v>15463847000180</v>
          </cell>
          <cell r="B505" t="str">
            <v>DROGASETE FCIA LTDA</v>
          </cell>
          <cell r="C505" t="str">
            <v>ASSOCIADAS</v>
          </cell>
          <cell r="D505" t="str">
            <v>SETE QUEDAS</v>
          </cell>
          <cell r="E505" t="str">
            <v>MS</v>
          </cell>
          <cell r="F505">
            <v>46310</v>
          </cell>
          <cell r="G505">
            <v>1231.44</v>
          </cell>
          <cell r="I505" t="str">
            <v>Comprou Marcas</v>
          </cell>
        </row>
        <row r="506">
          <cell r="A506">
            <v>23019388000178</v>
          </cell>
          <cell r="B506" t="str">
            <v>DROGARIAS VIP</v>
          </cell>
          <cell r="C506" t="str">
            <v>REDE INOVA</v>
          </cell>
          <cell r="D506" t="str">
            <v>PARANAIBA</v>
          </cell>
          <cell r="E506" t="str">
            <v>MS</v>
          </cell>
          <cell r="I506" t="str">
            <v>Não Comprou</v>
          </cell>
        </row>
        <row r="507">
          <cell r="A507">
            <v>4924863000106</v>
          </cell>
          <cell r="B507" t="str">
            <v>DROGARIAS ULTRAFORT POPULAR</v>
          </cell>
          <cell r="C507" t="str">
            <v>ASSOCIADAS</v>
          </cell>
          <cell r="D507" t="str">
            <v>RONDONOPOLIS</v>
          </cell>
          <cell r="E507" t="str">
            <v>MT</v>
          </cell>
          <cell r="F507">
            <v>46310</v>
          </cell>
          <cell r="G507">
            <v>137.85</v>
          </cell>
          <cell r="I507" t="str">
            <v>Comprou Marcas</v>
          </cell>
        </row>
        <row r="508">
          <cell r="A508">
            <v>20884408000180</v>
          </cell>
          <cell r="B508" t="str">
            <v>DROGARIAS ULTRA POPULAR</v>
          </cell>
          <cell r="C508" t="str">
            <v>FARMARCAS</v>
          </cell>
          <cell r="D508" t="str">
            <v>NOVA ANDRADINA</v>
          </cell>
          <cell r="E508" t="str">
            <v>MS</v>
          </cell>
          <cell r="F508">
            <v>46310</v>
          </cell>
          <cell r="G508">
            <v>5476.329999999999</v>
          </cell>
          <cell r="I508" t="str">
            <v>Comprou Marcas</v>
          </cell>
        </row>
        <row r="509">
          <cell r="A509">
            <v>20884408000261</v>
          </cell>
          <cell r="B509" t="str">
            <v>DROGARIAS ULTRA POPULAR</v>
          </cell>
          <cell r="C509" t="str">
            <v>FARMARCAS</v>
          </cell>
          <cell r="D509" t="str">
            <v>NOVA ANDRADINA</v>
          </cell>
          <cell r="E509" t="str">
            <v>MS</v>
          </cell>
          <cell r="F509">
            <v>46310</v>
          </cell>
          <cell r="G509">
            <v>3937.0000000000009</v>
          </cell>
          <cell r="I509" t="str">
            <v>Comprou Marcas</v>
          </cell>
        </row>
        <row r="510">
          <cell r="A510">
            <v>4114403000112</v>
          </cell>
          <cell r="B510" t="str">
            <v>DROGARIAS ULTRA POPULAR</v>
          </cell>
          <cell r="C510" t="str">
            <v>FARMARCAS</v>
          </cell>
          <cell r="D510" t="str">
            <v>PONTES E LACERDA</v>
          </cell>
          <cell r="E510" t="str">
            <v>MT</v>
          </cell>
          <cell r="F510">
            <v>46311</v>
          </cell>
          <cell r="G510">
            <v>27773.609999999997</v>
          </cell>
          <cell r="I510" t="str">
            <v>Comprou Marcas</v>
          </cell>
        </row>
        <row r="511">
          <cell r="A511">
            <v>4114403000201</v>
          </cell>
          <cell r="B511" t="str">
            <v>DROGARIAS ULTRA POPULAR</v>
          </cell>
          <cell r="C511" t="str">
            <v>FARMARCAS</v>
          </cell>
          <cell r="D511" t="str">
            <v>PONTES E LACERDA</v>
          </cell>
          <cell r="E511" t="str">
            <v>MT</v>
          </cell>
          <cell r="F511">
            <v>46309</v>
          </cell>
          <cell r="G511">
            <v>5285.6</v>
          </cell>
          <cell r="I511" t="str">
            <v>Comprou Marcas</v>
          </cell>
        </row>
        <row r="512">
          <cell r="A512">
            <v>4114403000384</v>
          </cell>
          <cell r="B512" t="str">
            <v>DROGARIAS ULTRA POPULAR</v>
          </cell>
          <cell r="C512" t="str">
            <v>FARMARCAS</v>
          </cell>
          <cell r="D512" t="str">
            <v>PONTES E LACERDA</v>
          </cell>
          <cell r="E512" t="str">
            <v>MT</v>
          </cell>
          <cell r="F512">
            <v>46311</v>
          </cell>
          <cell r="G512">
            <v>5293.5999999999995</v>
          </cell>
          <cell r="I512" t="str">
            <v>Comprou Marcas</v>
          </cell>
        </row>
        <row r="513">
          <cell r="A513">
            <v>9571632000180</v>
          </cell>
          <cell r="B513" t="str">
            <v>DROGARIAS ULTRA POPULAR</v>
          </cell>
          <cell r="C513" t="str">
            <v>FARMARCAS</v>
          </cell>
          <cell r="D513" t="str">
            <v>COMODORO</v>
          </cell>
          <cell r="E513" t="str">
            <v>MT</v>
          </cell>
          <cell r="F513">
            <v>46310</v>
          </cell>
          <cell r="G513">
            <v>3769.0599999999995</v>
          </cell>
          <cell r="I513" t="str">
            <v>Comprou Marcas</v>
          </cell>
        </row>
        <row r="514">
          <cell r="A514">
            <v>9492647000152</v>
          </cell>
          <cell r="B514" t="str">
            <v>DROGARIAS ULTRA POPULAR</v>
          </cell>
          <cell r="C514" t="str">
            <v>FARMARCAS</v>
          </cell>
          <cell r="D514" t="str">
            <v>GUARANTA DO NORTE</v>
          </cell>
          <cell r="E514" t="str">
            <v>MT</v>
          </cell>
          <cell r="F514">
            <v>46309</v>
          </cell>
          <cell r="G514">
            <v>17517.480000000003</v>
          </cell>
          <cell r="I514" t="str">
            <v>Comprou Marcas</v>
          </cell>
        </row>
        <row r="515">
          <cell r="A515">
            <v>9492647000314</v>
          </cell>
          <cell r="B515" t="str">
            <v>DROGARIAS ULTRA POPULAR</v>
          </cell>
          <cell r="C515" t="str">
            <v>FARMARCAS</v>
          </cell>
          <cell r="D515" t="str">
            <v>TERRA NOVA DO NORTE</v>
          </cell>
          <cell r="E515" t="str">
            <v>MT</v>
          </cell>
          <cell r="F515">
            <v>46309</v>
          </cell>
          <cell r="G515">
            <v>13201.38</v>
          </cell>
          <cell r="I515" t="str">
            <v>Comprou Marcas</v>
          </cell>
        </row>
        <row r="516">
          <cell r="A516">
            <v>9492647000403</v>
          </cell>
          <cell r="B516" t="str">
            <v>DROGARIAS ULTRA POPULAR</v>
          </cell>
          <cell r="C516" t="str">
            <v>FARMARCAS</v>
          </cell>
          <cell r="D516" t="str">
            <v>GUARANTA DO NORTE</v>
          </cell>
          <cell r="E516" t="str">
            <v>MT</v>
          </cell>
          <cell r="F516">
            <v>46309</v>
          </cell>
          <cell r="G516">
            <v>6106.5699999999979</v>
          </cell>
          <cell r="I516" t="str">
            <v>Comprou Marcas</v>
          </cell>
        </row>
        <row r="517">
          <cell r="A517">
            <v>9492647000667</v>
          </cell>
          <cell r="B517" t="str">
            <v>DROGARIAS ULTRA POPULAR</v>
          </cell>
          <cell r="C517" t="str">
            <v>FARMARCAS</v>
          </cell>
          <cell r="D517" t="str">
            <v>NOVA CANAA DO NORTE</v>
          </cell>
          <cell r="E517" t="str">
            <v>MT</v>
          </cell>
          <cell r="F517">
            <v>46311</v>
          </cell>
          <cell r="G517">
            <v>5693.51</v>
          </cell>
          <cell r="I517" t="str">
            <v>Comprou Marcas</v>
          </cell>
        </row>
        <row r="518">
          <cell r="A518">
            <v>9492647000829</v>
          </cell>
          <cell r="B518" t="str">
            <v>DROGARIAS ULTRA POPULAR</v>
          </cell>
          <cell r="C518" t="str">
            <v>FARMARCAS</v>
          </cell>
          <cell r="D518" t="str">
            <v>PARANAITA</v>
          </cell>
          <cell r="E518" t="str">
            <v>MT</v>
          </cell>
          <cell r="F518">
            <v>46309</v>
          </cell>
          <cell r="G518">
            <v>9202.7700000000041</v>
          </cell>
          <cell r="I518" t="str">
            <v>Comprou Marcas</v>
          </cell>
        </row>
        <row r="519">
          <cell r="A519">
            <v>9492647000900</v>
          </cell>
          <cell r="B519" t="str">
            <v>DROGARIAS ULTRA POPULAR</v>
          </cell>
          <cell r="C519" t="str">
            <v>FARMARCAS</v>
          </cell>
          <cell r="D519" t="str">
            <v>NOVA MONTE VERDE</v>
          </cell>
          <cell r="E519" t="str">
            <v>MT</v>
          </cell>
          <cell r="F519">
            <v>46309</v>
          </cell>
          <cell r="G519">
            <v>5251.1799999999994</v>
          </cell>
          <cell r="I519" t="str">
            <v>Comprou Marcas</v>
          </cell>
        </row>
        <row r="520">
          <cell r="A520">
            <v>9492647001205</v>
          </cell>
          <cell r="B520" t="str">
            <v>DROGARIAS ULTRA POPULAR</v>
          </cell>
          <cell r="C520" t="str">
            <v>FARMARCAS</v>
          </cell>
          <cell r="D520" t="str">
            <v>GUARANTA DO NORTE</v>
          </cell>
          <cell r="E520" t="str">
            <v>MT</v>
          </cell>
          <cell r="F520">
            <v>46309</v>
          </cell>
          <cell r="G520">
            <v>4589.1000000000004</v>
          </cell>
          <cell r="I520" t="str">
            <v>Comprou Marcas</v>
          </cell>
        </row>
        <row r="521">
          <cell r="A521">
            <v>19651628000770</v>
          </cell>
          <cell r="B521" t="str">
            <v>DROGARIAS ULTRA POPULAR</v>
          </cell>
          <cell r="C521" t="str">
            <v>FARMARCAS</v>
          </cell>
          <cell r="D521" t="str">
            <v>SINOP</v>
          </cell>
          <cell r="E521" t="str">
            <v>MT</v>
          </cell>
          <cell r="F521">
            <v>46310</v>
          </cell>
          <cell r="G521">
            <v>2647.46</v>
          </cell>
          <cell r="H521">
            <v>13677.83</v>
          </cell>
          <cell r="I521" t="str">
            <v>Comprou Marcas e SG</v>
          </cell>
        </row>
        <row r="522">
          <cell r="A522">
            <v>19651628000851</v>
          </cell>
          <cell r="B522" t="str">
            <v>DROGARIAS ULTRA POPULAR</v>
          </cell>
          <cell r="C522" t="str">
            <v>INDEPENDENTES VIN</v>
          </cell>
          <cell r="D522" t="str">
            <v>SINOP</v>
          </cell>
          <cell r="E522" t="str">
            <v>MT</v>
          </cell>
          <cell r="F522">
            <v>46303</v>
          </cell>
          <cell r="G522">
            <v>67.540000000000006</v>
          </cell>
          <cell r="I522" t="str">
            <v>Comprou Marcas</v>
          </cell>
        </row>
        <row r="523">
          <cell r="A523">
            <v>41651815000118</v>
          </cell>
          <cell r="B523" t="str">
            <v>DROGARIAS ULTRA POPULAR</v>
          </cell>
          <cell r="C523" t="str">
            <v>FARMARCAS</v>
          </cell>
          <cell r="D523" t="str">
            <v>MARCELANDIA</v>
          </cell>
          <cell r="E523" t="str">
            <v>MT</v>
          </cell>
          <cell r="F523">
            <v>46309</v>
          </cell>
          <cell r="G523">
            <v>261.95</v>
          </cell>
          <cell r="I523" t="str">
            <v>Comprou Marcas</v>
          </cell>
        </row>
        <row r="524">
          <cell r="A524">
            <v>21746348000100</v>
          </cell>
          <cell r="B524" t="str">
            <v>DROGARIAS ULTRA POPULAR</v>
          </cell>
          <cell r="C524" t="str">
            <v>FARMARCAS</v>
          </cell>
          <cell r="D524" t="str">
            <v>NOVA XAVANTINA</v>
          </cell>
          <cell r="E524" t="str">
            <v>MT</v>
          </cell>
          <cell r="I524" t="str">
            <v>Não Comprou</v>
          </cell>
        </row>
        <row r="525">
          <cell r="A525">
            <v>27201095000168</v>
          </cell>
          <cell r="B525" t="str">
            <v>DROGARIAS ULTRA POPULAR</v>
          </cell>
          <cell r="C525" t="str">
            <v>FARMARCAS</v>
          </cell>
          <cell r="D525" t="str">
            <v>ARAGARCAS</v>
          </cell>
          <cell r="E525" t="str">
            <v>GO</v>
          </cell>
          <cell r="F525">
            <v>46310</v>
          </cell>
          <cell r="G525">
            <v>1992.96</v>
          </cell>
          <cell r="I525" t="str">
            <v>Comprou Marcas</v>
          </cell>
        </row>
        <row r="526">
          <cell r="A526">
            <v>62670020000127</v>
          </cell>
          <cell r="B526" t="str">
            <v>DROGARIAS POUPAQUI.</v>
          </cell>
          <cell r="C526" t="str">
            <v>INDEPENDENTES VIN</v>
          </cell>
          <cell r="D526" t="str">
            <v>VARZEA GRANDE</v>
          </cell>
          <cell r="E526" t="str">
            <v>MT</v>
          </cell>
          <cell r="I526" t="str">
            <v>Não Comprou</v>
          </cell>
        </row>
        <row r="527">
          <cell r="A527">
            <v>27377243000442</v>
          </cell>
          <cell r="B527" t="str">
            <v>DROGARIAS MOURA</v>
          </cell>
          <cell r="C527" t="str">
            <v>INDEPENDENTES VIN</v>
          </cell>
          <cell r="D527" t="str">
            <v>CACERES</v>
          </cell>
          <cell r="E527" t="str">
            <v>MT</v>
          </cell>
          <cell r="I527" t="str">
            <v>Não Comprou</v>
          </cell>
        </row>
        <row r="528">
          <cell r="A528">
            <v>62343168000157</v>
          </cell>
          <cell r="B528" t="str">
            <v>DROGARIAS MAXI POPULAR</v>
          </cell>
          <cell r="C528" t="str">
            <v>FARMARCAS</v>
          </cell>
          <cell r="D528" t="str">
            <v>CAMPO GRANDE</v>
          </cell>
          <cell r="E528" t="str">
            <v>MS</v>
          </cell>
          <cell r="I528" t="str">
            <v>Não Comprou</v>
          </cell>
        </row>
        <row r="529">
          <cell r="A529">
            <v>35282298000154</v>
          </cell>
          <cell r="B529" t="str">
            <v>DROGARIAS MAXI POPULAR</v>
          </cell>
          <cell r="C529" t="str">
            <v>FARMARCAS</v>
          </cell>
          <cell r="D529" t="str">
            <v>VARZEA GRANDE</v>
          </cell>
          <cell r="E529" t="str">
            <v>MT</v>
          </cell>
          <cell r="F529">
            <v>46308</v>
          </cell>
          <cell r="G529">
            <v>3970.6600000000003</v>
          </cell>
          <cell r="I529" t="str">
            <v>Comprou Marcas</v>
          </cell>
        </row>
        <row r="530">
          <cell r="A530">
            <v>7033833000106</v>
          </cell>
          <cell r="B530" t="str">
            <v>DROGARIAS MATOS</v>
          </cell>
          <cell r="C530" t="str">
            <v>INDEPENDENTES VIN</v>
          </cell>
          <cell r="D530" t="str">
            <v>CAMPO GRANDE</v>
          </cell>
          <cell r="E530" t="str">
            <v>MS</v>
          </cell>
          <cell r="I530" t="str">
            <v>Não Comprou</v>
          </cell>
        </row>
        <row r="531">
          <cell r="A531">
            <v>36259468000142</v>
          </cell>
          <cell r="B531" t="str">
            <v>DROGARIAS MATOS</v>
          </cell>
          <cell r="C531" t="str">
            <v>INDEPENDENTES VIN</v>
          </cell>
          <cell r="D531" t="str">
            <v>CAMPO GRANDE</v>
          </cell>
          <cell r="E531" t="str">
            <v>MS</v>
          </cell>
          <cell r="I531" t="str">
            <v>Não Comprou</v>
          </cell>
        </row>
        <row r="532">
          <cell r="A532">
            <v>58230920000186</v>
          </cell>
          <cell r="B532" t="str">
            <v>DROGARIAS FL DO LUIZINHO PIONEIRA</v>
          </cell>
          <cell r="C532" t="str">
            <v>ASSOCIADAS</v>
          </cell>
          <cell r="D532" t="str">
            <v>CAMPO GRANDE</v>
          </cell>
          <cell r="E532" t="str">
            <v>MS</v>
          </cell>
          <cell r="I532" t="str">
            <v>Não Comprou</v>
          </cell>
        </row>
        <row r="533">
          <cell r="A533">
            <v>52390785000150</v>
          </cell>
          <cell r="B533" t="str">
            <v>DROGARIAS FL DO LUIZINHO</v>
          </cell>
          <cell r="C533" t="str">
            <v>ASSOCIADAS</v>
          </cell>
          <cell r="D533" t="str">
            <v>CAMPO GRANDE</v>
          </cell>
          <cell r="E533" t="str">
            <v>MS</v>
          </cell>
          <cell r="I533" t="str">
            <v>Não Comprou</v>
          </cell>
        </row>
        <row r="534">
          <cell r="A534">
            <v>50357285000190</v>
          </cell>
          <cell r="B534" t="str">
            <v>DROGARIAS FARMARELA</v>
          </cell>
          <cell r="C534" t="str">
            <v>ECONOMIZE RONDONOPOLIS</v>
          </cell>
          <cell r="D534" t="str">
            <v>CAMPO GRANDE</v>
          </cell>
          <cell r="E534" t="str">
            <v>MS</v>
          </cell>
          <cell r="I534" t="str">
            <v>Não Comprou</v>
          </cell>
        </row>
        <row r="535">
          <cell r="A535">
            <v>2369415000162</v>
          </cell>
          <cell r="B535" t="str">
            <v>DROGARIAS FARMARELA</v>
          </cell>
          <cell r="C535" t="str">
            <v>ECONOMIZE RONDONOPOLIS</v>
          </cell>
          <cell r="D535" t="str">
            <v>RONDONOPOLIS</v>
          </cell>
          <cell r="E535" t="str">
            <v>MT</v>
          </cell>
          <cell r="F535">
            <v>46301</v>
          </cell>
          <cell r="G535">
            <v>1078.2700000000002</v>
          </cell>
          <cell r="I535" t="str">
            <v>Comprou Marcas</v>
          </cell>
        </row>
        <row r="536">
          <cell r="A536">
            <v>33019679000209</v>
          </cell>
          <cell r="B536" t="str">
            <v>DROGARIAS FARMARELA</v>
          </cell>
          <cell r="C536" t="str">
            <v>ECONOMIZE RONDONOPOLIS</v>
          </cell>
          <cell r="D536" t="str">
            <v>TANGARA DA SERRA</v>
          </cell>
          <cell r="E536" t="str">
            <v>MT</v>
          </cell>
          <cell r="F536">
            <v>46303</v>
          </cell>
          <cell r="G536">
            <v>2155.0099999999998</v>
          </cell>
          <cell r="I536" t="str">
            <v>Comprou Marcas</v>
          </cell>
        </row>
        <row r="537">
          <cell r="A537">
            <v>33019679000381</v>
          </cell>
          <cell r="B537" t="str">
            <v>DROGARIAS FARMARELA</v>
          </cell>
          <cell r="C537" t="str">
            <v>ECONOMIZE RONDONOPOLIS</v>
          </cell>
          <cell r="D537" t="str">
            <v>TANGARA DA SERRA</v>
          </cell>
          <cell r="E537" t="str">
            <v>MT</v>
          </cell>
          <cell r="F537">
            <v>46310</v>
          </cell>
          <cell r="G537">
            <v>2065.8100000000004</v>
          </cell>
          <cell r="I537" t="str">
            <v>Comprou Marcas</v>
          </cell>
        </row>
        <row r="538">
          <cell r="A538">
            <v>61723222000127</v>
          </cell>
          <cell r="B538" t="str">
            <v>DROGARIAS COMPRE MAIS VG</v>
          </cell>
          <cell r="C538" t="str">
            <v>INDEPENDENTES VIN</v>
          </cell>
          <cell r="D538" t="str">
            <v>VARZEA GRANDE</v>
          </cell>
          <cell r="E538" t="str">
            <v>MT</v>
          </cell>
          <cell r="F538">
            <v>46309</v>
          </cell>
          <cell r="G538">
            <v>6942.7299999999987</v>
          </cell>
          <cell r="I538" t="str">
            <v>Comprou Marcas</v>
          </cell>
        </row>
        <row r="539">
          <cell r="A539">
            <v>61723222000208</v>
          </cell>
          <cell r="B539" t="str">
            <v>DROGARIAS COMPRE MAIS</v>
          </cell>
          <cell r="C539" t="str">
            <v>INDEPENDENTES VIN</v>
          </cell>
          <cell r="D539" t="str">
            <v>VARZEA GRANDE</v>
          </cell>
          <cell r="E539" t="str">
            <v>MT</v>
          </cell>
          <cell r="I539" t="str">
            <v>Não Comprou</v>
          </cell>
        </row>
        <row r="540">
          <cell r="A540">
            <v>15487866000146</v>
          </cell>
          <cell r="B540" t="str">
            <v>DROGARIAS BEM POPULAR BRASIL</v>
          </cell>
          <cell r="C540" t="str">
            <v>COMPRE BEM</v>
          </cell>
          <cell r="D540" t="str">
            <v>MARACAJU</v>
          </cell>
          <cell r="E540" t="str">
            <v>MS</v>
          </cell>
          <cell r="I540" t="str">
            <v>Não Comprou</v>
          </cell>
        </row>
        <row r="541">
          <cell r="A541">
            <v>44944266000168</v>
          </cell>
          <cell r="B541" t="str">
            <v>DROGARIAS BEM POPULAR BRASIL</v>
          </cell>
          <cell r="C541" t="str">
            <v>COMPRE BEM</v>
          </cell>
          <cell r="D541" t="str">
            <v>AMAMBAI</v>
          </cell>
          <cell r="E541" t="str">
            <v>MS</v>
          </cell>
          <cell r="F541">
            <v>46304</v>
          </cell>
          <cell r="H541">
            <v>859.4799999999999</v>
          </cell>
          <cell r="I541" t="str">
            <v>Comprou SG</v>
          </cell>
        </row>
        <row r="542">
          <cell r="A542">
            <v>57338966000150</v>
          </cell>
          <cell r="B542" t="str">
            <v>DROGARIAS BEM POPULAR BRASIL</v>
          </cell>
          <cell r="C542" t="str">
            <v>COMPRE BEM</v>
          </cell>
          <cell r="D542" t="str">
            <v>TANGARA DA SERRA</v>
          </cell>
          <cell r="E542" t="str">
            <v>MT</v>
          </cell>
          <cell r="I542" t="str">
            <v>Não Comprou</v>
          </cell>
        </row>
        <row r="543">
          <cell r="A543">
            <v>42390075000176</v>
          </cell>
          <cell r="B543" t="str">
            <v>DROGARIAS BEM POPULAR BRASIL</v>
          </cell>
          <cell r="C543" t="str">
            <v>INDEPENDENTES VIN</v>
          </cell>
          <cell r="D543" t="str">
            <v>SINOP</v>
          </cell>
          <cell r="E543" t="str">
            <v>MT</v>
          </cell>
          <cell r="F543">
            <v>46311</v>
          </cell>
          <cell r="G543">
            <v>2769.73</v>
          </cell>
          <cell r="H543">
            <v>1207.6099999999999</v>
          </cell>
          <cell r="I543" t="str">
            <v>Comprou Marcas e SG</v>
          </cell>
        </row>
        <row r="544">
          <cell r="A544">
            <v>54806695000122</v>
          </cell>
          <cell r="B544" t="str">
            <v>DROGARIAS BEM POPULAR BRASIL</v>
          </cell>
          <cell r="C544" t="str">
            <v>COMPRE BEM</v>
          </cell>
          <cell r="D544" t="str">
            <v>SINOP</v>
          </cell>
          <cell r="E544" t="str">
            <v>MT</v>
          </cell>
          <cell r="I544" t="str">
            <v>Não Comprou</v>
          </cell>
        </row>
        <row r="545">
          <cell r="A545">
            <v>49133299000141</v>
          </cell>
          <cell r="B545" t="str">
            <v>DROGARIAS BEM POPULAR BRASIL</v>
          </cell>
          <cell r="C545" t="str">
            <v>COMPRE BEM</v>
          </cell>
          <cell r="D545" t="str">
            <v>ALTO GARCAS</v>
          </cell>
          <cell r="E545" t="str">
            <v>MT</v>
          </cell>
          <cell r="I545" t="str">
            <v>Não Comprou</v>
          </cell>
        </row>
        <row r="546">
          <cell r="A546">
            <v>34700354000160</v>
          </cell>
          <cell r="B546" t="str">
            <v>DROGARIA+SAUDE</v>
          </cell>
          <cell r="C546" t="str">
            <v>INDEPENDENTES VIN</v>
          </cell>
          <cell r="D546" t="str">
            <v>CUIABA</v>
          </cell>
          <cell r="E546" t="str">
            <v>MT</v>
          </cell>
          <cell r="I546" t="str">
            <v>Não Comprou</v>
          </cell>
        </row>
        <row r="547">
          <cell r="A547">
            <v>11964668000175</v>
          </cell>
          <cell r="B547" t="str">
            <v>DROGARIA VIVA MAIS</v>
          </cell>
          <cell r="C547" t="str">
            <v>MASTERFARMA</v>
          </cell>
          <cell r="D547" t="str">
            <v>COSTA RICA</v>
          </cell>
          <cell r="E547" t="str">
            <v>MS</v>
          </cell>
          <cell r="I547" t="str">
            <v>Não Comprou</v>
          </cell>
        </row>
        <row r="548">
          <cell r="A548">
            <v>8963901000190</v>
          </cell>
          <cell r="B548" t="str">
            <v>DROGARIA VITORIA</v>
          </cell>
          <cell r="C548" t="str">
            <v>MASTERFARMA</v>
          </cell>
          <cell r="D548" t="str">
            <v>ARAPUTANGA</v>
          </cell>
          <cell r="E548" t="str">
            <v>MT</v>
          </cell>
          <cell r="F548">
            <v>46311</v>
          </cell>
          <cell r="G548">
            <v>1171</v>
          </cell>
          <cell r="I548" t="str">
            <v>Comprou Marcas</v>
          </cell>
        </row>
        <row r="549">
          <cell r="A549">
            <v>17334086000191</v>
          </cell>
          <cell r="B549" t="str">
            <v>DROGARIA VITORIA</v>
          </cell>
          <cell r="C549" t="str">
            <v>INDEPENDENTES VIN</v>
          </cell>
          <cell r="D549" t="str">
            <v>COMODORO</v>
          </cell>
          <cell r="E549" t="str">
            <v>MT</v>
          </cell>
          <cell r="F549">
            <v>46304</v>
          </cell>
          <cell r="G549">
            <v>312.08</v>
          </cell>
          <cell r="I549" t="str">
            <v>Comprou Marcas</v>
          </cell>
        </row>
        <row r="550">
          <cell r="A550">
            <v>46726427000172</v>
          </cell>
          <cell r="B550" t="str">
            <v>DROGARIA VIOLETAS</v>
          </cell>
          <cell r="C550" t="str">
            <v>INDEPENDENTES VIN</v>
          </cell>
          <cell r="D550" t="str">
            <v>SINOP</v>
          </cell>
          <cell r="E550" t="str">
            <v>MT</v>
          </cell>
          <cell r="I550" t="str">
            <v>Não Comprou</v>
          </cell>
        </row>
        <row r="551">
          <cell r="A551">
            <v>56089146000100</v>
          </cell>
          <cell r="B551" t="str">
            <v>DROGARIA VIDA E SAUDE TOTAL UNIDADE LEONOR</v>
          </cell>
          <cell r="C551" t="str">
            <v>DROGARIA TOTAL</v>
          </cell>
          <cell r="D551" t="str">
            <v>PRESIDENTE PRUDENTE</v>
          </cell>
          <cell r="E551" t="str">
            <v>SP</v>
          </cell>
          <cell r="F551">
            <v>46301</v>
          </cell>
          <cell r="H551">
            <v>6240.2000000000007</v>
          </cell>
          <cell r="I551" t="str">
            <v>Comprou SG</v>
          </cell>
        </row>
        <row r="552">
          <cell r="A552">
            <v>19631038000271</v>
          </cell>
          <cell r="B552" t="str">
            <v>DROGARIA VIDA &amp; SAUDE</v>
          </cell>
          <cell r="C552" t="str">
            <v>MULTIDROGAS</v>
          </cell>
          <cell r="D552" t="str">
            <v>SANTO EXPEDITO</v>
          </cell>
          <cell r="E552" t="str">
            <v>SP</v>
          </cell>
          <cell r="F552">
            <v>46310</v>
          </cell>
          <cell r="G552">
            <v>97.62</v>
          </cell>
          <cell r="I552" t="str">
            <v>Comprou Marcas</v>
          </cell>
        </row>
        <row r="553">
          <cell r="A553">
            <v>8776885000127</v>
          </cell>
          <cell r="B553" t="str">
            <v>DROGARIA UNIVERSO</v>
          </cell>
          <cell r="C553" t="str">
            <v>HIPER SAUDE</v>
          </cell>
          <cell r="D553" t="str">
            <v>GUARANTA DO NORTE</v>
          </cell>
          <cell r="E553" t="str">
            <v>MT</v>
          </cell>
          <cell r="F553">
            <v>46309</v>
          </cell>
          <cell r="G553">
            <v>607.06999999999994</v>
          </cell>
          <cell r="H553">
            <v>989.1099999999999</v>
          </cell>
          <cell r="I553" t="str">
            <v>Comprou Marcas e SG</v>
          </cell>
        </row>
        <row r="554">
          <cell r="A554">
            <v>39999923000134</v>
          </cell>
          <cell r="B554" t="str">
            <v>DROGARIA UNIVERSO</v>
          </cell>
          <cell r="C554" t="str">
            <v>MASTERFARMA</v>
          </cell>
          <cell r="D554" t="str">
            <v>BARRA DO GARCAS</v>
          </cell>
          <cell r="E554" t="str">
            <v>MT</v>
          </cell>
          <cell r="I554" t="str">
            <v>Não Comprou</v>
          </cell>
        </row>
        <row r="555">
          <cell r="A555">
            <v>47614350000101</v>
          </cell>
          <cell r="B555" t="str">
            <v>DROGARIA UNIFARMA</v>
          </cell>
          <cell r="C555" t="str">
            <v>INDEPENDENTES VIN</v>
          </cell>
          <cell r="D555" t="str">
            <v>BARRA DO GARCAS</v>
          </cell>
          <cell r="E555" t="str">
            <v>MT</v>
          </cell>
          <cell r="I555" t="str">
            <v>Não Comprou</v>
          </cell>
        </row>
        <row r="556">
          <cell r="A556">
            <v>7771697000143</v>
          </cell>
          <cell r="B556" t="str">
            <v>DROGARIA UNIFARMA</v>
          </cell>
          <cell r="C556" t="str">
            <v>INDEPENDENTES VIN</v>
          </cell>
          <cell r="D556" t="str">
            <v>PARAGUACU PAULISTA</v>
          </cell>
          <cell r="E556" t="str">
            <v>SP</v>
          </cell>
          <cell r="I556" t="str">
            <v>Não Comprou</v>
          </cell>
        </row>
        <row r="557">
          <cell r="A557">
            <v>30658717000196</v>
          </cell>
          <cell r="B557" t="str">
            <v>DROGARIA UNIAO POPULAR</v>
          </cell>
          <cell r="C557" t="str">
            <v>INDEPENDENTES VIN</v>
          </cell>
          <cell r="D557" t="str">
            <v>BARRA DO GARCAS</v>
          </cell>
          <cell r="E557" t="str">
            <v>MT</v>
          </cell>
          <cell r="I557" t="str">
            <v>Não Comprou</v>
          </cell>
        </row>
        <row r="558">
          <cell r="A558">
            <v>7460103000183</v>
          </cell>
          <cell r="B558" t="str">
            <v>DROGARIA UNIAO</v>
          </cell>
          <cell r="C558" t="str">
            <v>MASTERFARMA</v>
          </cell>
          <cell r="D558" t="str">
            <v>CAMPO GRANDE</v>
          </cell>
          <cell r="E558" t="str">
            <v>MS</v>
          </cell>
          <cell r="I558" t="str">
            <v>Não Comprou</v>
          </cell>
        </row>
        <row r="559">
          <cell r="A559">
            <v>5344624000492</v>
          </cell>
          <cell r="B559" t="str">
            <v>DROGARIA ULTRAPOPULAR II</v>
          </cell>
          <cell r="C559" t="str">
            <v>FARMARCAS</v>
          </cell>
          <cell r="D559" t="str">
            <v>PONTA PORA</v>
          </cell>
          <cell r="E559" t="str">
            <v>MS</v>
          </cell>
          <cell r="F559">
            <v>46308</v>
          </cell>
          <cell r="G559">
            <v>1696.6100000000001</v>
          </cell>
          <cell r="I559" t="str">
            <v>Comprou Marcas</v>
          </cell>
        </row>
        <row r="560">
          <cell r="A560">
            <v>5344624000301</v>
          </cell>
          <cell r="B560" t="str">
            <v>DROGARIA ULTRAPOPULAR</v>
          </cell>
          <cell r="C560" t="str">
            <v>FARMARCAS</v>
          </cell>
          <cell r="D560" t="str">
            <v>PONTA PORA</v>
          </cell>
          <cell r="E560" t="str">
            <v>MS</v>
          </cell>
          <cell r="F560">
            <v>46308</v>
          </cell>
          <cell r="G560">
            <v>3452.1900000000005</v>
          </cell>
          <cell r="I560" t="str">
            <v>Comprou Marcas</v>
          </cell>
        </row>
        <row r="561">
          <cell r="A561">
            <v>24437271000177</v>
          </cell>
          <cell r="B561" t="str">
            <v>DROGARIA ULTRAPOPULAR</v>
          </cell>
          <cell r="C561" t="str">
            <v>FARMARCAS</v>
          </cell>
          <cell r="D561" t="str">
            <v>FATIMA DO SUL</v>
          </cell>
          <cell r="E561" t="str">
            <v>MS</v>
          </cell>
          <cell r="F561">
            <v>46311</v>
          </cell>
          <cell r="G561">
            <v>2986.6100000000006</v>
          </cell>
          <cell r="I561" t="str">
            <v>Comprou Marcas</v>
          </cell>
        </row>
        <row r="562">
          <cell r="A562">
            <v>18332251000210</v>
          </cell>
          <cell r="B562" t="str">
            <v>DROGARIA ULTRAPOPULAR</v>
          </cell>
          <cell r="C562" t="str">
            <v>FARMARCAS</v>
          </cell>
          <cell r="D562" t="str">
            <v>COXIM</v>
          </cell>
          <cell r="E562" t="str">
            <v>MS</v>
          </cell>
          <cell r="F562">
            <v>46308</v>
          </cell>
          <cell r="G562">
            <v>5742.52</v>
          </cell>
          <cell r="I562" t="str">
            <v>Comprou Marcas</v>
          </cell>
        </row>
        <row r="563">
          <cell r="A563">
            <v>18332251000309</v>
          </cell>
          <cell r="B563" t="str">
            <v>DROGARIA ULTRAPOPULAR</v>
          </cell>
          <cell r="C563" t="str">
            <v>FARMARCAS</v>
          </cell>
          <cell r="D563" t="str">
            <v>CAMPO GRANDE</v>
          </cell>
          <cell r="E563" t="str">
            <v>MS</v>
          </cell>
          <cell r="F563">
            <v>46308</v>
          </cell>
          <cell r="G563">
            <v>2306.2799999999997</v>
          </cell>
          <cell r="I563" t="str">
            <v>Comprou Marcas</v>
          </cell>
        </row>
        <row r="564">
          <cell r="A564">
            <v>18332251000481</v>
          </cell>
          <cell r="B564" t="str">
            <v>DROGARIA ULTRAPOPULAR</v>
          </cell>
          <cell r="C564" t="str">
            <v>FARMARCAS</v>
          </cell>
          <cell r="D564" t="str">
            <v>CAMPO GRANDE</v>
          </cell>
          <cell r="E564" t="str">
            <v>MS</v>
          </cell>
          <cell r="F564">
            <v>46308</v>
          </cell>
          <cell r="G564">
            <v>2306.6800000000003</v>
          </cell>
          <cell r="I564" t="str">
            <v>Comprou Marcas</v>
          </cell>
        </row>
        <row r="565">
          <cell r="A565">
            <v>10341045000779</v>
          </cell>
          <cell r="B565" t="str">
            <v>DROGARIA ULTRAPOPULAR</v>
          </cell>
          <cell r="C565" t="str">
            <v>FARMARCAS</v>
          </cell>
          <cell r="D565" t="str">
            <v>CUIABA</v>
          </cell>
          <cell r="E565" t="str">
            <v>MT</v>
          </cell>
          <cell r="F565">
            <v>46311</v>
          </cell>
          <cell r="G565">
            <v>20441.21000000001</v>
          </cell>
          <cell r="H565">
            <v>17452.2</v>
          </cell>
          <cell r="I565" t="str">
            <v>Comprou Marcas e SG</v>
          </cell>
        </row>
        <row r="566">
          <cell r="A566">
            <v>10341045000850</v>
          </cell>
          <cell r="B566" t="str">
            <v>DROGARIA ULTRAPOPULAR</v>
          </cell>
          <cell r="C566" t="str">
            <v>FARMARCAS</v>
          </cell>
          <cell r="D566" t="str">
            <v>CUIABA</v>
          </cell>
          <cell r="E566" t="str">
            <v>MT</v>
          </cell>
          <cell r="F566">
            <v>46311</v>
          </cell>
          <cell r="G566">
            <v>12625.139999999998</v>
          </cell>
          <cell r="H566">
            <v>14957</v>
          </cell>
          <cell r="I566" t="str">
            <v>Comprou Marcas e SG</v>
          </cell>
        </row>
        <row r="567">
          <cell r="A567">
            <v>10341045000930</v>
          </cell>
          <cell r="B567" t="str">
            <v>DROGARIA ULTRAPOPULAR</v>
          </cell>
          <cell r="C567" t="str">
            <v>FARMARCAS</v>
          </cell>
          <cell r="D567" t="str">
            <v>VARZEA GRANDE</v>
          </cell>
          <cell r="E567" t="str">
            <v>MT</v>
          </cell>
          <cell r="F567">
            <v>46311</v>
          </cell>
          <cell r="G567">
            <v>1795.68</v>
          </cell>
          <cell r="H567">
            <v>4348.9500000000007</v>
          </cell>
          <cell r="I567" t="str">
            <v>Comprou Marcas e SG</v>
          </cell>
        </row>
        <row r="568">
          <cell r="A568">
            <v>10341045001074</v>
          </cell>
          <cell r="B568" t="str">
            <v>DROGARIA ULTRAPOPULAR</v>
          </cell>
          <cell r="C568" t="str">
            <v>FARMARCAS</v>
          </cell>
          <cell r="D568" t="str">
            <v>VARZEA GRANDE</v>
          </cell>
          <cell r="E568" t="str">
            <v>MT</v>
          </cell>
          <cell r="F568">
            <v>46311</v>
          </cell>
          <cell r="G568">
            <v>6639.34</v>
          </cell>
          <cell r="H568">
            <v>11712.219999999998</v>
          </cell>
          <cell r="I568" t="str">
            <v>Comprou Marcas e SG</v>
          </cell>
        </row>
        <row r="569">
          <cell r="A569">
            <v>10341045001155</v>
          </cell>
          <cell r="B569" t="str">
            <v>DROGARIA ULTRAPOPULAR</v>
          </cell>
          <cell r="C569" t="str">
            <v>FARMARCAS</v>
          </cell>
          <cell r="D569" t="str">
            <v>CUIABA</v>
          </cell>
          <cell r="E569" t="str">
            <v>MT</v>
          </cell>
          <cell r="F569">
            <v>46311</v>
          </cell>
          <cell r="G569">
            <v>14898.769999999993</v>
          </cell>
          <cell r="H569">
            <v>12640.699999999999</v>
          </cell>
          <cell r="I569" t="str">
            <v>Comprou Marcas e SG</v>
          </cell>
        </row>
        <row r="570">
          <cell r="A570">
            <v>10341045001317</v>
          </cell>
          <cell r="B570" t="str">
            <v>DROGARIA ULTRAPOPULAR</v>
          </cell>
          <cell r="C570" t="str">
            <v>FARMARCAS</v>
          </cell>
          <cell r="D570" t="str">
            <v>CUIABA</v>
          </cell>
          <cell r="E570" t="str">
            <v>MT</v>
          </cell>
          <cell r="F570">
            <v>46311</v>
          </cell>
          <cell r="G570">
            <v>11350.3</v>
          </cell>
          <cell r="H570">
            <v>12019.109999999997</v>
          </cell>
          <cell r="I570" t="str">
            <v>Comprou Marcas e SG</v>
          </cell>
        </row>
        <row r="571">
          <cell r="A571">
            <v>10341045001406</v>
          </cell>
          <cell r="B571" t="str">
            <v>DROGARIA ULTRAPOPULAR</v>
          </cell>
          <cell r="C571" t="str">
            <v>FARMARCAS</v>
          </cell>
          <cell r="D571" t="str">
            <v>VARZEA GRANDE</v>
          </cell>
          <cell r="E571" t="str">
            <v>MT</v>
          </cell>
          <cell r="F571">
            <v>46311</v>
          </cell>
          <cell r="G571">
            <v>10732.589999999997</v>
          </cell>
          <cell r="H571">
            <v>18246.229999999996</v>
          </cell>
          <cell r="I571" t="str">
            <v>Comprou Marcas e SG</v>
          </cell>
        </row>
        <row r="572">
          <cell r="A572">
            <v>1678322000157</v>
          </cell>
          <cell r="B572" t="str">
            <v>DROGARIA ULTRAPOPULAR</v>
          </cell>
          <cell r="C572" t="str">
            <v>FARMARCAS</v>
          </cell>
          <cell r="D572" t="str">
            <v>ARENAPOLIS</v>
          </cell>
          <cell r="E572" t="str">
            <v>MT</v>
          </cell>
          <cell r="F572">
            <v>46310</v>
          </cell>
          <cell r="G572">
            <v>4114.67</v>
          </cell>
          <cell r="I572" t="str">
            <v>Comprou Marcas</v>
          </cell>
        </row>
        <row r="573">
          <cell r="A573">
            <v>10341045000183</v>
          </cell>
          <cell r="B573" t="str">
            <v>DROGARIA ULTRAPOPULAR</v>
          </cell>
          <cell r="C573" t="str">
            <v>FARMARCAS</v>
          </cell>
          <cell r="D573" t="str">
            <v>JUINA</v>
          </cell>
          <cell r="E573" t="str">
            <v>MT</v>
          </cell>
          <cell r="F573">
            <v>46311</v>
          </cell>
          <cell r="G573">
            <v>15704.829999999994</v>
          </cell>
          <cell r="H573">
            <v>19662.66</v>
          </cell>
          <cell r="I573" t="str">
            <v>Comprou Marcas e SG</v>
          </cell>
        </row>
        <row r="574">
          <cell r="A574">
            <v>10341045000264</v>
          </cell>
          <cell r="B574" t="str">
            <v>DROGARIA ULTRAPOPULAR</v>
          </cell>
          <cell r="C574" t="str">
            <v>FARMARCAS</v>
          </cell>
          <cell r="D574" t="str">
            <v>CAMPO NOVO DO PARECIS</v>
          </cell>
          <cell r="E574" t="str">
            <v>MT</v>
          </cell>
          <cell r="F574">
            <v>46311</v>
          </cell>
          <cell r="G574">
            <v>1409.9899999999998</v>
          </cell>
          <cell r="H574">
            <v>4577.5899999999992</v>
          </cell>
          <cell r="I574" t="str">
            <v>Comprou Marcas e SG</v>
          </cell>
        </row>
        <row r="575">
          <cell r="A575">
            <v>10341045000426</v>
          </cell>
          <cell r="B575" t="str">
            <v>DROGARIA ULTRAPOPULAR</v>
          </cell>
          <cell r="C575" t="str">
            <v>FARMARCAS</v>
          </cell>
          <cell r="D575" t="str">
            <v>JUINA</v>
          </cell>
          <cell r="E575" t="str">
            <v>MT</v>
          </cell>
          <cell r="F575">
            <v>46311</v>
          </cell>
          <cell r="G575">
            <v>2975.87</v>
          </cell>
          <cell r="H575">
            <v>2584.71</v>
          </cell>
          <cell r="I575" t="str">
            <v>Comprou Marcas e SG</v>
          </cell>
        </row>
        <row r="576">
          <cell r="A576">
            <v>10341045000507</v>
          </cell>
          <cell r="B576" t="str">
            <v>DROGARIA ULTRAPOPULAR</v>
          </cell>
          <cell r="C576" t="str">
            <v>FARMARCAS</v>
          </cell>
          <cell r="D576" t="str">
            <v>JUINA</v>
          </cell>
          <cell r="E576" t="str">
            <v>MT</v>
          </cell>
          <cell r="F576">
            <v>46311</v>
          </cell>
          <cell r="G576">
            <v>3569.7000000000007</v>
          </cell>
          <cell r="H576">
            <v>9032.7799999999988</v>
          </cell>
          <cell r="I576" t="str">
            <v>Comprou Marcas e SG</v>
          </cell>
        </row>
        <row r="577">
          <cell r="A577">
            <v>10341045000698</v>
          </cell>
          <cell r="B577" t="str">
            <v>DROGARIA ULTRAPOPULAR</v>
          </cell>
          <cell r="C577" t="str">
            <v>FARMARCAS</v>
          </cell>
          <cell r="D577" t="str">
            <v>JUINA</v>
          </cell>
          <cell r="E577" t="str">
            <v>MT</v>
          </cell>
          <cell r="F577">
            <v>46311</v>
          </cell>
          <cell r="G577">
            <v>1329.78</v>
          </cell>
          <cell r="H577">
            <v>1981.1699999999998</v>
          </cell>
          <cell r="I577" t="str">
            <v>Comprou Marcas e SG</v>
          </cell>
        </row>
        <row r="578">
          <cell r="A578">
            <v>10341045001236</v>
          </cell>
          <cell r="B578" t="str">
            <v>DROGARIA ULTRAPOPULAR</v>
          </cell>
          <cell r="C578" t="str">
            <v>FARMARCAS</v>
          </cell>
          <cell r="D578" t="str">
            <v>CAMPO NOVO DO PARECIS</v>
          </cell>
          <cell r="E578" t="str">
            <v>MT</v>
          </cell>
          <cell r="F578">
            <v>46311</v>
          </cell>
          <cell r="G578">
            <v>3732.9399999999996</v>
          </cell>
          <cell r="H578">
            <v>6644.1100000000006</v>
          </cell>
          <cell r="I578" t="str">
            <v>Comprou Marcas e SG</v>
          </cell>
        </row>
        <row r="579">
          <cell r="A579">
            <v>10341045001589</v>
          </cell>
          <cell r="B579" t="str">
            <v>DROGARIA ULTRAPOPULAR</v>
          </cell>
          <cell r="C579" t="str">
            <v>FARMARCAS</v>
          </cell>
          <cell r="D579" t="str">
            <v>JUINA</v>
          </cell>
          <cell r="E579" t="str">
            <v>MT</v>
          </cell>
          <cell r="F579">
            <v>46311</v>
          </cell>
          <cell r="G579">
            <v>1633.8799999999999</v>
          </cell>
          <cell r="H579">
            <v>2432.3399999999997</v>
          </cell>
          <cell r="I579" t="str">
            <v>Comprou Marcas e SG</v>
          </cell>
        </row>
        <row r="580">
          <cell r="A580">
            <v>10341045001902</v>
          </cell>
          <cell r="B580" t="str">
            <v>DROGARIA ULTRAPOPULAR</v>
          </cell>
          <cell r="C580" t="str">
            <v>FARMARCAS</v>
          </cell>
          <cell r="D580" t="str">
            <v>NOVA MUTUM</v>
          </cell>
          <cell r="E580" t="str">
            <v>MT</v>
          </cell>
          <cell r="F580">
            <v>46311</v>
          </cell>
          <cell r="G580">
            <v>8979.32</v>
          </cell>
          <cell r="H580">
            <v>11228.260000000002</v>
          </cell>
          <cell r="I580" t="str">
            <v>Comprou Marcas e SG</v>
          </cell>
        </row>
        <row r="581">
          <cell r="A581">
            <v>10341045002046</v>
          </cell>
          <cell r="B581" t="str">
            <v>DROGARIA ULTRAPOPULAR</v>
          </cell>
          <cell r="C581" t="str">
            <v>FARMARCAS</v>
          </cell>
          <cell r="D581" t="str">
            <v>NOVA MUTUM</v>
          </cell>
          <cell r="E581" t="str">
            <v>MT</v>
          </cell>
          <cell r="F581">
            <v>46311</v>
          </cell>
          <cell r="G581">
            <v>7694.7799999999988</v>
          </cell>
          <cell r="H581">
            <v>3687.4800000000005</v>
          </cell>
          <cell r="I581" t="str">
            <v>Comprou Marcas e SG</v>
          </cell>
        </row>
        <row r="582">
          <cell r="A582">
            <v>10341045002127</v>
          </cell>
          <cell r="B582" t="str">
            <v>DROGARIA ULTRAPOPULAR</v>
          </cell>
          <cell r="C582" t="str">
            <v>FARMARCAS</v>
          </cell>
          <cell r="D582" t="str">
            <v>NOVA MUTUM</v>
          </cell>
          <cell r="E582" t="str">
            <v>MT</v>
          </cell>
          <cell r="F582">
            <v>46311</v>
          </cell>
          <cell r="G582">
            <v>4187.0399999999991</v>
          </cell>
          <cell r="H582">
            <v>4997.5700000000006</v>
          </cell>
          <cell r="I582" t="str">
            <v>Comprou Marcas e SG</v>
          </cell>
        </row>
        <row r="583">
          <cell r="A583">
            <v>10341045002399</v>
          </cell>
          <cell r="B583" t="str">
            <v>DROGARIA ULTRAPOPULAR</v>
          </cell>
          <cell r="C583" t="str">
            <v>FARMARCAS</v>
          </cell>
          <cell r="D583" t="str">
            <v>NOVA MUTUM</v>
          </cell>
          <cell r="E583" t="str">
            <v>MT</v>
          </cell>
          <cell r="F583">
            <v>46311</v>
          </cell>
          <cell r="G583">
            <v>9765.5999999999985</v>
          </cell>
          <cell r="H583">
            <v>2409.85</v>
          </cell>
          <cell r="I583" t="str">
            <v>Comprou Marcas e SG</v>
          </cell>
        </row>
        <row r="584">
          <cell r="A584">
            <v>19909093000108</v>
          </cell>
          <cell r="B584" t="str">
            <v>DROGARIA ULTRAPOPULAR</v>
          </cell>
          <cell r="C584" t="str">
            <v>FARMARCAS</v>
          </cell>
          <cell r="D584" t="str">
            <v>SAPEZAL</v>
          </cell>
          <cell r="E584" t="str">
            <v>MT</v>
          </cell>
          <cell r="I584" t="str">
            <v>Não Comprou</v>
          </cell>
        </row>
        <row r="585">
          <cell r="A585">
            <v>19909093000280</v>
          </cell>
          <cell r="B585" t="str">
            <v>DROGARIA ULTRAPOPULAR</v>
          </cell>
          <cell r="C585" t="str">
            <v>FARMARCAS</v>
          </cell>
          <cell r="D585" t="str">
            <v>SAPEZAL</v>
          </cell>
          <cell r="E585" t="str">
            <v>MT</v>
          </cell>
          <cell r="I585" t="str">
            <v>Não Comprou</v>
          </cell>
        </row>
        <row r="586">
          <cell r="A586">
            <v>27769234000154</v>
          </cell>
          <cell r="B586" t="str">
            <v>DROGARIA ULTRAPOPULAR</v>
          </cell>
          <cell r="C586" t="str">
            <v>FARMARCAS</v>
          </cell>
          <cell r="D586" t="str">
            <v>CAMPO NOVO DO PARECIS</v>
          </cell>
          <cell r="E586" t="str">
            <v>MT</v>
          </cell>
          <cell r="F586">
            <v>46311</v>
          </cell>
          <cell r="G586">
            <v>4676.5500000000011</v>
          </cell>
          <cell r="H586">
            <v>8793.3099999999977</v>
          </cell>
          <cell r="I586" t="str">
            <v>Comprou Marcas e SG</v>
          </cell>
        </row>
        <row r="587">
          <cell r="A587">
            <v>10341045001660</v>
          </cell>
          <cell r="B587" t="str">
            <v>DROGARIA ULTRAPOPULAR</v>
          </cell>
          <cell r="C587" t="str">
            <v>FARMARCAS</v>
          </cell>
          <cell r="D587" t="str">
            <v>SORRISO</v>
          </cell>
          <cell r="E587" t="str">
            <v>MT</v>
          </cell>
          <cell r="F587">
            <v>46311</v>
          </cell>
          <cell r="G587">
            <v>2141.0199999999995</v>
          </cell>
          <cell r="H587">
            <v>4726.92</v>
          </cell>
          <cell r="I587" t="str">
            <v>Comprou Marcas e SG</v>
          </cell>
        </row>
        <row r="588">
          <cell r="A588">
            <v>10341045001740</v>
          </cell>
          <cell r="B588" t="str">
            <v>DROGARIA ULTRAPOPULAR</v>
          </cell>
          <cell r="C588" t="str">
            <v>FARMARCAS</v>
          </cell>
          <cell r="D588" t="str">
            <v>SORRISO</v>
          </cell>
          <cell r="E588" t="str">
            <v>MT</v>
          </cell>
          <cell r="F588">
            <v>46311</v>
          </cell>
          <cell r="G588">
            <v>1646.2200000000005</v>
          </cell>
          <cell r="H588">
            <v>2242.8100000000004</v>
          </cell>
          <cell r="I588" t="str">
            <v>Comprou Marcas e SG</v>
          </cell>
        </row>
        <row r="589">
          <cell r="A589">
            <v>10341045001821</v>
          </cell>
          <cell r="B589" t="str">
            <v>DROGARIA ULTRAPOPULAR</v>
          </cell>
          <cell r="C589" t="str">
            <v>FARMARCAS</v>
          </cell>
          <cell r="D589" t="str">
            <v>SORRISO</v>
          </cell>
          <cell r="E589" t="str">
            <v>MT</v>
          </cell>
          <cell r="F589">
            <v>46311</v>
          </cell>
          <cell r="G589">
            <v>5263.97</v>
          </cell>
          <cell r="H589">
            <v>10159.560000000001</v>
          </cell>
          <cell r="I589" t="str">
            <v>Comprou Marcas e SG</v>
          </cell>
        </row>
        <row r="590">
          <cell r="A590">
            <v>18332251000139</v>
          </cell>
          <cell r="B590" t="str">
            <v>DROGARIA ULTRAPOPULAR</v>
          </cell>
          <cell r="C590" t="str">
            <v>FARMARCAS</v>
          </cell>
          <cell r="D590" t="str">
            <v>CHAPADAO DO SUL</v>
          </cell>
          <cell r="E590" t="str">
            <v>MS</v>
          </cell>
          <cell r="F590">
            <v>46308</v>
          </cell>
          <cell r="G590">
            <v>7935.7199999999993</v>
          </cell>
          <cell r="I590" t="str">
            <v>Comprou Marcas</v>
          </cell>
        </row>
        <row r="591">
          <cell r="A591">
            <v>20718662000109</v>
          </cell>
          <cell r="B591" t="str">
            <v>DROGARIA ULTRAPOPULAR</v>
          </cell>
          <cell r="C591" t="str">
            <v>FARMARCAS</v>
          </cell>
          <cell r="D591" t="str">
            <v>PARANAIBA</v>
          </cell>
          <cell r="E591" t="str">
            <v>MS</v>
          </cell>
          <cell r="F591">
            <v>46310</v>
          </cell>
          <cell r="G591">
            <v>1618.2999999999995</v>
          </cell>
          <cell r="I591" t="str">
            <v>Comprou Marcas</v>
          </cell>
        </row>
        <row r="592">
          <cell r="A592">
            <v>29776784000126</v>
          </cell>
          <cell r="B592" t="str">
            <v>DROGARIA ULTRAMED</v>
          </cell>
          <cell r="C592" t="str">
            <v>MASTERFARMA</v>
          </cell>
          <cell r="D592" t="str">
            <v>CAMPO GRANDE</v>
          </cell>
          <cell r="E592" t="str">
            <v>MS</v>
          </cell>
          <cell r="F592">
            <v>46305</v>
          </cell>
          <cell r="G592">
            <v>1634.9299999999998</v>
          </cell>
          <cell r="I592" t="str">
            <v>Comprou Marcas</v>
          </cell>
        </row>
        <row r="593">
          <cell r="A593">
            <v>18666741000171</v>
          </cell>
          <cell r="B593" t="str">
            <v>DROGARIA ULTRA POPULAR PENAPOLIS</v>
          </cell>
          <cell r="C593" t="str">
            <v>FARMARCAS</v>
          </cell>
          <cell r="D593" t="str">
            <v>PENAPOLIS</v>
          </cell>
          <cell r="E593" t="str">
            <v>SP</v>
          </cell>
          <cell r="F593">
            <v>46311</v>
          </cell>
          <cell r="G593">
            <v>4746.67</v>
          </cell>
          <cell r="H593">
            <v>31607.589999999989</v>
          </cell>
          <cell r="I593" t="str">
            <v>Comprou Marcas e SG</v>
          </cell>
        </row>
        <row r="594">
          <cell r="A594">
            <v>18645755000109</v>
          </cell>
          <cell r="B594" t="str">
            <v>DROGARIA ULTRA POPULAR DE PARANATINGA</v>
          </cell>
          <cell r="C594" t="str">
            <v>FARMARCAS</v>
          </cell>
          <cell r="D594" t="str">
            <v>PARANATINGA</v>
          </cell>
          <cell r="E594" t="str">
            <v>MT</v>
          </cell>
          <cell r="F594">
            <v>46311</v>
          </cell>
          <cell r="G594">
            <v>6711.7000000000025</v>
          </cell>
          <cell r="I594" t="str">
            <v>Comprou Marcas</v>
          </cell>
        </row>
        <row r="595">
          <cell r="A595">
            <v>18645755000290</v>
          </cell>
          <cell r="B595" t="str">
            <v>DROGARIA ULTRA POPULAR DE AGUA BOA</v>
          </cell>
          <cell r="C595" t="str">
            <v>FARMARCAS</v>
          </cell>
          <cell r="D595" t="str">
            <v>AGUA BOA</v>
          </cell>
          <cell r="E595" t="str">
            <v>MT</v>
          </cell>
          <cell r="F595">
            <v>46304</v>
          </cell>
          <cell r="G595">
            <v>3722.21</v>
          </cell>
          <cell r="I595" t="str">
            <v>Comprou Marcas</v>
          </cell>
        </row>
        <row r="596">
          <cell r="A596">
            <v>18645755000451</v>
          </cell>
          <cell r="B596" t="str">
            <v>DROGARIA ULTRA POPULAR DE AGUA BOA</v>
          </cell>
          <cell r="C596" t="str">
            <v>FARMARCAS</v>
          </cell>
          <cell r="D596" t="str">
            <v>AGUA BOA</v>
          </cell>
          <cell r="E596" t="str">
            <v>MT</v>
          </cell>
          <cell r="F596">
            <v>46311</v>
          </cell>
          <cell r="G596">
            <v>1422.07</v>
          </cell>
          <cell r="I596" t="str">
            <v>Comprou Marcas</v>
          </cell>
        </row>
        <row r="597">
          <cell r="A597">
            <v>18645755000532</v>
          </cell>
          <cell r="B597" t="str">
            <v>DROGARIA ULTRA POPULAR DE AGUA BOA</v>
          </cell>
          <cell r="C597" t="str">
            <v>FARMARCAS</v>
          </cell>
          <cell r="D597" t="str">
            <v>AGUA BOA</v>
          </cell>
          <cell r="E597" t="str">
            <v>MT</v>
          </cell>
          <cell r="I597" t="str">
            <v>Não Comprou</v>
          </cell>
        </row>
        <row r="598">
          <cell r="A598">
            <v>8107186000194</v>
          </cell>
          <cell r="B598" t="str">
            <v>DROGARIA ULTRA POPULAR</v>
          </cell>
          <cell r="C598" t="str">
            <v>FARMARCAS</v>
          </cell>
          <cell r="D598" t="str">
            <v>AMAMBAI</v>
          </cell>
          <cell r="E598" t="str">
            <v>MS</v>
          </cell>
          <cell r="F598">
            <v>46304</v>
          </cell>
          <cell r="G598">
            <v>12754.61</v>
          </cell>
          <cell r="H598">
            <v>8899.51</v>
          </cell>
          <cell r="I598" t="str">
            <v>Comprou Marcas e SG</v>
          </cell>
        </row>
        <row r="599">
          <cell r="A599">
            <v>19436791000125</v>
          </cell>
          <cell r="B599" t="str">
            <v>DROGARIA ULTRA POPULAR</v>
          </cell>
          <cell r="C599" t="str">
            <v>FARMARCAS</v>
          </cell>
          <cell r="D599" t="str">
            <v>NAVIRAI</v>
          </cell>
          <cell r="E599" t="str">
            <v>MS</v>
          </cell>
          <cell r="F599">
            <v>46303</v>
          </cell>
          <cell r="G599">
            <v>1125.4699999999998</v>
          </cell>
          <cell r="H599">
            <v>1994.97</v>
          </cell>
          <cell r="I599" t="str">
            <v>Comprou Marcas e SG</v>
          </cell>
        </row>
        <row r="600">
          <cell r="A600">
            <v>19436791000206</v>
          </cell>
          <cell r="B600" t="str">
            <v>DROGARIA ULTRA POPULAR</v>
          </cell>
          <cell r="C600" t="str">
            <v>FARMARCAS</v>
          </cell>
          <cell r="D600" t="str">
            <v>CAARAPO</v>
          </cell>
          <cell r="E600" t="str">
            <v>MS</v>
          </cell>
          <cell r="F600">
            <v>46308</v>
          </cell>
          <cell r="G600">
            <v>9456.3900000000049</v>
          </cell>
          <cell r="H600">
            <v>2118.1499999999996</v>
          </cell>
          <cell r="I600" t="str">
            <v>Comprou Marcas e SG</v>
          </cell>
        </row>
        <row r="601">
          <cell r="A601">
            <v>19436791000397</v>
          </cell>
          <cell r="B601" t="str">
            <v>DROGARIA ULTRA POPULAR</v>
          </cell>
          <cell r="C601" t="str">
            <v>FARMARCAS</v>
          </cell>
          <cell r="D601" t="str">
            <v>NAVIRAI</v>
          </cell>
          <cell r="E601" t="str">
            <v>MS</v>
          </cell>
          <cell r="F601">
            <v>46303</v>
          </cell>
          <cell r="G601">
            <v>4640.6299999999992</v>
          </cell>
          <cell r="H601">
            <v>2881.0200000000004</v>
          </cell>
          <cell r="I601" t="str">
            <v>Comprou Marcas e SG</v>
          </cell>
        </row>
        <row r="602">
          <cell r="A602">
            <v>19436791000478</v>
          </cell>
          <cell r="B602" t="str">
            <v>DROGARIA ULTRA POPULAR</v>
          </cell>
          <cell r="C602" t="str">
            <v>FARMARCAS</v>
          </cell>
          <cell r="D602" t="str">
            <v>NAVIRAI</v>
          </cell>
          <cell r="E602" t="str">
            <v>MS</v>
          </cell>
          <cell r="F602">
            <v>46303</v>
          </cell>
          <cell r="G602">
            <v>1668.0600000000002</v>
          </cell>
          <cell r="H602">
            <v>2502.4499999999998</v>
          </cell>
          <cell r="I602" t="str">
            <v>Comprou Marcas e SG</v>
          </cell>
        </row>
        <row r="603">
          <cell r="A603">
            <v>22379586000180</v>
          </cell>
          <cell r="B603" t="str">
            <v>DROGARIA ULTRA POPULAR</v>
          </cell>
          <cell r="C603" t="str">
            <v>FARMARCAS</v>
          </cell>
          <cell r="D603" t="str">
            <v>SIDROLANDIA</v>
          </cell>
          <cell r="E603" t="str">
            <v>MS</v>
          </cell>
          <cell r="F603">
            <v>46303</v>
          </cell>
          <cell r="G603">
            <v>3396.64</v>
          </cell>
          <cell r="H603">
            <v>3314.34</v>
          </cell>
          <cell r="I603" t="str">
            <v>Comprou Marcas e SG</v>
          </cell>
        </row>
        <row r="604">
          <cell r="A604">
            <v>18332251000562</v>
          </cell>
          <cell r="B604" t="str">
            <v>DROGARIA ULTRA POPULAR</v>
          </cell>
          <cell r="C604" t="str">
            <v>FARMARCAS</v>
          </cell>
          <cell r="D604" t="str">
            <v>RIBAS DO RIO PARDO</v>
          </cell>
          <cell r="E604" t="str">
            <v>MS</v>
          </cell>
          <cell r="F604">
            <v>46308</v>
          </cell>
          <cell r="G604">
            <v>9397.7400000000052</v>
          </cell>
          <cell r="I604" t="str">
            <v>Comprou Marcas</v>
          </cell>
        </row>
        <row r="605">
          <cell r="A605">
            <v>22166562000142</v>
          </cell>
          <cell r="B605" t="str">
            <v>DROGARIA ULTRA POPULAR</v>
          </cell>
          <cell r="C605" t="str">
            <v>FARMARCAS</v>
          </cell>
          <cell r="D605" t="str">
            <v>POCONE</v>
          </cell>
          <cell r="E605" t="str">
            <v>MT</v>
          </cell>
          <cell r="F605">
            <v>46308</v>
          </cell>
          <cell r="G605">
            <v>12182.469999999994</v>
          </cell>
          <cell r="I605" t="str">
            <v>Comprou Marcas</v>
          </cell>
        </row>
        <row r="606">
          <cell r="A606">
            <v>22166562000223</v>
          </cell>
          <cell r="B606" t="str">
            <v>DROGARIA ULTRA POPULAR</v>
          </cell>
          <cell r="C606" t="str">
            <v>FARMARCAS</v>
          </cell>
          <cell r="D606" t="str">
            <v>CUIABA</v>
          </cell>
          <cell r="E606" t="str">
            <v>MT</v>
          </cell>
          <cell r="F606">
            <v>46308</v>
          </cell>
          <cell r="G606">
            <v>2774.58</v>
          </cell>
          <cell r="I606" t="str">
            <v>Comprou Marcas</v>
          </cell>
        </row>
        <row r="607">
          <cell r="A607">
            <v>22166562000304</v>
          </cell>
          <cell r="B607" t="str">
            <v>DROGARIA ULTRA POPULAR</v>
          </cell>
          <cell r="C607" t="str">
            <v>FARMARCAS</v>
          </cell>
          <cell r="D607" t="str">
            <v>CUIABA</v>
          </cell>
          <cell r="E607" t="str">
            <v>MT</v>
          </cell>
          <cell r="F607">
            <v>46308</v>
          </cell>
          <cell r="G607">
            <v>6660.1500000000005</v>
          </cell>
          <cell r="I607" t="str">
            <v>Comprou Marcas</v>
          </cell>
        </row>
        <row r="608">
          <cell r="A608">
            <v>22166562000576</v>
          </cell>
          <cell r="B608" t="str">
            <v>DROGARIA ULTRA POPULAR</v>
          </cell>
          <cell r="C608" t="str">
            <v>FARMARCAS</v>
          </cell>
          <cell r="D608" t="str">
            <v>CUIABA</v>
          </cell>
          <cell r="E608" t="str">
            <v>MT</v>
          </cell>
          <cell r="F608">
            <v>46308</v>
          </cell>
          <cell r="G608">
            <v>1513.5099999999995</v>
          </cell>
          <cell r="I608" t="str">
            <v>Comprou Marcas</v>
          </cell>
        </row>
        <row r="609">
          <cell r="A609">
            <v>26291944000159</v>
          </cell>
          <cell r="B609" t="str">
            <v>DROGARIA ULTRA POPULAR</v>
          </cell>
          <cell r="C609" t="str">
            <v>FARMARCAS</v>
          </cell>
          <cell r="D609" t="str">
            <v>VILA BELA DA SANTISSIMA TRINDADE</v>
          </cell>
          <cell r="E609" t="str">
            <v>MT</v>
          </cell>
          <cell r="F609">
            <v>46303</v>
          </cell>
          <cell r="G609">
            <v>240.68</v>
          </cell>
          <cell r="H609">
            <v>5213.9000000000015</v>
          </cell>
          <cell r="I609" t="str">
            <v>Comprou Marcas e SG</v>
          </cell>
        </row>
        <row r="610">
          <cell r="A610">
            <v>3142759000105</v>
          </cell>
          <cell r="B610" t="str">
            <v>DROGARIA ULTRA POPULAR</v>
          </cell>
          <cell r="C610" t="str">
            <v>FARMARCAS</v>
          </cell>
          <cell r="D610" t="str">
            <v>PEIXOTO DE AZEVEDO</v>
          </cell>
          <cell r="E610" t="str">
            <v>MT</v>
          </cell>
          <cell r="F610">
            <v>46311</v>
          </cell>
          <cell r="G610">
            <v>16230.929999999998</v>
          </cell>
          <cell r="I610" t="str">
            <v>Comprou Marcas</v>
          </cell>
        </row>
        <row r="611">
          <cell r="A611">
            <v>19651628000185</v>
          </cell>
          <cell r="B611" t="str">
            <v>DROGARIA ULTRA POPULAR</v>
          </cell>
          <cell r="C611" t="str">
            <v>FARMARCAS</v>
          </cell>
          <cell r="D611" t="str">
            <v>SINOP</v>
          </cell>
          <cell r="E611" t="str">
            <v>MT</v>
          </cell>
          <cell r="F611">
            <v>46310</v>
          </cell>
          <cell r="G611">
            <v>4631.62</v>
          </cell>
          <cell r="H611">
            <v>4421.17</v>
          </cell>
          <cell r="I611" t="str">
            <v>Comprou Marcas e SG</v>
          </cell>
        </row>
        <row r="612">
          <cell r="A612">
            <v>19651628000347</v>
          </cell>
          <cell r="B612" t="str">
            <v>DROGARIA ULTRA POPULAR</v>
          </cell>
          <cell r="C612" t="str">
            <v>FARMARCAS</v>
          </cell>
          <cell r="D612" t="str">
            <v>SINOP</v>
          </cell>
          <cell r="E612" t="str">
            <v>MT</v>
          </cell>
          <cell r="F612">
            <v>46311</v>
          </cell>
          <cell r="G612">
            <v>2712.67</v>
          </cell>
          <cell r="H612">
            <v>3678.3900000000008</v>
          </cell>
          <cell r="I612" t="str">
            <v>Comprou Marcas e SG</v>
          </cell>
        </row>
        <row r="613">
          <cell r="A613">
            <v>19713710000197</v>
          </cell>
          <cell r="B613" t="str">
            <v>DROGARIA ULTRA POPULAR</v>
          </cell>
          <cell r="C613" t="str">
            <v>FARMARCAS</v>
          </cell>
          <cell r="D613" t="str">
            <v>ALTA FLORESTA</v>
          </cell>
          <cell r="E613" t="str">
            <v>MT</v>
          </cell>
          <cell r="F613">
            <v>46309</v>
          </cell>
          <cell r="G613">
            <v>11492.909999999998</v>
          </cell>
          <cell r="I613" t="str">
            <v>Comprou Marcas</v>
          </cell>
        </row>
        <row r="614">
          <cell r="A614">
            <v>19713710000278</v>
          </cell>
          <cell r="B614" t="str">
            <v>DROGARIA ULTRA POPULAR</v>
          </cell>
          <cell r="C614" t="str">
            <v>FARMARCAS</v>
          </cell>
          <cell r="D614" t="str">
            <v>ALTA FLORESTA</v>
          </cell>
          <cell r="E614" t="str">
            <v>MT</v>
          </cell>
          <cell r="F614">
            <v>46304</v>
          </cell>
          <cell r="G614">
            <v>2817.6099999999997</v>
          </cell>
          <cell r="I614" t="str">
            <v>Comprou Marcas</v>
          </cell>
        </row>
        <row r="615">
          <cell r="A615">
            <v>19713710000359</v>
          </cell>
          <cell r="B615" t="str">
            <v>DROGARIA ULTRA POPULAR</v>
          </cell>
          <cell r="C615" t="str">
            <v>FARMARCAS</v>
          </cell>
          <cell r="D615" t="str">
            <v>ALTA FLORESTA</v>
          </cell>
          <cell r="E615" t="str">
            <v>MT</v>
          </cell>
          <cell r="F615">
            <v>46304</v>
          </cell>
          <cell r="G615">
            <v>2110.62</v>
          </cell>
          <cell r="I615" t="str">
            <v>Comprou Marcas</v>
          </cell>
        </row>
        <row r="616">
          <cell r="A616">
            <v>19713710000430</v>
          </cell>
          <cell r="B616" t="str">
            <v>DROGARIA ULTRA POPULAR</v>
          </cell>
          <cell r="C616" t="str">
            <v>FARMARCAS</v>
          </cell>
          <cell r="D616" t="str">
            <v>CARLINDA</v>
          </cell>
          <cell r="E616" t="str">
            <v>MT</v>
          </cell>
          <cell r="F616">
            <v>46304</v>
          </cell>
          <cell r="G616">
            <v>2717.54</v>
          </cell>
          <cell r="I616" t="str">
            <v>Comprou Marcas</v>
          </cell>
        </row>
        <row r="617">
          <cell r="A617">
            <v>19713710000510</v>
          </cell>
          <cell r="B617" t="str">
            <v>DROGARIA ULTRA POPULAR</v>
          </cell>
          <cell r="C617" t="str">
            <v>FARMARCAS</v>
          </cell>
          <cell r="D617" t="str">
            <v>ALTA FLORESTA</v>
          </cell>
          <cell r="E617" t="str">
            <v>MT</v>
          </cell>
          <cell r="I617" t="str">
            <v>Não Comprou</v>
          </cell>
        </row>
        <row r="618">
          <cell r="A618">
            <v>20330018000169</v>
          </cell>
          <cell r="B618" t="str">
            <v>DROGARIA ULTRA POPULAR</v>
          </cell>
          <cell r="C618" t="str">
            <v>FARMARCAS</v>
          </cell>
          <cell r="D618" t="str">
            <v>PEIXOTO DE AZEVEDO</v>
          </cell>
          <cell r="E618" t="str">
            <v>MT</v>
          </cell>
          <cell r="F618">
            <v>46311</v>
          </cell>
          <cell r="G618">
            <v>6579.1100000000015</v>
          </cell>
          <cell r="I618" t="str">
            <v>Comprou Marcas</v>
          </cell>
        </row>
        <row r="619">
          <cell r="A619">
            <v>23585408000178</v>
          </cell>
          <cell r="B619" t="str">
            <v>DROGARIA ULTRA POPULAR</v>
          </cell>
          <cell r="C619" t="str">
            <v>FARMARCAS</v>
          </cell>
          <cell r="D619" t="str">
            <v>MATUPA</v>
          </cell>
          <cell r="E619" t="str">
            <v>MT</v>
          </cell>
          <cell r="F619">
            <v>46311</v>
          </cell>
          <cell r="G619">
            <v>3001.0600000000004</v>
          </cell>
          <cell r="I619" t="str">
            <v>Comprou Marcas</v>
          </cell>
        </row>
        <row r="620">
          <cell r="A620">
            <v>63261786000110</v>
          </cell>
          <cell r="B620" t="str">
            <v>DROGARIA ULTRA POPULAR</v>
          </cell>
          <cell r="C620" t="str">
            <v>FARMARCAS</v>
          </cell>
          <cell r="D620" t="str">
            <v>CARLINDA</v>
          </cell>
          <cell r="E620" t="str">
            <v>MT</v>
          </cell>
          <cell r="F620">
            <v>46303</v>
          </cell>
          <cell r="G620">
            <v>3688.4300000000003</v>
          </cell>
          <cell r="I620" t="str">
            <v>Comprou Marcas</v>
          </cell>
        </row>
        <row r="621">
          <cell r="A621">
            <v>20103913000140</v>
          </cell>
          <cell r="B621" t="str">
            <v>DROGARIA ULTRA NACIONAL</v>
          </cell>
          <cell r="C621" t="str">
            <v>ASSOCIADAS</v>
          </cell>
          <cell r="D621" t="str">
            <v>PONTES E LACERDA</v>
          </cell>
          <cell r="E621" t="str">
            <v>MT</v>
          </cell>
          <cell r="F621">
            <v>46311</v>
          </cell>
          <cell r="G621">
            <v>8293.07</v>
          </cell>
          <cell r="I621" t="str">
            <v>Comprou Marcas</v>
          </cell>
        </row>
        <row r="622">
          <cell r="A622">
            <v>20103913000221</v>
          </cell>
          <cell r="B622" t="str">
            <v>DROGARIA ULTRA NACIONAL</v>
          </cell>
          <cell r="C622" t="str">
            <v>ASSOCIADAS</v>
          </cell>
          <cell r="D622" t="str">
            <v>TANGARA DA SERRA</v>
          </cell>
          <cell r="E622" t="str">
            <v>MT</v>
          </cell>
          <cell r="F622">
            <v>46311</v>
          </cell>
          <cell r="G622">
            <v>54592.079999999994</v>
          </cell>
          <cell r="I622" t="str">
            <v>Comprou Marcas</v>
          </cell>
        </row>
        <row r="623">
          <cell r="A623">
            <v>53494508000150</v>
          </cell>
          <cell r="B623" t="str">
            <v>DROGARIA ULTRA NACIONAL</v>
          </cell>
          <cell r="C623" t="str">
            <v>ASSOCIADAS</v>
          </cell>
          <cell r="D623" t="str">
            <v>TANGARA DA SERRA</v>
          </cell>
          <cell r="E623" t="str">
            <v>MT</v>
          </cell>
          <cell r="F623">
            <v>46311</v>
          </cell>
          <cell r="G623">
            <v>6025.22</v>
          </cell>
          <cell r="I623" t="str">
            <v>Comprou Marcas</v>
          </cell>
        </row>
        <row r="624">
          <cell r="A624">
            <v>49760647000100</v>
          </cell>
          <cell r="B624" t="str">
            <v>DROGARIA ULTRA ECONOMICA</v>
          </cell>
          <cell r="C624" t="str">
            <v>HIPER SAUDE</v>
          </cell>
          <cell r="D624" t="str">
            <v>SINOP</v>
          </cell>
          <cell r="E624" t="str">
            <v>MT</v>
          </cell>
          <cell r="F624">
            <v>46308</v>
          </cell>
          <cell r="G624">
            <v>1037.02</v>
          </cell>
          <cell r="I624" t="str">
            <v>Comprou Marcas</v>
          </cell>
        </row>
        <row r="625">
          <cell r="A625">
            <v>42327542000113</v>
          </cell>
          <cell r="B625" t="str">
            <v>DROGARIA ULTRA ECONOMICA</v>
          </cell>
          <cell r="C625" t="str">
            <v>INDEPENDENTES VIN</v>
          </cell>
          <cell r="D625" t="str">
            <v>BARRA DO GARCAS</v>
          </cell>
          <cell r="E625" t="str">
            <v>MT</v>
          </cell>
          <cell r="I625" t="str">
            <v>Não Comprou</v>
          </cell>
        </row>
        <row r="626">
          <cell r="A626">
            <v>49581378000115</v>
          </cell>
          <cell r="B626" t="str">
            <v>DROGARIA ULTRA + VIDA</v>
          </cell>
          <cell r="C626" t="str">
            <v>INDEPENDENTES VIN</v>
          </cell>
          <cell r="D626" t="str">
            <v>CUIABA</v>
          </cell>
          <cell r="E626" t="str">
            <v>MT</v>
          </cell>
          <cell r="I626" t="str">
            <v>Não Comprou</v>
          </cell>
        </row>
        <row r="627">
          <cell r="A627">
            <v>32409163000119</v>
          </cell>
          <cell r="B627" t="str">
            <v>DROGARIA TREVAO</v>
          </cell>
          <cell r="C627" t="str">
            <v>ASSOCIADAS</v>
          </cell>
          <cell r="D627" t="str">
            <v>SINOP</v>
          </cell>
          <cell r="E627" t="str">
            <v>MT</v>
          </cell>
          <cell r="I627" t="str">
            <v>Não Comprou</v>
          </cell>
        </row>
        <row r="628">
          <cell r="A628">
            <v>27230522000136</v>
          </cell>
          <cell r="B628" t="str">
            <v>DROGARIA TRES IRMAOS</v>
          </cell>
          <cell r="C628" t="str">
            <v>INDEPENDENTES VIN</v>
          </cell>
          <cell r="D628" t="str">
            <v>CAMPO GRANDE</v>
          </cell>
          <cell r="E628" t="str">
            <v>MS</v>
          </cell>
          <cell r="F628">
            <v>46304</v>
          </cell>
          <cell r="G628">
            <v>892.56</v>
          </cell>
          <cell r="I628" t="str">
            <v>Comprou Marcas</v>
          </cell>
        </row>
        <row r="629">
          <cell r="A629">
            <v>4213573000154</v>
          </cell>
          <cell r="B629" t="str">
            <v>DROGARIA TOTAL PIACATU</v>
          </cell>
          <cell r="C629" t="str">
            <v>DROGARIA TOTAL</v>
          </cell>
          <cell r="D629" t="str">
            <v>PIACATU</v>
          </cell>
          <cell r="E629" t="str">
            <v>SP</v>
          </cell>
          <cell r="F629">
            <v>46310</v>
          </cell>
          <cell r="G629">
            <v>2446.059999999999</v>
          </cell>
          <cell r="I629" t="str">
            <v>Comprou Marcas</v>
          </cell>
        </row>
        <row r="630">
          <cell r="A630">
            <v>74413980000190</v>
          </cell>
          <cell r="B630" t="str">
            <v>DROGARIA TOTAL JUSSARA</v>
          </cell>
          <cell r="C630" t="str">
            <v>DROGARIA TOTAL</v>
          </cell>
          <cell r="D630" t="str">
            <v>ARACATUBA</v>
          </cell>
          <cell r="E630" t="str">
            <v>SP</v>
          </cell>
          <cell r="F630">
            <v>46301</v>
          </cell>
          <cell r="H630">
            <v>2058</v>
          </cell>
          <cell r="I630" t="str">
            <v>Comprou SG</v>
          </cell>
        </row>
        <row r="631">
          <cell r="A631">
            <v>48771512000188</v>
          </cell>
          <cell r="B631" t="str">
            <v>DROGARIA TOTAL - SATO</v>
          </cell>
          <cell r="C631" t="str">
            <v>DROGARIA TOTAL</v>
          </cell>
          <cell r="D631" t="str">
            <v>PRESIDENTE PRUDENTE</v>
          </cell>
          <cell r="E631" t="str">
            <v>SP</v>
          </cell>
          <cell r="F631">
            <v>46308</v>
          </cell>
          <cell r="G631">
            <v>518.42000000000007</v>
          </cell>
          <cell r="I631" t="str">
            <v>Comprou Marcas</v>
          </cell>
        </row>
        <row r="632">
          <cell r="A632">
            <v>13565587000128</v>
          </cell>
          <cell r="B632" t="str">
            <v>DROGARIA TOTAL</v>
          </cell>
          <cell r="C632" t="str">
            <v>DROGARIA TOTAL</v>
          </cell>
          <cell r="D632" t="str">
            <v>ANDRADINA</v>
          </cell>
          <cell r="E632" t="str">
            <v>SP</v>
          </cell>
          <cell r="F632">
            <v>46308</v>
          </cell>
          <cell r="G632">
            <v>8259.3699999999972</v>
          </cell>
          <cell r="H632">
            <v>10566.839999999998</v>
          </cell>
          <cell r="I632" t="str">
            <v>Comprou Marcas e SG</v>
          </cell>
        </row>
        <row r="633">
          <cell r="A633">
            <v>50031125000157</v>
          </cell>
          <cell r="B633" t="str">
            <v>DROGARIA TARUMA</v>
          </cell>
          <cell r="C633" t="str">
            <v>INDEPENDENTES VIN</v>
          </cell>
          <cell r="D633" t="str">
            <v>TANGARA DA SERRA</v>
          </cell>
          <cell r="E633" t="str">
            <v>MT</v>
          </cell>
          <cell r="F633">
            <v>46304</v>
          </cell>
          <cell r="G633">
            <v>653.06999999999994</v>
          </cell>
          <cell r="I633" t="str">
            <v>Comprou Marcas</v>
          </cell>
        </row>
        <row r="634">
          <cell r="A634">
            <v>27377243000361</v>
          </cell>
          <cell r="B634" t="str">
            <v>DROGARIA TALHAMARES III</v>
          </cell>
          <cell r="C634" t="str">
            <v>INDEPENDENTES VIN</v>
          </cell>
          <cell r="D634" t="str">
            <v>CACERES</v>
          </cell>
          <cell r="E634" t="str">
            <v>MT</v>
          </cell>
          <cell r="F634">
            <v>46304</v>
          </cell>
          <cell r="G634">
            <v>319.91999999999996</v>
          </cell>
          <cell r="I634" t="str">
            <v>Comprou Marcas</v>
          </cell>
        </row>
        <row r="635">
          <cell r="A635">
            <v>27377243000280</v>
          </cell>
          <cell r="B635" t="str">
            <v>DROGARIA TALHAMARES II</v>
          </cell>
          <cell r="C635" t="str">
            <v>INDEPENDENTES VIN</v>
          </cell>
          <cell r="D635" t="str">
            <v>CACERES</v>
          </cell>
          <cell r="E635" t="str">
            <v>MT</v>
          </cell>
          <cell r="F635">
            <v>46303</v>
          </cell>
          <cell r="G635">
            <v>249.21</v>
          </cell>
          <cell r="I635" t="str">
            <v>Comprou Marcas</v>
          </cell>
        </row>
        <row r="636">
          <cell r="A636">
            <v>27377243000108</v>
          </cell>
          <cell r="B636" t="str">
            <v>DROGARIA TALHAMARES</v>
          </cell>
          <cell r="C636" t="str">
            <v>INDEPENDENTES VIN</v>
          </cell>
          <cell r="D636" t="str">
            <v>CACERES</v>
          </cell>
          <cell r="E636" t="str">
            <v>MT</v>
          </cell>
          <cell r="F636">
            <v>46303</v>
          </cell>
          <cell r="G636">
            <v>137.85</v>
          </cell>
          <cell r="I636" t="str">
            <v>Comprou Marcas</v>
          </cell>
        </row>
        <row r="637">
          <cell r="A637">
            <v>33379672000109</v>
          </cell>
          <cell r="B637" t="str">
            <v>DROGARIA SUL AMERICA</v>
          </cell>
          <cell r="C637" t="str">
            <v>ASSOCIADAS</v>
          </cell>
          <cell r="D637" t="str">
            <v>CUIABA</v>
          </cell>
          <cell r="E637" t="str">
            <v>MT</v>
          </cell>
          <cell r="F637">
            <v>46303</v>
          </cell>
          <cell r="G637">
            <v>6136.53</v>
          </cell>
          <cell r="I637" t="str">
            <v>Comprou Marcas</v>
          </cell>
        </row>
        <row r="638">
          <cell r="A638">
            <v>49465956000158</v>
          </cell>
          <cell r="B638" t="str">
            <v>DROGARIA SONORA SUPER POPULAR</v>
          </cell>
          <cell r="C638" t="str">
            <v>MASTERFARMA</v>
          </cell>
          <cell r="D638" t="str">
            <v>SONORA</v>
          </cell>
          <cell r="E638" t="str">
            <v>MS</v>
          </cell>
          <cell r="I638" t="str">
            <v>Não Comprou</v>
          </cell>
        </row>
        <row r="639">
          <cell r="A639">
            <v>5235693000115</v>
          </cell>
          <cell r="B639" t="str">
            <v>DROGARIA SILVA</v>
          </cell>
          <cell r="C639" t="str">
            <v>ASSOCIADAS</v>
          </cell>
          <cell r="D639" t="str">
            <v>DOURADOS</v>
          </cell>
          <cell r="E639" t="str">
            <v>MS</v>
          </cell>
          <cell r="F639">
            <v>46311</v>
          </cell>
          <cell r="G639">
            <v>2266.77</v>
          </cell>
          <cell r="H639">
            <v>521.99</v>
          </cell>
          <cell r="I639" t="str">
            <v>Comprou Marcas e SG</v>
          </cell>
        </row>
        <row r="640">
          <cell r="A640">
            <v>33689225000156</v>
          </cell>
          <cell r="B640" t="str">
            <v>DROGARIA SEMPREAMERICA</v>
          </cell>
          <cell r="C640" t="str">
            <v>INDEPENDENTES VIN</v>
          </cell>
          <cell r="D640" t="str">
            <v>CUIABA</v>
          </cell>
          <cell r="E640" t="str">
            <v>MT</v>
          </cell>
          <cell r="F640">
            <v>46303</v>
          </cell>
          <cell r="G640">
            <v>137.85</v>
          </cell>
          <cell r="I640" t="str">
            <v>Comprou Marcas</v>
          </cell>
        </row>
        <row r="641">
          <cell r="A641">
            <v>27750605000237</v>
          </cell>
          <cell r="B641" t="str">
            <v>DROGARIA SEMPRE POPULAR</v>
          </cell>
          <cell r="C641" t="str">
            <v>MASTERFARMA</v>
          </cell>
          <cell r="D641" t="str">
            <v>CAMPO GRANDE</v>
          </cell>
          <cell r="E641" t="str">
            <v>MS</v>
          </cell>
          <cell r="F641">
            <v>46311</v>
          </cell>
          <cell r="G641">
            <v>1021.4399999999998</v>
          </cell>
          <cell r="I641" t="str">
            <v>Comprou Marcas</v>
          </cell>
        </row>
        <row r="642">
          <cell r="A642">
            <v>33540619000148</v>
          </cell>
          <cell r="B642" t="str">
            <v>DROGARIA SEMPRE AMERICA</v>
          </cell>
          <cell r="C642" t="str">
            <v>DSG FARMA</v>
          </cell>
          <cell r="D642" t="str">
            <v>CUIABA</v>
          </cell>
          <cell r="E642" t="str">
            <v>MT</v>
          </cell>
          <cell r="I642" t="str">
            <v>Não Comprou</v>
          </cell>
        </row>
        <row r="643">
          <cell r="A643">
            <v>9583797000171</v>
          </cell>
          <cell r="B643" t="str">
            <v>DROGARIA SEIS IRMAOS</v>
          </cell>
          <cell r="C643" t="str">
            <v>INDEPENDENTES VIN</v>
          </cell>
          <cell r="D643" t="str">
            <v>PONTAL DO ARAGUAIA</v>
          </cell>
          <cell r="E643" t="str">
            <v>MT</v>
          </cell>
          <cell r="I643" t="str">
            <v>Não Comprou</v>
          </cell>
        </row>
        <row r="644">
          <cell r="A644">
            <v>49560389000119</v>
          </cell>
          <cell r="B644" t="str">
            <v>DROGARIA SAUDE POPULAR</v>
          </cell>
          <cell r="C644" t="str">
            <v>ASSOCIADAS</v>
          </cell>
          <cell r="D644" t="str">
            <v>CAMPO GRANDE</v>
          </cell>
          <cell r="E644" t="str">
            <v>MS</v>
          </cell>
          <cell r="F644">
            <v>46310</v>
          </cell>
          <cell r="G644">
            <v>2455.4600000000005</v>
          </cell>
          <cell r="I644" t="str">
            <v>Comprou Marcas</v>
          </cell>
        </row>
        <row r="645">
          <cell r="A645">
            <v>96365630000139</v>
          </cell>
          <cell r="B645" t="str">
            <v>DROGARIA SAO MARCOS</v>
          </cell>
          <cell r="C645" t="str">
            <v>INDEPENDENTES VIN</v>
          </cell>
          <cell r="D645" t="str">
            <v>PARAGUACU PAULISTA</v>
          </cell>
          <cell r="E645" t="str">
            <v>SP</v>
          </cell>
          <cell r="F645">
            <v>46311</v>
          </cell>
          <cell r="G645">
            <v>21129.209999999992</v>
          </cell>
          <cell r="H645">
            <v>10215.320000000003</v>
          </cell>
          <cell r="I645" t="str">
            <v>Comprou Marcas e SG</v>
          </cell>
        </row>
        <row r="646">
          <cell r="A646">
            <v>15290994000103</v>
          </cell>
          <cell r="B646" t="str">
            <v>DROGARIA SAO LUIZ</v>
          </cell>
          <cell r="C646" t="str">
            <v>DROGARIA TOTAL</v>
          </cell>
          <cell r="D646" t="str">
            <v>FLORIDA PAULISTA</v>
          </cell>
          <cell r="E646" t="str">
            <v>SP</v>
          </cell>
          <cell r="I646" t="str">
            <v>Não Comprou</v>
          </cell>
        </row>
        <row r="647">
          <cell r="A647">
            <v>1017753000172</v>
          </cell>
          <cell r="B647" t="str">
            <v>DROGARIA SAO LUIZ</v>
          </cell>
          <cell r="C647" t="str">
            <v>MULTIDROGAS</v>
          </cell>
          <cell r="D647" t="str">
            <v>BENTO DE ABREU</v>
          </cell>
          <cell r="E647" t="str">
            <v>SP</v>
          </cell>
          <cell r="F647">
            <v>46303</v>
          </cell>
          <cell r="G647">
            <v>773.13</v>
          </cell>
          <cell r="I647" t="str">
            <v>Comprou Marcas</v>
          </cell>
        </row>
        <row r="648">
          <cell r="A648">
            <v>12390379000172</v>
          </cell>
          <cell r="B648" t="str">
            <v>DROGARIA SAO LUCAS</v>
          </cell>
          <cell r="C648" t="str">
            <v>HIPER SAUDE</v>
          </cell>
          <cell r="D648" t="str">
            <v>MARACAJU</v>
          </cell>
          <cell r="E648" t="str">
            <v>MS</v>
          </cell>
          <cell r="I648" t="str">
            <v>Não Comprou</v>
          </cell>
        </row>
        <row r="649">
          <cell r="A649">
            <v>37515566000166</v>
          </cell>
          <cell r="B649" t="str">
            <v>DROGARIA SAO LUCAS</v>
          </cell>
          <cell r="C649" t="str">
            <v>ASSOCIADAS</v>
          </cell>
          <cell r="D649" t="str">
            <v>PEDRA PRETA</v>
          </cell>
          <cell r="E649" t="str">
            <v>MT</v>
          </cell>
          <cell r="F649">
            <v>46310</v>
          </cell>
          <cell r="G649">
            <v>137.85</v>
          </cell>
          <cell r="I649" t="str">
            <v>Comprou Marcas</v>
          </cell>
        </row>
        <row r="650">
          <cell r="A650">
            <v>73706830000102</v>
          </cell>
          <cell r="B650" t="str">
            <v>DROGARIA SAO LOURENCO</v>
          </cell>
          <cell r="C650" t="str">
            <v>INDEPENDENTES VIN</v>
          </cell>
          <cell r="D650" t="str">
            <v>MIRANDA</v>
          </cell>
          <cell r="E650" t="str">
            <v>MS</v>
          </cell>
          <cell r="F650">
            <v>46308</v>
          </cell>
          <cell r="G650">
            <v>10215.18</v>
          </cell>
          <cell r="H650">
            <v>1982.34</v>
          </cell>
          <cell r="I650" t="str">
            <v>Comprou Marcas e SG</v>
          </cell>
        </row>
        <row r="651">
          <cell r="A651">
            <v>21406206000196</v>
          </cell>
          <cell r="B651" t="str">
            <v>DROGARIA SAO JOSE</v>
          </cell>
          <cell r="C651" t="str">
            <v>ASSOCIADAS</v>
          </cell>
          <cell r="D651" t="str">
            <v>DOURADOS</v>
          </cell>
          <cell r="E651" t="str">
            <v>MS</v>
          </cell>
          <cell r="F651">
            <v>46310</v>
          </cell>
          <cell r="G651">
            <v>2788.51</v>
          </cell>
          <cell r="I651" t="str">
            <v>Comprou Marcas</v>
          </cell>
        </row>
        <row r="652">
          <cell r="A652">
            <v>12930121000111</v>
          </cell>
          <cell r="B652" t="str">
            <v>DROGARIA SAO JOSE</v>
          </cell>
          <cell r="C652" t="str">
            <v>ASSOCIADAS</v>
          </cell>
          <cell r="D652" t="str">
            <v>CACERES</v>
          </cell>
          <cell r="E652" t="str">
            <v>MT</v>
          </cell>
          <cell r="F652">
            <v>46310</v>
          </cell>
          <cell r="G652">
            <v>2195.7200000000003</v>
          </cell>
          <cell r="I652" t="str">
            <v>Comprou Marcas</v>
          </cell>
        </row>
        <row r="653">
          <cell r="A653">
            <v>18569567000149</v>
          </cell>
          <cell r="B653" t="str">
            <v>DROGARIA SAO JORGE</v>
          </cell>
          <cell r="C653" t="str">
            <v>HIPER SAUDE</v>
          </cell>
          <cell r="D653" t="str">
            <v>JUTI</v>
          </cell>
          <cell r="E653" t="str">
            <v>MS</v>
          </cell>
          <cell r="I653" t="str">
            <v>Não Comprou</v>
          </cell>
        </row>
        <row r="654">
          <cell r="A654">
            <v>43080555000101</v>
          </cell>
          <cell r="B654" t="str">
            <v>DROGARIA SAO JORGE</v>
          </cell>
          <cell r="C654" t="str">
            <v>BIODROGAS</v>
          </cell>
          <cell r="D654" t="str">
            <v>TACIBA</v>
          </cell>
          <cell r="E654" t="str">
            <v>SP</v>
          </cell>
          <cell r="F654">
            <v>46302</v>
          </cell>
          <cell r="G654">
            <v>866.79</v>
          </cell>
          <cell r="I654" t="str">
            <v>Comprou Marcas</v>
          </cell>
        </row>
        <row r="655">
          <cell r="A655">
            <v>10322682000102</v>
          </cell>
          <cell r="B655" t="str">
            <v>DROGARIA SAO JOAO</v>
          </cell>
          <cell r="C655" t="str">
            <v>ASSOCIADAS</v>
          </cell>
          <cell r="D655" t="str">
            <v>DOURADOS</v>
          </cell>
          <cell r="E655" t="str">
            <v>MS</v>
          </cell>
          <cell r="F655">
            <v>46303</v>
          </cell>
          <cell r="G655">
            <v>819.76999999999987</v>
          </cell>
          <cell r="I655" t="str">
            <v>Comprou Marcas</v>
          </cell>
        </row>
        <row r="656">
          <cell r="A656">
            <v>19023460000163</v>
          </cell>
          <cell r="B656" t="str">
            <v>DROGARIA SAO GERONIMO</v>
          </cell>
          <cell r="C656" t="str">
            <v>INDEPENDENTES VIN</v>
          </cell>
          <cell r="D656" t="str">
            <v>CUIABA</v>
          </cell>
          <cell r="E656" t="str">
            <v>MT</v>
          </cell>
          <cell r="F656">
            <v>46296</v>
          </cell>
          <cell r="G656">
            <v>84.639999999999986</v>
          </cell>
          <cell r="I656" t="str">
            <v>Comprou Marcas</v>
          </cell>
        </row>
        <row r="657">
          <cell r="A657">
            <v>55299135000191</v>
          </cell>
          <cell r="B657" t="str">
            <v>DROGARIA SAO GERALDO</v>
          </cell>
          <cell r="C657" t="str">
            <v>DROGARIA TOTAL</v>
          </cell>
          <cell r="D657" t="str">
            <v>PENAPOLIS</v>
          </cell>
          <cell r="E657" t="str">
            <v>SP</v>
          </cell>
          <cell r="F657">
            <v>46311</v>
          </cell>
          <cell r="G657">
            <v>5691.6399999999994</v>
          </cell>
          <cell r="H657">
            <v>10088.200000000001</v>
          </cell>
          <cell r="I657" t="str">
            <v>Comprou Marcas e SG</v>
          </cell>
        </row>
        <row r="658">
          <cell r="A658">
            <v>9269723000165</v>
          </cell>
          <cell r="B658" t="str">
            <v>DROGARIA SAO CRISTOVAO</v>
          </cell>
          <cell r="C658" t="str">
            <v>ECONOMIZE RONDONOPOLIS</v>
          </cell>
          <cell r="D658" t="str">
            <v>NOVA XAVANTINA</v>
          </cell>
          <cell r="E658" t="str">
            <v>MT</v>
          </cell>
          <cell r="F658">
            <v>46309</v>
          </cell>
          <cell r="G658">
            <v>2034.83</v>
          </cell>
          <cell r="I658" t="str">
            <v>Comprou Marcas</v>
          </cell>
        </row>
        <row r="659">
          <cell r="A659">
            <v>22155730000102</v>
          </cell>
          <cell r="B659" t="str">
            <v>DROGARIA SANTOS TORRES E OLIVEIRA</v>
          </cell>
          <cell r="C659" t="str">
            <v>INDEPENDENTES VIN</v>
          </cell>
          <cell r="D659" t="str">
            <v>PRESIDENTE PRUDENTE</v>
          </cell>
          <cell r="E659" t="str">
            <v>SP</v>
          </cell>
          <cell r="F659">
            <v>46310</v>
          </cell>
          <cell r="G659">
            <v>1752.9199999999998</v>
          </cell>
          <cell r="H659">
            <v>5349.39</v>
          </cell>
          <cell r="I659" t="str">
            <v>Comprou Marcas e SG</v>
          </cell>
        </row>
        <row r="660">
          <cell r="A660">
            <v>63882511000102</v>
          </cell>
          <cell r="B660" t="str">
            <v>DROGARIA SANTO ANTONIO</v>
          </cell>
          <cell r="C660" t="str">
            <v>INDEPENDENTES VIN</v>
          </cell>
          <cell r="D660" t="str">
            <v>TANGARA DA SERRA</v>
          </cell>
          <cell r="E660" t="str">
            <v>MT</v>
          </cell>
          <cell r="I660" t="str">
            <v>Não Comprou</v>
          </cell>
        </row>
        <row r="661">
          <cell r="A661">
            <v>16735647000100</v>
          </cell>
          <cell r="B661" t="str">
            <v>DROGARIA SANTA MARIA</v>
          </cell>
          <cell r="C661" t="str">
            <v>INDEPENDENTES VIN</v>
          </cell>
          <cell r="D661" t="str">
            <v>TANGARA DA SERRA</v>
          </cell>
          <cell r="E661" t="str">
            <v>MT</v>
          </cell>
          <cell r="I661" t="str">
            <v>Não Comprou</v>
          </cell>
        </row>
        <row r="662">
          <cell r="A662">
            <v>16735647000282</v>
          </cell>
          <cell r="B662" t="str">
            <v>DROGARIA SANTA MARIA</v>
          </cell>
          <cell r="C662" t="str">
            <v>INDEPENDENTES VIN</v>
          </cell>
          <cell r="D662" t="str">
            <v>TANGARA DA SERRA</v>
          </cell>
          <cell r="E662" t="str">
            <v>MT</v>
          </cell>
          <cell r="I662" t="str">
            <v>Não Comprou</v>
          </cell>
        </row>
        <row r="663">
          <cell r="A663">
            <v>18346337000110</v>
          </cell>
          <cell r="B663" t="str">
            <v>DROGARIA SANTA LUZIA</v>
          </cell>
          <cell r="C663" t="str">
            <v>ECONOMIZE RONDONOPOLIS</v>
          </cell>
          <cell r="D663" t="str">
            <v>JUINA</v>
          </cell>
          <cell r="E663" t="str">
            <v>MT</v>
          </cell>
          <cell r="F663">
            <v>46300</v>
          </cell>
          <cell r="G663">
            <v>406.15</v>
          </cell>
          <cell r="I663" t="str">
            <v>Comprou Marcas</v>
          </cell>
        </row>
        <row r="664">
          <cell r="A664">
            <v>15303440000195</v>
          </cell>
          <cell r="B664" t="str">
            <v>DROGARIA SANTA CATARINA</v>
          </cell>
          <cell r="C664" t="str">
            <v>REDE SANTA CATARINA</v>
          </cell>
          <cell r="D664" t="str">
            <v>REGENTE FEIJO</v>
          </cell>
          <cell r="E664" t="str">
            <v>SP</v>
          </cell>
          <cell r="F664">
            <v>46310</v>
          </cell>
          <cell r="G664">
            <v>8213.5700000000015</v>
          </cell>
          <cell r="I664" t="str">
            <v>Comprou Marcas</v>
          </cell>
        </row>
        <row r="665">
          <cell r="A665">
            <v>18465867000188</v>
          </cell>
          <cell r="B665" t="str">
            <v>DROGARIA SANTA CATARINA</v>
          </cell>
          <cell r="C665" t="str">
            <v>REDE SANTA CATARINA</v>
          </cell>
          <cell r="D665" t="str">
            <v>RANCHARIA</v>
          </cell>
          <cell r="E665" t="str">
            <v>SP</v>
          </cell>
          <cell r="F665">
            <v>46310</v>
          </cell>
          <cell r="G665">
            <v>11522.569999999994</v>
          </cell>
          <cell r="I665" t="str">
            <v>Comprou Marcas</v>
          </cell>
        </row>
        <row r="666">
          <cell r="A666">
            <v>19671223000109</v>
          </cell>
          <cell r="B666" t="str">
            <v>DROGARIA SANTA CATARINA</v>
          </cell>
          <cell r="C666" t="str">
            <v>REDE SANTA CATARINA</v>
          </cell>
          <cell r="D666" t="str">
            <v>MARTINOPOLIS</v>
          </cell>
          <cell r="E666" t="str">
            <v>SP</v>
          </cell>
          <cell r="F666">
            <v>46310</v>
          </cell>
          <cell r="G666">
            <v>7320.3100000000013</v>
          </cell>
          <cell r="I666" t="str">
            <v>Comprou Marcas</v>
          </cell>
        </row>
        <row r="667">
          <cell r="A667">
            <v>13117848000147</v>
          </cell>
          <cell r="B667" t="str">
            <v>DROGARIA RONDONOPOLIS</v>
          </cell>
          <cell r="C667" t="str">
            <v>INDEPENDENTES VIN</v>
          </cell>
          <cell r="D667" t="str">
            <v>RONDONOPOLIS</v>
          </cell>
          <cell r="E667" t="str">
            <v>MT</v>
          </cell>
          <cell r="F667">
            <v>46310</v>
          </cell>
          <cell r="G667">
            <v>137.85</v>
          </cell>
          <cell r="I667" t="str">
            <v>Comprou Marcas</v>
          </cell>
        </row>
        <row r="668">
          <cell r="A668">
            <v>65675078000151</v>
          </cell>
          <cell r="B668" t="str">
            <v>DROGARIA RODRIGUES</v>
          </cell>
          <cell r="C668" t="str">
            <v>INDEPENDENTES VIN</v>
          </cell>
          <cell r="D668" t="str">
            <v>CAMPO GRANDE</v>
          </cell>
          <cell r="E668" t="str">
            <v>MS</v>
          </cell>
          <cell r="F668">
            <v>46309</v>
          </cell>
          <cell r="G668">
            <v>3248.47</v>
          </cell>
          <cell r="I668" t="str">
            <v>Comprou Marcas</v>
          </cell>
        </row>
        <row r="669">
          <cell r="A669">
            <v>65675078000232</v>
          </cell>
          <cell r="B669" t="str">
            <v>DROGARIA RODRIGUES</v>
          </cell>
          <cell r="C669" t="str">
            <v>INDEPENDENTES VIN</v>
          </cell>
          <cell r="D669" t="str">
            <v>CAMPO GRANDE</v>
          </cell>
          <cell r="E669" t="str">
            <v>MS</v>
          </cell>
          <cell r="F669">
            <v>46309</v>
          </cell>
          <cell r="G669">
            <v>884.56999999999994</v>
          </cell>
          <cell r="I669" t="str">
            <v>Comprou Marcas</v>
          </cell>
        </row>
        <row r="670">
          <cell r="A670">
            <v>65675078000313</v>
          </cell>
          <cell r="B670" t="str">
            <v>DROGARIA RODRIGUES</v>
          </cell>
          <cell r="C670" t="str">
            <v>INDEPENDENTES VIN</v>
          </cell>
          <cell r="D670" t="str">
            <v>CAMPO GRANDE</v>
          </cell>
          <cell r="E670" t="str">
            <v>MS</v>
          </cell>
          <cell r="F670">
            <v>46309</v>
          </cell>
          <cell r="G670">
            <v>1136.0500000000002</v>
          </cell>
          <cell r="I670" t="str">
            <v>Comprou Marcas</v>
          </cell>
        </row>
        <row r="671">
          <cell r="A671">
            <v>65675078000402</v>
          </cell>
          <cell r="B671" t="str">
            <v>DROGARIA RODRIGUES</v>
          </cell>
          <cell r="C671" t="str">
            <v>INDEPENDENTES VIN</v>
          </cell>
          <cell r="D671" t="str">
            <v>CAMPO GRANDE</v>
          </cell>
          <cell r="E671" t="str">
            <v>MS</v>
          </cell>
          <cell r="F671">
            <v>46309</v>
          </cell>
          <cell r="G671">
            <v>748.54</v>
          </cell>
          <cell r="I671" t="str">
            <v>Comprou Marcas</v>
          </cell>
        </row>
        <row r="672">
          <cell r="A672">
            <v>65675078000585</v>
          </cell>
          <cell r="B672" t="str">
            <v>DROGARIA RODRIGUES</v>
          </cell>
          <cell r="C672" t="str">
            <v>INDEPENDENTES VIN</v>
          </cell>
          <cell r="D672" t="str">
            <v>CAMPO GRANDE</v>
          </cell>
          <cell r="E672" t="str">
            <v>MS</v>
          </cell>
          <cell r="F672">
            <v>46309</v>
          </cell>
          <cell r="G672">
            <v>1461.79</v>
          </cell>
          <cell r="I672" t="str">
            <v>Comprou Marcas</v>
          </cell>
        </row>
        <row r="673">
          <cell r="A673">
            <v>8617745000106</v>
          </cell>
          <cell r="B673" t="str">
            <v>DROGARIA RODOVIARIA</v>
          </cell>
          <cell r="C673" t="str">
            <v>DROGARIA TOTAL</v>
          </cell>
          <cell r="D673" t="str">
            <v>ANDRADINA</v>
          </cell>
          <cell r="E673" t="str">
            <v>SP</v>
          </cell>
          <cell r="F673">
            <v>46303</v>
          </cell>
          <cell r="G673">
            <v>8185.3799999999992</v>
          </cell>
          <cell r="I673" t="str">
            <v>Comprou Marcas</v>
          </cell>
        </row>
        <row r="674">
          <cell r="A674">
            <v>14931934000151</v>
          </cell>
          <cell r="B674" t="str">
            <v>DROGARIA RIO FARMA</v>
          </cell>
          <cell r="C674" t="str">
            <v>DROGARIA TOTAL</v>
          </cell>
          <cell r="D674" t="str">
            <v>PANORAMA</v>
          </cell>
          <cell r="E674" t="str">
            <v>SP</v>
          </cell>
          <cell r="F674">
            <v>46311</v>
          </cell>
          <cell r="H674">
            <v>3050.04</v>
          </cell>
          <cell r="I674" t="str">
            <v>Comprou SG</v>
          </cell>
        </row>
        <row r="675">
          <cell r="A675">
            <v>13110601000107</v>
          </cell>
          <cell r="B675" t="str">
            <v>DROGARIA REGIANE</v>
          </cell>
          <cell r="C675" t="str">
            <v>INDEPENDENTES VIN</v>
          </cell>
          <cell r="D675" t="str">
            <v>RIBEIRAO CASCALHEIRA</v>
          </cell>
          <cell r="E675" t="str">
            <v>MT</v>
          </cell>
          <cell r="I675" t="str">
            <v>Não Comprou</v>
          </cell>
        </row>
        <row r="676">
          <cell r="A676">
            <v>23716744000102</v>
          </cell>
          <cell r="B676" t="str">
            <v>DROGARIA REGIANE</v>
          </cell>
          <cell r="C676" t="str">
            <v>INDEPENDENTES VIN</v>
          </cell>
          <cell r="D676" t="str">
            <v>RIBEIRAO CASCALHEIRA</v>
          </cell>
          <cell r="E676" t="str">
            <v>MT</v>
          </cell>
          <cell r="I676" t="str">
            <v>Não Comprou</v>
          </cell>
        </row>
        <row r="677">
          <cell r="A677">
            <v>15349508000177</v>
          </cell>
          <cell r="B677" t="str">
            <v>DROGARIA REAL</v>
          </cell>
          <cell r="C677" t="str">
            <v>INDEPENDENTES VIN</v>
          </cell>
          <cell r="D677" t="str">
            <v>VARZEA GRANDE</v>
          </cell>
          <cell r="E677" t="str">
            <v>MT</v>
          </cell>
          <cell r="F677">
            <v>46310</v>
          </cell>
          <cell r="G677">
            <v>137.85</v>
          </cell>
          <cell r="I677" t="str">
            <v>Comprou Marcas</v>
          </cell>
        </row>
        <row r="678">
          <cell r="A678">
            <v>37558194000155</v>
          </cell>
          <cell r="B678" t="str">
            <v>DROGARIA PRUDENTE LTDA</v>
          </cell>
          <cell r="C678" t="str">
            <v>ASSOCIADAS</v>
          </cell>
          <cell r="D678" t="str">
            <v>TRES LAGOAS</v>
          </cell>
          <cell r="E678" t="str">
            <v>MS</v>
          </cell>
          <cell r="F678">
            <v>46311</v>
          </cell>
          <cell r="G678">
            <v>2377.4700000000003</v>
          </cell>
          <cell r="I678" t="str">
            <v>Comprou Marcas</v>
          </cell>
        </row>
        <row r="679">
          <cell r="A679">
            <v>7542034000157</v>
          </cell>
          <cell r="B679" t="str">
            <v>DROGARIA PROGRESSO</v>
          </cell>
          <cell r="C679" t="str">
            <v>BIODROGAS</v>
          </cell>
          <cell r="D679" t="str">
            <v>PRESIDENTE VENCESLAU</v>
          </cell>
          <cell r="E679" t="str">
            <v>SP</v>
          </cell>
          <cell r="F679">
            <v>46308</v>
          </cell>
          <cell r="G679">
            <v>710.32999999999993</v>
          </cell>
          <cell r="H679">
            <v>3110.72</v>
          </cell>
          <cell r="I679" t="str">
            <v>Comprou Marcas e SG</v>
          </cell>
        </row>
        <row r="680">
          <cell r="A680">
            <v>3878763000128</v>
          </cell>
          <cell r="B680" t="str">
            <v>DROGARIA PROGRESSO</v>
          </cell>
          <cell r="C680" t="str">
            <v>DROGARIA TOTAL</v>
          </cell>
          <cell r="D680" t="str">
            <v>MURUTINGA DO SUL</v>
          </cell>
          <cell r="E680" t="str">
            <v>SP</v>
          </cell>
          <cell r="F680">
            <v>46303</v>
          </cell>
          <cell r="G680">
            <v>1016.9899999999999</v>
          </cell>
          <cell r="I680" t="str">
            <v>Comprou Marcas</v>
          </cell>
        </row>
        <row r="681">
          <cell r="A681">
            <v>9267822000108</v>
          </cell>
          <cell r="B681" t="str">
            <v>DROGARIA PRO VIDA</v>
          </cell>
          <cell r="C681" t="str">
            <v>MASTERFARMA</v>
          </cell>
          <cell r="D681" t="str">
            <v>CUIABA</v>
          </cell>
          <cell r="E681" t="str">
            <v>MT</v>
          </cell>
          <cell r="I681" t="str">
            <v>Não Comprou</v>
          </cell>
        </row>
        <row r="682">
          <cell r="A682">
            <v>23339848000145</v>
          </cell>
          <cell r="B682" t="str">
            <v>DROGARIA PRIMAVERAS</v>
          </cell>
          <cell r="C682" t="str">
            <v>MASTERFARMA</v>
          </cell>
          <cell r="D682" t="str">
            <v>SINOP</v>
          </cell>
          <cell r="E682" t="str">
            <v>MT</v>
          </cell>
          <cell r="I682" t="str">
            <v>Não Comprou</v>
          </cell>
        </row>
        <row r="683">
          <cell r="A683">
            <v>33694076000113</v>
          </cell>
          <cell r="B683" t="str">
            <v>DROGARIA PRIMAVERA</v>
          </cell>
          <cell r="C683" t="str">
            <v>INDEPENDENTES VIN</v>
          </cell>
          <cell r="D683" t="str">
            <v>PRIMAVERA DO LESTE</v>
          </cell>
          <cell r="E683" t="str">
            <v>MT</v>
          </cell>
          <cell r="I683" t="str">
            <v>Não Comprou</v>
          </cell>
        </row>
        <row r="684">
          <cell r="A684">
            <v>26437890000197</v>
          </cell>
          <cell r="B684" t="str">
            <v>DROGARIA POUPE MAIS</v>
          </cell>
          <cell r="C684" t="str">
            <v>HIPER SAUDE</v>
          </cell>
          <cell r="D684" t="str">
            <v>AGUA BOA</v>
          </cell>
          <cell r="E684" t="str">
            <v>MT</v>
          </cell>
          <cell r="I684" t="str">
            <v>Não Comprou</v>
          </cell>
        </row>
        <row r="685">
          <cell r="A685">
            <v>38872460000182</v>
          </cell>
          <cell r="B685" t="str">
            <v>DROGARIA POUPE MAIS</v>
          </cell>
          <cell r="C685" t="str">
            <v>COMPRE BEM</v>
          </cell>
          <cell r="D685" t="str">
            <v>PRIMAVERA DO LESTE</v>
          </cell>
          <cell r="E685" t="str">
            <v>MT</v>
          </cell>
          <cell r="F685">
            <v>46309</v>
          </cell>
          <cell r="G685">
            <v>10161.210000000005</v>
          </cell>
          <cell r="H685">
            <v>11817.48</v>
          </cell>
          <cell r="I685" t="str">
            <v>Comprou Marcas e SG</v>
          </cell>
        </row>
        <row r="686">
          <cell r="A686">
            <v>38872460000263</v>
          </cell>
          <cell r="B686" t="str">
            <v>DROGARIA POUPE MAIS</v>
          </cell>
          <cell r="C686" t="str">
            <v>COMPRE BEM</v>
          </cell>
          <cell r="D686" t="str">
            <v>PRIMAVERA DO LESTE</v>
          </cell>
          <cell r="E686" t="str">
            <v>MT</v>
          </cell>
          <cell r="F686">
            <v>46308</v>
          </cell>
          <cell r="G686">
            <v>909.47</v>
          </cell>
          <cell r="H686">
            <v>1414.8</v>
          </cell>
          <cell r="I686" t="str">
            <v>Comprou Marcas e SG</v>
          </cell>
        </row>
        <row r="687">
          <cell r="A687">
            <v>38872460000344</v>
          </cell>
          <cell r="B687" t="str">
            <v>DROGARIA POUPE MAIS</v>
          </cell>
          <cell r="C687" t="str">
            <v>COMPRE BEM</v>
          </cell>
          <cell r="D687" t="str">
            <v>PRIMAVERA DO LESTE</v>
          </cell>
          <cell r="E687" t="str">
            <v>MT</v>
          </cell>
          <cell r="F687">
            <v>46309</v>
          </cell>
          <cell r="G687">
            <v>529.24</v>
          </cell>
          <cell r="H687">
            <v>1242.23</v>
          </cell>
          <cell r="I687" t="str">
            <v>Comprou Marcas e SG</v>
          </cell>
        </row>
        <row r="688">
          <cell r="A688">
            <v>38872460000425</v>
          </cell>
          <cell r="B688" t="str">
            <v>DROGARIA POUPE MAIS</v>
          </cell>
          <cell r="C688" t="str">
            <v>COMPRE BEM</v>
          </cell>
          <cell r="D688" t="str">
            <v>PARANATINGA</v>
          </cell>
          <cell r="E688" t="str">
            <v>MT</v>
          </cell>
          <cell r="F688">
            <v>46308</v>
          </cell>
          <cell r="G688">
            <v>2766.59</v>
          </cell>
          <cell r="I688" t="str">
            <v>Comprou Marcas</v>
          </cell>
        </row>
        <row r="689">
          <cell r="A689">
            <v>38872460000506</v>
          </cell>
          <cell r="B689" t="str">
            <v>DROGARIA POUPE MAIS</v>
          </cell>
          <cell r="C689" t="str">
            <v>COMPRE BEM</v>
          </cell>
          <cell r="D689" t="str">
            <v>PARANATINGA</v>
          </cell>
          <cell r="E689" t="str">
            <v>MT</v>
          </cell>
          <cell r="F689">
            <v>46308</v>
          </cell>
          <cell r="G689">
            <v>1890.48</v>
          </cell>
          <cell r="I689" t="str">
            <v>Comprou Marcas</v>
          </cell>
        </row>
        <row r="690">
          <cell r="A690">
            <v>4993223000158</v>
          </cell>
          <cell r="B690" t="str">
            <v>DROGARIA POUPE JA - MAX FARMA</v>
          </cell>
          <cell r="C690" t="str">
            <v>INDEPENDENTES VIN</v>
          </cell>
          <cell r="D690" t="str">
            <v>CAMPO NOVO DO PARECIS</v>
          </cell>
          <cell r="E690" t="str">
            <v>MT</v>
          </cell>
          <cell r="F690">
            <v>46304</v>
          </cell>
          <cell r="G690">
            <v>5082.5800000000008</v>
          </cell>
          <cell r="I690" t="str">
            <v>Comprou Marcas</v>
          </cell>
        </row>
        <row r="691">
          <cell r="A691">
            <v>23829894000122</v>
          </cell>
          <cell r="B691" t="str">
            <v>DROGARIA POUPE JA</v>
          </cell>
          <cell r="C691" t="str">
            <v>ASSOCIADAS</v>
          </cell>
          <cell r="D691" t="str">
            <v>COMODORO</v>
          </cell>
          <cell r="E691" t="str">
            <v>MT</v>
          </cell>
          <cell r="F691">
            <v>46310</v>
          </cell>
          <cell r="G691">
            <v>13565.759999999995</v>
          </cell>
          <cell r="I691" t="str">
            <v>Comprou Marcas</v>
          </cell>
        </row>
        <row r="692">
          <cell r="A692">
            <v>546706000153</v>
          </cell>
          <cell r="B692" t="str">
            <v>DROGARIA POUPE JA</v>
          </cell>
          <cell r="C692" t="str">
            <v>INDEPENDENTES VIN</v>
          </cell>
          <cell r="D692" t="str">
            <v>QUERENCIA</v>
          </cell>
          <cell r="E692" t="str">
            <v>MT</v>
          </cell>
          <cell r="F692">
            <v>46303</v>
          </cell>
          <cell r="G692">
            <v>2124.1699999999996</v>
          </cell>
          <cell r="I692" t="str">
            <v>Comprou Marcas</v>
          </cell>
        </row>
        <row r="693">
          <cell r="A693">
            <v>10588126000182</v>
          </cell>
          <cell r="B693" t="str">
            <v>DROGARIA POUPE JA</v>
          </cell>
          <cell r="C693" t="str">
            <v>INDEPENDENTES VIN</v>
          </cell>
          <cell r="D693" t="str">
            <v>QUERENCIA</v>
          </cell>
          <cell r="E693" t="str">
            <v>MT</v>
          </cell>
          <cell r="F693">
            <v>46309</v>
          </cell>
          <cell r="G693">
            <v>8468.6999999999971</v>
          </cell>
          <cell r="I693" t="str">
            <v>Comprou Marcas</v>
          </cell>
        </row>
        <row r="694">
          <cell r="A694">
            <v>10588126000263</v>
          </cell>
          <cell r="B694" t="str">
            <v>DROGARIA POUPE JA</v>
          </cell>
          <cell r="C694" t="str">
            <v>INDEPENDENTES VIN</v>
          </cell>
          <cell r="D694" t="str">
            <v>QUERENCIA</v>
          </cell>
          <cell r="E694" t="str">
            <v>MT</v>
          </cell>
          <cell r="F694">
            <v>46309</v>
          </cell>
          <cell r="G694">
            <v>10470.950000000003</v>
          </cell>
          <cell r="I694" t="str">
            <v>Comprou Marcas</v>
          </cell>
        </row>
        <row r="695">
          <cell r="A695">
            <v>42411000000124</v>
          </cell>
          <cell r="B695" t="str">
            <v>DROGARIA POUPA LAR</v>
          </cell>
          <cell r="C695" t="str">
            <v>INDEPENDENTES VIN</v>
          </cell>
          <cell r="D695" t="str">
            <v>CACERES</v>
          </cell>
          <cell r="E695" t="str">
            <v>MT</v>
          </cell>
          <cell r="F695">
            <v>46309</v>
          </cell>
          <cell r="G695">
            <v>2030.88</v>
          </cell>
          <cell r="I695" t="str">
            <v>Comprou Marcas</v>
          </cell>
        </row>
        <row r="696">
          <cell r="A696">
            <v>49580979000103</v>
          </cell>
          <cell r="B696" t="str">
            <v>DROGARIA PORTO X LTDA</v>
          </cell>
          <cell r="C696" t="str">
            <v>INDEPENDENTES VIN</v>
          </cell>
          <cell r="D696" t="str">
            <v>CAMPO GRANDE</v>
          </cell>
          <cell r="E696" t="str">
            <v>MS</v>
          </cell>
          <cell r="F696">
            <v>46303</v>
          </cell>
          <cell r="G696">
            <v>563.62</v>
          </cell>
          <cell r="I696" t="str">
            <v>Comprou Marcas</v>
          </cell>
        </row>
        <row r="697">
          <cell r="A697">
            <v>49560389000208</v>
          </cell>
          <cell r="B697" t="str">
            <v>DROGARIA POPULAR SAUDE FARMA FILIAL 2</v>
          </cell>
          <cell r="C697" t="str">
            <v>ASSOCIADAS</v>
          </cell>
          <cell r="D697" t="str">
            <v>CAMPO GRANDE</v>
          </cell>
          <cell r="E697" t="str">
            <v>MS</v>
          </cell>
          <cell r="I697" t="str">
            <v>Não Comprou</v>
          </cell>
        </row>
        <row r="698">
          <cell r="A698">
            <v>23312338000184</v>
          </cell>
          <cell r="B698" t="str">
            <v>DROGARIA POPULAR JD. AEROPORTO</v>
          </cell>
          <cell r="C698" t="str">
            <v>USIFARMA</v>
          </cell>
          <cell r="D698" t="str">
            <v>CAMPO GRANDE</v>
          </cell>
          <cell r="E698" t="str">
            <v>MS</v>
          </cell>
          <cell r="F698">
            <v>46304</v>
          </cell>
          <cell r="G698">
            <v>636.82999999999993</v>
          </cell>
          <cell r="I698" t="str">
            <v>Comprou Marcas</v>
          </cell>
        </row>
        <row r="699">
          <cell r="A699">
            <v>49845019000128</v>
          </cell>
          <cell r="B699" t="str">
            <v>DROGARIA POPULAR II</v>
          </cell>
          <cell r="C699" t="str">
            <v>MASTERFARMA</v>
          </cell>
          <cell r="D699" t="str">
            <v>JUNQUEIROPOLIS</v>
          </cell>
          <cell r="E699" t="str">
            <v>SP</v>
          </cell>
          <cell r="F699">
            <v>46310</v>
          </cell>
          <cell r="G699">
            <v>8092.0099999999975</v>
          </cell>
          <cell r="I699" t="str">
            <v>Comprou Marcas</v>
          </cell>
        </row>
        <row r="700">
          <cell r="A700">
            <v>27960067000124</v>
          </cell>
          <cell r="B700" t="str">
            <v>DROGARIA POPULAR DO TRABALHADOR</v>
          </cell>
          <cell r="C700" t="str">
            <v>ASSOCIADAS</v>
          </cell>
          <cell r="D700" t="str">
            <v>CAMPO GRANDE</v>
          </cell>
          <cell r="E700" t="str">
            <v>MS</v>
          </cell>
          <cell r="F700">
            <v>46311</v>
          </cell>
          <cell r="G700">
            <v>14195.500000000007</v>
          </cell>
          <cell r="H700">
            <v>16714.070000000003</v>
          </cell>
          <cell r="I700" t="str">
            <v>Comprou Marcas e SG</v>
          </cell>
        </row>
        <row r="701">
          <cell r="A701">
            <v>11628018000159</v>
          </cell>
          <cell r="B701" t="str">
            <v>DROGARIA POPULAR</v>
          </cell>
          <cell r="C701" t="str">
            <v>INDEPENDENTES VIN</v>
          </cell>
          <cell r="D701" t="str">
            <v>SONORA</v>
          </cell>
          <cell r="E701" t="str">
            <v>MS</v>
          </cell>
          <cell r="I701" t="str">
            <v>Não Comprou</v>
          </cell>
        </row>
        <row r="702">
          <cell r="A702">
            <v>52905500000176</v>
          </cell>
          <cell r="B702" t="str">
            <v>DROGARIA POPULAR</v>
          </cell>
          <cell r="C702" t="str">
            <v>COMPRE BEM</v>
          </cell>
          <cell r="D702" t="str">
            <v>AGUA CLARA</v>
          </cell>
          <cell r="E702" t="str">
            <v>MS</v>
          </cell>
          <cell r="I702" t="str">
            <v>Não Comprou</v>
          </cell>
        </row>
        <row r="703">
          <cell r="A703">
            <v>13090874000129</v>
          </cell>
          <cell r="B703" t="str">
            <v>DROGARIA POPULAR</v>
          </cell>
          <cell r="C703" t="str">
            <v>MULTIDROGAS</v>
          </cell>
          <cell r="D703" t="str">
            <v>IRAPURU</v>
          </cell>
          <cell r="E703" t="str">
            <v>SP</v>
          </cell>
          <cell r="I703" t="str">
            <v>Não Comprou</v>
          </cell>
        </row>
        <row r="704">
          <cell r="A704">
            <v>35239450000116</v>
          </cell>
          <cell r="B704" t="str">
            <v>DROGARIA POPULAR</v>
          </cell>
          <cell r="C704" t="str">
            <v>DSG FARMA</v>
          </cell>
          <cell r="D704" t="str">
            <v>MONTE CASTELO</v>
          </cell>
          <cell r="E704" t="str">
            <v>SP</v>
          </cell>
          <cell r="I704" t="str">
            <v>Não Comprou</v>
          </cell>
        </row>
        <row r="705">
          <cell r="A705">
            <v>47964776000195</v>
          </cell>
          <cell r="B705" t="str">
            <v>DROGARIA POLO CENTRO</v>
          </cell>
          <cell r="C705" t="str">
            <v>INDEPENDENTES VIN</v>
          </cell>
          <cell r="D705" t="str">
            <v>NOBRES</v>
          </cell>
          <cell r="E705" t="str">
            <v>MT</v>
          </cell>
          <cell r="F705">
            <v>46310</v>
          </cell>
          <cell r="G705">
            <v>137.85</v>
          </cell>
          <cell r="I705" t="str">
            <v>Comprou Marcas</v>
          </cell>
        </row>
        <row r="706">
          <cell r="A706">
            <v>430268000163</v>
          </cell>
          <cell r="B706" t="str">
            <v>DROGARIA POLIFARMA</v>
          </cell>
          <cell r="C706" t="str">
            <v>INDEPENDENTES VIN</v>
          </cell>
          <cell r="D706" t="str">
            <v>SAPEZAL</v>
          </cell>
          <cell r="E706" t="str">
            <v>MT</v>
          </cell>
          <cell r="F706">
            <v>46308</v>
          </cell>
          <cell r="G706">
            <v>1204.7199999999998</v>
          </cell>
          <cell r="I706" t="str">
            <v>Comprou Marcas</v>
          </cell>
        </row>
        <row r="707">
          <cell r="A707">
            <v>29303719000183</v>
          </cell>
          <cell r="B707" t="str">
            <v>DROGARIA PLANALTO</v>
          </cell>
          <cell r="C707" t="str">
            <v>COMPRE BEM</v>
          </cell>
          <cell r="D707" t="str">
            <v>AGUA BOA</v>
          </cell>
          <cell r="E707" t="str">
            <v>MT</v>
          </cell>
          <cell r="I707" t="str">
            <v>Não Comprou</v>
          </cell>
        </row>
        <row r="708">
          <cell r="A708">
            <v>18070710000153</v>
          </cell>
          <cell r="B708" t="str">
            <v>DROGARIA PARECIS</v>
          </cell>
          <cell r="C708" t="str">
            <v>INDEPENDENTES VIN</v>
          </cell>
          <cell r="D708" t="str">
            <v>TANGARA DA SERRA</v>
          </cell>
          <cell r="E708" t="str">
            <v>MT</v>
          </cell>
          <cell r="F708">
            <v>46304</v>
          </cell>
          <cell r="G708">
            <v>525.67999999999995</v>
          </cell>
          <cell r="I708" t="str">
            <v>Comprou Marcas</v>
          </cell>
        </row>
        <row r="709">
          <cell r="A709">
            <v>8954076000400</v>
          </cell>
          <cell r="B709" t="str">
            <v>DROGARIA PARANATINGA</v>
          </cell>
          <cell r="C709" t="str">
            <v>ECONOMIZE RONDONOPOLIS</v>
          </cell>
          <cell r="D709" t="str">
            <v>AGUA BOA</v>
          </cell>
          <cell r="E709" t="str">
            <v>MT</v>
          </cell>
          <cell r="I709" t="str">
            <v>Não Comprou</v>
          </cell>
        </row>
        <row r="710">
          <cell r="A710">
            <v>13367286000190</v>
          </cell>
          <cell r="B710" t="str">
            <v>DROGARIA PARANA</v>
          </cell>
          <cell r="C710" t="str">
            <v>HIPER SAUDE</v>
          </cell>
          <cell r="D710" t="str">
            <v>QUERENCIA</v>
          </cell>
          <cell r="E710" t="str">
            <v>MT</v>
          </cell>
          <cell r="I710" t="str">
            <v>Não Comprou</v>
          </cell>
        </row>
        <row r="711">
          <cell r="A711">
            <v>55497176000192</v>
          </cell>
          <cell r="B711" t="str">
            <v>DROGARIA PARAISO</v>
          </cell>
          <cell r="C711" t="str">
            <v>MULTIDROGAS</v>
          </cell>
          <cell r="D711" t="str">
            <v>PACAEMBU</v>
          </cell>
          <cell r="E711" t="str">
            <v>SP</v>
          </cell>
          <cell r="F711">
            <v>46309</v>
          </cell>
          <cell r="G711">
            <v>1689.9</v>
          </cell>
          <cell r="I711" t="str">
            <v>Comprou Marcas</v>
          </cell>
        </row>
        <row r="712">
          <cell r="A712">
            <v>55994018000148</v>
          </cell>
          <cell r="B712" t="str">
            <v>DROGARIA PALMIER</v>
          </cell>
          <cell r="C712" t="str">
            <v>INDEPENDENTES VIN</v>
          </cell>
          <cell r="D712" t="str">
            <v>SINOP</v>
          </cell>
          <cell r="E712" t="str">
            <v>MT</v>
          </cell>
          <cell r="I712" t="str">
            <v>Não Comprou</v>
          </cell>
        </row>
        <row r="713">
          <cell r="A713">
            <v>17581013000102</v>
          </cell>
          <cell r="B713" t="str">
            <v>DROGARIA PAJU</v>
          </cell>
          <cell r="C713" t="str">
            <v>INDEPENDENTES VIN</v>
          </cell>
          <cell r="D713" t="str">
            <v>PONTES E LACERDA</v>
          </cell>
          <cell r="E713" t="str">
            <v>MT</v>
          </cell>
          <cell r="I713" t="str">
            <v>Não Comprou</v>
          </cell>
        </row>
        <row r="714">
          <cell r="A714">
            <v>18387529000175</v>
          </cell>
          <cell r="B714" t="str">
            <v>DROGARIA P. S. OLGEARIO</v>
          </cell>
          <cell r="C714" t="str">
            <v>INDEPENDENTES VIN</v>
          </cell>
          <cell r="D714" t="str">
            <v>ARACATUBA</v>
          </cell>
          <cell r="E714" t="str">
            <v>SP</v>
          </cell>
          <cell r="F714">
            <v>46311</v>
          </cell>
          <cell r="G714">
            <v>232.99</v>
          </cell>
          <cell r="H714">
            <v>8780.4900000000016</v>
          </cell>
          <cell r="I714" t="str">
            <v>Comprou Marcas e SG</v>
          </cell>
        </row>
        <row r="715">
          <cell r="A715">
            <v>22457961000162</v>
          </cell>
          <cell r="B715" t="str">
            <v>DROGARIA OURO FINO POPULAR</v>
          </cell>
          <cell r="C715" t="str">
            <v>INDEPENDENTES VIN</v>
          </cell>
          <cell r="D715" t="str">
            <v>BARRA DO GARCAS</v>
          </cell>
          <cell r="E715" t="str">
            <v>MT</v>
          </cell>
          <cell r="I715" t="str">
            <v>Não Comprou</v>
          </cell>
        </row>
        <row r="716">
          <cell r="A716">
            <v>2608021000110</v>
          </cell>
          <cell r="B716" t="str">
            <v>DROGARIA OPERARIA II</v>
          </cell>
          <cell r="C716" t="str">
            <v>ASSOCIADAS</v>
          </cell>
          <cell r="D716" t="str">
            <v>RONDONOPOLIS</v>
          </cell>
          <cell r="E716" t="str">
            <v>MT</v>
          </cell>
          <cell r="F716">
            <v>46310</v>
          </cell>
          <cell r="G716">
            <v>137.85</v>
          </cell>
          <cell r="I716" t="str">
            <v>Comprou Marcas</v>
          </cell>
        </row>
        <row r="717">
          <cell r="A717">
            <v>31836867000105</v>
          </cell>
          <cell r="B717" t="str">
            <v>DROGARIA OPCAO POPULAR</v>
          </cell>
          <cell r="C717" t="str">
            <v>INDEPENDENTES VIN</v>
          </cell>
          <cell r="D717" t="str">
            <v>CUIABA</v>
          </cell>
          <cell r="E717" t="str">
            <v>MT</v>
          </cell>
          <cell r="I717" t="str">
            <v>Não Comprou</v>
          </cell>
        </row>
        <row r="718">
          <cell r="A718">
            <v>50970969000163</v>
          </cell>
          <cell r="B718" t="str">
            <v>DROGARIA OPCAO</v>
          </cell>
          <cell r="C718" t="str">
            <v>INDEPENDENTES VIN</v>
          </cell>
          <cell r="D718" t="str">
            <v>DENISE</v>
          </cell>
          <cell r="E718" t="str">
            <v>MT</v>
          </cell>
          <cell r="F718">
            <v>46303</v>
          </cell>
          <cell r="G718">
            <v>818.15000000000009</v>
          </cell>
          <cell r="I718" t="str">
            <v>Comprou Marcas</v>
          </cell>
        </row>
        <row r="719">
          <cell r="A719">
            <v>61585281000186</v>
          </cell>
          <cell r="B719" t="str">
            <v>DROGARIA OLIRA</v>
          </cell>
          <cell r="C719" t="str">
            <v>MASTERFARMA</v>
          </cell>
          <cell r="D719" t="str">
            <v>TANGARA DA SERRA</v>
          </cell>
          <cell r="E719" t="str">
            <v>MT</v>
          </cell>
          <cell r="I719" t="str">
            <v>Não Comprou</v>
          </cell>
        </row>
        <row r="720">
          <cell r="A720">
            <v>17967556000235</v>
          </cell>
          <cell r="B720" t="str">
            <v>DROGARIA NS</v>
          </cell>
          <cell r="C720" t="str">
            <v>ASSOCIADAS</v>
          </cell>
          <cell r="D720" t="str">
            <v>SIDROLANDIA</v>
          </cell>
          <cell r="E720" t="str">
            <v>MS</v>
          </cell>
          <cell r="F720">
            <v>46310</v>
          </cell>
          <cell r="G720">
            <v>28969.68</v>
          </cell>
          <cell r="I720" t="str">
            <v>Comprou Marcas</v>
          </cell>
        </row>
        <row r="721">
          <cell r="A721">
            <v>17858710000150</v>
          </cell>
          <cell r="B721" t="str">
            <v>DROGARIA NOVAPHARMA</v>
          </cell>
          <cell r="C721" t="str">
            <v>MASTERFARMA</v>
          </cell>
          <cell r="D721" t="str">
            <v>CUIABA</v>
          </cell>
          <cell r="E721" t="str">
            <v>MT</v>
          </cell>
          <cell r="I721" t="str">
            <v>Não Comprou</v>
          </cell>
        </row>
        <row r="722">
          <cell r="A722">
            <v>29668395000187</v>
          </cell>
          <cell r="B722" t="str">
            <v>DROGARIA NOVAPHARMA</v>
          </cell>
          <cell r="C722" t="str">
            <v>MASTERFARMA</v>
          </cell>
          <cell r="D722" t="str">
            <v>CUIABA</v>
          </cell>
          <cell r="E722" t="str">
            <v>MT</v>
          </cell>
          <cell r="I722" t="str">
            <v>Não Comprou</v>
          </cell>
        </row>
        <row r="723">
          <cell r="A723">
            <v>9179265000173</v>
          </cell>
          <cell r="B723" t="str">
            <v>DROGARIA NOVAFARMA</v>
          </cell>
          <cell r="C723" t="str">
            <v>DROGARIA TOTAL</v>
          </cell>
          <cell r="D723" t="str">
            <v>NOVA INDEPENDENCIA</v>
          </cell>
          <cell r="E723" t="str">
            <v>SP</v>
          </cell>
          <cell r="F723">
            <v>46303</v>
          </cell>
          <cell r="G723">
            <v>3202.3999999999996</v>
          </cell>
          <cell r="I723" t="str">
            <v>Comprou Marcas</v>
          </cell>
        </row>
        <row r="724">
          <cell r="A724">
            <v>68389238000194</v>
          </cell>
          <cell r="B724" t="str">
            <v>DROGARIA NOVA VIDA</v>
          </cell>
          <cell r="C724" t="str">
            <v>MULTIDROGAS</v>
          </cell>
          <cell r="D724" t="str">
            <v>EMILIANOPOLIS</v>
          </cell>
          <cell r="E724" t="str">
            <v>SP</v>
          </cell>
          <cell r="F724">
            <v>46311</v>
          </cell>
          <cell r="G724">
            <v>107.31</v>
          </cell>
          <cell r="H724">
            <v>695.1</v>
          </cell>
          <cell r="I724" t="str">
            <v>Comprou Marcas e SG</v>
          </cell>
        </row>
        <row r="725">
          <cell r="A725">
            <v>8029945000148</v>
          </cell>
          <cell r="B725" t="str">
            <v>DROGARIA NOVA FORMULA</v>
          </cell>
          <cell r="C725" t="str">
            <v>DROGARIA TOTAL</v>
          </cell>
          <cell r="D725" t="str">
            <v>CLEMENTINA</v>
          </cell>
          <cell r="E725" t="str">
            <v>SP</v>
          </cell>
          <cell r="F725">
            <v>46309</v>
          </cell>
          <cell r="G725">
            <v>4312.8599999999997</v>
          </cell>
          <cell r="I725" t="str">
            <v>Comprou Marcas</v>
          </cell>
        </row>
        <row r="726">
          <cell r="A726">
            <v>15558177000185</v>
          </cell>
          <cell r="B726" t="str">
            <v>DROGARIA NOVA FARMA</v>
          </cell>
          <cell r="C726" t="str">
            <v>ASFAR FARMACIAS</v>
          </cell>
          <cell r="D726" t="str">
            <v>COLIDER</v>
          </cell>
          <cell r="E726" t="str">
            <v>MT</v>
          </cell>
          <cell r="I726" t="str">
            <v>Não Comprou</v>
          </cell>
        </row>
        <row r="727">
          <cell r="A727">
            <v>23255059000126</v>
          </cell>
          <cell r="B727" t="str">
            <v>DROGARIA NOVA FARMA</v>
          </cell>
          <cell r="C727" t="str">
            <v>ECONOMIZE RONDONOPOLIS</v>
          </cell>
          <cell r="D727" t="str">
            <v>TORIXOREU</v>
          </cell>
          <cell r="E727" t="str">
            <v>MT</v>
          </cell>
          <cell r="I727" t="str">
            <v>Não Comprou</v>
          </cell>
        </row>
        <row r="728">
          <cell r="A728">
            <v>41140364000154</v>
          </cell>
          <cell r="B728" t="str">
            <v>DROGARIA NOVA ESPERANCA</v>
          </cell>
          <cell r="C728" t="str">
            <v>INDEPENDENTES VIN</v>
          </cell>
          <cell r="D728" t="str">
            <v>ARAGARCAS</v>
          </cell>
          <cell r="E728" t="str">
            <v>GO</v>
          </cell>
          <cell r="I728" t="str">
            <v>Não Comprou</v>
          </cell>
        </row>
        <row r="729">
          <cell r="A729">
            <v>13234023000102</v>
          </cell>
          <cell r="B729" t="str">
            <v>DROGARIA NOVA AMERICA</v>
          </cell>
          <cell r="C729" t="str">
            <v>HIPER SAUDE</v>
          </cell>
          <cell r="D729" t="str">
            <v>CUIABA</v>
          </cell>
          <cell r="E729" t="str">
            <v>MT</v>
          </cell>
          <cell r="F729">
            <v>46304</v>
          </cell>
          <cell r="G729">
            <v>2632.21</v>
          </cell>
          <cell r="I729" t="str">
            <v>Comprou Marcas</v>
          </cell>
        </row>
        <row r="730">
          <cell r="A730">
            <v>46365701000125</v>
          </cell>
          <cell r="B730" t="str">
            <v>DROGARIA NOVA AMERICA</v>
          </cell>
          <cell r="C730" t="str">
            <v>INDEPENDENTES VIN</v>
          </cell>
          <cell r="D730" t="str">
            <v>CUIABA</v>
          </cell>
          <cell r="E730" t="str">
            <v>MT</v>
          </cell>
          <cell r="I730" t="str">
            <v>Não Comprou</v>
          </cell>
        </row>
        <row r="731">
          <cell r="A731">
            <v>1282599000166</v>
          </cell>
          <cell r="B731" t="str">
            <v>DROGARIA NOSSA SENHORA SANTANA</v>
          </cell>
          <cell r="C731" t="str">
            <v>ASSOCIADAS</v>
          </cell>
          <cell r="D731" t="str">
            <v>NORTELANDIA</v>
          </cell>
          <cell r="E731" t="str">
            <v>MT</v>
          </cell>
          <cell r="F731">
            <v>46310</v>
          </cell>
          <cell r="G731">
            <v>2325.9099999999994</v>
          </cell>
          <cell r="I731" t="str">
            <v>Comprou Marcas</v>
          </cell>
        </row>
        <row r="732">
          <cell r="A732">
            <v>96619283000123</v>
          </cell>
          <cell r="B732" t="str">
            <v>DROGARIA NOSSA SENHORA DAS GRACAS</v>
          </cell>
          <cell r="C732" t="str">
            <v>INDEPENDENTES VIN</v>
          </cell>
          <cell r="D732" t="str">
            <v>TEODORO SAMPAIO</v>
          </cell>
          <cell r="E732" t="str">
            <v>SP</v>
          </cell>
          <cell r="I732" t="str">
            <v>Não Comprou</v>
          </cell>
        </row>
        <row r="733">
          <cell r="A733">
            <v>33792896000148</v>
          </cell>
          <cell r="B733" t="str">
            <v>DROGARIA NIPON</v>
          </cell>
          <cell r="C733" t="str">
            <v>ASSOCIADAS</v>
          </cell>
          <cell r="D733" t="str">
            <v>CAMPO GRANDE</v>
          </cell>
          <cell r="E733" t="str">
            <v>MS</v>
          </cell>
          <cell r="F733">
            <v>46303</v>
          </cell>
          <cell r="G733">
            <v>430.88</v>
          </cell>
          <cell r="I733" t="str">
            <v>Comprou Marcas</v>
          </cell>
        </row>
        <row r="734">
          <cell r="A734">
            <v>9607825000143</v>
          </cell>
          <cell r="B734" t="str">
            <v>DROGARIA NEDER</v>
          </cell>
          <cell r="C734" t="str">
            <v>INDEPENDENTES VIN</v>
          </cell>
          <cell r="D734" t="str">
            <v>ALTO ARAGUAIA</v>
          </cell>
          <cell r="E734" t="str">
            <v>MT</v>
          </cell>
          <cell r="I734" t="str">
            <v>Não Comprou</v>
          </cell>
        </row>
        <row r="735">
          <cell r="A735">
            <v>9039622000106</v>
          </cell>
          <cell r="B735" t="str">
            <v>DROGARIA NEBRASCA 24H</v>
          </cell>
          <cell r="C735" t="str">
            <v>HIPER SAUDE</v>
          </cell>
          <cell r="D735" t="str">
            <v>SORRISO</v>
          </cell>
          <cell r="E735" t="str">
            <v>MT</v>
          </cell>
          <cell r="F735">
            <v>46310</v>
          </cell>
          <cell r="G735">
            <v>7717.7099999999991</v>
          </cell>
          <cell r="H735">
            <v>17609.43</v>
          </cell>
          <cell r="I735" t="str">
            <v>Comprou Marcas e SG</v>
          </cell>
        </row>
        <row r="736">
          <cell r="A736">
            <v>23585337000103</v>
          </cell>
          <cell r="B736" t="str">
            <v>DROGARIA NANDA</v>
          </cell>
          <cell r="C736" t="str">
            <v>ASSOCIADAS</v>
          </cell>
          <cell r="D736" t="str">
            <v>CUIABA</v>
          </cell>
          <cell r="E736" t="str">
            <v>MT</v>
          </cell>
          <cell r="F736">
            <v>46310</v>
          </cell>
          <cell r="G736">
            <v>6430.33</v>
          </cell>
          <cell r="I736" t="str">
            <v>Comprou Marcas</v>
          </cell>
        </row>
        <row r="737">
          <cell r="A737">
            <v>15794259000200</v>
          </cell>
          <cell r="B737" t="str">
            <v>DROGARIA NACIONAL 3</v>
          </cell>
          <cell r="C737" t="str">
            <v>ASSOCIADAS</v>
          </cell>
          <cell r="D737" t="str">
            <v>PRIMAVERA DO LESTE</v>
          </cell>
          <cell r="E737" t="str">
            <v>MT</v>
          </cell>
          <cell r="I737" t="str">
            <v>Não Comprou</v>
          </cell>
        </row>
        <row r="738">
          <cell r="A738">
            <v>59106417000186</v>
          </cell>
          <cell r="B738" t="str">
            <v>DROGARIA MS POPULAR</v>
          </cell>
          <cell r="C738" t="str">
            <v>ASSOCIADAS</v>
          </cell>
          <cell r="D738" t="str">
            <v>CAMPO GRANDE</v>
          </cell>
          <cell r="E738" t="str">
            <v>MS</v>
          </cell>
          <cell r="F738">
            <v>46304</v>
          </cell>
          <cell r="G738">
            <v>196.87000000000003</v>
          </cell>
          <cell r="I738" t="str">
            <v>Comprou Marcas</v>
          </cell>
        </row>
        <row r="739">
          <cell r="A739">
            <v>7863592000114</v>
          </cell>
          <cell r="B739" t="str">
            <v>DROGARIA MONTALVAO</v>
          </cell>
          <cell r="C739" t="str">
            <v>INDEPENDENTES VIN</v>
          </cell>
          <cell r="D739" t="str">
            <v>PRESIDENTE PRUDENTE</v>
          </cell>
          <cell r="E739" t="str">
            <v>SP</v>
          </cell>
          <cell r="I739" t="str">
            <v>Não Comprou</v>
          </cell>
        </row>
        <row r="740">
          <cell r="A740">
            <v>45290499000157</v>
          </cell>
          <cell r="B740" t="str">
            <v>DROGARIA MODELO</v>
          </cell>
          <cell r="C740" t="str">
            <v>MASTERFARMA</v>
          </cell>
          <cell r="D740" t="str">
            <v>JARDIM</v>
          </cell>
          <cell r="E740" t="str">
            <v>MS</v>
          </cell>
          <cell r="I740" t="str">
            <v>Não Comprou</v>
          </cell>
        </row>
        <row r="741">
          <cell r="A741">
            <v>9556154000139</v>
          </cell>
          <cell r="B741" t="str">
            <v>DROGARIA MODELO</v>
          </cell>
          <cell r="C741" t="str">
            <v>DSG FARMA</v>
          </cell>
          <cell r="D741" t="str">
            <v>DIAMANTINO</v>
          </cell>
          <cell r="E741" t="str">
            <v>MT</v>
          </cell>
          <cell r="F741">
            <v>46310</v>
          </cell>
          <cell r="G741">
            <v>5479.34</v>
          </cell>
          <cell r="I741" t="str">
            <v>Comprou Marcas</v>
          </cell>
        </row>
        <row r="742">
          <cell r="A742">
            <v>7966206000110</v>
          </cell>
          <cell r="B742" t="str">
            <v>DROGARIA MERIDIONAL</v>
          </cell>
          <cell r="C742" t="str">
            <v>DROGARIA TOTAL</v>
          </cell>
          <cell r="D742" t="str">
            <v>PRESIDENTE PRUDENTE</v>
          </cell>
          <cell r="E742" t="str">
            <v>SP</v>
          </cell>
          <cell r="F742">
            <v>46310</v>
          </cell>
          <cell r="G742">
            <v>131.88</v>
          </cell>
          <cell r="I742" t="str">
            <v>Comprou Marcas</v>
          </cell>
        </row>
        <row r="743">
          <cell r="A743">
            <v>51398846000162</v>
          </cell>
          <cell r="B743" t="str">
            <v>DROGARIA MENOR PRECO</v>
          </cell>
          <cell r="C743" t="str">
            <v>MASTERFARMA</v>
          </cell>
          <cell r="D743" t="str">
            <v>NOVA XAVANTINA</v>
          </cell>
          <cell r="E743" t="str">
            <v>MT</v>
          </cell>
          <cell r="I743" t="str">
            <v>Não Comprou</v>
          </cell>
        </row>
        <row r="744">
          <cell r="A744">
            <v>57741120000167</v>
          </cell>
          <cell r="B744" t="str">
            <v>DROGARIA MENINO JESUS</v>
          </cell>
          <cell r="C744" t="str">
            <v>FARMELHOR</v>
          </cell>
          <cell r="D744" t="str">
            <v>NOVA MUTUM</v>
          </cell>
          <cell r="E744" t="str">
            <v>MT</v>
          </cell>
          <cell r="F744">
            <v>46301</v>
          </cell>
          <cell r="G744">
            <v>108.55000000000001</v>
          </cell>
          <cell r="I744" t="str">
            <v>Comprou Marcas</v>
          </cell>
        </row>
        <row r="745">
          <cell r="A745">
            <v>17710409000102</v>
          </cell>
          <cell r="B745" t="str">
            <v>DROGARIA MEIO PRECO</v>
          </cell>
          <cell r="C745" t="str">
            <v>HIPER SAUDE</v>
          </cell>
          <cell r="D745" t="str">
            <v>VARZEA GRANDE</v>
          </cell>
          <cell r="E745" t="str">
            <v>MT</v>
          </cell>
          <cell r="F745">
            <v>46308</v>
          </cell>
          <cell r="G745">
            <v>4518.0200000000004</v>
          </cell>
          <cell r="I745" t="str">
            <v>Comprou Marcas</v>
          </cell>
        </row>
        <row r="746">
          <cell r="A746">
            <v>57331628000197</v>
          </cell>
          <cell r="B746" t="str">
            <v>DROGARIA MEGA SAUDE POPULAR</v>
          </cell>
          <cell r="C746" t="str">
            <v>ASSOCIADAS</v>
          </cell>
          <cell r="D746" t="str">
            <v>VARZEA GRANDE</v>
          </cell>
          <cell r="E746" t="str">
            <v>MT</v>
          </cell>
          <cell r="F746">
            <v>46310</v>
          </cell>
          <cell r="G746">
            <v>1014.78</v>
          </cell>
          <cell r="I746" t="str">
            <v>Comprou Marcas</v>
          </cell>
        </row>
        <row r="747">
          <cell r="A747">
            <v>7217112000148</v>
          </cell>
          <cell r="B747" t="str">
            <v>DROGARIA MEGA POPULAR</v>
          </cell>
          <cell r="C747" t="str">
            <v>INDEPENDENTES VIN</v>
          </cell>
          <cell r="D747" t="str">
            <v>DIAMANTINO</v>
          </cell>
          <cell r="E747" t="str">
            <v>MT</v>
          </cell>
          <cell r="F747">
            <v>46308</v>
          </cell>
          <cell r="G747">
            <v>2739.54</v>
          </cell>
          <cell r="I747" t="str">
            <v>Comprou Marcas</v>
          </cell>
        </row>
        <row r="748">
          <cell r="A748">
            <v>7217112000300</v>
          </cell>
          <cell r="B748" t="str">
            <v>DROGARIA MEGA POPULAR</v>
          </cell>
          <cell r="C748" t="str">
            <v>INDEPENDENTES VIN</v>
          </cell>
          <cell r="D748" t="str">
            <v>ALTO PARAGUAI</v>
          </cell>
          <cell r="E748" t="str">
            <v>MT</v>
          </cell>
          <cell r="F748">
            <v>46308</v>
          </cell>
          <cell r="G748">
            <v>1791.95</v>
          </cell>
          <cell r="I748" t="str">
            <v>Comprou Marcas</v>
          </cell>
        </row>
        <row r="749">
          <cell r="A749">
            <v>7217112000490</v>
          </cell>
          <cell r="B749" t="str">
            <v>DROGARIA MEGA POPULAR</v>
          </cell>
          <cell r="C749" t="str">
            <v>INDEPENDENTES VIN</v>
          </cell>
          <cell r="D749" t="str">
            <v>NOVO DIAMANTINO (DIAMANTINO)</v>
          </cell>
          <cell r="E749" t="str">
            <v>MT</v>
          </cell>
          <cell r="F749">
            <v>46308</v>
          </cell>
          <cell r="G749">
            <v>1962.98</v>
          </cell>
          <cell r="I749" t="str">
            <v>Comprou Marcas</v>
          </cell>
        </row>
        <row r="750">
          <cell r="A750">
            <v>14782944000172</v>
          </cell>
          <cell r="B750" t="str">
            <v>DROGARIA MEGA POPULAR</v>
          </cell>
          <cell r="C750" t="str">
            <v>INDEPENDENTES VIN</v>
          </cell>
          <cell r="D750" t="str">
            <v>TANGARA DA SERRA</v>
          </cell>
          <cell r="E750" t="str">
            <v>MT</v>
          </cell>
          <cell r="F750">
            <v>46304</v>
          </cell>
          <cell r="G750">
            <v>796.57999999999993</v>
          </cell>
          <cell r="I750" t="str">
            <v>Comprou Marcas</v>
          </cell>
        </row>
        <row r="751">
          <cell r="A751">
            <v>14782944000253</v>
          </cell>
          <cell r="B751" t="str">
            <v>DROGARIA MEGA POPULAR</v>
          </cell>
          <cell r="C751" t="str">
            <v>INDEPENDENTES VIN</v>
          </cell>
          <cell r="D751" t="str">
            <v>TANGARA DA SERRA</v>
          </cell>
          <cell r="E751" t="str">
            <v>MT</v>
          </cell>
          <cell r="F751">
            <v>46303</v>
          </cell>
          <cell r="G751">
            <v>1115.71</v>
          </cell>
          <cell r="I751" t="str">
            <v>Comprou Marcas</v>
          </cell>
        </row>
        <row r="752">
          <cell r="A752">
            <v>17476547000241</v>
          </cell>
          <cell r="B752" t="str">
            <v>DROGARIA MEGA POPULAR</v>
          </cell>
          <cell r="C752" t="str">
            <v>MASTERFARMA</v>
          </cell>
          <cell r="D752" t="str">
            <v>AGUA BOA</v>
          </cell>
          <cell r="E752" t="str">
            <v>MT</v>
          </cell>
          <cell r="I752" t="str">
            <v>Não Comprou</v>
          </cell>
        </row>
        <row r="753">
          <cell r="A753">
            <v>29710511000189</v>
          </cell>
          <cell r="B753" t="str">
            <v>DROGARIA MEGA ECONOMICA</v>
          </cell>
          <cell r="C753" t="str">
            <v>ASFAR FARMACIAS</v>
          </cell>
          <cell r="D753" t="str">
            <v>SINOP</v>
          </cell>
          <cell r="E753" t="str">
            <v>MT</v>
          </cell>
          <cell r="I753" t="str">
            <v>Não Comprou</v>
          </cell>
        </row>
        <row r="754">
          <cell r="A754">
            <v>13412480000140</v>
          </cell>
          <cell r="B754" t="str">
            <v>DROGARIA MED FARMA</v>
          </cell>
          <cell r="C754" t="str">
            <v>INDEPENDENTES VIN</v>
          </cell>
          <cell r="D754" t="str">
            <v>ARAGARCAS</v>
          </cell>
          <cell r="E754" t="str">
            <v>GO</v>
          </cell>
          <cell r="I754" t="str">
            <v>Não Comprou</v>
          </cell>
        </row>
        <row r="755">
          <cell r="A755">
            <v>5344624000140</v>
          </cell>
          <cell r="B755" t="str">
            <v>DROGARIA MAXIPOPULAR</v>
          </cell>
          <cell r="C755" t="str">
            <v>FARMARCAS</v>
          </cell>
          <cell r="D755" t="str">
            <v>PONTA PORA</v>
          </cell>
          <cell r="E755" t="str">
            <v>MS</v>
          </cell>
          <cell r="F755">
            <v>46308</v>
          </cell>
          <cell r="G755">
            <v>3575.6600000000008</v>
          </cell>
          <cell r="I755" t="str">
            <v>Comprou Marcas</v>
          </cell>
        </row>
        <row r="756">
          <cell r="A756">
            <v>66807884000107</v>
          </cell>
          <cell r="B756" t="str">
            <v>DROGARIA MAXIMO</v>
          </cell>
          <cell r="C756" t="str">
            <v>INDEPENDENTES VIN</v>
          </cell>
          <cell r="D756" t="str">
            <v>MARACAI</v>
          </cell>
          <cell r="E756" t="str">
            <v>SP</v>
          </cell>
          <cell r="I756" t="str">
            <v>Não Comprou</v>
          </cell>
        </row>
        <row r="757">
          <cell r="A757">
            <v>18666741000414</v>
          </cell>
          <cell r="B757" t="str">
            <v>DROGARIA MAX PROMISSAO</v>
          </cell>
          <cell r="C757" t="str">
            <v>FARMARCAS</v>
          </cell>
          <cell r="D757" t="str">
            <v>PROMISSAO</v>
          </cell>
          <cell r="E757" t="str">
            <v>SP</v>
          </cell>
          <cell r="F757">
            <v>46310</v>
          </cell>
          <cell r="G757">
            <v>2199.6200000000003</v>
          </cell>
          <cell r="H757">
            <v>2742.96</v>
          </cell>
          <cell r="I757" t="str">
            <v>Comprou Marcas e SG</v>
          </cell>
        </row>
        <row r="758">
          <cell r="A758">
            <v>1340477000189</v>
          </cell>
          <cell r="B758" t="str">
            <v>DROGARIA MARTINS</v>
          </cell>
          <cell r="C758" t="str">
            <v>INDEPENDENTES VIN</v>
          </cell>
          <cell r="D758" t="str">
            <v>JUNQUEIROPOLIS</v>
          </cell>
          <cell r="E758" t="str">
            <v>SP</v>
          </cell>
          <cell r="F758">
            <v>46303</v>
          </cell>
          <cell r="G758">
            <v>712.55000000000007</v>
          </cell>
          <cell r="I758" t="str">
            <v>Comprou Marcas</v>
          </cell>
        </row>
        <row r="759">
          <cell r="A759">
            <v>17222004000117</v>
          </cell>
          <cell r="B759" t="str">
            <v>DROGARIA MARE MANSA</v>
          </cell>
          <cell r="C759" t="str">
            <v>DSG FARMA</v>
          </cell>
          <cell r="D759" t="str">
            <v>PRESIDENTE PRUDENTE</v>
          </cell>
          <cell r="E759" t="str">
            <v>SP</v>
          </cell>
          <cell r="I759" t="str">
            <v>Não Comprou</v>
          </cell>
        </row>
        <row r="760">
          <cell r="A760">
            <v>24127802000125</v>
          </cell>
          <cell r="B760" t="str">
            <v>DROGARIA MARCELO</v>
          </cell>
          <cell r="C760" t="str">
            <v>ASSOCIADAS</v>
          </cell>
          <cell r="D760" t="str">
            <v>NAVIRAI</v>
          </cell>
          <cell r="E760" t="str">
            <v>MS</v>
          </cell>
          <cell r="F760">
            <v>46309</v>
          </cell>
          <cell r="G760">
            <v>2146.27</v>
          </cell>
          <cell r="I760" t="str">
            <v>Comprou Marcas</v>
          </cell>
        </row>
        <row r="761">
          <cell r="A761">
            <v>21082444000193</v>
          </cell>
          <cell r="B761" t="str">
            <v>DROGARIA MAIS VIDA</v>
          </cell>
          <cell r="C761" t="str">
            <v>ASSOCIADAS</v>
          </cell>
          <cell r="D761" t="str">
            <v>AQUIDAUANA</v>
          </cell>
          <cell r="E761" t="str">
            <v>MS</v>
          </cell>
          <cell r="F761">
            <v>46311</v>
          </cell>
          <cell r="G761">
            <v>10315.460000000003</v>
          </cell>
          <cell r="I761" t="str">
            <v>Comprou Marcas</v>
          </cell>
        </row>
        <row r="762">
          <cell r="A762">
            <v>21082444000355</v>
          </cell>
          <cell r="B762" t="str">
            <v>DROGARIA MAIS VIDA</v>
          </cell>
          <cell r="C762" t="str">
            <v>ASSOCIADAS</v>
          </cell>
          <cell r="D762" t="str">
            <v>AQUIDAUANA</v>
          </cell>
          <cell r="E762" t="str">
            <v>MS</v>
          </cell>
          <cell r="F762">
            <v>46308</v>
          </cell>
          <cell r="G762">
            <v>917.29000000000008</v>
          </cell>
          <cell r="I762" t="str">
            <v>Comprou Marcas</v>
          </cell>
        </row>
        <row r="763">
          <cell r="A763">
            <v>33184266000271</v>
          </cell>
          <cell r="B763" t="str">
            <v>DROGARIA MAIS VIDA</v>
          </cell>
          <cell r="C763" t="str">
            <v>INDEPENDENTES VIN</v>
          </cell>
          <cell r="D763" t="str">
            <v>TABAPORA</v>
          </cell>
          <cell r="E763" t="str">
            <v>MT</v>
          </cell>
          <cell r="F763">
            <v>46311</v>
          </cell>
          <cell r="G763">
            <v>4734.9400000000014</v>
          </cell>
          <cell r="I763" t="str">
            <v>Comprou Marcas</v>
          </cell>
        </row>
        <row r="764">
          <cell r="A764">
            <v>33184266000352</v>
          </cell>
          <cell r="B764" t="str">
            <v>DROGARIA MAIS VIDA</v>
          </cell>
          <cell r="C764" t="str">
            <v>INDEPENDENTES VIN</v>
          </cell>
          <cell r="D764" t="str">
            <v>SORRISO</v>
          </cell>
          <cell r="E764" t="str">
            <v>MT</v>
          </cell>
          <cell r="F764">
            <v>46310</v>
          </cell>
          <cell r="G764">
            <v>2419.6100000000006</v>
          </cell>
          <cell r="I764" t="str">
            <v>Comprou Marcas</v>
          </cell>
        </row>
        <row r="765">
          <cell r="A765">
            <v>62569939000129</v>
          </cell>
          <cell r="B765" t="str">
            <v>DROGARIA MAIS SAUDE POPULAR</v>
          </cell>
          <cell r="C765" t="str">
            <v>REDE POUPE AQUI</v>
          </cell>
          <cell r="D765" t="str">
            <v>PRIMAVERA DO LESTE</v>
          </cell>
          <cell r="E765" t="str">
            <v>MT</v>
          </cell>
          <cell r="I765" t="str">
            <v>Não Comprou</v>
          </cell>
        </row>
        <row r="766">
          <cell r="A766">
            <v>41196111000100</v>
          </cell>
          <cell r="B766" t="str">
            <v>DROGARIA MAIS SAUDE</v>
          </cell>
          <cell r="C766" t="str">
            <v>ASSOCIADAS</v>
          </cell>
          <cell r="D766" t="str">
            <v>COXIM</v>
          </cell>
          <cell r="E766" t="str">
            <v>MS</v>
          </cell>
          <cell r="I766" t="str">
            <v>Não Comprou</v>
          </cell>
        </row>
        <row r="767">
          <cell r="A767">
            <v>43491146000190</v>
          </cell>
          <cell r="B767" t="str">
            <v>DROGARIA MAIS SAUDE</v>
          </cell>
          <cell r="C767" t="str">
            <v>MASTERFARMA</v>
          </cell>
          <cell r="D767" t="str">
            <v>CUIABA</v>
          </cell>
          <cell r="E767" t="str">
            <v>MT</v>
          </cell>
          <cell r="I767" t="str">
            <v>Não Comprou</v>
          </cell>
        </row>
        <row r="768">
          <cell r="A768">
            <v>37963302000175</v>
          </cell>
          <cell r="B768" t="str">
            <v>DROGARIA MAIS SAUDE</v>
          </cell>
          <cell r="C768" t="str">
            <v>INDEPENDENTES VIN</v>
          </cell>
          <cell r="D768" t="str">
            <v>RIBEIRAO CASCALHEIRA</v>
          </cell>
          <cell r="E768" t="str">
            <v>MT</v>
          </cell>
          <cell r="I768" t="str">
            <v>Não Comprou</v>
          </cell>
        </row>
        <row r="769">
          <cell r="A769">
            <v>4578510000100</v>
          </cell>
          <cell r="B769" t="str">
            <v>DROGARIA MAIS SAUDE</v>
          </cell>
          <cell r="C769" t="str">
            <v>DSG FARMA</v>
          </cell>
          <cell r="D769" t="str">
            <v>ARACATUBA</v>
          </cell>
          <cell r="E769" t="str">
            <v>SP</v>
          </cell>
          <cell r="F769">
            <v>46308</v>
          </cell>
          <cell r="G769">
            <v>2522.2399999999989</v>
          </cell>
          <cell r="H769">
            <v>2833.92</v>
          </cell>
          <cell r="I769" t="str">
            <v>Comprou Marcas e SG</v>
          </cell>
        </row>
        <row r="770">
          <cell r="A770">
            <v>24217601000119</v>
          </cell>
          <cell r="B770" t="str">
            <v>DROGARIA MAIS POPULAR</v>
          </cell>
          <cell r="C770" t="str">
            <v>INDEPENDENTES VIN</v>
          </cell>
          <cell r="D770" t="str">
            <v>NIOAQUE</v>
          </cell>
          <cell r="E770" t="str">
            <v>MS</v>
          </cell>
          <cell r="I770" t="str">
            <v>Não Comprou</v>
          </cell>
        </row>
        <row r="771">
          <cell r="A771">
            <v>30049938000167</v>
          </cell>
          <cell r="B771" t="str">
            <v>DROGARIA MAIS GERAL</v>
          </cell>
          <cell r="C771" t="str">
            <v>ASSOCIADAS</v>
          </cell>
          <cell r="D771" t="str">
            <v>VARZEA GRANDE</v>
          </cell>
          <cell r="E771" t="str">
            <v>MT</v>
          </cell>
          <cell r="I771" t="str">
            <v>Não Comprou</v>
          </cell>
        </row>
        <row r="772">
          <cell r="A772">
            <v>30461125000180</v>
          </cell>
          <cell r="B772" t="str">
            <v>DROGARIA MAIS GERAL</v>
          </cell>
          <cell r="C772" t="str">
            <v>ASSOCIADAS</v>
          </cell>
          <cell r="D772" t="str">
            <v>VARZEA GRANDE</v>
          </cell>
          <cell r="E772" t="str">
            <v>MT</v>
          </cell>
          <cell r="F772">
            <v>46303</v>
          </cell>
          <cell r="G772">
            <v>1903.49</v>
          </cell>
          <cell r="I772" t="str">
            <v>Comprou Marcas</v>
          </cell>
        </row>
        <row r="773">
          <cell r="A773">
            <v>53772681000172</v>
          </cell>
          <cell r="B773" t="str">
            <v>DROGARIA MAIS AMERICA</v>
          </cell>
          <cell r="C773" t="str">
            <v>ASSOCIADAS</v>
          </cell>
          <cell r="D773" t="str">
            <v>CUIABA</v>
          </cell>
          <cell r="E773" t="str">
            <v>MT</v>
          </cell>
          <cell r="I773" t="str">
            <v>Não Comprou</v>
          </cell>
        </row>
        <row r="774">
          <cell r="A774">
            <v>15247037000196</v>
          </cell>
          <cell r="B774" t="str">
            <v>DROGARIA LOCATELLI</v>
          </cell>
          <cell r="C774" t="str">
            <v>INDEPENDENTES VIN</v>
          </cell>
          <cell r="D774" t="str">
            <v>TRES LAGOAS</v>
          </cell>
          <cell r="E774" t="str">
            <v>MS</v>
          </cell>
          <cell r="F774">
            <v>46304</v>
          </cell>
          <cell r="G774">
            <v>1009.88</v>
          </cell>
          <cell r="I774" t="str">
            <v>Comprou Marcas</v>
          </cell>
        </row>
        <row r="775">
          <cell r="A775">
            <v>10829445000132</v>
          </cell>
          <cell r="B775" t="str">
            <v>DROGARIA LIDERANCA</v>
          </cell>
          <cell r="C775" t="str">
            <v>INDEPENDENTES VIN</v>
          </cell>
          <cell r="D775" t="str">
            <v>CUIABA</v>
          </cell>
          <cell r="E775" t="str">
            <v>MT</v>
          </cell>
          <cell r="I775" t="str">
            <v>Não Comprou</v>
          </cell>
        </row>
        <row r="776">
          <cell r="A776">
            <v>41195400000187</v>
          </cell>
          <cell r="B776" t="str">
            <v>DROGARIA LIDER II</v>
          </cell>
          <cell r="C776" t="str">
            <v>MASTERFARMA</v>
          </cell>
          <cell r="D776" t="str">
            <v>PARANAIBA</v>
          </cell>
          <cell r="E776" t="str">
            <v>MS</v>
          </cell>
          <cell r="I776" t="str">
            <v>Não Comprou</v>
          </cell>
        </row>
        <row r="777">
          <cell r="A777">
            <v>20759443000178</v>
          </cell>
          <cell r="B777" t="str">
            <v>DROGARIA LIDER</v>
          </cell>
          <cell r="C777" t="str">
            <v>ASSOCIADAS</v>
          </cell>
          <cell r="D777" t="str">
            <v>RIBEIRAO CASCALHEIRA</v>
          </cell>
          <cell r="E777" t="str">
            <v>MT</v>
          </cell>
          <cell r="I777" t="str">
            <v>Não Comprou</v>
          </cell>
        </row>
        <row r="778">
          <cell r="A778">
            <v>938969000108</v>
          </cell>
          <cell r="B778" t="str">
            <v>DROGARIA LIBERAL</v>
          </cell>
          <cell r="C778" t="str">
            <v>INDEPENDENTES VIN</v>
          </cell>
          <cell r="D778" t="str">
            <v>JUARA</v>
          </cell>
          <cell r="E778" t="str">
            <v>MT</v>
          </cell>
          <cell r="F778">
            <v>46304</v>
          </cell>
          <cell r="G778">
            <v>1898.77</v>
          </cell>
          <cell r="I778" t="str">
            <v>Comprou Marcas</v>
          </cell>
        </row>
        <row r="779">
          <cell r="A779">
            <v>1177047000198</v>
          </cell>
          <cell r="B779" t="str">
            <v>DROGARIA LEVERGER</v>
          </cell>
          <cell r="C779" t="str">
            <v>ASSOCIADAS</v>
          </cell>
          <cell r="D779" t="str">
            <v>SANTO ANTONIO DO LEVERGER</v>
          </cell>
          <cell r="E779" t="str">
            <v>MT</v>
          </cell>
          <cell r="F779">
            <v>46310</v>
          </cell>
          <cell r="G779">
            <v>7479.9099999999989</v>
          </cell>
          <cell r="I779" t="str">
            <v>Comprou Marcas</v>
          </cell>
        </row>
        <row r="780">
          <cell r="A780">
            <v>37653234000148</v>
          </cell>
          <cell r="B780" t="str">
            <v>DROGARIA INTERNACIONAL</v>
          </cell>
          <cell r="C780" t="str">
            <v>DROGARIA TOTAL</v>
          </cell>
          <cell r="D780" t="str">
            <v>LUCELIA</v>
          </cell>
          <cell r="E780" t="str">
            <v>SP</v>
          </cell>
          <cell r="I780" t="str">
            <v>Não Comprou</v>
          </cell>
        </row>
        <row r="781">
          <cell r="A781">
            <v>48130762000139</v>
          </cell>
          <cell r="B781" t="str">
            <v>DROGARIA IMPERATRIZ</v>
          </cell>
          <cell r="C781" t="str">
            <v>HIPER SAUDE</v>
          </cell>
          <cell r="D781" t="str">
            <v>ALTO GARCAS</v>
          </cell>
          <cell r="E781" t="str">
            <v>MT</v>
          </cell>
          <cell r="I781" t="str">
            <v>Não Comprou</v>
          </cell>
        </row>
        <row r="782">
          <cell r="A782">
            <v>11109080000134</v>
          </cell>
          <cell r="B782" t="str">
            <v>DROGARIA IGUATEMI</v>
          </cell>
          <cell r="C782" t="str">
            <v>ASSOCIADAS</v>
          </cell>
          <cell r="D782" t="str">
            <v>IGUATEMI</v>
          </cell>
          <cell r="E782" t="str">
            <v>MS</v>
          </cell>
          <cell r="F782">
            <v>46310</v>
          </cell>
          <cell r="G782">
            <v>2278.86</v>
          </cell>
          <cell r="I782" t="str">
            <v>Comprou Marcas</v>
          </cell>
        </row>
        <row r="783">
          <cell r="A783">
            <v>5592488000107</v>
          </cell>
          <cell r="B783" t="str">
            <v>DROGARIA IBIRAPUERA</v>
          </cell>
          <cell r="C783" t="str">
            <v>MASTERFARMA</v>
          </cell>
          <cell r="D783" t="str">
            <v>ARACATUBA</v>
          </cell>
          <cell r="E783" t="str">
            <v>SP</v>
          </cell>
          <cell r="F783">
            <v>46311</v>
          </cell>
          <cell r="G783">
            <v>178.82999999999998</v>
          </cell>
          <cell r="H783">
            <v>13222.6</v>
          </cell>
          <cell r="I783" t="str">
            <v>Comprou Marcas e SG</v>
          </cell>
        </row>
        <row r="784">
          <cell r="A784">
            <v>44556106000141</v>
          </cell>
          <cell r="B784" t="str">
            <v>DROGARIA I&amp;E KROLING</v>
          </cell>
          <cell r="C784" t="str">
            <v>FARMELHOR</v>
          </cell>
          <cell r="D784" t="str">
            <v>DIAMANTINO</v>
          </cell>
          <cell r="E784" t="str">
            <v>MT</v>
          </cell>
          <cell r="F784">
            <v>46304</v>
          </cell>
          <cell r="G784">
            <v>1280.81</v>
          </cell>
          <cell r="I784" t="str">
            <v>Comprou Marcas</v>
          </cell>
        </row>
        <row r="785">
          <cell r="A785">
            <v>36431185000136</v>
          </cell>
          <cell r="B785" t="str">
            <v>DROGARIA HIPER POPULAR</v>
          </cell>
          <cell r="C785" t="str">
            <v>INDEPENDENTES VIN</v>
          </cell>
          <cell r="D785" t="str">
            <v>CAMPO VERDE</v>
          </cell>
          <cell r="E785" t="str">
            <v>MT</v>
          </cell>
          <cell r="F785">
            <v>46303</v>
          </cell>
          <cell r="G785">
            <v>137.85</v>
          </cell>
          <cell r="I785" t="str">
            <v>Comprou Marcas</v>
          </cell>
        </row>
        <row r="786">
          <cell r="A786">
            <v>9039622000360</v>
          </cell>
          <cell r="B786" t="str">
            <v>DROGARIA HIPER POPULAR</v>
          </cell>
          <cell r="C786" t="str">
            <v>ASSOCIADAS</v>
          </cell>
          <cell r="D786" t="str">
            <v>SORRISO</v>
          </cell>
          <cell r="E786" t="str">
            <v>MT</v>
          </cell>
          <cell r="F786">
            <v>46310</v>
          </cell>
          <cell r="G786">
            <v>11961.060000000003</v>
          </cell>
          <cell r="H786">
            <v>22922.770000000004</v>
          </cell>
          <cell r="I786" t="str">
            <v>Comprou Marcas e SG</v>
          </cell>
        </row>
        <row r="787">
          <cell r="A787">
            <v>48892332000154</v>
          </cell>
          <cell r="B787" t="str">
            <v>DROGARIA HIPER POPULAR</v>
          </cell>
          <cell r="C787" t="str">
            <v>ASSOCIADAS</v>
          </cell>
          <cell r="D787" t="str">
            <v>PRIMAVERA DO LESTE</v>
          </cell>
          <cell r="E787" t="str">
            <v>MT</v>
          </cell>
          <cell r="I787" t="str">
            <v>Não Comprou</v>
          </cell>
        </row>
        <row r="788">
          <cell r="A788">
            <v>5465757000174</v>
          </cell>
          <cell r="B788" t="str">
            <v>DROGARIA GOIAS</v>
          </cell>
          <cell r="C788" t="str">
            <v>ASSOCIADAS</v>
          </cell>
          <cell r="D788" t="str">
            <v>TANGARA DA SERRA</v>
          </cell>
          <cell r="E788" t="str">
            <v>MT</v>
          </cell>
          <cell r="F788">
            <v>46310</v>
          </cell>
          <cell r="G788">
            <v>1135.0299999999997</v>
          </cell>
          <cell r="I788" t="str">
            <v>Comprou Marcas</v>
          </cell>
        </row>
        <row r="789">
          <cell r="A789">
            <v>33007949000172</v>
          </cell>
          <cell r="B789" t="str">
            <v>DROGARIA GOIAS</v>
          </cell>
          <cell r="C789" t="str">
            <v>ASSOCIADAS</v>
          </cell>
          <cell r="D789" t="str">
            <v>NOVA XAVANTINA</v>
          </cell>
          <cell r="E789" t="str">
            <v>MT</v>
          </cell>
          <cell r="F789">
            <v>46311</v>
          </cell>
          <cell r="G789">
            <v>6123.31</v>
          </cell>
          <cell r="I789" t="str">
            <v>Comprou Marcas</v>
          </cell>
        </row>
        <row r="790">
          <cell r="A790">
            <v>779082000114</v>
          </cell>
          <cell r="B790" t="str">
            <v>DROGARIA GLOBO</v>
          </cell>
          <cell r="C790" t="str">
            <v>MASTERFARMA</v>
          </cell>
          <cell r="D790" t="str">
            <v>MUNDO NOVO</v>
          </cell>
          <cell r="E790" t="str">
            <v>MS</v>
          </cell>
          <cell r="I790" t="str">
            <v>Não Comprou</v>
          </cell>
        </row>
        <row r="791">
          <cell r="A791">
            <v>49146937000169</v>
          </cell>
          <cell r="B791" t="str">
            <v>DROGARIA G PHARMA</v>
          </cell>
          <cell r="C791" t="str">
            <v>DSG FARMA</v>
          </cell>
          <cell r="D791" t="str">
            <v>PENAPOLIS</v>
          </cell>
          <cell r="E791" t="str">
            <v>SP</v>
          </cell>
          <cell r="F791">
            <v>46304</v>
          </cell>
          <cell r="G791">
            <v>2444.0399999999995</v>
          </cell>
          <cell r="I791" t="str">
            <v>Comprou Marcas</v>
          </cell>
        </row>
        <row r="792">
          <cell r="A792">
            <v>14314400000186</v>
          </cell>
          <cell r="B792" t="str">
            <v>DROGARIA G FARMA</v>
          </cell>
          <cell r="C792" t="str">
            <v>INDEPENDENTES VIN</v>
          </cell>
          <cell r="D792" t="str">
            <v>TANGARA DA SERRA</v>
          </cell>
          <cell r="E792" t="str">
            <v>MT</v>
          </cell>
          <cell r="F792">
            <v>46306</v>
          </cell>
          <cell r="G792">
            <v>209.52</v>
          </cell>
          <cell r="I792" t="str">
            <v>Comprou Marcas</v>
          </cell>
        </row>
        <row r="793">
          <cell r="A793">
            <v>16789469000191</v>
          </cell>
          <cell r="B793" t="str">
            <v>DROGARIA FLORAIS</v>
          </cell>
          <cell r="C793" t="str">
            <v>CONCEITO</v>
          </cell>
          <cell r="D793" t="str">
            <v>CUIABA</v>
          </cell>
          <cell r="E793" t="str">
            <v>MT</v>
          </cell>
          <cell r="I793" t="str">
            <v>Não Comprou</v>
          </cell>
        </row>
        <row r="794">
          <cell r="A794">
            <v>43011126000174</v>
          </cell>
          <cell r="B794" t="str">
            <v>DROGARIA FL DO LUIZINHO</v>
          </cell>
          <cell r="C794" t="str">
            <v>ASSOCIADAS</v>
          </cell>
          <cell r="D794" t="str">
            <v>CAMPO GRANDE</v>
          </cell>
          <cell r="E794" t="str">
            <v>MS</v>
          </cell>
          <cell r="I794" t="str">
            <v>Não Comprou</v>
          </cell>
        </row>
        <row r="795">
          <cell r="A795">
            <v>42569761000109</v>
          </cell>
          <cell r="B795" t="str">
            <v>DROGARIA FELIPE</v>
          </cell>
          <cell r="C795" t="str">
            <v>REDE INOVA</v>
          </cell>
          <cell r="D795" t="str">
            <v>INOCENCIA</v>
          </cell>
          <cell r="E795" t="str">
            <v>MS</v>
          </cell>
          <cell r="F795">
            <v>46309</v>
          </cell>
          <cell r="G795">
            <v>2210.5</v>
          </cell>
          <cell r="I795" t="str">
            <v>Comprou Marcas</v>
          </cell>
        </row>
        <row r="796">
          <cell r="A796">
            <v>32975740000130</v>
          </cell>
          <cell r="B796" t="str">
            <v>DROGARIA FARMOVIDA</v>
          </cell>
          <cell r="C796" t="str">
            <v>INDEPENDENTES VIN</v>
          </cell>
          <cell r="D796" t="str">
            <v>ALTO ARAGUAIA</v>
          </cell>
          <cell r="E796" t="str">
            <v>MT</v>
          </cell>
          <cell r="I796" t="str">
            <v>Não Comprou</v>
          </cell>
        </row>
        <row r="797">
          <cell r="A797">
            <v>3997842000158</v>
          </cell>
          <cell r="B797" t="str">
            <v>DROGARIA FARMELHOR</v>
          </cell>
          <cell r="C797" t="str">
            <v>FARMELHOR</v>
          </cell>
          <cell r="D797" t="str">
            <v>QUERENCIA</v>
          </cell>
          <cell r="E797" t="str">
            <v>MT</v>
          </cell>
          <cell r="F797">
            <v>46303</v>
          </cell>
          <cell r="G797">
            <v>2367.4299999999998</v>
          </cell>
          <cell r="I797" t="str">
            <v>Comprou Marcas</v>
          </cell>
        </row>
        <row r="798">
          <cell r="A798">
            <v>10280518000180</v>
          </cell>
          <cell r="B798" t="str">
            <v>DROGARIA FARMAX</v>
          </cell>
          <cell r="C798" t="str">
            <v>INDEPENDENTES VIN</v>
          </cell>
          <cell r="D798" t="str">
            <v>SINOP</v>
          </cell>
          <cell r="E798" t="str">
            <v>MT</v>
          </cell>
          <cell r="I798" t="str">
            <v>Não Comprou</v>
          </cell>
        </row>
        <row r="799">
          <cell r="A799">
            <v>13507152000127</v>
          </cell>
          <cell r="B799" t="str">
            <v>DROGARIA FARMALUZ</v>
          </cell>
          <cell r="C799" t="str">
            <v>DSG FARMA</v>
          </cell>
          <cell r="D799" t="str">
            <v>SINOP</v>
          </cell>
          <cell r="E799" t="str">
            <v>MT</v>
          </cell>
          <cell r="F799">
            <v>46311</v>
          </cell>
          <cell r="G799">
            <v>4436.4000000000005</v>
          </cell>
          <cell r="I799" t="str">
            <v>Comprou Marcas</v>
          </cell>
        </row>
        <row r="800">
          <cell r="A800">
            <v>8986750000196</v>
          </cell>
          <cell r="B800" t="str">
            <v>DROGARIA FARMALIMA</v>
          </cell>
          <cell r="C800" t="str">
            <v>ASSOCIADAS</v>
          </cell>
          <cell r="D800" t="str">
            <v>CAMPO GRANDE</v>
          </cell>
          <cell r="E800" t="str">
            <v>MS</v>
          </cell>
          <cell r="I800" t="str">
            <v>Não Comprou</v>
          </cell>
        </row>
        <row r="801">
          <cell r="A801">
            <v>8986750000277</v>
          </cell>
          <cell r="B801" t="str">
            <v>DROGARIA FARMALIMA</v>
          </cell>
          <cell r="C801" t="str">
            <v>ASSOCIADAS</v>
          </cell>
          <cell r="D801" t="str">
            <v>CAMPO GRANDE</v>
          </cell>
          <cell r="E801" t="str">
            <v>MS</v>
          </cell>
          <cell r="F801">
            <v>46310</v>
          </cell>
          <cell r="G801">
            <v>1737.18</v>
          </cell>
          <cell r="I801" t="str">
            <v>Comprou Marcas</v>
          </cell>
        </row>
        <row r="802">
          <cell r="A802">
            <v>8986750000358</v>
          </cell>
          <cell r="B802" t="str">
            <v>DROGARIA FARMALIMA</v>
          </cell>
          <cell r="C802" t="str">
            <v>ASSOCIADAS</v>
          </cell>
          <cell r="D802" t="str">
            <v>CAMPO GRANDE</v>
          </cell>
          <cell r="E802" t="str">
            <v>MS</v>
          </cell>
          <cell r="I802" t="str">
            <v>Não Comprou</v>
          </cell>
        </row>
        <row r="803">
          <cell r="A803">
            <v>10870136000106</v>
          </cell>
          <cell r="B803" t="str">
            <v>DROGARIA FARMAFLORES</v>
          </cell>
          <cell r="C803" t="str">
            <v>DSG FARMA</v>
          </cell>
          <cell r="D803" t="str">
            <v>RONDONOPOLIS</v>
          </cell>
          <cell r="E803" t="str">
            <v>MT</v>
          </cell>
          <cell r="F803">
            <v>46304</v>
          </cell>
          <cell r="G803">
            <v>668.67</v>
          </cell>
          <cell r="I803" t="str">
            <v>Comprou Marcas</v>
          </cell>
        </row>
        <row r="804">
          <cell r="A804">
            <v>9115230000170</v>
          </cell>
          <cell r="B804" t="str">
            <v>DROGARIA FARMACIL II</v>
          </cell>
          <cell r="C804" t="str">
            <v>DROGARIA TOTAL</v>
          </cell>
          <cell r="D804" t="str">
            <v>BIRIGUI</v>
          </cell>
          <cell r="E804" t="str">
            <v>SP</v>
          </cell>
          <cell r="I804" t="str">
            <v>Não Comprou</v>
          </cell>
        </row>
        <row r="805">
          <cell r="A805">
            <v>49687096000105</v>
          </cell>
          <cell r="B805" t="str">
            <v>DROGARIA FARMACIA DO GILMAR</v>
          </cell>
          <cell r="C805" t="str">
            <v>INDEPENDENTES VIN</v>
          </cell>
          <cell r="D805" t="str">
            <v>ANDRADINA</v>
          </cell>
          <cell r="E805" t="str">
            <v>SP</v>
          </cell>
          <cell r="I805" t="str">
            <v>Não Comprou</v>
          </cell>
        </row>
        <row r="806">
          <cell r="A806">
            <v>27114394000165</v>
          </cell>
          <cell r="B806" t="str">
            <v>DROGARIA FARMABRAZ</v>
          </cell>
          <cell r="C806" t="str">
            <v>INDEPENDENTES VIN</v>
          </cell>
          <cell r="D806" t="str">
            <v>TRES LAGOAS</v>
          </cell>
          <cell r="E806" t="str">
            <v>MS</v>
          </cell>
          <cell r="I806" t="str">
            <v>Não Comprou</v>
          </cell>
        </row>
        <row r="807">
          <cell r="A807">
            <v>14648568000128</v>
          </cell>
          <cell r="B807" t="str">
            <v>DROGARIA FARMA CENTER</v>
          </cell>
          <cell r="C807" t="str">
            <v>ASSOCIADAS</v>
          </cell>
          <cell r="D807" t="str">
            <v>QUERENCIA</v>
          </cell>
          <cell r="E807" t="str">
            <v>MT</v>
          </cell>
          <cell r="I807" t="str">
            <v>Não Comprou</v>
          </cell>
        </row>
        <row r="808">
          <cell r="A808">
            <v>13537905000147</v>
          </cell>
          <cell r="B808" t="str">
            <v>DROGARIA FAMILIA</v>
          </cell>
          <cell r="C808" t="str">
            <v>INDEPENDENTES VIN</v>
          </cell>
          <cell r="D808" t="str">
            <v>CAMPO GRANDE</v>
          </cell>
          <cell r="E808" t="str">
            <v>MS</v>
          </cell>
          <cell r="F808">
            <v>46300</v>
          </cell>
          <cell r="G808">
            <v>269.27</v>
          </cell>
          <cell r="H808">
            <v>619.6</v>
          </cell>
          <cell r="I808" t="str">
            <v>Comprou Marcas e SG</v>
          </cell>
        </row>
        <row r="809">
          <cell r="A809">
            <v>26495088000153</v>
          </cell>
          <cell r="B809" t="str">
            <v>DROGARIA EXTRA POPULAR</v>
          </cell>
          <cell r="C809" t="str">
            <v>MASTERFARMA</v>
          </cell>
          <cell r="D809" t="str">
            <v>BARRA DO GARCAS</v>
          </cell>
          <cell r="E809" t="str">
            <v>MT</v>
          </cell>
          <cell r="F809">
            <v>46311</v>
          </cell>
          <cell r="G809">
            <v>642.66999999999996</v>
          </cell>
          <cell r="I809" t="str">
            <v>Comprou Marcas</v>
          </cell>
        </row>
        <row r="810">
          <cell r="A810">
            <v>22054397000137</v>
          </cell>
          <cell r="B810" t="str">
            <v>DROGARIA EVANGELICA</v>
          </cell>
          <cell r="C810" t="str">
            <v>COMPRE BEM</v>
          </cell>
          <cell r="D810" t="str">
            <v>RIBEIRAO CASCALHEIRA</v>
          </cell>
          <cell r="E810" t="str">
            <v>MT</v>
          </cell>
          <cell r="I810" t="str">
            <v>Não Comprou</v>
          </cell>
        </row>
        <row r="811">
          <cell r="A811">
            <v>13470278000174</v>
          </cell>
          <cell r="B811" t="str">
            <v>DROGARIA ESTRELA GUIA</v>
          </cell>
          <cell r="C811" t="str">
            <v>INDEPENDENTES VIN</v>
          </cell>
          <cell r="D811" t="str">
            <v>ARAGARCAS</v>
          </cell>
          <cell r="E811" t="str">
            <v>GO</v>
          </cell>
          <cell r="I811" t="str">
            <v>Não Comprou</v>
          </cell>
        </row>
        <row r="812">
          <cell r="A812">
            <v>7754019000172</v>
          </cell>
          <cell r="B812" t="str">
            <v>DROGARIA ESTRELA</v>
          </cell>
          <cell r="C812" t="str">
            <v>INDEPENDENTES VIN</v>
          </cell>
          <cell r="D812" t="str">
            <v>BARRA DO GARCAS</v>
          </cell>
          <cell r="E812" t="str">
            <v>MT</v>
          </cell>
          <cell r="I812" t="str">
            <v>Não Comprou</v>
          </cell>
        </row>
        <row r="813">
          <cell r="A813">
            <v>18110799000134</v>
          </cell>
          <cell r="B813" t="str">
            <v>DROGARIA ESTRELA</v>
          </cell>
          <cell r="C813" t="str">
            <v>INDEPENDENTES VIN</v>
          </cell>
          <cell r="D813" t="str">
            <v>PRESIDENTE PRUDENTE</v>
          </cell>
          <cell r="E813" t="str">
            <v>SP</v>
          </cell>
          <cell r="F813">
            <v>46311</v>
          </cell>
          <cell r="G813">
            <v>2202.6400000000008</v>
          </cell>
          <cell r="H813">
            <v>10937.619999999999</v>
          </cell>
          <cell r="I813" t="str">
            <v>Comprou Marcas e SG</v>
          </cell>
        </row>
        <row r="814">
          <cell r="A814">
            <v>23622022000199</v>
          </cell>
          <cell r="B814" t="str">
            <v>DROGARIA ESPIRITO SANTO EIRELI</v>
          </cell>
          <cell r="C814" t="str">
            <v>ASSOCIADAS</v>
          </cell>
          <cell r="D814" t="str">
            <v>CAMPO GRANDE</v>
          </cell>
          <cell r="E814" t="str">
            <v>MS</v>
          </cell>
          <cell r="F814">
            <v>46311</v>
          </cell>
          <cell r="G814">
            <v>763.3599999999999</v>
          </cell>
          <cell r="I814" t="str">
            <v>Comprou Marcas</v>
          </cell>
        </row>
        <row r="815">
          <cell r="A815">
            <v>30516011000190</v>
          </cell>
          <cell r="B815" t="str">
            <v>DROGARIA ESPERANCA</v>
          </cell>
          <cell r="C815" t="str">
            <v>INDEPENDENTES VIN</v>
          </cell>
          <cell r="D815" t="str">
            <v>ALTO GARCAS</v>
          </cell>
          <cell r="E815" t="str">
            <v>MT</v>
          </cell>
          <cell r="I815" t="str">
            <v>Não Comprou</v>
          </cell>
        </row>
        <row r="816">
          <cell r="A816">
            <v>42438050000103</v>
          </cell>
          <cell r="B816" t="str">
            <v>DROGARIA ELDORADO PENAPOLIS</v>
          </cell>
          <cell r="C816" t="str">
            <v>DROGARIA TOTAL</v>
          </cell>
          <cell r="D816" t="str">
            <v>PENAPOLIS</v>
          </cell>
          <cell r="E816" t="str">
            <v>SP</v>
          </cell>
          <cell r="I816" t="str">
            <v>Não Comprou</v>
          </cell>
        </row>
        <row r="817">
          <cell r="A817">
            <v>51954038000134</v>
          </cell>
          <cell r="B817" t="str">
            <v>DROGARIA ECONOMIZE</v>
          </cell>
          <cell r="C817" t="str">
            <v>ECONOMIZE RONDONOPOLIS</v>
          </cell>
          <cell r="D817" t="str">
            <v>ITIQUIRA</v>
          </cell>
          <cell r="E817" t="str">
            <v>MT</v>
          </cell>
          <cell r="F817">
            <v>46310</v>
          </cell>
          <cell r="G817">
            <v>137.85</v>
          </cell>
          <cell r="I817" t="str">
            <v>Comprou Marcas</v>
          </cell>
        </row>
        <row r="818">
          <cell r="A818">
            <v>4110283000185</v>
          </cell>
          <cell r="B818" t="str">
            <v>DROGARIA ECONOMICA I I</v>
          </cell>
          <cell r="C818" t="str">
            <v>COMPRE BEM</v>
          </cell>
          <cell r="D818" t="str">
            <v>PEDRA PRETA</v>
          </cell>
          <cell r="E818" t="str">
            <v>MT</v>
          </cell>
          <cell r="F818">
            <v>46310</v>
          </cell>
          <cell r="G818">
            <v>137.85</v>
          </cell>
          <cell r="I818" t="str">
            <v>Comprou Marcas</v>
          </cell>
        </row>
        <row r="819">
          <cell r="A819">
            <v>48771964000160</v>
          </cell>
          <cell r="B819" t="str">
            <v>DROGARIA ECONOMIA JURUMIRIM</v>
          </cell>
          <cell r="C819" t="str">
            <v>ECONOMIZE RONDONOPOLIS</v>
          </cell>
          <cell r="D819" t="str">
            <v>CUIABA</v>
          </cell>
          <cell r="E819" t="str">
            <v>MT</v>
          </cell>
          <cell r="F819">
            <v>46303</v>
          </cell>
          <cell r="G819">
            <v>137.85</v>
          </cell>
          <cell r="I819" t="str">
            <v>Comprou Marcas</v>
          </cell>
        </row>
        <row r="820">
          <cell r="A820">
            <v>3381216000132</v>
          </cell>
          <cell r="B820" t="str">
            <v>DROGARIA E CIRURGICA SANTA CECILIA</v>
          </cell>
          <cell r="C820" t="str">
            <v>INDEPENDENTES VIN</v>
          </cell>
          <cell r="D820" t="str">
            <v>PRESIDENTE VENCESLAU</v>
          </cell>
          <cell r="E820" t="str">
            <v>SP</v>
          </cell>
          <cell r="F820">
            <v>46310</v>
          </cell>
          <cell r="G820">
            <v>955.43000000000006</v>
          </cell>
          <cell r="I820" t="str">
            <v>Comprou Marcas</v>
          </cell>
        </row>
        <row r="821">
          <cell r="A821">
            <v>27785214000681</v>
          </cell>
          <cell r="B821" t="str">
            <v>DROGARIA DROGAO POPULAR</v>
          </cell>
          <cell r="C821" t="str">
            <v>ASSOCIADAS</v>
          </cell>
          <cell r="D821" t="str">
            <v>BONITO</v>
          </cell>
          <cell r="E821" t="str">
            <v>MS</v>
          </cell>
          <cell r="F821">
            <v>46310</v>
          </cell>
          <cell r="G821">
            <v>3618.2400000000011</v>
          </cell>
          <cell r="I821" t="str">
            <v>Comprou Marcas</v>
          </cell>
        </row>
        <row r="822">
          <cell r="A822">
            <v>27785214000258</v>
          </cell>
          <cell r="B822" t="str">
            <v>DROGARIA DROGAO</v>
          </cell>
          <cell r="C822" t="str">
            <v>ASSOCIADAS</v>
          </cell>
          <cell r="D822" t="str">
            <v>BONITO</v>
          </cell>
          <cell r="E822" t="str">
            <v>MS</v>
          </cell>
          <cell r="F822">
            <v>46310</v>
          </cell>
          <cell r="G822">
            <v>3658.4999999999995</v>
          </cell>
          <cell r="I822" t="str">
            <v>Comprou Marcas</v>
          </cell>
        </row>
        <row r="823">
          <cell r="A823">
            <v>67759241000190</v>
          </cell>
          <cell r="B823" t="str">
            <v>DROGARIA DROGANOSSA</v>
          </cell>
          <cell r="C823" t="str">
            <v>FARMAIS</v>
          </cell>
          <cell r="D823" t="str">
            <v>GUARACAI</v>
          </cell>
          <cell r="E823" t="str">
            <v>SP</v>
          </cell>
          <cell r="F823">
            <v>46308</v>
          </cell>
          <cell r="G823">
            <v>862.37</v>
          </cell>
          <cell r="I823" t="str">
            <v>Comprou Marcas</v>
          </cell>
        </row>
        <row r="824">
          <cell r="A824">
            <v>11780832000194</v>
          </cell>
          <cell r="B824" t="str">
            <v>DROGARIA DROGANORTE</v>
          </cell>
          <cell r="C824" t="str">
            <v>FARMARCAS</v>
          </cell>
          <cell r="D824" t="str">
            <v>TAPURAH</v>
          </cell>
          <cell r="E824" t="str">
            <v>MT</v>
          </cell>
          <cell r="F824">
            <v>46311</v>
          </cell>
          <cell r="G824">
            <v>10807.380000000003</v>
          </cell>
          <cell r="I824" t="str">
            <v>Comprou Marcas</v>
          </cell>
        </row>
        <row r="825">
          <cell r="A825">
            <v>58219068000146</v>
          </cell>
          <cell r="B825" t="str">
            <v>DROGARIA DROGAMED</v>
          </cell>
          <cell r="C825" t="str">
            <v>INDEPENDENTES VIN</v>
          </cell>
          <cell r="D825" t="str">
            <v>TRES LAGOAS</v>
          </cell>
          <cell r="E825" t="str">
            <v>MS</v>
          </cell>
          <cell r="I825" t="str">
            <v>Não Comprou</v>
          </cell>
        </row>
        <row r="826">
          <cell r="A826">
            <v>21996240000168</v>
          </cell>
          <cell r="B826" t="str">
            <v>DROGARIA DROGAGIL</v>
          </cell>
          <cell r="C826" t="str">
            <v>ASSOCIADAS</v>
          </cell>
          <cell r="D826" t="str">
            <v>MARACAJU</v>
          </cell>
          <cell r="E826" t="str">
            <v>MS</v>
          </cell>
          <cell r="I826" t="str">
            <v>Não Comprou</v>
          </cell>
        </row>
        <row r="827">
          <cell r="A827">
            <v>4083576000110</v>
          </cell>
          <cell r="B827" t="str">
            <v>DROGARIA DROGADON</v>
          </cell>
          <cell r="C827" t="str">
            <v>MASTERFARMA</v>
          </cell>
          <cell r="D827" t="str">
            <v>RIBAS DO RIO PARDO</v>
          </cell>
          <cell r="E827" t="str">
            <v>MS</v>
          </cell>
          <cell r="I827" t="str">
            <v>Não Comprou</v>
          </cell>
        </row>
        <row r="828">
          <cell r="A828">
            <v>25204663000159</v>
          </cell>
          <cell r="B828" t="str">
            <v>DROGARIA DROGA VIDA</v>
          </cell>
          <cell r="C828" t="str">
            <v>INDEPENDENTES VIN</v>
          </cell>
          <cell r="D828" t="str">
            <v>PARANATINGA</v>
          </cell>
          <cell r="E828" t="str">
            <v>MT</v>
          </cell>
          <cell r="I828" t="str">
            <v>Não Comprou</v>
          </cell>
        </row>
        <row r="829">
          <cell r="A829">
            <v>15059340000165</v>
          </cell>
          <cell r="B829" t="str">
            <v>DROGARIA DROGA TEM</v>
          </cell>
          <cell r="C829" t="str">
            <v>MASTERFARMA</v>
          </cell>
          <cell r="D829" t="str">
            <v>AGUA BOA</v>
          </cell>
          <cell r="E829" t="str">
            <v>MT</v>
          </cell>
          <cell r="I829" t="str">
            <v>Não Comprou</v>
          </cell>
        </row>
        <row r="830">
          <cell r="A830">
            <v>1987999000177</v>
          </cell>
          <cell r="B830" t="str">
            <v>DROGARIA DROGA FACIL</v>
          </cell>
          <cell r="C830" t="str">
            <v>REDE SOMA</v>
          </cell>
          <cell r="D830" t="str">
            <v>PRIMAVERA DO LESTE</v>
          </cell>
          <cell r="E830" t="str">
            <v>MT</v>
          </cell>
          <cell r="F830">
            <v>46307</v>
          </cell>
          <cell r="G830">
            <v>467.65000000000003</v>
          </cell>
          <cell r="I830" t="str">
            <v>Comprou Marcas</v>
          </cell>
        </row>
        <row r="831">
          <cell r="A831">
            <v>2923540000172</v>
          </cell>
          <cell r="B831" t="str">
            <v>DROGARIA DROGA BARAO</v>
          </cell>
          <cell r="C831" t="str">
            <v>DROGARIA TOTAL</v>
          </cell>
          <cell r="D831" t="str">
            <v>ANDRADINA</v>
          </cell>
          <cell r="E831" t="str">
            <v>SP</v>
          </cell>
          <cell r="F831">
            <v>46311</v>
          </cell>
          <cell r="G831">
            <v>1188.7599999999998</v>
          </cell>
          <cell r="H831">
            <v>1732.8099999999997</v>
          </cell>
          <cell r="I831" t="str">
            <v>Comprou Marcas e SG</v>
          </cell>
        </row>
        <row r="832">
          <cell r="A832">
            <v>41008901000107</v>
          </cell>
          <cell r="B832" t="str">
            <v>DROGARIA DR. FABIO</v>
          </cell>
          <cell r="C832" t="str">
            <v>HIPER SAUDE</v>
          </cell>
          <cell r="D832" t="str">
            <v>CUIABA</v>
          </cell>
          <cell r="E832" t="str">
            <v>MT</v>
          </cell>
          <cell r="I832" t="str">
            <v>Não Comprou</v>
          </cell>
        </row>
        <row r="833">
          <cell r="A833">
            <v>18380223000197</v>
          </cell>
          <cell r="B833" t="str">
            <v>DROGARIA DR FABIO</v>
          </cell>
          <cell r="C833" t="str">
            <v>INDEPENDENTES VIN</v>
          </cell>
          <cell r="D833" t="str">
            <v>CUIABA</v>
          </cell>
          <cell r="E833" t="str">
            <v>MT</v>
          </cell>
          <cell r="F833">
            <v>46303</v>
          </cell>
          <cell r="G833">
            <v>137.85</v>
          </cell>
          <cell r="I833" t="str">
            <v>Comprou Marcas</v>
          </cell>
        </row>
        <row r="834">
          <cell r="A834">
            <v>16465328000113</v>
          </cell>
          <cell r="B834" t="str">
            <v>DROGARIA DOSE CERTA</v>
          </cell>
          <cell r="C834" t="str">
            <v>ASSOCIADAS</v>
          </cell>
          <cell r="D834" t="str">
            <v>TANGARA DA SERRA</v>
          </cell>
          <cell r="E834" t="str">
            <v>MT</v>
          </cell>
          <cell r="F834">
            <v>46304</v>
          </cell>
          <cell r="G834">
            <v>825.66</v>
          </cell>
          <cell r="I834" t="str">
            <v>Comprou Marcas</v>
          </cell>
        </row>
        <row r="835">
          <cell r="A835">
            <v>53548149000176</v>
          </cell>
          <cell r="B835" t="str">
            <v>DROGARIA DOS TRABALHADORES</v>
          </cell>
          <cell r="C835" t="str">
            <v>INDEPENDENTES VIN</v>
          </cell>
          <cell r="D835" t="str">
            <v>BARRA DO GARCAS</v>
          </cell>
          <cell r="E835" t="str">
            <v>MT</v>
          </cell>
          <cell r="I835" t="str">
            <v>Não Comprou</v>
          </cell>
        </row>
        <row r="836">
          <cell r="A836">
            <v>328405000404</v>
          </cell>
          <cell r="B836" t="str">
            <v>DROGARIA DOS AMIGOS FILIAL III</v>
          </cell>
          <cell r="C836" t="str">
            <v>DSG FARMA</v>
          </cell>
          <cell r="D836" t="str">
            <v>INOCENCIA</v>
          </cell>
          <cell r="E836" t="str">
            <v>MS</v>
          </cell>
          <cell r="I836" t="str">
            <v>Não Comprou</v>
          </cell>
        </row>
        <row r="837">
          <cell r="A837">
            <v>1894476000186</v>
          </cell>
          <cell r="B837" t="str">
            <v>DROGARIA DO RUBENS</v>
          </cell>
          <cell r="C837" t="str">
            <v>ASSOCIADAS</v>
          </cell>
          <cell r="D837" t="str">
            <v>COLIDER</v>
          </cell>
          <cell r="E837" t="str">
            <v>MT</v>
          </cell>
          <cell r="F837">
            <v>46310</v>
          </cell>
          <cell r="G837">
            <v>1112.24</v>
          </cell>
          <cell r="I837" t="str">
            <v>Comprou Marcas</v>
          </cell>
        </row>
        <row r="838">
          <cell r="A838">
            <v>13445025000140</v>
          </cell>
          <cell r="B838" t="str">
            <v>DROGARIA DO POVO</v>
          </cell>
          <cell r="C838" t="str">
            <v>FARMA &amp; FARMA</v>
          </cell>
          <cell r="D838" t="str">
            <v>RIO VERDE DE MATO GROSSO</v>
          </cell>
          <cell r="E838" t="str">
            <v>MS</v>
          </cell>
          <cell r="I838" t="str">
            <v>Não Comprou</v>
          </cell>
        </row>
        <row r="839">
          <cell r="A839">
            <v>4256383000114</v>
          </cell>
          <cell r="B839" t="str">
            <v>DROGARIA DO POVO</v>
          </cell>
          <cell r="C839" t="str">
            <v>COMPRE BEM</v>
          </cell>
          <cell r="D839" t="str">
            <v>SAO JOSE DO RIO CLARO</v>
          </cell>
          <cell r="E839" t="str">
            <v>MT</v>
          </cell>
          <cell r="F839">
            <v>46303</v>
          </cell>
          <cell r="G839">
            <v>3119.920000000001</v>
          </cell>
          <cell r="I839" t="str">
            <v>Comprou Marcas</v>
          </cell>
        </row>
        <row r="840">
          <cell r="A840">
            <v>31525761000190</v>
          </cell>
          <cell r="B840" t="str">
            <v>DROGARIA DO POVO</v>
          </cell>
          <cell r="C840" t="str">
            <v>INDEPENDENTES VIN</v>
          </cell>
          <cell r="D840" t="str">
            <v>NOVA MUTUM</v>
          </cell>
          <cell r="E840" t="str">
            <v>MT</v>
          </cell>
          <cell r="F840">
            <v>46303</v>
          </cell>
          <cell r="G840">
            <v>3626.7200000000003</v>
          </cell>
          <cell r="I840" t="str">
            <v>Comprou Marcas</v>
          </cell>
        </row>
        <row r="841">
          <cell r="A841">
            <v>7917231000103</v>
          </cell>
          <cell r="B841" t="str">
            <v>DROGARIA DO POVO</v>
          </cell>
          <cell r="C841" t="str">
            <v>INDEPENDENTES VIN</v>
          </cell>
          <cell r="D841" t="str">
            <v>ARAGUAIANA</v>
          </cell>
          <cell r="E841" t="str">
            <v>MT</v>
          </cell>
          <cell r="I841" t="str">
            <v>Não Comprou</v>
          </cell>
        </row>
        <row r="842">
          <cell r="A842">
            <v>5072221000199</v>
          </cell>
          <cell r="B842" t="str">
            <v>DROGARIA DO PAULINHO</v>
          </cell>
          <cell r="C842" t="str">
            <v>MASTERFARMA</v>
          </cell>
          <cell r="D842" t="str">
            <v>ALTA FLORESTA</v>
          </cell>
          <cell r="E842" t="str">
            <v>MT</v>
          </cell>
          <cell r="I842" t="str">
            <v>Não Comprou</v>
          </cell>
        </row>
        <row r="843">
          <cell r="A843">
            <v>67096438000196</v>
          </cell>
          <cell r="B843" t="str">
            <v>DROGARIA DO LAR</v>
          </cell>
          <cell r="C843" t="str">
            <v>MULTIDROGAS</v>
          </cell>
          <cell r="D843" t="str">
            <v>MURUTINGA DO SUL</v>
          </cell>
          <cell r="E843" t="str">
            <v>SP</v>
          </cell>
          <cell r="F843">
            <v>46310</v>
          </cell>
          <cell r="G843">
            <v>483.95</v>
          </cell>
          <cell r="H843">
            <v>1143.7</v>
          </cell>
          <cell r="I843" t="str">
            <v>Comprou Marcas e SG</v>
          </cell>
        </row>
        <row r="844">
          <cell r="A844">
            <v>14876562000108</v>
          </cell>
          <cell r="B844" t="str">
            <v>DROGARIA DO FERNANDINHO</v>
          </cell>
          <cell r="C844" t="str">
            <v>MASTERFARMA</v>
          </cell>
          <cell r="D844" t="str">
            <v>CARLINDA</v>
          </cell>
          <cell r="E844" t="str">
            <v>MT</v>
          </cell>
          <cell r="F844">
            <v>46311</v>
          </cell>
          <cell r="G844">
            <v>3326.52</v>
          </cell>
          <cell r="I844" t="str">
            <v>Comprou Marcas</v>
          </cell>
        </row>
        <row r="845">
          <cell r="A845">
            <v>3492774000175</v>
          </cell>
          <cell r="B845" t="str">
            <v>DROGARIA DO AIRTON</v>
          </cell>
          <cell r="C845" t="str">
            <v>MASTERFARMA</v>
          </cell>
          <cell r="D845" t="str">
            <v>COXIM</v>
          </cell>
          <cell r="E845" t="str">
            <v>MS</v>
          </cell>
          <cell r="I845" t="str">
            <v>Não Comprou</v>
          </cell>
        </row>
        <row r="846">
          <cell r="A846">
            <v>10341045002470</v>
          </cell>
          <cell r="B846" t="str">
            <v>DROGARIA DMD</v>
          </cell>
          <cell r="C846" t="str">
            <v>FARMARCAS</v>
          </cell>
          <cell r="D846" t="str">
            <v>CUIABA</v>
          </cell>
          <cell r="E846" t="str">
            <v>MT</v>
          </cell>
          <cell r="F846">
            <v>46311</v>
          </cell>
          <cell r="G846">
            <v>6176.5199999999995</v>
          </cell>
          <cell r="H846">
            <v>2209.5899999999997</v>
          </cell>
          <cell r="I846" t="str">
            <v>Comprou Marcas e SG</v>
          </cell>
        </row>
        <row r="847">
          <cell r="A847">
            <v>10341045002550</v>
          </cell>
          <cell r="B847" t="str">
            <v>DROGARIA DMD</v>
          </cell>
          <cell r="C847" t="str">
            <v>FARMARCAS</v>
          </cell>
          <cell r="D847" t="str">
            <v>NOBRES</v>
          </cell>
          <cell r="E847" t="str">
            <v>MT</v>
          </cell>
          <cell r="F847">
            <v>46311</v>
          </cell>
          <cell r="G847">
            <v>9544.43</v>
          </cell>
          <cell r="H847">
            <v>7605.79</v>
          </cell>
          <cell r="I847" t="str">
            <v>Comprou Marcas e SG</v>
          </cell>
        </row>
        <row r="848">
          <cell r="A848">
            <v>10341045002631</v>
          </cell>
          <cell r="B848" t="str">
            <v>DROGARIA DMD</v>
          </cell>
          <cell r="C848" t="str">
            <v>FARMARCAS</v>
          </cell>
          <cell r="D848" t="str">
            <v>ROSARIO OESTE</v>
          </cell>
          <cell r="E848" t="str">
            <v>MT</v>
          </cell>
          <cell r="F848">
            <v>46311</v>
          </cell>
          <cell r="G848">
            <v>7099.3500000000022</v>
          </cell>
          <cell r="H848">
            <v>3370.7599999999993</v>
          </cell>
          <cell r="I848" t="str">
            <v>Comprou Marcas e SG</v>
          </cell>
        </row>
        <row r="849">
          <cell r="A849">
            <v>7311428000102</v>
          </cell>
          <cell r="B849" t="str">
            <v>DROGARIA DINAMICA</v>
          </cell>
          <cell r="C849" t="str">
            <v>ASSOCIADAS</v>
          </cell>
          <cell r="D849" t="str">
            <v>DOURADOS</v>
          </cell>
          <cell r="E849" t="str">
            <v>MS</v>
          </cell>
          <cell r="F849">
            <v>46310</v>
          </cell>
          <cell r="G849">
            <v>683.71</v>
          </cell>
          <cell r="I849" t="str">
            <v>Comprou Marcas</v>
          </cell>
        </row>
        <row r="850">
          <cell r="A850">
            <v>37830039000146</v>
          </cell>
          <cell r="B850" t="str">
            <v>DROGARIA DESTRO</v>
          </cell>
          <cell r="C850" t="str">
            <v>INDEPENDENTES VIN</v>
          </cell>
          <cell r="D850" t="str">
            <v>PRESIDENTE PRUDENTE</v>
          </cell>
          <cell r="E850" t="str">
            <v>SP</v>
          </cell>
          <cell r="I850" t="str">
            <v>Não Comprou</v>
          </cell>
        </row>
        <row r="851">
          <cell r="A851">
            <v>2366173000153</v>
          </cell>
          <cell r="B851" t="str">
            <v>DROGARIA DENIZ FARMA</v>
          </cell>
          <cell r="C851" t="str">
            <v>INDEPENDENTES VIN</v>
          </cell>
          <cell r="D851" t="str">
            <v>CASTILHO</v>
          </cell>
          <cell r="E851" t="str">
            <v>SP</v>
          </cell>
          <cell r="F851">
            <v>46303</v>
          </cell>
          <cell r="H851">
            <v>5979.97</v>
          </cell>
          <cell r="I851" t="str">
            <v>Comprou SG</v>
          </cell>
        </row>
        <row r="852">
          <cell r="A852">
            <v>2440068000117</v>
          </cell>
          <cell r="B852" t="str">
            <v>DROGARIA DENISE</v>
          </cell>
          <cell r="C852" t="str">
            <v>ECONOMIZE RONDONOPOLIS</v>
          </cell>
          <cell r="D852" t="str">
            <v>DENISE</v>
          </cell>
          <cell r="E852" t="str">
            <v>MT</v>
          </cell>
          <cell r="F852">
            <v>46311</v>
          </cell>
          <cell r="G852">
            <v>3941.4900000000002</v>
          </cell>
          <cell r="I852" t="str">
            <v>Comprou Marcas</v>
          </cell>
        </row>
        <row r="853">
          <cell r="A853">
            <v>4437649000125</v>
          </cell>
          <cell r="B853" t="str">
            <v>DROGARIA DELTA MED</v>
          </cell>
          <cell r="C853" t="str">
            <v>DROGARIA TOTAL</v>
          </cell>
          <cell r="D853" t="str">
            <v>PRESIDENTE BERNARDES</v>
          </cell>
          <cell r="E853" t="str">
            <v>SP</v>
          </cell>
          <cell r="F853">
            <v>46303</v>
          </cell>
          <cell r="G853">
            <v>275.42</v>
          </cell>
          <cell r="H853">
            <v>1996.8</v>
          </cell>
          <cell r="I853" t="str">
            <v>Comprou Marcas e SG</v>
          </cell>
        </row>
        <row r="854">
          <cell r="A854">
            <v>42070773000194</v>
          </cell>
          <cell r="B854" t="str">
            <v>DROGARIA DAVI PAJU</v>
          </cell>
          <cell r="C854" t="str">
            <v>FARMA &amp; FARMA</v>
          </cell>
          <cell r="D854" t="str">
            <v>APARECIDA DO TABOADO</v>
          </cell>
          <cell r="E854" t="str">
            <v>MS</v>
          </cell>
          <cell r="F854">
            <v>46311</v>
          </cell>
          <cell r="G854">
            <v>5832.1100000000015</v>
          </cell>
          <cell r="I854" t="str">
            <v>Comprou Marcas</v>
          </cell>
        </row>
        <row r="855">
          <cell r="A855">
            <v>42070773000275</v>
          </cell>
          <cell r="B855" t="str">
            <v>DROGARIA DAVI PAJU</v>
          </cell>
          <cell r="C855" t="str">
            <v>FARMA &amp; FARMA</v>
          </cell>
          <cell r="D855" t="str">
            <v>PARANAIBA</v>
          </cell>
          <cell r="E855" t="str">
            <v>MS</v>
          </cell>
          <cell r="F855">
            <v>46311</v>
          </cell>
          <cell r="G855">
            <v>2999.42</v>
          </cell>
          <cell r="I855" t="str">
            <v>Comprou Marcas</v>
          </cell>
        </row>
        <row r="856">
          <cell r="A856">
            <v>21303831000102</v>
          </cell>
          <cell r="B856" t="str">
            <v>DROGARIA CUSTO POPULAR</v>
          </cell>
          <cell r="C856" t="str">
            <v>HIPER SAUDE</v>
          </cell>
          <cell r="D856" t="str">
            <v>CUIABA</v>
          </cell>
          <cell r="E856" t="str">
            <v>MT</v>
          </cell>
          <cell r="F856">
            <v>46303</v>
          </cell>
          <cell r="G856">
            <v>776.93999999999994</v>
          </cell>
          <cell r="I856" t="str">
            <v>Comprou Marcas</v>
          </cell>
        </row>
        <row r="857">
          <cell r="A857">
            <v>33687112000111</v>
          </cell>
          <cell r="B857" t="str">
            <v>DROGARIA CRISTAL</v>
          </cell>
          <cell r="C857" t="str">
            <v>MASTERFARMA</v>
          </cell>
          <cell r="D857" t="str">
            <v>MIRASSOL D'OESTE</v>
          </cell>
          <cell r="E857" t="str">
            <v>MT</v>
          </cell>
          <cell r="F857">
            <v>46303</v>
          </cell>
          <cell r="G857">
            <v>1757.3800000000003</v>
          </cell>
          <cell r="I857" t="str">
            <v>Comprou Marcas</v>
          </cell>
        </row>
        <row r="858">
          <cell r="A858">
            <v>55248561000104</v>
          </cell>
          <cell r="B858" t="str">
            <v>DROGARIA CORACAO DE JESUS</v>
          </cell>
          <cell r="C858" t="str">
            <v>BIODROGAS</v>
          </cell>
          <cell r="D858" t="str">
            <v>PRESIDENTE BERNARDES</v>
          </cell>
          <cell r="E858" t="str">
            <v>SP</v>
          </cell>
          <cell r="F858">
            <v>46311</v>
          </cell>
          <cell r="G858">
            <v>1463.48</v>
          </cell>
          <cell r="I858" t="str">
            <v>Comprou Marcas</v>
          </cell>
        </row>
        <row r="859">
          <cell r="A859">
            <v>20412740000142</v>
          </cell>
          <cell r="B859" t="str">
            <v>DROGARIA CONFIANCA</v>
          </cell>
          <cell r="C859" t="str">
            <v>INDEPENDENTES VIN</v>
          </cell>
          <cell r="D859" t="str">
            <v>MARACAJU</v>
          </cell>
          <cell r="E859" t="str">
            <v>MS</v>
          </cell>
          <cell r="I859" t="str">
            <v>Não Comprou</v>
          </cell>
        </row>
        <row r="860">
          <cell r="A860">
            <v>15116990000103</v>
          </cell>
          <cell r="B860" t="str">
            <v>DROGARIA CONFIANCA</v>
          </cell>
          <cell r="C860" t="str">
            <v>INDEPENDENTES VIN</v>
          </cell>
          <cell r="D860" t="str">
            <v>JUINA</v>
          </cell>
          <cell r="E860" t="str">
            <v>MT</v>
          </cell>
          <cell r="F860">
            <v>46304</v>
          </cell>
          <cell r="G860">
            <v>3565.92</v>
          </cell>
          <cell r="I860" t="str">
            <v>Comprou Marcas</v>
          </cell>
        </row>
        <row r="861">
          <cell r="A861">
            <v>10392940000127</v>
          </cell>
          <cell r="B861" t="str">
            <v>DROGARIA CONFIANCA</v>
          </cell>
          <cell r="C861" t="str">
            <v>INDEPENDENTES VIN</v>
          </cell>
          <cell r="D861" t="str">
            <v>QUERENCIA</v>
          </cell>
          <cell r="E861" t="str">
            <v>MT</v>
          </cell>
          <cell r="I861" t="str">
            <v>Não Comprou</v>
          </cell>
        </row>
        <row r="862">
          <cell r="A862">
            <v>59412809000173</v>
          </cell>
          <cell r="B862" t="str">
            <v>DROGARIA CONFIANCA</v>
          </cell>
          <cell r="C862" t="str">
            <v>INDEPENDENTES VIN</v>
          </cell>
          <cell r="D862" t="str">
            <v>PRESIDENTE VENCESLAU</v>
          </cell>
          <cell r="E862" t="str">
            <v>SP</v>
          </cell>
          <cell r="I862" t="str">
            <v>Não Comprou</v>
          </cell>
        </row>
        <row r="863">
          <cell r="A863">
            <v>9364347000198</v>
          </cell>
          <cell r="B863" t="str">
            <v>DROGARIA CONCORDIA</v>
          </cell>
          <cell r="C863" t="str">
            <v>INDEPENDENTES VIN</v>
          </cell>
          <cell r="D863" t="str">
            <v>PARANATINGA</v>
          </cell>
          <cell r="E863" t="str">
            <v>MT</v>
          </cell>
          <cell r="I863" t="str">
            <v>Não Comprou</v>
          </cell>
        </row>
        <row r="864">
          <cell r="A864">
            <v>9555593000127</v>
          </cell>
          <cell r="B864" t="str">
            <v>DROGARIA COMPRE CERTO</v>
          </cell>
          <cell r="C864" t="str">
            <v>REDE COMPRE CERTO</v>
          </cell>
          <cell r="D864" t="str">
            <v>APARECIDA DO TABOADO</v>
          </cell>
          <cell r="E864" t="str">
            <v>MS</v>
          </cell>
          <cell r="F864">
            <v>46310</v>
          </cell>
          <cell r="G864">
            <v>812.63999999999987</v>
          </cell>
          <cell r="I864" t="str">
            <v>Comprou Marcas</v>
          </cell>
        </row>
        <row r="865">
          <cell r="A865">
            <v>12040504000114</v>
          </cell>
          <cell r="B865" t="str">
            <v>DROGARIA COHAB LTDA ME</v>
          </cell>
          <cell r="C865" t="str">
            <v>REDE SANTA CATARINA</v>
          </cell>
          <cell r="D865" t="str">
            <v>PRESIDENTE PRUDENTE</v>
          </cell>
          <cell r="E865" t="str">
            <v>SP</v>
          </cell>
          <cell r="F865">
            <v>46310</v>
          </cell>
          <cell r="G865">
            <v>1827.03</v>
          </cell>
          <cell r="H865">
            <v>8171.57</v>
          </cell>
          <cell r="I865" t="str">
            <v>Comprou Marcas e SG</v>
          </cell>
        </row>
        <row r="866">
          <cell r="A866">
            <v>63102694000198</v>
          </cell>
          <cell r="B866" t="str">
            <v>DROGARIA COHAB</v>
          </cell>
          <cell r="C866" t="str">
            <v>INDEPENDENTES VIN</v>
          </cell>
          <cell r="D866" t="str">
            <v>MIRASSOL D'OESTE</v>
          </cell>
          <cell r="E866" t="str">
            <v>MT</v>
          </cell>
          <cell r="I866" t="str">
            <v>Não Comprou</v>
          </cell>
        </row>
        <row r="867">
          <cell r="A867">
            <v>2351409000188</v>
          </cell>
          <cell r="B867" t="str">
            <v>DROGARIA CLAUDIAFARMA</v>
          </cell>
          <cell r="C867" t="str">
            <v>DROGARIA TOTAL</v>
          </cell>
          <cell r="D867" t="str">
            <v>DRACENA</v>
          </cell>
          <cell r="E867" t="str">
            <v>SP</v>
          </cell>
          <cell r="F867">
            <v>46311</v>
          </cell>
          <cell r="G867">
            <v>3361.3799999999997</v>
          </cell>
          <cell r="I867" t="str">
            <v>Comprou Marcas</v>
          </cell>
        </row>
        <row r="868">
          <cell r="A868">
            <v>22355280000193</v>
          </cell>
          <cell r="B868" t="str">
            <v>DROGARIA CIDADE</v>
          </cell>
          <cell r="C868" t="str">
            <v>ASSOCIADAS</v>
          </cell>
          <cell r="D868" t="str">
            <v>ITIQUIRA</v>
          </cell>
          <cell r="E868" t="str">
            <v>MT</v>
          </cell>
          <cell r="F868">
            <v>46310</v>
          </cell>
          <cell r="G868">
            <v>137.85</v>
          </cell>
          <cell r="I868" t="str">
            <v>Comprou Marcas</v>
          </cell>
        </row>
        <row r="869">
          <cell r="A869">
            <v>12804850000121</v>
          </cell>
          <cell r="B869" t="str">
            <v>DROGARIA CERTA</v>
          </cell>
          <cell r="C869" t="str">
            <v>ASSOCIADAS</v>
          </cell>
          <cell r="D869" t="str">
            <v>BARRA DO GARCAS</v>
          </cell>
          <cell r="E869" t="str">
            <v>MT</v>
          </cell>
          <cell r="I869" t="str">
            <v>Não Comprou</v>
          </cell>
        </row>
        <row r="870">
          <cell r="A870">
            <v>15433090000181</v>
          </cell>
          <cell r="B870" t="str">
            <v>DROGARIA CENTRALFARMA</v>
          </cell>
          <cell r="C870" t="str">
            <v>INDEPENDENTES VIN</v>
          </cell>
          <cell r="D870" t="str">
            <v>CAMPO GRANDE</v>
          </cell>
          <cell r="E870" t="str">
            <v>MS</v>
          </cell>
          <cell r="I870" t="str">
            <v>Não Comprou</v>
          </cell>
        </row>
        <row r="871">
          <cell r="A871">
            <v>2489904000158</v>
          </cell>
          <cell r="B871" t="str">
            <v>DROGARIA CENTRAL</v>
          </cell>
          <cell r="C871" t="str">
            <v>MASTERFARMA</v>
          </cell>
          <cell r="D871" t="str">
            <v>SAO JOSE DO RIO CLARO</v>
          </cell>
          <cell r="E871" t="str">
            <v>MT</v>
          </cell>
          <cell r="F871">
            <v>46310</v>
          </cell>
          <cell r="G871">
            <v>778.7399999999999</v>
          </cell>
          <cell r="I871" t="str">
            <v>Comprou Marcas</v>
          </cell>
        </row>
        <row r="872">
          <cell r="A872">
            <v>7382151000109</v>
          </cell>
          <cell r="B872" t="str">
            <v>DROGARIA CENTRAL</v>
          </cell>
          <cell r="C872" t="str">
            <v>HIPER SAUDE</v>
          </cell>
          <cell r="D872" t="str">
            <v>RIBEIRAO CASCALHEIRA</v>
          </cell>
          <cell r="E872" t="str">
            <v>MT</v>
          </cell>
          <cell r="F872">
            <v>46303</v>
          </cell>
          <cell r="G872">
            <v>3168.54</v>
          </cell>
          <cell r="I872" t="str">
            <v>Comprou Marcas</v>
          </cell>
        </row>
        <row r="873">
          <cell r="A873">
            <v>1856884000143</v>
          </cell>
          <cell r="B873" t="str">
            <v>DROGARIA CENTRAL</v>
          </cell>
          <cell r="C873" t="str">
            <v>INDEPENDENTES VIN</v>
          </cell>
          <cell r="D873" t="str">
            <v>RANCHARIA</v>
          </cell>
          <cell r="E873" t="str">
            <v>SP</v>
          </cell>
          <cell r="I873" t="str">
            <v>Não Comprou</v>
          </cell>
        </row>
        <row r="874">
          <cell r="A874">
            <v>1053206000142</v>
          </cell>
          <cell r="B874" t="str">
            <v>DROGARIA BRASNORTE</v>
          </cell>
          <cell r="C874" t="str">
            <v>INDEPENDENTES VIN</v>
          </cell>
          <cell r="D874" t="str">
            <v>BRASNORTE</v>
          </cell>
          <cell r="E874" t="str">
            <v>MT</v>
          </cell>
          <cell r="I874" t="str">
            <v>Não Comprou</v>
          </cell>
        </row>
        <row r="875">
          <cell r="A875">
            <v>54288141000180</v>
          </cell>
          <cell r="B875" t="str">
            <v>DROGARIA BRASIL SUL</v>
          </cell>
          <cell r="C875" t="str">
            <v>INDEPENDENTES VIN</v>
          </cell>
          <cell r="D875" t="str">
            <v>CAMPO GRANDE</v>
          </cell>
          <cell r="E875" t="str">
            <v>MS</v>
          </cell>
          <cell r="I875" t="str">
            <v>Não Comprou</v>
          </cell>
        </row>
        <row r="876">
          <cell r="A876">
            <v>1323294000155</v>
          </cell>
          <cell r="B876" t="str">
            <v>DROGARIA BRASIL</v>
          </cell>
          <cell r="C876" t="str">
            <v>INDEPENDENTES VIN</v>
          </cell>
          <cell r="D876" t="str">
            <v>BARRA DO GARCAS</v>
          </cell>
          <cell r="E876" t="str">
            <v>MT</v>
          </cell>
          <cell r="I876" t="str">
            <v>Não Comprou</v>
          </cell>
        </row>
        <row r="877">
          <cell r="A877">
            <v>21784054000165</v>
          </cell>
          <cell r="B877" t="str">
            <v>DROGARIA BONFIM</v>
          </cell>
          <cell r="C877" t="str">
            <v>ASSOCIADAS</v>
          </cell>
          <cell r="D877" t="str">
            <v>CAMAPUA</v>
          </cell>
          <cell r="E877" t="str">
            <v>MS</v>
          </cell>
          <cell r="F877">
            <v>46311</v>
          </cell>
          <cell r="G877">
            <v>9171.39</v>
          </cell>
          <cell r="I877" t="str">
            <v>Comprou Marcas</v>
          </cell>
        </row>
        <row r="878">
          <cell r="A878">
            <v>18235089000130</v>
          </cell>
          <cell r="B878" t="str">
            <v>DROGARIA BOM PRECO</v>
          </cell>
          <cell r="C878" t="str">
            <v>ASSOCIADAS</v>
          </cell>
          <cell r="D878" t="str">
            <v>RIO VERDE DE MATO GROSSO</v>
          </cell>
          <cell r="E878" t="str">
            <v>MS</v>
          </cell>
          <cell r="F878">
            <v>46302</v>
          </cell>
          <cell r="G878">
            <v>1038.92</v>
          </cell>
          <cell r="H878">
            <v>216.96</v>
          </cell>
          <cell r="I878" t="str">
            <v>Comprou Marcas e SG</v>
          </cell>
        </row>
        <row r="879">
          <cell r="A879">
            <v>45665886000120</v>
          </cell>
          <cell r="B879" t="str">
            <v>DROGARIA BOM PRECO</v>
          </cell>
          <cell r="C879" t="str">
            <v>ASSOCIADAS</v>
          </cell>
          <cell r="D879" t="str">
            <v>ALTO GARCAS</v>
          </cell>
          <cell r="E879" t="str">
            <v>MT</v>
          </cell>
          <cell r="F879">
            <v>46302</v>
          </cell>
          <cell r="G879">
            <v>134.41999999999999</v>
          </cell>
          <cell r="I879" t="str">
            <v>Comprou Marcas</v>
          </cell>
        </row>
        <row r="880">
          <cell r="A880">
            <v>14913432000106</v>
          </cell>
          <cell r="B880" t="str">
            <v>DROGARIA BOM PASTOR</v>
          </cell>
          <cell r="C880" t="str">
            <v>MASTERFARMA</v>
          </cell>
          <cell r="D880" t="str">
            <v>JUINA</v>
          </cell>
          <cell r="E880" t="str">
            <v>MT</v>
          </cell>
          <cell r="F880">
            <v>46309</v>
          </cell>
          <cell r="G880">
            <v>858.42000000000007</v>
          </cell>
          <cell r="I880" t="str">
            <v>Comprou Marcas</v>
          </cell>
        </row>
        <row r="881">
          <cell r="A881">
            <v>1069181000175</v>
          </cell>
          <cell r="B881" t="str">
            <v>DROGARIA BOM JESUS</v>
          </cell>
          <cell r="C881" t="str">
            <v>INDEPENDENTES VIN</v>
          </cell>
          <cell r="D881" t="str">
            <v>PONTE BRANCA</v>
          </cell>
          <cell r="E881" t="str">
            <v>MT</v>
          </cell>
          <cell r="I881" t="str">
            <v>Não Comprou</v>
          </cell>
        </row>
        <row r="882">
          <cell r="A882">
            <v>7236140000102</v>
          </cell>
          <cell r="B882" t="str">
            <v>DROGARIA BIOFARMA</v>
          </cell>
          <cell r="C882" t="str">
            <v>FARMA &amp; FARMA</v>
          </cell>
          <cell r="D882" t="str">
            <v>MATUPA</v>
          </cell>
          <cell r="E882" t="str">
            <v>MT</v>
          </cell>
          <cell r="F882">
            <v>46310</v>
          </cell>
          <cell r="G882">
            <v>3608.0199999999991</v>
          </cell>
          <cell r="I882" t="str">
            <v>Comprou Marcas</v>
          </cell>
        </row>
        <row r="883">
          <cell r="A883">
            <v>7832402000100</v>
          </cell>
          <cell r="B883" t="str">
            <v>DROGARIA BIOFARMA</v>
          </cell>
          <cell r="C883" t="str">
            <v>REDE SMALLFARMA</v>
          </cell>
          <cell r="D883" t="str">
            <v>MARTINOPOLIS</v>
          </cell>
          <cell r="E883" t="str">
            <v>SP</v>
          </cell>
          <cell r="F883">
            <v>46309</v>
          </cell>
          <cell r="G883">
            <v>1212.5800000000002</v>
          </cell>
          <cell r="I883" t="str">
            <v>Comprou Marcas</v>
          </cell>
        </row>
        <row r="884">
          <cell r="A884">
            <v>10698745000120</v>
          </cell>
          <cell r="B884" t="str">
            <v>DROGARIA BIODROGAS</v>
          </cell>
          <cell r="C884" t="str">
            <v>INDEPENDENTES VIN</v>
          </cell>
          <cell r="D884" t="str">
            <v>PORTO ESPERIDIAO</v>
          </cell>
          <cell r="E884" t="str">
            <v>MT</v>
          </cell>
          <cell r="I884" t="str">
            <v>Não Comprou</v>
          </cell>
        </row>
        <row r="885">
          <cell r="A885">
            <v>42038804000120</v>
          </cell>
          <cell r="B885" t="str">
            <v>DROGARIA BIG MAIS</v>
          </cell>
          <cell r="C885" t="str">
            <v>MASTERFARMA</v>
          </cell>
          <cell r="D885" t="str">
            <v>VARZEA GRANDE</v>
          </cell>
          <cell r="E885" t="str">
            <v>MT</v>
          </cell>
          <cell r="I885" t="str">
            <v>Não Comprou</v>
          </cell>
        </row>
        <row r="886">
          <cell r="A886">
            <v>65937282000101</v>
          </cell>
          <cell r="B886" t="str">
            <v>DROGARIA BETEL</v>
          </cell>
          <cell r="C886" t="str">
            <v>INDEPENDENTES VIN</v>
          </cell>
          <cell r="D886" t="str">
            <v>VALPARAISO</v>
          </cell>
          <cell r="E886" t="str">
            <v>SP</v>
          </cell>
          <cell r="F886">
            <v>46310</v>
          </cell>
          <cell r="G886">
            <v>276.97000000000003</v>
          </cell>
          <cell r="I886" t="str">
            <v>Comprou Marcas</v>
          </cell>
        </row>
        <row r="887">
          <cell r="A887">
            <v>7217112000229</v>
          </cell>
          <cell r="B887" t="str">
            <v>DROGARIA BEM-ESTTAR</v>
          </cell>
          <cell r="C887" t="str">
            <v>INDEPENDENTES VIN</v>
          </cell>
          <cell r="D887" t="str">
            <v>DIAMANTINO</v>
          </cell>
          <cell r="E887" t="str">
            <v>MT</v>
          </cell>
          <cell r="I887" t="str">
            <v>Não Comprou</v>
          </cell>
        </row>
        <row r="888">
          <cell r="A888">
            <v>39350015000115</v>
          </cell>
          <cell r="B888" t="str">
            <v>DROGARIA BEM POPULAR BRASIL</v>
          </cell>
          <cell r="C888" t="str">
            <v>COMPRE BEM</v>
          </cell>
          <cell r="D888" t="str">
            <v>PONTES E LACERDA</v>
          </cell>
          <cell r="E888" t="str">
            <v>MT</v>
          </cell>
          <cell r="I888" t="str">
            <v>Não Comprou</v>
          </cell>
        </row>
        <row r="889">
          <cell r="A889">
            <v>51945744000110</v>
          </cell>
          <cell r="B889" t="str">
            <v>DROGARIA BEM POPULAR BRASIL</v>
          </cell>
          <cell r="C889" t="str">
            <v>COMPRE BEM</v>
          </cell>
          <cell r="D889" t="str">
            <v>CANARANA</v>
          </cell>
          <cell r="E889" t="str">
            <v>MT</v>
          </cell>
          <cell r="F889">
            <v>46303</v>
          </cell>
          <cell r="G889">
            <v>779.43000000000006</v>
          </cell>
          <cell r="I889" t="str">
            <v>Comprou Marcas</v>
          </cell>
        </row>
        <row r="890">
          <cell r="A890">
            <v>1335144000161</v>
          </cell>
          <cell r="B890" t="str">
            <v>DROGARIA BEM POPULAR</v>
          </cell>
          <cell r="C890" t="str">
            <v>INDEPENDENTES VIN</v>
          </cell>
          <cell r="D890" t="str">
            <v>ARENAPOLIS</v>
          </cell>
          <cell r="E890" t="str">
            <v>MT</v>
          </cell>
          <cell r="I890" t="str">
            <v>Não Comprou</v>
          </cell>
        </row>
        <row r="891">
          <cell r="A891">
            <v>52834325000173</v>
          </cell>
          <cell r="B891" t="str">
            <v>DROGARIA BEM MAIS POPULAR BRASIL</v>
          </cell>
          <cell r="C891" t="str">
            <v>COMPRE BEM</v>
          </cell>
          <cell r="D891" t="str">
            <v>AGUA BOA</v>
          </cell>
          <cell r="E891" t="str">
            <v>MT</v>
          </cell>
          <cell r="I891" t="str">
            <v>Não Comprou</v>
          </cell>
        </row>
        <row r="892">
          <cell r="A892">
            <v>43963049000152</v>
          </cell>
          <cell r="B892" t="str">
            <v>DROGARIA BEM MAIS POPULAR</v>
          </cell>
          <cell r="C892" t="str">
            <v>INDEPENDENTES VIN</v>
          </cell>
          <cell r="D892" t="str">
            <v>ANDRADINA</v>
          </cell>
          <cell r="E892" t="str">
            <v>SP</v>
          </cell>
          <cell r="I892" t="str">
            <v>Não Comprou</v>
          </cell>
        </row>
        <row r="893">
          <cell r="A893">
            <v>14775673000128</v>
          </cell>
          <cell r="B893" t="str">
            <v>DROGARIA BEM ESTAR</v>
          </cell>
          <cell r="C893" t="str">
            <v>MASTERFARMA</v>
          </cell>
          <cell r="D893" t="str">
            <v>GLORIA D'OESTE</v>
          </cell>
          <cell r="E893" t="str">
            <v>MT</v>
          </cell>
          <cell r="F893">
            <v>46304</v>
          </cell>
          <cell r="G893">
            <v>2235.6699999999996</v>
          </cell>
          <cell r="I893" t="str">
            <v>Comprou Marcas</v>
          </cell>
        </row>
        <row r="894">
          <cell r="A894">
            <v>35652065000104</v>
          </cell>
          <cell r="B894" t="str">
            <v>DROGARIA BEM ESTAR</v>
          </cell>
          <cell r="C894" t="str">
            <v>INDEPENDENTES VIN</v>
          </cell>
          <cell r="D894" t="str">
            <v>PONTAL DO ARAGUAIA</v>
          </cell>
          <cell r="E894" t="str">
            <v>MT</v>
          </cell>
          <cell r="I894" t="str">
            <v>Não Comprou</v>
          </cell>
        </row>
        <row r="895">
          <cell r="A895">
            <v>33156596000172</v>
          </cell>
          <cell r="B895" t="str">
            <v>DROGARIA BEM ESTAR</v>
          </cell>
          <cell r="C895" t="str">
            <v>INDEPENDENTES VIN</v>
          </cell>
          <cell r="D895" t="str">
            <v>APARECIDA DO TABOADO</v>
          </cell>
          <cell r="E895" t="str">
            <v>MS</v>
          </cell>
          <cell r="I895" t="str">
            <v>Não Comprou</v>
          </cell>
        </row>
        <row r="896">
          <cell r="A896">
            <v>10816100000144</v>
          </cell>
          <cell r="B896" t="str">
            <v>DROGARIA BELLA FARMA</v>
          </cell>
          <cell r="C896" t="str">
            <v>FARMARCAS</v>
          </cell>
          <cell r="D896" t="str">
            <v>MIRANDA</v>
          </cell>
          <cell r="E896" t="str">
            <v>MS</v>
          </cell>
          <cell r="I896" t="str">
            <v>Não Comprou</v>
          </cell>
        </row>
        <row r="897">
          <cell r="A897">
            <v>16022063000189</v>
          </cell>
          <cell r="B897" t="str">
            <v>DROGARIA BELA VISTA</v>
          </cell>
          <cell r="C897" t="str">
            <v>INDEPENDENTES VIN</v>
          </cell>
          <cell r="D897" t="str">
            <v>DOURADOS</v>
          </cell>
          <cell r="E897" t="str">
            <v>MS</v>
          </cell>
          <cell r="F897">
            <v>46310</v>
          </cell>
          <cell r="G897">
            <v>357.24</v>
          </cell>
          <cell r="I897" t="str">
            <v>Comprou Marcas</v>
          </cell>
        </row>
        <row r="898">
          <cell r="A898">
            <v>55284053000173</v>
          </cell>
          <cell r="B898" t="str">
            <v>DROGARIA BARAO</v>
          </cell>
          <cell r="C898" t="str">
            <v>INDEPENDENTES VIN</v>
          </cell>
          <cell r="D898" t="str">
            <v>RANCHARIA</v>
          </cell>
          <cell r="E898" t="str">
            <v>SP</v>
          </cell>
          <cell r="F898">
            <v>46304</v>
          </cell>
          <cell r="G898">
            <v>3836.3999999999992</v>
          </cell>
          <cell r="I898" t="str">
            <v>Comprou Marcas</v>
          </cell>
        </row>
        <row r="899">
          <cell r="A899">
            <v>8705108000191</v>
          </cell>
          <cell r="B899" t="str">
            <v>DROGARIA BARAO</v>
          </cell>
          <cell r="C899" t="str">
            <v>MULTIDROGAS</v>
          </cell>
          <cell r="D899" t="str">
            <v>BRAUNA</v>
          </cell>
          <cell r="E899" t="str">
            <v>SP</v>
          </cell>
          <cell r="F899">
            <v>46311</v>
          </cell>
          <cell r="G899">
            <v>5915.1100000000024</v>
          </cell>
          <cell r="I899" t="str">
            <v>Comprou Marcas</v>
          </cell>
        </row>
        <row r="900">
          <cell r="A900">
            <v>27899501000108</v>
          </cell>
          <cell r="B900" t="str">
            <v>DROGARIA AVIACAO</v>
          </cell>
          <cell r="C900" t="str">
            <v>INDEPENDENTES VIN</v>
          </cell>
          <cell r="D900" t="str">
            <v>PONTE BRANCA</v>
          </cell>
          <cell r="E900" t="str">
            <v>MT</v>
          </cell>
          <cell r="I900" t="str">
            <v>Não Comprou</v>
          </cell>
        </row>
        <row r="901">
          <cell r="A901">
            <v>36883544000196</v>
          </cell>
          <cell r="B901" t="str">
            <v>DROGARIA AVENIDA LTDA</v>
          </cell>
          <cell r="C901" t="str">
            <v>INDEPENDENTES VIN</v>
          </cell>
          <cell r="D901" t="str">
            <v>COMODORO</v>
          </cell>
          <cell r="E901" t="str">
            <v>MT</v>
          </cell>
          <cell r="I901" t="str">
            <v>Não Comprou</v>
          </cell>
        </row>
        <row r="902">
          <cell r="A902">
            <v>1756694000154</v>
          </cell>
          <cell r="B902" t="str">
            <v>DROGARIA AVENIDA</v>
          </cell>
          <cell r="C902" t="str">
            <v>HIPER SAUDE</v>
          </cell>
          <cell r="D902" t="str">
            <v>CAARAPO</v>
          </cell>
          <cell r="E902" t="str">
            <v>MS</v>
          </cell>
          <cell r="I902" t="str">
            <v>Não Comprou</v>
          </cell>
        </row>
        <row r="903">
          <cell r="A903">
            <v>4837150000105</v>
          </cell>
          <cell r="B903" t="str">
            <v>DROGARIA AVENIDA</v>
          </cell>
          <cell r="C903" t="str">
            <v>MASTERFARMA</v>
          </cell>
          <cell r="D903" t="str">
            <v>TANGARA DA SERRA</v>
          </cell>
          <cell r="E903" t="str">
            <v>MT</v>
          </cell>
          <cell r="F903">
            <v>46303</v>
          </cell>
          <cell r="G903">
            <v>1025.9099999999999</v>
          </cell>
          <cell r="I903" t="str">
            <v>Comprou Marcas</v>
          </cell>
        </row>
        <row r="904">
          <cell r="A904">
            <v>9137352000168</v>
          </cell>
          <cell r="B904" t="str">
            <v>DROGARIA AVENIDA</v>
          </cell>
          <cell r="C904" t="str">
            <v>INDEPENDENTES VIN</v>
          </cell>
          <cell r="D904" t="str">
            <v>ARAGARCAS</v>
          </cell>
          <cell r="E904" t="str">
            <v>GO</v>
          </cell>
          <cell r="I904" t="str">
            <v>Não Comprou</v>
          </cell>
        </row>
        <row r="905">
          <cell r="A905">
            <v>12625289000113</v>
          </cell>
          <cell r="B905" t="str">
            <v>DROGARIA ATIVA SAUDE</v>
          </cell>
          <cell r="C905" t="str">
            <v>ECONOMIZE RONDONOPOLIS</v>
          </cell>
          <cell r="D905" t="str">
            <v>CAMPO GRANDE</v>
          </cell>
          <cell r="E905" t="str">
            <v>MS</v>
          </cell>
          <cell r="I905" t="str">
            <v>Não Comprou</v>
          </cell>
        </row>
        <row r="906">
          <cell r="A906">
            <v>11453021000189</v>
          </cell>
          <cell r="B906" t="str">
            <v>DROGARIA ATIVA</v>
          </cell>
          <cell r="C906" t="str">
            <v>INDEPENDENTES VIN</v>
          </cell>
          <cell r="D906" t="str">
            <v>BARRA DO GARCAS</v>
          </cell>
          <cell r="E906" t="str">
            <v>MT</v>
          </cell>
          <cell r="I906" t="str">
            <v>Não Comprou</v>
          </cell>
        </row>
        <row r="907">
          <cell r="A907">
            <v>19825473000156</v>
          </cell>
          <cell r="B907" t="str">
            <v>DROGARIA ARARAS</v>
          </cell>
          <cell r="C907" t="str">
            <v>HIPER SAUDE</v>
          </cell>
          <cell r="D907" t="str">
            <v>NOVA MUTUM</v>
          </cell>
          <cell r="E907" t="str">
            <v>MT</v>
          </cell>
          <cell r="F907">
            <v>46308</v>
          </cell>
          <cell r="G907">
            <v>338.21000000000004</v>
          </cell>
          <cell r="I907" t="str">
            <v>Comprou Marcas</v>
          </cell>
        </row>
        <row r="908">
          <cell r="A908">
            <v>19825473000237</v>
          </cell>
          <cell r="B908" t="str">
            <v>DROGARIA ARARAS</v>
          </cell>
          <cell r="C908" t="str">
            <v>HIPER SAUDE</v>
          </cell>
          <cell r="D908" t="str">
            <v>NOVA MUTUM</v>
          </cell>
          <cell r="E908" t="str">
            <v>MT</v>
          </cell>
          <cell r="F908">
            <v>46311</v>
          </cell>
          <cell r="G908">
            <v>174.54000000000002</v>
          </cell>
          <cell r="I908" t="str">
            <v>Comprou Marcas</v>
          </cell>
        </row>
        <row r="909">
          <cell r="A909">
            <v>17967556000154</v>
          </cell>
          <cell r="B909" t="str">
            <v>DROGARIA AQUIDAUANA</v>
          </cell>
          <cell r="C909" t="str">
            <v>ASSOCIADAS</v>
          </cell>
          <cell r="D909" t="str">
            <v>AQUIDAUANA</v>
          </cell>
          <cell r="E909" t="str">
            <v>MS</v>
          </cell>
          <cell r="F909">
            <v>46310</v>
          </cell>
          <cell r="G909">
            <v>32396.489999999991</v>
          </cell>
          <cell r="I909" t="str">
            <v>Comprou Marcas</v>
          </cell>
        </row>
        <row r="910">
          <cell r="A910">
            <v>35976688000124</v>
          </cell>
          <cell r="B910" t="str">
            <v>DROGARIA AMERICAURILIA</v>
          </cell>
          <cell r="C910" t="str">
            <v>INDEPENDENTES VIN</v>
          </cell>
          <cell r="D910" t="str">
            <v>VARZEA GRANDE</v>
          </cell>
          <cell r="E910" t="str">
            <v>MT</v>
          </cell>
          <cell r="F910">
            <v>46310</v>
          </cell>
          <cell r="G910">
            <v>137.85</v>
          </cell>
          <cell r="I910" t="str">
            <v>Comprou Marcas</v>
          </cell>
        </row>
        <row r="911">
          <cell r="A911">
            <v>2462665000142</v>
          </cell>
          <cell r="B911" t="str">
            <v>DROGARIA AMERICANA</v>
          </cell>
          <cell r="C911" t="str">
            <v>INDEPENDENTES VIN</v>
          </cell>
          <cell r="D911" t="str">
            <v>COXIM</v>
          </cell>
          <cell r="E911" t="str">
            <v>MS</v>
          </cell>
          <cell r="F911">
            <v>46304</v>
          </cell>
          <cell r="H911">
            <v>3105.44</v>
          </cell>
          <cell r="I911" t="str">
            <v>Comprou SG</v>
          </cell>
        </row>
        <row r="912">
          <cell r="A912">
            <v>11119143000133</v>
          </cell>
          <cell r="B912" t="str">
            <v>DROGARIA AMERICA</v>
          </cell>
          <cell r="C912" t="str">
            <v>INDEPENDENTES VIN</v>
          </cell>
          <cell r="D912" t="str">
            <v>MIRASSOL D'OESTE</v>
          </cell>
          <cell r="E912" t="str">
            <v>MT</v>
          </cell>
          <cell r="I912" t="str">
            <v>Não Comprou</v>
          </cell>
        </row>
        <row r="913">
          <cell r="A913">
            <v>29601304000196</v>
          </cell>
          <cell r="B913" t="str">
            <v>DROGARIA ALVORADA</v>
          </cell>
          <cell r="C913" t="str">
            <v>ASSOCIADAS</v>
          </cell>
          <cell r="D913" t="str">
            <v>NOVA ALVORADA DO SUL</v>
          </cell>
          <cell r="E913" t="str">
            <v>MS</v>
          </cell>
          <cell r="F913">
            <v>46309</v>
          </cell>
          <cell r="G913">
            <v>4708.4100000000008</v>
          </cell>
          <cell r="I913" t="str">
            <v>Comprou Marcas</v>
          </cell>
        </row>
        <row r="914">
          <cell r="A914">
            <v>40584253000174</v>
          </cell>
          <cell r="B914" t="str">
            <v>DROGARIA ALVORADA</v>
          </cell>
          <cell r="C914" t="str">
            <v>INDEPENDENTES VIN</v>
          </cell>
          <cell r="D914" t="str">
            <v>SAO GABRIEL DO OESTE</v>
          </cell>
          <cell r="E914" t="str">
            <v>MS</v>
          </cell>
          <cell r="I914" t="str">
            <v>Não Comprou</v>
          </cell>
        </row>
        <row r="915">
          <cell r="A915">
            <v>6350948000153</v>
          </cell>
          <cell r="B915" t="str">
            <v>DROGARIA ACAO</v>
          </cell>
          <cell r="C915" t="str">
            <v>FARMARCAS</v>
          </cell>
          <cell r="D915" t="str">
            <v>ALTO ARAGUAIA</v>
          </cell>
          <cell r="E915" t="str">
            <v>MT</v>
          </cell>
          <cell r="I915" t="str">
            <v>Não Comprou</v>
          </cell>
        </row>
        <row r="916">
          <cell r="A916">
            <v>30960236000130</v>
          </cell>
          <cell r="B916" t="str">
            <v>DROGARIA A MAIS POPULAR</v>
          </cell>
          <cell r="C916" t="str">
            <v>INDEPENDENTES VIN</v>
          </cell>
          <cell r="D916" t="str">
            <v>SETE QUEDAS</v>
          </cell>
          <cell r="E916" t="str">
            <v>MS</v>
          </cell>
          <cell r="I916" t="str">
            <v>Não Comprou</v>
          </cell>
        </row>
        <row r="917">
          <cell r="A917">
            <v>37447212000121</v>
          </cell>
          <cell r="B917" t="str">
            <v>DROGARIA A</v>
          </cell>
          <cell r="C917" t="str">
            <v>INDEPENDENTES VIN</v>
          </cell>
          <cell r="D917" t="str">
            <v>TORIXOREU</v>
          </cell>
          <cell r="E917" t="str">
            <v>MT</v>
          </cell>
          <cell r="I917" t="str">
            <v>Não Comprou</v>
          </cell>
        </row>
        <row r="918">
          <cell r="A918">
            <v>10732561000139</v>
          </cell>
          <cell r="B918" t="str">
            <v>DROGARIA + SINOP</v>
          </cell>
          <cell r="C918" t="str">
            <v>ASSOCIADAS</v>
          </cell>
          <cell r="D918" t="str">
            <v>SINOP</v>
          </cell>
          <cell r="E918" t="str">
            <v>MT</v>
          </cell>
          <cell r="F918">
            <v>46311</v>
          </cell>
          <cell r="G918">
            <v>2610.3500000000008</v>
          </cell>
          <cell r="I918" t="str">
            <v>Comprou Marcas</v>
          </cell>
        </row>
        <row r="919">
          <cell r="A919">
            <v>32266459000128</v>
          </cell>
          <cell r="B919" t="str">
            <v>DROGARIA + ECONOMICA</v>
          </cell>
          <cell r="C919" t="str">
            <v>INDEPENDENTES VIN</v>
          </cell>
          <cell r="D919" t="str">
            <v>CORUMBA</v>
          </cell>
          <cell r="E919" t="str">
            <v>MS</v>
          </cell>
          <cell r="F919">
            <v>46311</v>
          </cell>
          <cell r="G919">
            <v>3799.7000000000007</v>
          </cell>
          <cell r="H919">
            <v>10616.120000000003</v>
          </cell>
          <cell r="I919" t="str">
            <v>Comprou Marcas e SG</v>
          </cell>
        </row>
        <row r="920">
          <cell r="A920">
            <v>3328971000153</v>
          </cell>
          <cell r="B920" t="str">
            <v>DROGARELLI</v>
          </cell>
          <cell r="C920" t="str">
            <v>MULTIDROGAS</v>
          </cell>
          <cell r="D920" t="str">
            <v>NOVA GUATAPORANGA</v>
          </cell>
          <cell r="E920" t="str">
            <v>SP</v>
          </cell>
          <cell r="F920">
            <v>46311</v>
          </cell>
          <cell r="G920">
            <v>1191.02</v>
          </cell>
          <cell r="I920" t="str">
            <v>Comprou Marcas</v>
          </cell>
        </row>
        <row r="921">
          <cell r="A921">
            <v>20787984000100</v>
          </cell>
          <cell r="B921" t="str">
            <v>DROGAPLUS POPULAR</v>
          </cell>
          <cell r="C921" t="str">
            <v>DROGASHOP</v>
          </cell>
          <cell r="D921" t="str">
            <v>TANGARA DA SERRA</v>
          </cell>
          <cell r="E921" t="str">
            <v>MT</v>
          </cell>
          <cell r="F921">
            <v>46311</v>
          </cell>
          <cell r="G921">
            <v>2258.1600000000003</v>
          </cell>
          <cell r="I921" t="str">
            <v>Comprou Marcas</v>
          </cell>
        </row>
        <row r="922">
          <cell r="A922">
            <v>20787984000290</v>
          </cell>
          <cell r="B922" t="str">
            <v>DROGAPLUS POPULAR</v>
          </cell>
          <cell r="C922" t="str">
            <v>DROGASHOP</v>
          </cell>
          <cell r="D922" t="str">
            <v>TANGARA DA SERRA</v>
          </cell>
          <cell r="E922" t="str">
            <v>MT</v>
          </cell>
          <cell r="F922">
            <v>46311</v>
          </cell>
          <cell r="G922">
            <v>1975.2700000000007</v>
          </cell>
          <cell r="I922" t="str">
            <v>Comprou Marcas</v>
          </cell>
        </row>
        <row r="923">
          <cell r="A923">
            <v>20787984000614</v>
          </cell>
          <cell r="B923" t="str">
            <v>DROGAPLUS POPULAR</v>
          </cell>
          <cell r="C923" t="str">
            <v>DROGASHOP</v>
          </cell>
          <cell r="D923" t="str">
            <v>TANGARA DA SERRA</v>
          </cell>
          <cell r="E923" t="str">
            <v>MT</v>
          </cell>
          <cell r="F923">
            <v>46311</v>
          </cell>
          <cell r="G923">
            <v>2887.93</v>
          </cell>
          <cell r="I923" t="str">
            <v>Comprou Marcas</v>
          </cell>
        </row>
        <row r="924">
          <cell r="A924">
            <v>20787984000703</v>
          </cell>
          <cell r="B924" t="str">
            <v>DROGAPLUS POPULAR</v>
          </cell>
          <cell r="C924" t="str">
            <v>DROGASHOP</v>
          </cell>
          <cell r="D924" t="str">
            <v>TANGARA DA SERRA</v>
          </cell>
          <cell r="E924" t="str">
            <v>MT</v>
          </cell>
          <cell r="F924">
            <v>46311</v>
          </cell>
          <cell r="G924">
            <v>1091.33</v>
          </cell>
          <cell r="I924" t="str">
            <v>Comprou Marcas</v>
          </cell>
        </row>
        <row r="925">
          <cell r="A925">
            <v>20787984000886</v>
          </cell>
          <cell r="B925" t="str">
            <v>DROGAPLUS POPULAR</v>
          </cell>
          <cell r="C925" t="str">
            <v>DROGASHOP</v>
          </cell>
          <cell r="D925" t="str">
            <v>CAMPO NOVO DO PARECIS</v>
          </cell>
          <cell r="E925" t="str">
            <v>MT</v>
          </cell>
          <cell r="F925">
            <v>46311</v>
          </cell>
          <cell r="G925">
            <v>1401.8300000000002</v>
          </cell>
          <cell r="I925" t="str">
            <v>Comprou Marcas</v>
          </cell>
        </row>
        <row r="926">
          <cell r="A926">
            <v>20787984000967</v>
          </cell>
          <cell r="B926" t="str">
            <v>DROGAPLUS POPULAR</v>
          </cell>
          <cell r="C926" t="str">
            <v>DROGASHOP</v>
          </cell>
          <cell r="D926" t="str">
            <v>CAMPO NOVO DO PARECIS</v>
          </cell>
          <cell r="E926" t="str">
            <v>MT</v>
          </cell>
          <cell r="F926">
            <v>46311</v>
          </cell>
          <cell r="G926">
            <v>1178.7799999999997</v>
          </cell>
          <cell r="I926" t="str">
            <v>Comprou Marcas</v>
          </cell>
        </row>
        <row r="927">
          <cell r="A927">
            <v>53889242000144</v>
          </cell>
          <cell r="B927" t="str">
            <v>DROGAPLIS</v>
          </cell>
          <cell r="C927" t="str">
            <v>DROGARIA TOTAL</v>
          </cell>
          <cell r="D927" t="str">
            <v>PENAPOLIS</v>
          </cell>
          <cell r="E927" t="str">
            <v>SP</v>
          </cell>
          <cell r="I927" t="str">
            <v>Não Comprou</v>
          </cell>
        </row>
        <row r="928">
          <cell r="A928">
            <v>1394350000142</v>
          </cell>
          <cell r="B928" t="str">
            <v>DROGAO POPULAR</v>
          </cell>
          <cell r="C928" t="str">
            <v>ASSOCIADAS</v>
          </cell>
          <cell r="D928" t="str">
            <v>MARACAJU</v>
          </cell>
          <cell r="E928" t="str">
            <v>MS</v>
          </cell>
          <cell r="F928">
            <v>46310</v>
          </cell>
          <cell r="G928">
            <v>4517.8200000000015</v>
          </cell>
          <cell r="I928" t="str">
            <v>Comprou Marcas</v>
          </cell>
        </row>
        <row r="929">
          <cell r="A929">
            <v>27785214000339</v>
          </cell>
          <cell r="B929" t="str">
            <v>DROGAO POPULAR</v>
          </cell>
          <cell r="C929" t="str">
            <v>ASSOCIADAS</v>
          </cell>
          <cell r="D929" t="str">
            <v>PONTA PORA</v>
          </cell>
          <cell r="E929" t="str">
            <v>MS</v>
          </cell>
          <cell r="F929">
            <v>46310</v>
          </cell>
          <cell r="G929">
            <v>6625.4000000000005</v>
          </cell>
          <cell r="I929" t="str">
            <v>Comprou Marcas</v>
          </cell>
        </row>
        <row r="930">
          <cell r="A930">
            <v>27785214000410</v>
          </cell>
          <cell r="B930" t="str">
            <v>DROGAO POPULAR</v>
          </cell>
          <cell r="C930" t="str">
            <v>ASSOCIADAS</v>
          </cell>
          <cell r="D930" t="str">
            <v>MARACAJU</v>
          </cell>
          <cell r="E930" t="str">
            <v>MS</v>
          </cell>
          <cell r="F930">
            <v>46310</v>
          </cell>
          <cell r="G930">
            <v>9026.4199999999983</v>
          </cell>
          <cell r="I930" t="str">
            <v>Comprou Marcas</v>
          </cell>
        </row>
        <row r="931">
          <cell r="A931">
            <v>29974778000183</v>
          </cell>
          <cell r="B931" t="str">
            <v>DROGAO POPULAR</v>
          </cell>
          <cell r="C931" t="str">
            <v>ASSOCIADAS</v>
          </cell>
          <cell r="D931" t="str">
            <v>CANARANA</v>
          </cell>
          <cell r="E931" t="str">
            <v>MT</v>
          </cell>
          <cell r="F931">
            <v>46311</v>
          </cell>
          <cell r="G931">
            <v>5238.12</v>
          </cell>
          <cell r="I931" t="str">
            <v>Comprou Marcas</v>
          </cell>
        </row>
        <row r="932">
          <cell r="A932">
            <v>37836714000144</v>
          </cell>
          <cell r="B932" t="str">
            <v>DROGAO POPULAR</v>
          </cell>
          <cell r="C932" t="str">
            <v>INDEPENDENTES VIN</v>
          </cell>
          <cell r="D932" t="str">
            <v>TUPI PAULISTA</v>
          </cell>
          <cell r="E932" t="str">
            <v>SP</v>
          </cell>
          <cell r="I932" t="str">
            <v>Não Comprou</v>
          </cell>
        </row>
        <row r="933">
          <cell r="A933">
            <v>5123132000124</v>
          </cell>
          <cell r="B933" t="str">
            <v>DROGAO + INTERIOR</v>
          </cell>
          <cell r="C933" t="str">
            <v>DSG FARMA</v>
          </cell>
          <cell r="D933" t="str">
            <v>VALPARAISO</v>
          </cell>
          <cell r="E933" t="str">
            <v>SP</v>
          </cell>
          <cell r="F933">
            <v>46311</v>
          </cell>
          <cell r="G933">
            <v>1819.5500000000004</v>
          </cell>
          <cell r="I933" t="str">
            <v>Comprou Marcas</v>
          </cell>
        </row>
        <row r="934">
          <cell r="A934">
            <v>15722053000193</v>
          </cell>
          <cell r="B934" t="str">
            <v>DROGAMIX</v>
          </cell>
          <cell r="C934" t="str">
            <v>ASSOCIADAS</v>
          </cell>
          <cell r="D934" t="str">
            <v>DOURADOS</v>
          </cell>
          <cell r="E934" t="str">
            <v>MS</v>
          </cell>
          <cell r="F934">
            <v>46311</v>
          </cell>
          <cell r="G934">
            <v>1658.6599999999999</v>
          </cell>
          <cell r="I934" t="str">
            <v>Comprou Marcas</v>
          </cell>
        </row>
        <row r="935">
          <cell r="A935">
            <v>7688383000181</v>
          </cell>
          <cell r="B935" t="str">
            <v>DROGAMIL</v>
          </cell>
          <cell r="C935" t="str">
            <v>DSG FARMA</v>
          </cell>
          <cell r="D935" t="str">
            <v>RONDONOPOLIS</v>
          </cell>
          <cell r="E935" t="str">
            <v>MT</v>
          </cell>
          <cell r="F935">
            <v>46304</v>
          </cell>
          <cell r="G935">
            <v>3002.45</v>
          </cell>
          <cell r="I935" t="str">
            <v>Comprou Marcas</v>
          </cell>
        </row>
        <row r="936">
          <cell r="A936">
            <v>32062591000118</v>
          </cell>
          <cell r="B936" t="str">
            <v>DROGAMED POPULAR</v>
          </cell>
          <cell r="C936" t="str">
            <v>INDEPENDENTES VIN</v>
          </cell>
          <cell r="D936" t="str">
            <v>COXIM</v>
          </cell>
          <cell r="E936" t="str">
            <v>MS</v>
          </cell>
          <cell r="I936" t="str">
            <v>Não Comprou</v>
          </cell>
        </row>
        <row r="937">
          <cell r="A937">
            <v>18096092000110</v>
          </cell>
          <cell r="B937" t="str">
            <v>DROGAMED</v>
          </cell>
          <cell r="C937" t="str">
            <v>ASSOCIADAS</v>
          </cell>
          <cell r="D937" t="str">
            <v>SAO GABRIEL DO OESTE</v>
          </cell>
          <cell r="E937" t="str">
            <v>MS</v>
          </cell>
          <cell r="F937">
            <v>46303</v>
          </cell>
          <cell r="G937">
            <v>4024.4900000000016</v>
          </cell>
          <cell r="I937" t="str">
            <v>Comprou Marcas</v>
          </cell>
        </row>
        <row r="938">
          <cell r="A938">
            <v>4965294000147</v>
          </cell>
          <cell r="B938" t="str">
            <v>DROGAMED</v>
          </cell>
          <cell r="C938" t="str">
            <v>ASSOCIADAS</v>
          </cell>
          <cell r="D938" t="str">
            <v>PARAISO DAS AGUAS</v>
          </cell>
          <cell r="E938" t="str">
            <v>MS</v>
          </cell>
          <cell r="F938">
            <v>46304</v>
          </cell>
          <cell r="G938">
            <v>1750.56</v>
          </cell>
          <cell r="I938" t="str">
            <v>Comprou Marcas</v>
          </cell>
        </row>
        <row r="939">
          <cell r="A939">
            <v>53257815000117</v>
          </cell>
          <cell r="B939" t="str">
            <v>DROGAMAQ</v>
          </cell>
          <cell r="C939" t="str">
            <v>INDEPENDENTES VIN</v>
          </cell>
          <cell r="D939" t="str">
            <v>CASTILHO</v>
          </cell>
          <cell r="E939" t="str">
            <v>SP</v>
          </cell>
          <cell r="I939" t="str">
            <v>Não Comprou</v>
          </cell>
        </row>
        <row r="940">
          <cell r="A940">
            <v>14699069000160</v>
          </cell>
          <cell r="B940" t="str">
            <v>DROGALIN</v>
          </cell>
          <cell r="C940" t="str">
            <v>INDEPENDENTES VIN</v>
          </cell>
          <cell r="D940" t="str">
            <v>JUNQUEIROPOLIS</v>
          </cell>
          <cell r="E940" t="str">
            <v>SP</v>
          </cell>
          <cell r="F940">
            <v>46310</v>
          </cell>
          <cell r="G940">
            <v>1076.4399999999998</v>
          </cell>
          <cell r="I940" t="str">
            <v>Comprou Marcas</v>
          </cell>
        </row>
        <row r="941">
          <cell r="A941">
            <v>5328012000163</v>
          </cell>
          <cell r="B941" t="str">
            <v>DROGALAR</v>
          </cell>
          <cell r="C941" t="str">
            <v>MASTERFARMA</v>
          </cell>
          <cell r="D941" t="str">
            <v>TANGARA DA SERRA</v>
          </cell>
          <cell r="E941" t="str">
            <v>MT</v>
          </cell>
          <cell r="F941">
            <v>46308</v>
          </cell>
          <cell r="G941">
            <v>3320.54</v>
          </cell>
          <cell r="I941" t="str">
            <v>Comprou Marcas</v>
          </cell>
        </row>
        <row r="942">
          <cell r="A942">
            <v>5006001000167</v>
          </cell>
          <cell r="B942" t="str">
            <v>DROGALAR</v>
          </cell>
          <cell r="C942" t="str">
            <v>INDEPENDENTES VIN</v>
          </cell>
          <cell r="D942" t="str">
            <v>CANARANA</v>
          </cell>
          <cell r="E942" t="str">
            <v>MT</v>
          </cell>
          <cell r="I942" t="str">
            <v>Não Comprou</v>
          </cell>
        </row>
        <row r="943">
          <cell r="A943">
            <v>1189590000105</v>
          </cell>
          <cell r="B943" t="str">
            <v>DROGALAB</v>
          </cell>
          <cell r="C943" t="str">
            <v>INDEPENDENTES VIN</v>
          </cell>
          <cell r="D943" t="str">
            <v>CAMPO GRANDE</v>
          </cell>
          <cell r="E943" t="str">
            <v>MS</v>
          </cell>
          <cell r="F943">
            <v>46309</v>
          </cell>
          <cell r="G943">
            <v>2034.6100000000001</v>
          </cell>
          <cell r="I943" t="str">
            <v>Comprou Marcas</v>
          </cell>
        </row>
        <row r="944">
          <cell r="A944">
            <v>11058284000193</v>
          </cell>
          <cell r="B944" t="str">
            <v>DROGAFIC</v>
          </cell>
          <cell r="C944" t="str">
            <v>INDEPENDENTES VIN</v>
          </cell>
          <cell r="D944" t="str">
            <v>CAMPO GRANDE</v>
          </cell>
          <cell r="E944" t="str">
            <v>MS</v>
          </cell>
          <cell r="I944" t="str">
            <v>Não Comprou</v>
          </cell>
        </row>
        <row r="945">
          <cell r="A945">
            <v>10601751000117</v>
          </cell>
          <cell r="B945" t="str">
            <v>DROGAFARMA</v>
          </cell>
          <cell r="C945" t="str">
            <v>MASTERFARMA</v>
          </cell>
          <cell r="D945" t="str">
            <v>BARRA DO GARCAS</v>
          </cell>
          <cell r="E945" t="str">
            <v>MT</v>
          </cell>
          <cell r="F945">
            <v>46310</v>
          </cell>
          <cell r="G945">
            <v>1130.08</v>
          </cell>
          <cell r="I945" t="str">
            <v>Comprou Marcas</v>
          </cell>
        </row>
        <row r="946">
          <cell r="A946">
            <v>9112212000216</v>
          </cell>
          <cell r="B946" t="str">
            <v>DROGACERTA</v>
          </cell>
          <cell r="C946" t="str">
            <v>ASSOCIADAS</v>
          </cell>
          <cell r="D946" t="str">
            <v>BARRA DO GARCAS</v>
          </cell>
          <cell r="E946" t="str">
            <v>MT</v>
          </cell>
          <cell r="I946" t="str">
            <v>Não Comprou</v>
          </cell>
        </row>
        <row r="947">
          <cell r="A947">
            <v>47216701000126</v>
          </cell>
          <cell r="B947" t="str">
            <v>DROGACERTA</v>
          </cell>
          <cell r="C947" t="str">
            <v>ASSOCIADAS</v>
          </cell>
          <cell r="D947" t="str">
            <v>BARRA DO GARCAS</v>
          </cell>
          <cell r="E947" t="str">
            <v>MT</v>
          </cell>
          <cell r="I947" t="str">
            <v>Não Comprou</v>
          </cell>
        </row>
        <row r="948">
          <cell r="A948">
            <v>60511756000127</v>
          </cell>
          <cell r="B948" t="str">
            <v>DROGACENTER RIBEIRO</v>
          </cell>
          <cell r="C948" t="str">
            <v>DROGARIA TOTAL</v>
          </cell>
          <cell r="D948" t="str">
            <v>CASTILHO</v>
          </cell>
          <cell r="E948" t="str">
            <v>SP</v>
          </cell>
          <cell r="I948" t="str">
            <v>Não Comprou</v>
          </cell>
        </row>
        <row r="949">
          <cell r="A949">
            <v>19955526000153</v>
          </cell>
          <cell r="B949" t="str">
            <v>DROGACENTER</v>
          </cell>
          <cell r="C949" t="str">
            <v>INDEPENDENTES VIN</v>
          </cell>
          <cell r="D949" t="str">
            <v>BARRA DO GARCAS</v>
          </cell>
          <cell r="E949" t="str">
            <v>MT</v>
          </cell>
          <cell r="I949" t="str">
            <v>Não Comprou</v>
          </cell>
        </row>
        <row r="950">
          <cell r="A950">
            <v>37489689000170</v>
          </cell>
          <cell r="B950" t="str">
            <v>DROGACENTER</v>
          </cell>
          <cell r="C950" t="str">
            <v>ASSOCIADAS</v>
          </cell>
          <cell r="D950" t="str">
            <v>CANARANA</v>
          </cell>
          <cell r="E950" t="str">
            <v>MT</v>
          </cell>
          <cell r="I950" t="str">
            <v>Não Comprou</v>
          </cell>
        </row>
        <row r="951">
          <cell r="A951">
            <v>2553791000102</v>
          </cell>
          <cell r="B951" t="str">
            <v>DROGACAN</v>
          </cell>
          <cell r="C951" t="str">
            <v>INDEPENDENTES VIN</v>
          </cell>
          <cell r="D951" t="str">
            <v>CANARANA</v>
          </cell>
          <cell r="E951" t="str">
            <v>MT</v>
          </cell>
          <cell r="I951" t="str">
            <v>Não Comprou</v>
          </cell>
        </row>
        <row r="952">
          <cell r="A952">
            <v>62510454000160</v>
          </cell>
          <cell r="B952" t="str">
            <v>DROGABEL</v>
          </cell>
          <cell r="C952" t="str">
            <v>INDEPENDENTES VIN</v>
          </cell>
          <cell r="D952" t="str">
            <v>CANARANA</v>
          </cell>
          <cell r="E952" t="str">
            <v>MT</v>
          </cell>
          <cell r="I952" t="str">
            <v>Não Comprou</v>
          </cell>
        </row>
        <row r="953">
          <cell r="A953">
            <v>9146590000130</v>
          </cell>
          <cell r="B953" t="str">
            <v>DROGA VIVA</v>
          </cell>
          <cell r="C953" t="str">
            <v>ECONOMIZE RONDONOPOLIS</v>
          </cell>
          <cell r="D953" t="str">
            <v>CUIABA</v>
          </cell>
          <cell r="E953" t="str">
            <v>MT</v>
          </cell>
          <cell r="F953">
            <v>46303</v>
          </cell>
          <cell r="G953">
            <v>137.85</v>
          </cell>
          <cell r="I953" t="str">
            <v>Comprou Marcas</v>
          </cell>
        </row>
        <row r="954">
          <cell r="A954">
            <v>40214024000168</v>
          </cell>
          <cell r="B954" t="str">
            <v>DROGA VITA</v>
          </cell>
          <cell r="C954" t="str">
            <v>MASTERFARMA</v>
          </cell>
          <cell r="D954" t="str">
            <v>RIO VERDE DE MATO GROSSO</v>
          </cell>
          <cell r="E954" t="str">
            <v>MS</v>
          </cell>
          <cell r="I954" t="str">
            <v>Não Comprou</v>
          </cell>
        </row>
        <row r="955">
          <cell r="A955">
            <v>31509807000188</v>
          </cell>
          <cell r="B955" t="str">
            <v>DROGA VIDA POPULAR</v>
          </cell>
          <cell r="C955" t="str">
            <v>INDEPENDENTES VIN</v>
          </cell>
          <cell r="D955" t="str">
            <v>JUARA</v>
          </cell>
          <cell r="E955" t="str">
            <v>MT</v>
          </cell>
          <cell r="F955">
            <v>46311</v>
          </cell>
          <cell r="G955">
            <v>1975.66</v>
          </cell>
          <cell r="I955" t="str">
            <v>Comprou Marcas</v>
          </cell>
        </row>
        <row r="956">
          <cell r="A956">
            <v>40190327000198</v>
          </cell>
          <cell r="B956" t="str">
            <v>DROGA VIDA POPULAR</v>
          </cell>
          <cell r="C956" t="str">
            <v>INDEPENDENTES VIN</v>
          </cell>
          <cell r="D956" t="str">
            <v>ARAGARCAS</v>
          </cell>
          <cell r="E956" t="str">
            <v>GO</v>
          </cell>
          <cell r="I956" t="str">
            <v>Não Comprou</v>
          </cell>
        </row>
        <row r="957">
          <cell r="A957">
            <v>7243216000127</v>
          </cell>
          <cell r="B957" t="str">
            <v>DROGA VIDA</v>
          </cell>
          <cell r="C957" t="str">
            <v>DSG FARMA</v>
          </cell>
          <cell r="D957" t="str">
            <v>NOVA XAVANTINA</v>
          </cell>
          <cell r="E957" t="str">
            <v>MT</v>
          </cell>
          <cell r="F957">
            <v>46310</v>
          </cell>
          <cell r="G957">
            <v>1374.23</v>
          </cell>
          <cell r="I957" t="str">
            <v>Comprou Marcas</v>
          </cell>
        </row>
        <row r="958">
          <cell r="A958">
            <v>8604819000170</v>
          </cell>
          <cell r="B958" t="str">
            <v>DROGA SOL</v>
          </cell>
          <cell r="C958" t="str">
            <v>MASTERFARMA</v>
          </cell>
          <cell r="D958" t="str">
            <v>CASSILANDIA</v>
          </cell>
          <cell r="E958" t="str">
            <v>MS</v>
          </cell>
          <cell r="F958">
            <v>46311</v>
          </cell>
          <cell r="G958">
            <v>2426.61</v>
          </cell>
          <cell r="I958" t="str">
            <v>Comprou Marcas</v>
          </cell>
        </row>
        <row r="959">
          <cell r="A959">
            <v>55845358000107</v>
          </cell>
          <cell r="B959" t="str">
            <v>DROGA SERV</v>
          </cell>
          <cell r="C959" t="str">
            <v>MASTERFARMA</v>
          </cell>
          <cell r="D959" t="str">
            <v>PRESIDENTE PRUDENTE</v>
          </cell>
          <cell r="E959" t="str">
            <v>SP</v>
          </cell>
          <cell r="I959" t="str">
            <v>Não Comprou</v>
          </cell>
        </row>
        <row r="960">
          <cell r="A960">
            <v>1524705000170</v>
          </cell>
          <cell r="B960" t="str">
            <v>DROGA SANTOS</v>
          </cell>
          <cell r="C960" t="str">
            <v>MULTIDROGAS</v>
          </cell>
          <cell r="D960" t="str">
            <v>PAULICEIA</v>
          </cell>
          <cell r="E960" t="str">
            <v>SP</v>
          </cell>
          <cell r="F960">
            <v>46310</v>
          </cell>
          <cell r="G960">
            <v>184.32</v>
          </cell>
          <cell r="I960" t="str">
            <v>Comprou Marcas</v>
          </cell>
        </row>
        <row r="961">
          <cell r="A961">
            <v>7234960000165</v>
          </cell>
          <cell r="B961" t="str">
            <v>DROGA PRACA</v>
          </cell>
          <cell r="C961" t="str">
            <v>MASTERFARMA</v>
          </cell>
          <cell r="D961" t="str">
            <v>PONTES E LACERDA</v>
          </cell>
          <cell r="E961" t="str">
            <v>MT</v>
          </cell>
          <cell r="F961">
            <v>46303</v>
          </cell>
          <cell r="G961">
            <v>2239.92</v>
          </cell>
          <cell r="I961" t="str">
            <v>Comprou Marcas</v>
          </cell>
        </row>
        <row r="962">
          <cell r="A962">
            <v>2486244000151</v>
          </cell>
          <cell r="B962" t="str">
            <v>DROGA MERY</v>
          </cell>
          <cell r="C962" t="str">
            <v>INDEPENDENTES VIN</v>
          </cell>
          <cell r="D962" t="str">
            <v>SINOP</v>
          </cell>
          <cell r="E962" t="str">
            <v>MT</v>
          </cell>
          <cell r="I962" t="str">
            <v>Não Comprou</v>
          </cell>
        </row>
        <row r="963">
          <cell r="A963">
            <v>25064025000180</v>
          </cell>
          <cell r="B963" t="str">
            <v>DROGA MAX</v>
          </cell>
          <cell r="C963" t="str">
            <v>INDEPENDENTES VIN</v>
          </cell>
          <cell r="D963" t="str">
            <v>TANGARA DA SERRA</v>
          </cell>
          <cell r="E963" t="str">
            <v>MT</v>
          </cell>
          <cell r="F963">
            <v>46310</v>
          </cell>
          <cell r="G963">
            <v>4249.75</v>
          </cell>
          <cell r="I963" t="str">
            <v>Comprou Marcas</v>
          </cell>
        </row>
        <row r="964">
          <cell r="A964">
            <v>11210256000140</v>
          </cell>
          <cell r="B964" t="str">
            <v>DROGA MASTER</v>
          </cell>
          <cell r="C964" t="str">
            <v>HIPER SAUDE</v>
          </cell>
          <cell r="D964" t="str">
            <v>COMODORO</v>
          </cell>
          <cell r="E964" t="str">
            <v>MT</v>
          </cell>
          <cell r="F964">
            <v>46304</v>
          </cell>
          <cell r="G964">
            <v>1143.3499999999999</v>
          </cell>
          <cell r="I964" t="str">
            <v>Comprou Marcas</v>
          </cell>
        </row>
        <row r="965">
          <cell r="A965">
            <v>19325814000124</v>
          </cell>
          <cell r="B965" t="str">
            <v>DROGA MASTER</v>
          </cell>
          <cell r="C965" t="str">
            <v>INDEPENDENTES VIN</v>
          </cell>
          <cell r="D965" t="str">
            <v>TANGARA DA SERRA</v>
          </cell>
          <cell r="E965" t="str">
            <v>MT</v>
          </cell>
          <cell r="I965" t="str">
            <v>Não Comprou</v>
          </cell>
        </row>
        <row r="966">
          <cell r="A966">
            <v>36004691000149</v>
          </cell>
          <cell r="B966" t="str">
            <v>DROGA MAIS SUPER POPULAR</v>
          </cell>
          <cell r="C966" t="str">
            <v>HIPER SAUDE</v>
          </cell>
          <cell r="D966" t="str">
            <v>NOVA XAVANTINA</v>
          </cell>
          <cell r="E966" t="str">
            <v>MT</v>
          </cell>
          <cell r="I966" t="str">
            <v>Não Comprou</v>
          </cell>
        </row>
        <row r="967">
          <cell r="A967">
            <v>18723666000133</v>
          </cell>
          <cell r="B967" t="str">
            <v>DROGA MAIS</v>
          </cell>
          <cell r="C967" t="str">
            <v>HIPER SAUDE</v>
          </cell>
          <cell r="D967" t="str">
            <v>NOVA XAVANTINA</v>
          </cell>
          <cell r="E967" t="str">
            <v>MT</v>
          </cell>
          <cell r="F967">
            <v>46308</v>
          </cell>
          <cell r="G967">
            <v>2658.2599999999998</v>
          </cell>
          <cell r="H967">
            <v>2037.8600000000001</v>
          </cell>
          <cell r="I967" t="str">
            <v>Comprou Marcas e SG</v>
          </cell>
        </row>
        <row r="968">
          <cell r="A968">
            <v>34508395000150</v>
          </cell>
          <cell r="B968" t="str">
            <v>DROGA MAIS</v>
          </cell>
          <cell r="C968" t="str">
            <v>INDEPENDENTES VIN</v>
          </cell>
          <cell r="D968" t="str">
            <v>ALTO ARAGUAIA</v>
          </cell>
          <cell r="E968" t="str">
            <v>MT</v>
          </cell>
          <cell r="I968" t="str">
            <v>Não Comprou</v>
          </cell>
        </row>
        <row r="969">
          <cell r="A969">
            <v>9642282000103</v>
          </cell>
          <cell r="B969" t="str">
            <v>DROGA LUZ</v>
          </cell>
          <cell r="C969" t="str">
            <v>INDEPENDENTES VIN</v>
          </cell>
          <cell r="D969" t="str">
            <v>VARZEA GRANDE</v>
          </cell>
          <cell r="E969" t="str">
            <v>MT</v>
          </cell>
          <cell r="F969">
            <v>46307</v>
          </cell>
          <cell r="G969">
            <v>715.55</v>
          </cell>
          <cell r="I969" t="str">
            <v>Comprou Marcas</v>
          </cell>
        </row>
        <row r="970">
          <cell r="A970">
            <v>16925842000194</v>
          </cell>
          <cell r="B970" t="str">
            <v>DROGA LIDER</v>
          </cell>
          <cell r="C970" t="str">
            <v>MASTERFARMA</v>
          </cell>
          <cell r="D970" t="str">
            <v>PARANAIBA</v>
          </cell>
          <cell r="E970" t="str">
            <v>MS</v>
          </cell>
          <cell r="F970">
            <v>46303</v>
          </cell>
          <cell r="G970">
            <v>243.66999999999996</v>
          </cell>
          <cell r="I970" t="str">
            <v>Comprou Marcas</v>
          </cell>
        </row>
        <row r="971">
          <cell r="A971">
            <v>9433797000195</v>
          </cell>
          <cell r="B971" t="str">
            <v>DROGA FARMAKO</v>
          </cell>
          <cell r="C971" t="str">
            <v>FARMAIS</v>
          </cell>
          <cell r="D971" t="str">
            <v>BRASILANDIA</v>
          </cell>
          <cell r="E971" t="str">
            <v>MS</v>
          </cell>
          <cell r="F971">
            <v>46311</v>
          </cell>
          <cell r="G971">
            <v>3571.25</v>
          </cell>
          <cell r="I971" t="str">
            <v>Comprou Marcas</v>
          </cell>
        </row>
        <row r="972">
          <cell r="A972">
            <v>32338157000118</v>
          </cell>
          <cell r="B972" t="str">
            <v>DROGA FACIL</v>
          </cell>
          <cell r="C972" t="str">
            <v>INDEPENDENTES VIN</v>
          </cell>
          <cell r="D972" t="str">
            <v>PARANATINGA</v>
          </cell>
          <cell r="E972" t="str">
            <v>MT</v>
          </cell>
          <cell r="I972" t="str">
            <v>Não Comprou</v>
          </cell>
        </row>
        <row r="973">
          <cell r="A973">
            <v>29946302000139</v>
          </cell>
          <cell r="B973" t="str">
            <v>DROGA CERTA</v>
          </cell>
          <cell r="C973" t="str">
            <v>ASSOCIADAS</v>
          </cell>
          <cell r="D973" t="str">
            <v>AGUA BOA</v>
          </cell>
          <cell r="E973" t="str">
            <v>MT</v>
          </cell>
          <cell r="I973" t="str">
            <v>Não Comprou</v>
          </cell>
        </row>
        <row r="974">
          <cell r="A974">
            <v>13304645000160</v>
          </cell>
          <cell r="B974" t="str">
            <v>DROGA CENTER</v>
          </cell>
          <cell r="C974" t="str">
            <v>INDEPENDENTES VIN</v>
          </cell>
          <cell r="D974" t="str">
            <v>AGUA CLARA</v>
          </cell>
          <cell r="E974" t="str">
            <v>MS</v>
          </cell>
          <cell r="F974">
            <v>46301</v>
          </cell>
          <cell r="G974">
            <v>391.96000000000004</v>
          </cell>
          <cell r="I974" t="str">
            <v>Comprou Marcas</v>
          </cell>
        </row>
        <row r="975">
          <cell r="A975">
            <v>30878190000105</v>
          </cell>
          <cell r="B975" t="str">
            <v>DROGA CENTER</v>
          </cell>
          <cell r="C975" t="str">
            <v>MASTERFARMA</v>
          </cell>
          <cell r="D975" t="str">
            <v>SONORA</v>
          </cell>
          <cell r="E975" t="str">
            <v>MS</v>
          </cell>
          <cell r="F975">
            <v>46307</v>
          </cell>
          <cell r="G975">
            <v>4317.4599999999991</v>
          </cell>
          <cell r="I975" t="str">
            <v>Comprou Marcas</v>
          </cell>
        </row>
        <row r="976">
          <cell r="A976">
            <v>1561919000117</v>
          </cell>
          <cell r="B976" t="str">
            <v>DROGA BRASILEIRA</v>
          </cell>
          <cell r="C976" t="str">
            <v>ASSOCIADAS</v>
          </cell>
          <cell r="D976" t="str">
            <v>BANDEIRANTES</v>
          </cell>
          <cell r="E976" t="str">
            <v>MS</v>
          </cell>
          <cell r="I976" t="str">
            <v>Não Comprou</v>
          </cell>
        </row>
        <row r="977">
          <cell r="A977">
            <v>36630262000187</v>
          </cell>
          <cell r="B977" t="str">
            <v>DROGA BOX</v>
          </cell>
          <cell r="C977" t="str">
            <v>HIPER SAUDE</v>
          </cell>
          <cell r="D977" t="str">
            <v>CUIABA</v>
          </cell>
          <cell r="E977" t="str">
            <v>MT</v>
          </cell>
          <cell r="F977">
            <v>46303</v>
          </cell>
          <cell r="G977">
            <v>137.85</v>
          </cell>
          <cell r="I977" t="str">
            <v>Comprou Marcas</v>
          </cell>
        </row>
        <row r="978">
          <cell r="A978">
            <v>8821476000103</v>
          </cell>
          <cell r="B978" t="str">
            <v>DROGA BEM</v>
          </cell>
          <cell r="C978" t="str">
            <v>INDEPENDENTES VIN</v>
          </cell>
          <cell r="D978" t="str">
            <v>CAMPO GRANDE</v>
          </cell>
          <cell r="E978" t="str">
            <v>MS</v>
          </cell>
          <cell r="F978">
            <v>46304</v>
          </cell>
          <cell r="G978">
            <v>395.6</v>
          </cell>
          <cell r="I978" t="str">
            <v>Comprou Marcas</v>
          </cell>
        </row>
        <row r="979">
          <cell r="A979">
            <v>9496232000157</v>
          </cell>
          <cell r="B979" t="str">
            <v>DROGA ASSIS</v>
          </cell>
          <cell r="C979" t="str">
            <v>ASFAR FARMACIAS</v>
          </cell>
          <cell r="D979" t="str">
            <v>JUARA</v>
          </cell>
          <cell r="E979" t="str">
            <v>MT</v>
          </cell>
          <cell r="F979">
            <v>46311</v>
          </cell>
          <cell r="G979">
            <v>6237.5800000000027</v>
          </cell>
          <cell r="I979" t="str">
            <v>Comprou Marcas</v>
          </cell>
        </row>
        <row r="980">
          <cell r="A980">
            <v>9496232000238</v>
          </cell>
          <cell r="B980" t="str">
            <v>DROGA ASSIS</v>
          </cell>
          <cell r="C980" t="str">
            <v>ASFAR FARMACIAS</v>
          </cell>
          <cell r="D980" t="str">
            <v>JUARA</v>
          </cell>
          <cell r="E980" t="str">
            <v>MT</v>
          </cell>
          <cell r="F980">
            <v>46310</v>
          </cell>
          <cell r="G980">
            <v>1084.8599999999999</v>
          </cell>
          <cell r="I980" t="str">
            <v>Comprou Marcas</v>
          </cell>
        </row>
        <row r="981">
          <cell r="A981">
            <v>9496232000319</v>
          </cell>
          <cell r="B981" t="str">
            <v>DROGA ASSIS</v>
          </cell>
          <cell r="C981" t="str">
            <v>ASFAR FARMACIAS</v>
          </cell>
          <cell r="D981" t="str">
            <v>JUARA</v>
          </cell>
          <cell r="E981" t="str">
            <v>MT</v>
          </cell>
          <cell r="F981">
            <v>46311</v>
          </cell>
          <cell r="G981">
            <v>91.61</v>
          </cell>
          <cell r="I981" t="str">
            <v>Comprou Marcas</v>
          </cell>
        </row>
        <row r="982">
          <cell r="A982">
            <v>2025871000195</v>
          </cell>
          <cell r="B982" t="str">
            <v>DROG VELASQUES</v>
          </cell>
          <cell r="C982" t="str">
            <v>REDE SANTA CATARINA</v>
          </cell>
          <cell r="D982" t="str">
            <v>PRESIDENTE PRUDENTE</v>
          </cell>
          <cell r="E982" t="str">
            <v>SP</v>
          </cell>
          <cell r="F982">
            <v>46310</v>
          </cell>
          <cell r="G982">
            <v>3005.6599999999985</v>
          </cell>
          <cell r="H982">
            <v>2684.47</v>
          </cell>
          <cell r="I982" t="str">
            <v>Comprou Marcas e SG</v>
          </cell>
        </row>
        <row r="983">
          <cell r="A983">
            <v>15532062000111</v>
          </cell>
          <cell r="B983" t="str">
            <v>DROG STO ANTONIO</v>
          </cell>
          <cell r="C983" t="str">
            <v>INDEPENDENTES VIN</v>
          </cell>
          <cell r="D983" t="str">
            <v>JARDIM</v>
          </cell>
          <cell r="E983" t="str">
            <v>MS</v>
          </cell>
          <cell r="F983">
            <v>46310</v>
          </cell>
          <cell r="G983">
            <v>278.31</v>
          </cell>
          <cell r="I983" t="str">
            <v>Comprou Marcas</v>
          </cell>
        </row>
        <row r="984">
          <cell r="A984">
            <v>5528457000197</v>
          </cell>
          <cell r="B984" t="str">
            <v>DROG SOLUCAO</v>
          </cell>
          <cell r="C984" t="str">
            <v>INDEPENDENTES VIN</v>
          </cell>
          <cell r="D984" t="str">
            <v>ALTO GARCAS</v>
          </cell>
          <cell r="E984" t="str">
            <v>MT</v>
          </cell>
          <cell r="I984" t="str">
            <v>Não Comprou</v>
          </cell>
        </row>
        <row r="985">
          <cell r="A985">
            <v>7434377000106</v>
          </cell>
          <cell r="B985" t="str">
            <v>DROG SILVA</v>
          </cell>
          <cell r="C985" t="str">
            <v>INDEPENDENTES VIN</v>
          </cell>
          <cell r="D985" t="str">
            <v>PAULICEIA</v>
          </cell>
          <cell r="E985" t="str">
            <v>SP</v>
          </cell>
          <cell r="F985">
            <v>46310</v>
          </cell>
          <cell r="G985">
            <v>1323.9199999999998</v>
          </cell>
          <cell r="I985" t="str">
            <v>Comprou Marcas</v>
          </cell>
        </row>
        <row r="986">
          <cell r="A986">
            <v>1719283000199</v>
          </cell>
          <cell r="B986" t="str">
            <v>DROG SIDRO</v>
          </cell>
          <cell r="C986" t="str">
            <v>INDEPENDENTES VIN</v>
          </cell>
          <cell r="D986" t="str">
            <v>SIDROLANDIA</v>
          </cell>
          <cell r="E986" t="str">
            <v>MS</v>
          </cell>
          <cell r="I986" t="str">
            <v>Não Comprou</v>
          </cell>
        </row>
        <row r="987">
          <cell r="A987">
            <v>8464650000108</v>
          </cell>
          <cell r="B987" t="str">
            <v>DROG SAUDE</v>
          </cell>
          <cell r="C987" t="str">
            <v>ASSOCIADAS</v>
          </cell>
          <cell r="D987" t="str">
            <v>ARAGARCAS</v>
          </cell>
          <cell r="E987" t="str">
            <v>GO</v>
          </cell>
          <cell r="F987">
            <v>46310</v>
          </cell>
          <cell r="G987">
            <v>1147.5600000000002</v>
          </cell>
          <cell r="I987" t="str">
            <v>Comprou Marcas</v>
          </cell>
        </row>
        <row r="988">
          <cell r="A988">
            <v>4592381000104</v>
          </cell>
          <cell r="B988" t="str">
            <v>DROG SAUDE</v>
          </cell>
          <cell r="C988" t="str">
            <v>HIPER SAUDE</v>
          </cell>
          <cell r="D988" t="str">
            <v>PARANAIBA</v>
          </cell>
          <cell r="E988" t="str">
            <v>MS</v>
          </cell>
          <cell r="I988" t="str">
            <v>Não Comprou</v>
          </cell>
        </row>
        <row r="989">
          <cell r="A989">
            <v>1134776000167</v>
          </cell>
          <cell r="B989" t="str">
            <v>DROG SAO PAULO</v>
          </cell>
          <cell r="C989" t="str">
            <v>ASSOCIADAS</v>
          </cell>
          <cell r="D989" t="str">
            <v>ALTA FLORESTA</v>
          </cell>
          <cell r="E989" t="str">
            <v>MT</v>
          </cell>
          <cell r="F989">
            <v>46311</v>
          </cell>
          <cell r="G989">
            <v>3850.5399999999991</v>
          </cell>
          <cell r="I989" t="str">
            <v>Comprou Marcas</v>
          </cell>
        </row>
        <row r="990">
          <cell r="A990">
            <v>1897271000154</v>
          </cell>
          <cell r="B990" t="str">
            <v>DROG SAO LUCAS</v>
          </cell>
          <cell r="C990" t="str">
            <v>INDEPENDENTES VIN</v>
          </cell>
          <cell r="D990" t="str">
            <v>ALTO GARCAS</v>
          </cell>
          <cell r="E990" t="str">
            <v>MT</v>
          </cell>
          <cell r="I990" t="str">
            <v>Não Comprou</v>
          </cell>
        </row>
        <row r="991">
          <cell r="A991">
            <v>7113333000176</v>
          </cell>
          <cell r="B991" t="str">
            <v>DROG SAO LUCAS</v>
          </cell>
          <cell r="C991" t="str">
            <v>REDE COMPRE CERTO</v>
          </cell>
          <cell r="D991" t="str">
            <v>QUERENCIA</v>
          </cell>
          <cell r="E991" t="str">
            <v>MT</v>
          </cell>
          <cell r="I991" t="str">
            <v>Não Comprou</v>
          </cell>
        </row>
        <row r="992">
          <cell r="A992">
            <v>3377845000199</v>
          </cell>
          <cell r="B992" t="str">
            <v>DROG SAO JOSE MANIP</v>
          </cell>
          <cell r="C992" t="str">
            <v>INDEPENDENTES VIN</v>
          </cell>
          <cell r="D992" t="str">
            <v>AMAMBAI</v>
          </cell>
          <cell r="E992" t="str">
            <v>MS</v>
          </cell>
          <cell r="F992">
            <v>46310</v>
          </cell>
          <cell r="G992">
            <v>518.91000000000008</v>
          </cell>
          <cell r="I992" t="str">
            <v>Comprou Marcas</v>
          </cell>
        </row>
        <row r="993">
          <cell r="A993">
            <v>388531000101</v>
          </cell>
          <cell r="B993" t="str">
            <v>DROG SANTO ANTONIO</v>
          </cell>
          <cell r="C993" t="str">
            <v>INDEPENDENTES VIN</v>
          </cell>
          <cell r="D993" t="str">
            <v>NIOAQUE</v>
          </cell>
          <cell r="E993" t="str">
            <v>MS</v>
          </cell>
          <cell r="I993" t="str">
            <v>Não Comprou</v>
          </cell>
        </row>
        <row r="994">
          <cell r="A994">
            <v>55323943000147</v>
          </cell>
          <cell r="B994" t="str">
            <v>DROG SANTA RITA</v>
          </cell>
          <cell r="C994" t="str">
            <v>INDEPENDENTES VIN</v>
          </cell>
          <cell r="D994" t="str">
            <v>PRESIDENTE PRUDENTE</v>
          </cell>
          <cell r="E994" t="str">
            <v>SP</v>
          </cell>
          <cell r="I994" t="str">
            <v>Não Comprou</v>
          </cell>
        </row>
        <row r="995">
          <cell r="A995">
            <v>1617371000180</v>
          </cell>
          <cell r="B995" t="str">
            <v>DROG SANTA LUZIA</v>
          </cell>
          <cell r="C995" t="str">
            <v>MULTIDROGAS</v>
          </cell>
          <cell r="D995" t="str">
            <v>LUCELIA</v>
          </cell>
          <cell r="E995" t="str">
            <v>SP</v>
          </cell>
          <cell r="F995">
            <v>46308</v>
          </cell>
          <cell r="G995">
            <v>15801.26</v>
          </cell>
          <cell r="H995">
            <v>19989.740000000005</v>
          </cell>
          <cell r="I995" t="str">
            <v>Comprou Marcas e SG</v>
          </cell>
        </row>
        <row r="996">
          <cell r="A996">
            <v>3141355000199</v>
          </cell>
          <cell r="B996" t="str">
            <v>DROG SANTA EFIGENIA</v>
          </cell>
          <cell r="C996" t="str">
            <v>INDEPENDENTES VIN</v>
          </cell>
          <cell r="D996" t="str">
            <v>ALTO GARCAS</v>
          </cell>
          <cell r="E996" t="str">
            <v>MT</v>
          </cell>
          <cell r="I996" t="str">
            <v>Não Comprou</v>
          </cell>
        </row>
        <row r="997">
          <cell r="A997">
            <v>4986853000103</v>
          </cell>
          <cell r="B997" t="str">
            <v>DROG SANTA ANA</v>
          </cell>
          <cell r="C997" t="str">
            <v>INDEPENDENTES VIN</v>
          </cell>
          <cell r="D997" t="str">
            <v>BARRA DO GARCAS</v>
          </cell>
          <cell r="E997" t="str">
            <v>MT</v>
          </cell>
          <cell r="I997" t="str">
            <v>Não Comprou</v>
          </cell>
        </row>
        <row r="998">
          <cell r="A998">
            <v>4237820000152</v>
          </cell>
          <cell r="B998" t="str">
            <v>DROG SAN MARINO</v>
          </cell>
          <cell r="C998" t="str">
            <v>ASSOCIADAS</v>
          </cell>
          <cell r="D998" t="str">
            <v>MARACAJU</v>
          </cell>
          <cell r="E998" t="str">
            <v>MS</v>
          </cell>
          <cell r="F998">
            <v>46310</v>
          </cell>
          <cell r="G998">
            <v>3352.2999999999993</v>
          </cell>
          <cell r="I998" t="str">
            <v>Comprou Marcas</v>
          </cell>
        </row>
        <row r="999">
          <cell r="A999">
            <v>4344448000183</v>
          </cell>
          <cell r="B999" t="str">
            <v>DROG RODOFARMA</v>
          </cell>
          <cell r="C999" t="str">
            <v>INDEPENDENTES VIN</v>
          </cell>
          <cell r="D999" t="str">
            <v>TRES LAGOAS</v>
          </cell>
          <cell r="E999" t="str">
            <v>MS</v>
          </cell>
          <cell r="I999" t="str">
            <v>Não Comprou</v>
          </cell>
        </row>
        <row r="1000">
          <cell r="A1000">
            <v>4597961000186</v>
          </cell>
          <cell r="B1000" t="str">
            <v>DROG RIZZO</v>
          </cell>
          <cell r="C1000" t="str">
            <v>INDEPENDENTES VIN</v>
          </cell>
          <cell r="D1000" t="str">
            <v>PRESIDENTE PRUDENTE</v>
          </cell>
          <cell r="E1000" t="str">
            <v>SP</v>
          </cell>
          <cell r="F1000">
            <v>46308</v>
          </cell>
          <cell r="G1000">
            <v>2369.7200000000003</v>
          </cell>
          <cell r="I1000" t="str">
            <v>Comprou Marcas</v>
          </cell>
        </row>
        <row r="1001">
          <cell r="A1001">
            <v>67943415000170</v>
          </cell>
          <cell r="B1001" t="str">
            <v>DROG RIZZO</v>
          </cell>
          <cell r="C1001" t="str">
            <v>INDEPENDENTES VIN</v>
          </cell>
          <cell r="D1001" t="str">
            <v>PRESIDENTE PRUDENTE</v>
          </cell>
          <cell r="E1001" t="str">
            <v>SP</v>
          </cell>
          <cell r="I1001" t="str">
            <v>Não Comprou</v>
          </cell>
        </row>
        <row r="1002">
          <cell r="A1002">
            <v>26851782000166</v>
          </cell>
          <cell r="B1002" t="str">
            <v>DROG REALEZA</v>
          </cell>
          <cell r="C1002" t="str">
            <v>INDEPENDENTES VIN</v>
          </cell>
          <cell r="D1002" t="str">
            <v>DEODAPOLIS</v>
          </cell>
          <cell r="E1002" t="str">
            <v>MS</v>
          </cell>
          <cell r="I1002" t="str">
            <v>Não Comprou</v>
          </cell>
        </row>
        <row r="1003">
          <cell r="A1003">
            <v>1913782000112</v>
          </cell>
          <cell r="B1003" t="str">
            <v>DROG PRUDENFARMA</v>
          </cell>
          <cell r="C1003" t="str">
            <v>DROG PRUDENFARMA</v>
          </cell>
          <cell r="D1003" t="str">
            <v>PRESIDENTE PRUDENTE</v>
          </cell>
          <cell r="E1003" t="str">
            <v>SP</v>
          </cell>
          <cell r="F1003">
            <v>46311</v>
          </cell>
          <cell r="H1003">
            <v>4471.5499999999993</v>
          </cell>
          <cell r="I1003" t="str">
            <v>Comprou SG</v>
          </cell>
        </row>
        <row r="1004">
          <cell r="A1004">
            <v>8685407000101</v>
          </cell>
          <cell r="B1004" t="str">
            <v>DROG POPULAR</v>
          </cell>
          <cell r="C1004" t="str">
            <v>MASTERFARMA</v>
          </cell>
          <cell r="D1004" t="str">
            <v>JUNQUEIROPOLIS</v>
          </cell>
          <cell r="E1004" t="str">
            <v>SP</v>
          </cell>
          <cell r="F1004">
            <v>46303</v>
          </cell>
          <cell r="G1004">
            <v>1412.6599999999999</v>
          </cell>
          <cell r="I1004" t="str">
            <v>Comprou Marcas</v>
          </cell>
        </row>
        <row r="1005">
          <cell r="A1005">
            <v>1569011000150</v>
          </cell>
          <cell r="B1005" t="str">
            <v>DROG PALMEIRA</v>
          </cell>
          <cell r="C1005" t="str">
            <v>MASTERFARMA</v>
          </cell>
          <cell r="D1005" t="str">
            <v>CORUMBA</v>
          </cell>
          <cell r="E1005" t="str">
            <v>MS</v>
          </cell>
          <cell r="F1005">
            <v>46311</v>
          </cell>
          <cell r="G1005">
            <v>927.20999999999981</v>
          </cell>
          <cell r="I1005" t="str">
            <v>Comprou Marcas</v>
          </cell>
        </row>
        <row r="1006">
          <cell r="A1006">
            <v>1617468000192</v>
          </cell>
          <cell r="B1006" t="str">
            <v>DROG OPERARIA</v>
          </cell>
          <cell r="C1006" t="str">
            <v>ASSOCIADAS</v>
          </cell>
          <cell r="D1006" t="str">
            <v>RONDONOPOLIS</v>
          </cell>
          <cell r="E1006" t="str">
            <v>MT</v>
          </cell>
          <cell r="F1006">
            <v>46310</v>
          </cell>
          <cell r="G1006">
            <v>137.85</v>
          </cell>
          <cell r="I1006" t="str">
            <v>Comprou Marcas</v>
          </cell>
        </row>
        <row r="1007">
          <cell r="A1007">
            <v>4248248000127</v>
          </cell>
          <cell r="B1007" t="str">
            <v>DROG ODEON II</v>
          </cell>
          <cell r="C1007" t="str">
            <v>MULTIDROGAS</v>
          </cell>
          <cell r="D1007" t="str">
            <v>TRES LAGOAS</v>
          </cell>
          <cell r="E1007" t="str">
            <v>MS</v>
          </cell>
          <cell r="F1007">
            <v>46311</v>
          </cell>
          <cell r="G1007">
            <v>16461.07</v>
          </cell>
          <cell r="H1007">
            <v>1176.1599999999999</v>
          </cell>
          <cell r="I1007" t="str">
            <v>Comprou Marcas e SG</v>
          </cell>
        </row>
        <row r="1008">
          <cell r="A1008">
            <v>33193095000166</v>
          </cell>
          <cell r="B1008" t="str">
            <v>DROG NSA SRA APARECIDA</v>
          </cell>
          <cell r="C1008" t="str">
            <v>ASSOCIADAS</v>
          </cell>
          <cell r="D1008" t="str">
            <v>JARDIM</v>
          </cell>
          <cell r="E1008" t="str">
            <v>MS</v>
          </cell>
          <cell r="F1008">
            <v>46310</v>
          </cell>
          <cell r="G1008">
            <v>7587.5</v>
          </cell>
          <cell r="I1008" t="str">
            <v>Comprou Marcas</v>
          </cell>
        </row>
        <row r="1009">
          <cell r="A1009">
            <v>9033695000182</v>
          </cell>
          <cell r="B1009" t="str">
            <v>DROG NOSSO LAR</v>
          </cell>
          <cell r="C1009" t="str">
            <v>INDEPENDENTES VIN</v>
          </cell>
          <cell r="D1009" t="str">
            <v>BRASNORTE</v>
          </cell>
          <cell r="E1009" t="str">
            <v>MT</v>
          </cell>
          <cell r="I1009" t="str">
            <v>Não Comprou</v>
          </cell>
        </row>
        <row r="1010">
          <cell r="A1010">
            <v>2330544000147</v>
          </cell>
          <cell r="B1010" t="str">
            <v>DROG NOSSA SENHORA APAREC</v>
          </cell>
          <cell r="C1010" t="str">
            <v>MASTERFARMA</v>
          </cell>
          <cell r="D1010" t="str">
            <v>BRASNORTE</v>
          </cell>
          <cell r="E1010" t="str">
            <v>MT</v>
          </cell>
          <cell r="F1010">
            <v>46310</v>
          </cell>
          <cell r="G1010">
            <v>1195.3300000000002</v>
          </cell>
          <cell r="I1010" t="str">
            <v>Comprou Marcas</v>
          </cell>
        </row>
        <row r="1011">
          <cell r="A1011">
            <v>932885000167</v>
          </cell>
          <cell r="B1011" t="str">
            <v>DROG NOGUCHI &amp; KATO LTDA</v>
          </cell>
          <cell r="C1011" t="str">
            <v>INDEPENDENTES VIN</v>
          </cell>
          <cell r="D1011" t="str">
            <v>OURO VERDE</v>
          </cell>
          <cell r="E1011" t="str">
            <v>SP</v>
          </cell>
          <cell r="F1011">
            <v>46310</v>
          </cell>
          <cell r="G1011">
            <v>4821.659999999998</v>
          </cell>
          <cell r="I1011" t="str">
            <v>Comprou Marcas</v>
          </cell>
        </row>
        <row r="1012">
          <cell r="A1012">
            <v>4077499000196</v>
          </cell>
          <cell r="B1012" t="str">
            <v>DROG NEIDE M S P CAMARGO</v>
          </cell>
          <cell r="C1012" t="str">
            <v>INDEPENDENTES VIN</v>
          </cell>
          <cell r="D1012" t="str">
            <v>BARRA DO BUGRES</v>
          </cell>
          <cell r="E1012" t="str">
            <v>MT</v>
          </cell>
          <cell r="I1012" t="str">
            <v>Não Comprou</v>
          </cell>
        </row>
        <row r="1013">
          <cell r="A1013">
            <v>7272090000119</v>
          </cell>
          <cell r="B1013" t="str">
            <v>DROG NATALIA</v>
          </cell>
          <cell r="C1013" t="str">
            <v>INDEPENDENTES VIN</v>
          </cell>
          <cell r="D1013" t="str">
            <v>ALTO GARCAS</v>
          </cell>
          <cell r="E1013" t="str">
            <v>MT</v>
          </cell>
          <cell r="I1013" t="str">
            <v>Não Comprou</v>
          </cell>
        </row>
        <row r="1014">
          <cell r="A1014">
            <v>26609370000114</v>
          </cell>
          <cell r="B1014" t="str">
            <v>DROG NACIONAL</v>
          </cell>
          <cell r="C1014" t="str">
            <v>INDEPENDENTES VIN</v>
          </cell>
          <cell r="D1014" t="str">
            <v>RIBEIRAO CASCALHEIRA</v>
          </cell>
          <cell r="E1014" t="str">
            <v>MT</v>
          </cell>
          <cell r="I1014" t="str">
            <v>Não Comprou</v>
          </cell>
        </row>
        <row r="1015">
          <cell r="A1015">
            <v>7496421000102</v>
          </cell>
          <cell r="B1015" t="str">
            <v>DROG MIRASSOL</v>
          </cell>
          <cell r="C1015" t="str">
            <v>INDEPENDENTES VIN</v>
          </cell>
          <cell r="D1015" t="str">
            <v>MIRASSOL D'OESTE</v>
          </cell>
          <cell r="E1015" t="str">
            <v>MT</v>
          </cell>
          <cell r="I1015" t="str">
            <v>Não Comprou</v>
          </cell>
        </row>
        <row r="1016">
          <cell r="A1016">
            <v>8366044000141</v>
          </cell>
          <cell r="B1016" t="str">
            <v>DROG MILENA</v>
          </cell>
          <cell r="C1016" t="str">
            <v>ASSOCIADAS</v>
          </cell>
          <cell r="D1016" t="str">
            <v>CAMPO GRANDE</v>
          </cell>
          <cell r="E1016" t="str">
            <v>MS</v>
          </cell>
          <cell r="F1016">
            <v>46303</v>
          </cell>
          <cell r="G1016">
            <v>1192.8500000000001</v>
          </cell>
          <cell r="I1016" t="str">
            <v>Comprou Marcas</v>
          </cell>
        </row>
        <row r="1017">
          <cell r="A1017">
            <v>8298153000179</v>
          </cell>
          <cell r="B1017" t="str">
            <v>DROG MATO GROSSO</v>
          </cell>
          <cell r="C1017" t="str">
            <v>INDEPENDENTES VIN</v>
          </cell>
          <cell r="D1017" t="str">
            <v>LUCAS DO RIO VERDE</v>
          </cell>
          <cell r="E1017" t="str">
            <v>MT</v>
          </cell>
          <cell r="F1017">
            <v>46311</v>
          </cell>
          <cell r="G1017">
            <v>524.75</v>
          </cell>
          <cell r="I1017" t="str">
            <v>Comprou Marcas</v>
          </cell>
        </row>
        <row r="1018">
          <cell r="A1018">
            <v>5088829000101</v>
          </cell>
          <cell r="B1018" t="str">
            <v>DROG MACHADO</v>
          </cell>
          <cell r="C1018" t="str">
            <v>INDEPENDENTES VIN</v>
          </cell>
          <cell r="D1018" t="str">
            <v>COLIDER</v>
          </cell>
          <cell r="E1018" t="str">
            <v>MT</v>
          </cell>
          <cell r="F1018">
            <v>46311</v>
          </cell>
          <cell r="G1018">
            <v>2026.1100000000001</v>
          </cell>
          <cell r="I1018" t="str">
            <v>Comprou Marcas</v>
          </cell>
        </row>
        <row r="1019">
          <cell r="A1019">
            <v>7139095000178</v>
          </cell>
          <cell r="B1019" t="str">
            <v>DROG LUCIA</v>
          </cell>
          <cell r="C1019" t="str">
            <v>FARMA &amp; FARMA</v>
          </cell>
          <cell r="D1019" t="str">
            <v>CASSILANDIA</v>
          </cell>
          <cell r="E1019" t="str">
            <v>MS</v>
          </cell>
          <cell r="I1019" t="str">
            <v>Não Comprou</v>
          </cell>
        </row>
        <row r="1020">
          <cell r="A1020">
            <v>5638726000178</v>
          </cell>
          <cell r="B1020" t="str">
            <v>DROG LIVRAMENTO</v>
          </cell>
          <cell r="C1020" t="str">
            <v>ASSOCIADAS</v>
          </cell>
          <cell r="D1020" t="str">
            <v>NOSSA SENHORA DO LIVRAMENTO</v>
          </cell>
          <cell r="E1020" t="str">
            <v>MT</v>
          </cell>
          <cell r="F1020">
            <v>46311</v>
          </cell>
          <cell r="G1020">
            <v>1869.2899999999997</v>
          </cell>
          <cell r="I1020" t="str">
            <v>Comprou Marcas</v>
          </cell>
        </row>
        <row r="1021">
          <cell r="A1021">
            <v>7734117000148</v>
          </cell>
          <cell r="B1021" t="str">
            <v>DROG LIMA</v>
          </cell>
          <cell r="C1021" t="str">
            <v>ASSOCIADAS</v>
          </cell>
          <cell r="D1021" t="str">
            <v>RONDONOPOLIS</v>
          </cell>
          <cell r="E1021" t="str">
            <v>MT</v>
          </cell>
          <cell r="F1021">
            <v>46310</v>
          </cell>
          <cell r="G1021">
            <v>137.85</v>
          </cell>
          <cell r="I1021" t="str">
            <v>Comprou Marcas</v>
          </cell>
        </row>
        <row r="1022">
          <cell r="A1022">
            <v>4336468000102</v>
          </cell>
          <cell r="B1022" t="str">
            <v>DROG LEITE BARBOSA</v>
          </cell>
          <cell r="C1022" t="str">
            <v>INDEPENDENTES VIN</v>
          </cell>
          <cell r="D1022" t="str">
            <v>CUIABA</v>
          </cell>
          <cell r="E1022" t="str">
            <v>MT</v>
          </cell>
          <cell r="F1022">
            <v>46304</v>
          </cell>
          <cell r="G1022">
            <v>363.68</v>
          </cell>
          <cell r="I1022" t="str">
            <v>Comprou Marcas</v>
          </cell>
        </row>
        <row r="1023">
          <cell r="A1023">
            <v>3110652000177</v>
          </cell>
          <cell r="B1023" t="str">
            <v>DROG L S DO NASCIMENTO</v>
          </cell>
          <cell r="C1023" t="str">
            <v>HIPER SAUDE</v>
          </cell>
          <cell r="D1023" t="str">
            <v>CANARANA</v>
          </cell>
          <cell r="E1023" t="str">
            <v>MT</v>
          </cell>
          <cell r="I1023" t="str">
            <v>Não Comprou</v>
          </cell>
        </row>
        <row r="1024">
          <cell r="A1024">
            <v>5244921000113</v>
          </cell>
          <cell r="B1024" t="str">
            <v>DROG JANINI</v>
          </cell>
          <cell r="C1024" t="str">
            <v>DSG FARMA</v>
          </cell>
          <cell r="D1024" t="str">
            <v>CASTILHO</v>
          </cell>
          <cell r="E1024" t="str">
            <v>SP</v>
          </cell>
          <cell r="I1024" t="str">
            <v>Não Comprou</v>
          </cell>
        </row>
        <row r="1025">
          <cell r="A1025">
            <v>3744695000104</v>
          </cell>
          <cell r="B1025" t="str">
            <v>DROG ITAPORA LTDA</v>
          </cell>
          <cell r="C1025" t="str">
            <v>ASSOCIADAS</v>
          </cell>
          <cell r="D1025" t="str">
            <v>ITAPORA</v>
          </cell>
          <cell r="E1025" t="str">
            <v>MS</v>
          </cell>
          <cell r="F1025">
            <v>46310</v>
          </cell>
          <cell r="G1025">
            <v>252.37</v>
          </cell>
          <cell r="I1025" t="str">
            <v>Comprou Marcas</v>
          </cell>
        </row>
        <row r="1026">
          <cell r="A1026">
            <v>2635097000134</v>
          </cell>
          <cell r="B1026" t="str">
            <v>DROG FLAVIO ASANO</v>
          </cell>
          <cell r="C1026" t="str">
            <v>INDEPENDENTES VIN</v>
          </cell>
          <cell r="D1026" t="str">
            <v>ARACATUBA</v>
          </cell>
          <cell r="E1026" t="str">
            <v>SP</v>
          </cell>
          <cell r="F1026">
            <v>46311</v>
          </cell>
          <cell r="G1026">
            <v>4091.8699999999994</v>
          </cell>
          <cell r="H1026">
            <v>1325.9099999999999</v>
          </cell>
          <cell r="I1026" t="str">
            <v>Comprou Marcas e SG</v>
          </cell>
        </row>
        <row r="1027">
          <cell r="A1027">
            <v>7556217000121</v>
          </cell>
          <cell r="B1027" t="str">
            <v>DROG FARMAVIDA</v>
          </cell>
          <cell r="C1027" t="str">
            <v>INDEPENDENTES VIN</v>
          </cell>
          <cell r="D1027" t="str">
            <v>MARTINOPOLIS</v>
          </cell>
          <cell r="E1027" t="str">
            <v>SP</v>
          </cell>
          <cell r="F1027">
            <v>46311</v>
          </cell>
          <cell r="H1027">
            <v>3831.81</v>
          </cell>
          <cell r="I1027" t="str">
            <v>Comprou SG</v>
          </cell>
        </row>
        <row r="1028">
          <cell r="A1028">
            <v>58750720000154</v>
          </cell>
          <cell r="B1028" t="str">
            <v>DROG FARMALAR</v>
          </cell>
          <cell r="C1028" t="str">
            <v>INDEPENDENTES VIN</v>
          </cell>
          <cell r="D1028" t="str">
            <v>ADAMANTINA</v>
          </cell>
          <cell r="E1028" t="str">
            <v>SP</v>
          </cell>
          <cell r="F1028">
            <v>46310</v>
          </cell>
          <cell r="G1028">
            <v>1490.89</v>
          </cell>
          <cell r="I1028" t="str">
            <v>Comprou Marcas</v>
          </cell>
        </row>
        <row r="1029">
          <cell r="A1029">
            <v>5340715000107</v>
          </cell>
          <cell r="B1029" t="str">
            <v>DROG FABIANA</v>
          </cell>
          <cell r="C1029" t="str">
            <v>INDEPENDENTES VIN</v>
          </cell>
          <cell r="D1029" t="str">
            <v>CAMPO GRANDE</v>
          </cell>
          <cell r="E1029" t="str">
            <v>MS</v>
          </cell>
          <cell r="F1029">
            <v>46308</v>
          </cell>
          <cell r="G1029">
            <v>2740.7999999999997</v>
          </cell>
          <cell r="I1029" t="str">
            <v>Comprou Marcas</v>
          </cell>
        </row>
        <row r="1030">
          <cell r="A1030">
            <v>3995944000134</v>
          </cell>
          <cell r="B1030" t="str">
            <v>DROG E PERF AMERICA</v>
          </cell>
          <cell r="C1030" t="str">
            <v>ASSOCIADAS</v>
          </cell>
          <cell r="D1030" t="str">
            <v>PRIMAVERA DO LESTE</v>
          </cell>
          <cell r="E1030" t="str">
            <v>MT</v>
          </cell>
          <cell r="F1030">
            <v>46311</v>
          </cell>
          <cell r="G1030">
            <v>4066.110000000001</v>
          </cell>
          <cell r="I1030" t="str">
            <v>Comprou Marcas</v>
          </cell>
        </row>
        <row r="1031">
          <cell r="A1031">
            <v>7220741000127</v>
          </cell>
          <cell r="B1031" t="str">
            <v>DROG DROGATEM</v>
          </cell>
          <cell r="C1031" t="str">
            <v>ASSOCIADAS</v>
          </cell>
          <cell r="D1031" t="str">
            <v>ARAGARCAS</v>
          </cell>
          <cell r="E1031" t="str">
            <v>GO</v>
          </cell>
          <cell r="F1031">
            <v>46310</v>
          </cell>
          <cell r="G1031">
            <v>726.04</v>
          </cell>
          <cell r="I1031" t="str">
            <v>Comprou Marcas</v>
          </cell>
        </row>
        <row r="1032">
          <cell r="A1032">
            <v>1996877000147</v>
          </cell>
          <cell r="B1032" t="str">
            <v>DROG DROGA NOVA</v>
          </cell>
          <cell r="C1032" t="str">
            <v>INDEPENDENTES VIN</v>
          </cell>
          <cell r="D1032" t="str">
            <v>SAO GABRIEL DO OESTE</v>
          </cell>
          <cell r="E1032" t="str">
            <v>MS</v>
          </cell>
          <cell r="I1032" t="str">
            <v>Não Comprou</v>
          </cell>
        </row>
        <row r="1033">
          <cell r="A1033">
            <v>3838252000182</v>
          </cell>
          <cell r="B1033" t="str">
            <v>DROG DROGA BOM JESUS</v>
          </cell>
          <cell r="C1033" t="str">
            <v>DSG FARMA</v>
          </cell>
          <cell r="D1033" t="str">
            <v>ARACATUBA</v>
          </cell>
          <cell r="E1033" t="str">
            <v>SP</v>
          </cell>
          <cell r="F1033">
            <v>46303</v>
          </cell>
          <cell r="G1033">
            <v>1077.7900000000002</v>
          </cell>
          <cell r="I1033" t="str">
            <v>Comprou Marcas</v>
          </cell>
        </row>
        <row r="1034">
          <cell r="A1034">
            <v>1727308000104</v>
          </cell>
          <cell r="B1034" t="str">
            <v>DROG CONFIANCA</v>
          </cell>
          <cell r="C1034" t="str">
            <v>ASSOCIADAS</v>
          </cell>
          <cell r="D1034" t="str">
            <v>PEDRA PRETA</v>
          </cell>
          <cell r="E1034" t="str">
            <v>MT</v>
          </cell>
          <cell r="F1034">
            <v>46310</v>
          </cell>
          <cell r="G1034">
            <v>137.85</v>
          </cell>
          <cell r="I1034" t="str">
            <v>Comprou Marcas</v>
          </cell>
        </row>
        <row r="1035">
          <cell r="A1035">
            <v>5398931000103</v>
          </cell>
          <cell r="B1035" t="str">
            <v>DROG CERTA</v>
          </cell>
          <cell r="C1035" t="str">
            <v>ASSOCIADAS</v>
          </cell>
          <cell r="D1035" t="str">
            <v>RONDONOPOLIS</v>
          </cell>
          <cell r="E1035" t="str">
            <v>MT</v>
          </cell>
          <cell r="F1035">
            <v>46310</v>
          </cell>
          <cell r="G1035">
            <v>137.85</v>
          </cell>
          <cell r="I1035" t="str">
            <v>Comprou Marcas</v>
          </cell>
        </row>
        <row r="1036">
          <cell r="A1036">
            <v>4225403000190</v>
          </cell>
          <cell r="B1036" t="str">
            <v>DROG CATARINENSE</v>
          </cell>
          <cell r="C1036" t="str">
            <v>INDEPENDENTES VIN</v>
          </cell>
          <cell r="D1036" t="str">
            <v>CANARANA</v>
          </cell>
          <cell r="E1036" t="str">
            <v>MT</v>
          </cell>
          <cell r="I1036" t="str">
            <v>Não Comprou</v>
          </cell>
        </row>
        <row r="1037">
          <cell r="A1037">
            <v>4268705000145</v>
          </cell>
          <cell r="B1037" t="str">
            <v>DROG BRASIL</v>
          </cell>
          <cell r="C1037" t="str">
            <v>ASSOCIADAS</v>
          </cell>
          <cell r="D1037" t="str">
            <v>MARACAJU</v>
          </cell>
          <cell r="E1037" t="str">
            <v>MS</v>
          </cell>
          <cell r="F1037">
            <v>46308</v>
          </cell>
          <cell r="G1037">
            <v>195.37</v>
          </cell>
          <cell r="I1037" t="str">
            <v>Comprou Marcas</v>
          </cell>
        </row>
        <row r="1038">
          <cell r="A1038">
            <v>7796647000110</v>
          </cell>
          <cell r="B1038" t="str">
            <v>DROG BRASIL</v>
          </cell>
          <cell r="C1038" t="str">
            <v>ASSOCIADAS</v>
          </cell>
          <cell r="D1038" t="str">
            <v>RONDONOPOLIS</v>
          </cell>
          <cell r="E1038" t="str">
            <v>MT</v>
          </cell>
          <cell r="F1038">
            <v>46310</v>
          </cell>
          <cell r="G1038">
            <v>137.85</v>
          </cell>
          <cell r="I1038" t="str">
            <v>Comprou Marcas</v>
          </cell>
        </row>
        <row r="1039">
          <cell r="A1039">
            <v>48464291000103</v>
          </cell>
          <cell r="B1039" t="str">
            <v>DROG BRASIL</v>
          </cell>
          <cell r="C1039" t="str">
            <v>DSG FARMA</v>
          </cell>
          <cell r="D1039" t="str">
            <v>GUARARAPES</v>
          </cell>
          <cell r="E1039" t="str">
            <v>SP</v>
          </cell>
          <cell r="F1039">
            <v>46311</v>
          </cell>
          <cell r="G1039">
            <v>2130.2799999999997</v>
          </cell>
          <cell r="H1039">
            <v>4494</v>
          </cell>
          <cell r="I1039" t="str">
            <v>Comprou Marcas e SG</v>
          </cell>
        </row>
        <row r="1040">
          <cell r="A1040">
            <v>10497520000105</v>
          </cell>
          <cell r="B1040" t="str">
            <v>DROG BOM JESUS PREVER</v>
          </cell>
          <cell r="C1040" t="str">
            <v>DROGARIA TOTAL</v>
          </cell>
          <cell r="D1040" t="str">
            <v>AVANHANDAVA</v>
          </cell>
          <cell r="E1040" t="str">
            <v>SP</v>
          </cell>
          <cell r="I1040" t="str">
            <v>Não Comprou</v>
          </cell>
        </row>
        <row r="1041">
          <cell r="A1041">
            <v>5233140000123</v>
          </cell>
          <cell r="B1041" t="str">
            <v>DROG BOA ESPERANCA</v>
          </cell>
          <cell r="C1041" t="str">
            <v>INDEPENDENTES VIN</v>
          </cell>
          <cell r="D1041" t="str">
            <v>MIRASSOL D'OESTE</v>
          </cell>
          <cell r="E1041" t="str">
            <v>MT</v>
          </cell>
          <cell r="I1041" t="str">
            <v>Não Comprou</v>
          </cell>
        </row>
        <row r="1042">
          <cell r="A1042">
            <v>2736133000156</v>
          </cell>
          <cell r="B1042" t="str">
            <v>DROG BIOFARMA</v>
          </cell>
          <cell r="C1042" t="str">
            <v>FARMA &amp; FARMA</v>
          </cell>
          <cell r="D1042" t="str">
            <v>CANARANA</v>
          </cell>
          <cell r="E1042" t="str">
            <v>MT</v>
          </cell>
          <cell r="F1042">
            <v>46308</v>
          </cell>
          <cell r="G1042">
            <v>395.30999999999995</v>
          </cell>
          <cell r="I1042" t="str">
            <v>Comprou Marcas</v>
          </cell>
        </row>
        <row r="1043">
          <cell r="A1043">
            <v>1559060000101</v>
          </cell>
          <cell r="B1043" t="str">
            <v>DROG AVENIDA</v>
          </cell>
          <cell r="C1043" t="str">
            <v>INDEPENDENTES VIN</v>
          </cell>
          <cell r="D1043" t="str">
            <v>IVINHEMA</v>
          </cell>
          <cell r="E1043" t="str">
            <v>MS</v>
          </cell>
          <cell r="F1043">
            <v>46308</v>
          </cell>
          <cell r="G1043">
            <v>453.49</v>
          </cell>
          <cell r="I1043" t="str">
            <v>Comprou Marcas</v>
          </cell>
        </row>
        <row r="1044">
          <cell r="A1044">
            <v>5639734000139</v>
          </cell>
          <cell r="B1044" t="str">
            <v>DROG AVENIDA</v>
          </cell>
          <cell r="C1044" t="str">
            <v>HIPER SAUDE</v>
          </cell>
          <cell r="D1044" t="str">
            <v>ALTO ARAGUAIA</v>
          </cell>
          <cell r="E1044" t="str">
            <v>MT</v>
          </cell>
          <cell r="I1044" t="str">
            <v>Não Comprou</v>
          </cell>
        </row>
        <row r="1045">
          <cell r="A1045">
            <v>6935814000102</v>
          </cell>
          <cell r="B1045" t="str">
            <v>DROG ATUAL</v>
          </cell>
          <cell r="C1045" t="str">
            <v>ASSOCIADAS</v>
          </cell>
          <cell r="D1045" t="str">
            <v>NAVIRAI</v>
          </cell>
          <cell r="E1045" t="str">
            <v>MS</v>
          </cell>
          <cell r="F1045">
            <v>46304</v>
          </cell>
          <cell r="G1045">
            <v>1969.36</v>
          </cell>
          <cell r="I1045" t="str">
            <v>Comprou Marcas</v>
          </cell>
        </row>
        <row r="1046">
          <cell r="A1046">
            <v>8600885000171</v>
          </cell>
          <cell r="B1046" t="str">
            <v>DROG ARENAPOLIS</v>
          </cell>
          <cell r="C1046" t="str">
            <v>ASSOCIADAS</v>
          </cell>
          <cell r="D1046" t="str">
            <v>ARENAPOLIS</v>
          </cell>
          <cell r="E1046" t="str">
            <v>MT</v>
          </cell>
          <cell r="F1046">
            <v>46310</v>
          </cell>
          <cell r="G1046">
            <v>1457.3999999999999</v>
          </cell>
          <cell r="I1046" t="str">
            <v>Comprou Marcas</v>
          </cell>
        </row>
        <row r="1047">
          <cell r="A1047">
            <v>72834344000107</v>
          </cell>
          <cell r="B1047" t="str">
            <v>DROG AGUAPE</v>
          </cell>
          <cell r="C1047" t="str">
            <v>INDEPENDENTES VIN</v>
          </cell>
          <cell r="D1047" t="str">
            <v>VALPARAISO</v>
          </cell>
          <cell r="E1047" t="str">
            <v>SP</v>
          </cell>
          <cell r="F1047">
            <v>46311</v>
          </cell>
          <cell r="G1047">
            <v>466.34</v>
          </cell>
          <cell r="I1047" t="str">
            <v>Comprou Marcas</v>
          </cell>
        </row>
        <row r="1048">
          <cell r="A1048">
            <v>34607195000154</v>
          </cell>
          <cell r="B1048" t="str">
            <v>DR DIELGUE FARMA</v>
          </cell>
          <cell r="C1048" t="str">
            <v>INDEPENDENTES VIN</v>
          </cell>
          <cell r="D1048" t="str">
            <v>AGUA CLARA</v>
          </cell>
          <cell r="E1048" t="str">
            <v>MS</v>
          </cell>
          <cell r="I1048" t="str">
            <v>Não Comprou</v>
          </cell>
        </row>
        <row r="1049">
          <cell r="A1049">
            <v>10689094000101</v>
          </cell>
          <cell r="B1049" t="str">
            <v>DOSE UNICA MEDICAMENTOS</v>
          </cell>
          <cell r="C1049" t="str">
            <v>ASSOCIADAS</v>
          </cell>
          <cell r="D1049" t="str">
            <v>ARAGARCAS</v>
          </cell>
          <cell r="E1049" t="str">
            <v>GO</v>
          </cell>
          <cell r="I1049" t="str">
            <v>Não Comprou</v>
          </cell>
        </row>
        <row r="1050">
          <cell r="A1050">
            <v>33780608000135</v>
          </cell>
          <cell r="B1050" t="str">
            <v>DORGA NOSSA</v>
          </cell>
          <cell r="C1050" t="str">
            <v>INDEPENDENTES VIN</v>
          </cell>
          <cell r="D1050" t="str">
            <v>JUINA</v>
          </cell>
          <cell r="E1050" t="str">
            <v>MT</v>
          </cell>
          <cell r="F1050">
            <v>46304</v>
          </cell>
          <cell r="G1050">
            <v>3203.74</v>
          </cell>
          <cell r="I1050" t="str">
            <v>Comprou Marcas</v>
          </cell>
        </row>
        <row r="1051">
          <cell r="A1051">
            <v>12113721000197</v>
          </cell>
          <cell r="B1051" t="str">
            <v>DOGRARIA MALACRIDA</v>
          </cell>
          <cell r="C1051" t="str">
            <v>MASTERFARMA</v>
          </cell>
          <cell r="D1051" t="str">
            <v>REGENTE FEIJO</v>
          </cell>
          <cell r="E1051" t="str">
            <v>SP</v>
          </cell>
          <cell r="F1051">
            <v>46311</v>
          </cell>
          <cell r="G1051">
            <v>1449.7400000000002</v>
          </cell>
          <cell r="H1051">
            <v>1716.03</v>
          </cell>
          <cell r="I1051" t="str">
            <v>Comprou Marcas e SG</v>
          </cell>
        </row>
        <row r="1052">
          <cell r="A1052">
            <v>50038493000127</v>
          </cell>
          <cell r="B1052" t="str">
            <v>DIVINA FARMA</v>
          </cell>
          <cell r="C1052" t="str">
            <v>INDEPENDENTES VIN</v>
          </cell>
          <cell r="D1052" t="str">
            <v>RIO BRILHANTE</v>
          </cell>
          <cell r="E1052" t="str">
            <v>MS</v>
          </cell>
          <cell r="F1052">
            <v>46311</v>
          </cell>
          <cell r="G1052">
            <v>2247.0800000000004</v>
          </cell>
          <cell r="I1052" t="str">
            <v>Comprou Marcas</v>
          </cell>
        </row>
        <row r="1053">
          <cell r="A1053">
            <v>36886133000154</v>
          </cell>
          <cell r="B1053" t="str">
            <v>DISC FARMA</v>
          </cell>
          <cell r="C1053" t="str">
            <v>INDEPENDENTES VIN</v>
          </cell>
          <cell r="D1053" t="str">
            <v>MIRASSOL D'OESTE</v>
          </cell>
          <cell r="E1053" t="str">
            <v>MT</v>
          </cell>
          <cell r="I1053" t="str">
            <v>Não Comprou</v>
          </cell>
        </row>
        <row r="1054">
          <cell r="A1054">
            <v>10779654000119</v>
          </cell>
          <cell r="B1054" t="str">
            <v>DIFARMA</v>
          </cell>
          <cell r="C1054" t="str">
            <v>INDEPENDENTES VIN</v>
          </cell>
          <cell r="D1054" t="str">
            <v>NOVO DIAMANTINO (DIAMANTINO)</v>
          </cell>
          <cell r="E1054" t="str">
            <v>MT</v>
          </cell>
          <cell r="F1054">
            <v>46304</v>
          </cell>
          <cell r="G1054">
            <v>718.26</v>
          </cell>
          <cell r="I1054" t="str">
            <v>Comprou Marcas</v>
          </cell>
        </row>
        <row r="1055">
          <cell r="A1055">
            <v>10272710000124</v>
          </cell>
          <cell r="B1055" t="str">
            <v>CRIS FARMA</v>
          </cell>
          <cell r="C1055" t="str">
            <v>INDEPENDENTES VIN</v>
          </cell>
          <cell r="D1055" t="str">
            <v>RIO BRILHANTE</v>
          </cell>
          <cell r="E1055" t="str">
            <v>MS</v>
          </cell>
          <cell r="F1055">
            <v>46308</v>
          </cell>
          <cell r="G1055">
            <v>557.9</v>
          </cell>
          <cell r="I1055" t="str">
            <v>Comprou Marcas</v>
          </cell>
        </row>
        <row r="1056">
          <cell r="A1056">
            <v>60706953000100</v>
          </cell>
          <cell r="B1056" t="str">
            <v>CONSULTE FARMA</v>
          </cell>
          <cell r="C1056" t="str">
            <v>MASTERFARMA</v>
          </cell>
          <cell r="D1056" t="str">
            <v>TRES LAGOAS</v>
          </cell>
          <cell r="E1056" t="str">
            <v>MS</v>
          </cell>
          <cell r="I1056" t="str">
            <v>Não Comprou</v>
          </cell>
        </row>
        <row r="1057">
          <cell r="A1057">
            <v>46943757000110</v>
          </cell>
          <cell r="B1057" t="str">
            <v>COMERCIAL DE MEDICAMENTOS E PERFUMARIA CANAZUE</v>
          </cell>
          <cell r="C1057" t="str">
            <v>ASSOCIADAS</v>
          </cell>
          <cell r="D1057" t="str">
            <v>CUIABA</v>
          </cell>
          <cell r="E1057" t="str">
            <v>MT</v>
          </cell>
          <cell r="I1057" t="str">
            <v>Não Comprou</v>
          </cell>
        </row>
        <row r="1058">
          <cell r="A1058">
            <v>32844150000178</v>
          </cell>
          <cell r="B1058" t="str">
            <v>CLAUDINEI SARTORI DROGARIA</v>
          </cell>
          <cell r="C1058" t="str">
            <v>DSG FARMA</v>
          </cell>
          <cell r="D1058" t="str">
            <v>ARACATUBA</v>
          </cell>
          <cell r="E1058" t="str">
            <v>SP</v>
          </cell>
          <cell r="F1058">
            <v>46301</v>
          </cell>
          <cell r="H1058">
            <v>4645.1000000000004</v>
          </cell>
          <cell r="I1058" t="str">
            <v>Comprou SG</v>
          </cell>
        </row>
        <row r="1059">
          <cell r="A1059">
            <v>42917127000110</v>
          </cell>
          <cell r="B1059" t="str">
            <v>CIRURGICA VIANA LTDA</v>
          </cell>
          <cell r="C1059" t="str">
            <v>INDEPENDENTES VIN</v>
          </cell>
          <cell r="D1059" t="str">
            <v>PRESIDENTE PRUDENTE</v>
          </cell>
          <cell r="E1059" t="str">
            <v>SP</v>
          </cell>
          <cell r="F1059">
            <v>46302</v>
          </cell>
          <cell r="G1059">
            <v>132.08000000000001</v>
          </cell>
          <cell r="I1059" t="str">
            <v>Comprou Marcas</v>
          </cell>
        </row>
        <row r="1060">
          <cell r="A1060">
            <v>22646643000140</v>
          </cell>
          <cell r="B1060" t="str">
            <v>CENTROFARMA</v>
          </cell>
          <cell r="C1060" t="str">
            <v>INDEPENDENTES VIN</v>
          </cell>
          <cell r="D1060" t="str">
            <v>FATIMA DO SUL</v>
          </cell>
          <cell r="E1060" t="str">
            <v>MS</v>
          </cell>
          <cell r="F1060">
            <v>46308</v>
          </cell>
          <cell r="G1060">
            <v>471.01</v>
          </cell>
          <cell r="I1060" t="str">
            <v>Comprou Marcas</v>
          </cell>
        </row>
        <row r="1061">
          <cell r="A1061">
            <v>8954952000156</v>
          </cell>
          <cell r="B1061" t="str">
            <v>CENTRAL FARMA</v>
          </cell>
          <cell r="C1061" t="str">
            <v>MASTERFARMA</v>
          </cell>
          <cell r="D1061" t="str">
            <v>SINOP</v>
          </cell>
          <cell r="E1061" t="str">
            <v>MT</v>
          </cell>
          <cell r="F1061">
            <v>46308</v>
          </cell>
          <cell r="G1061">
            <v>1392.72</v>
          </cell>
          <cell r="H1061">
            <v>3283.0699999999997</v>
          </cell>
          <cell r="I1061" t="str">
            <v>Comprou Marcas e SG</v>
          </cell>
        </row>
        <row r="1062">
          <cell r="A1062">
            <v>8954952000237</v>
          </cell>
          <cell r="B1062" t="str">
            <v>CENTRAL FARMA</v>
          </cell>
          <cell r="C1062" t="str">
            <v>MASTERFARMA</v>
          </cell>
          <cell r="D1062" t="str">
            <v>SINOP</v>
          </cell>
          <cell r="E1062" t="str">
            <v>MT</v>
          </cell>
          <cell r="F1062">
            <v>46309</v>
          </cell>
          <cell r="G1062">
            <v>2861.2599999999998</v>
          </cell>
          <cell r="H1062">
            <v>3856.33</v>
          </cell>
          <cell r="I1062" t="str">
            <v>Comprou Marcas e SG</v>
          </cell>
        </row>
        <row r="1063">
          <cell r="A1063">
            <v>8954952000318</v>
          </cell>
          <cell r="B1063" t="str">
            <v>CENTRAL FARMA</v>
          </cell>
          <cell r="C1063" t="str">
            <v>MASTERFARMA</v>
          </cell>
          <cell r="D1063" t="str">
            <v>SINOP</v>
          </cell>
          <cell r="E1063" t="str">
            <v>MT</v>
          </cell>
          <cell r="F1063">
            <v>46309</v>
          </cell>
          <cell r="G1063">
            <v>5596.6299999999992</v>
          </cell>
          <cell r="H1063">
            <v>2194.52</v>
          </cell>
          <cell r="I1063" t="str">
            <v>Comprou Marcas e SG</v>
          </cell>
        </row>
        <row r="1064">
          <cell r="A1064">
            <v>8954952000407</v>
          </cell>
          <cell r="B1064" t="str">
            <v>CENTRAL FARMA</v>
          </cell>
          <cell r="C1064" t="str">
            <v>MASTERFARMA</v>
          </cell>
          <cell r="D1064" t="str">
            <v>SINOP</v>
          </cell>
          <cell r="E1064" t="str">
            <v>MT</v>
          </cell>
          <cell r="F1064">
            <v>46309</v>
          </cell>
          <cell r="G1064">
            <v>2181.9</v>
          </cell>
          <cell r="H1064">
            <v>1828.09</v>
          </cell>
          <cell r="I1064" t="str">
            <v>Comprou Marcas e SG</v>
          </cell>
        </row>
        <row r="1065">
          <cell r="A1065">
            <v>28059864000106</v>
          </cell>
          <cell r="B1065" t="str">
            <v>CARLOS EDUARDO MARCILIO ANHANI &amp; CIA (FARMACIA)</v>
          </cell>
          <cell r="C1065" t="str">
            <v>FARMARCAS</v>
          </cell>
          <cell r="D1065" t="str">
            <v>VALPARAISO</v>
          </cell>
          <cell r="E1065" t="str">
            <v>SP</v>
          </cell>
          <cell r="F1065">
            <v>46311</v>
          </cell>
          <cell r="G1065">
            <v>361.69</v>
          </cell>
          <cell r="I1065" t="str">
            <v>Comprou Marcas</v>
          </cell>
        </row>
        <row r="1066">
          <cell r="A1066">
            <v>44692168001403</v>
          </cell>
          <cell r="B1066" t="str">
            <v>CAASP</v>
          </cell>
          <cell r="C1066" t="str">
            <v>CAASP</v>
          </cell>
          <cell r="D1066" t="str">
            <v>PRESIDENTE PRUDENTE</v>
          </cell>
          <cell r="E1066" t="str">
            <v>SP</v>
          </cell>
          <cell r="F1066">
            <v>46304</v>
          </cell>
          <cell r="G1066">
            <v>1101.6799999999998</v>
          </cell>
          <cell r="I1066" t="str">
            <v>Comprou Marcas</v>
          </cell>
        </row>
        <row r="1067">
          <cell r="A1067">
            <v>44692168001071</v>
          </cell>
          <cell r="B1067" t="str">
            <v>CAASP</v>
          </cell>
          <cell r="C1067" t="str">
            <v>CAASP</v>
          </cell>
          <cell r="D1067" t="str">
            <v>ARACATUBA</v>
          </cell>
          <cell r="E1067" t="str">
            <v>SP</v>
          </cell>
          <cell r="F1067">
            <v>46304</v>
          </cell>
          <cell r="G1067">
            <v>692.94</v>
          </cell>
          <cell r="I1067" t="str">
            <v>Comprou Marcas</v>
          </cell>
        </row>
        <row r="1068">
          <cell r="A1068">
            <v>27545412000406</v>
          </cell>
          <cell r="B1068" t="str">
            <v>C. J. DA SILVA &amp; CIA</v>
          </cell>
          <cell r="C1068" t="str">
            <v>FARMARCAS</v>
          </cell>
          <cell r="D1068" t="str">
            <v>DIAMANTINO</v>
          </cell>
          <cell r="E1068" t="str">
            <v>MT</v>
          </cell>
          <cell r="F1068">
            <v>46311</v>
          </cell>
          <cell r="G1068">
            <v>5454.5000000000009</v>
          </cell>
          <cell r="I1068" t="str">
            <v>Comprou Marcas</v>
          </cell>
        </row>
        <row r="1069">
          <cell r="A1069">
            <v>50346593000110</v>
          </cell>
          <cell r="B1069" t="str">
            <v>BRANCO FARMA</v>
          </cell>
          <cell r="C1069" t="str">
            <v>FARMELHOR</v>
          </cell>
          <cell r="D1069" t="str">
            <v>CANARANA</v>
          </cell>
          <cell r="E1069" t="str">
            <v>MT</v>
          </cell>
          <cell r="I1069" t="str">
            <v>Não Comprou</v>
          </cell>
        </row>
        <row r="1070">
          <cell r="A1070">
            <v>12050037000103</v>
          </cell>
          <cell r="B1070" t="str">
            <v>BIOFARMA</v>
          </cell>
          <cell r="C1070" t="str">
            <v>MASTERFARMA</v>
          </cell>
          <cell r="D1070" t="str">
            <v>TANGARA DA SERRA</v>
          </cell>
          <cell r="E1070" t="str">
            <v>MT</v>
          </cell>
          <cell r="F1070">
            <v>46310</v>
          </cell>
          <cell r="G1070">
            <v>586.76</v>
          </cell>
          <cell r="I1070" t="str">
            <v>Comprou Marcas</v>
          </cell>
        </row>
        <row r="1071">
          <cell r="A1071">
            <v>21769166000309</v>
          </cell>
          <cell r="B1071" t="str">
            <v>BIOFARMA</v>
          </cell>
          <cell r="C1071" t="str">
            <v>MASTERFARMA</v>
          </cell>
          <cell r="D1071" t="str">
            <v>NOVA OLIMPIA</v>
          </cell>
          <cell r="E1071" t="str">
            <v>MT</v>
          </cell>
          <cell r="I1071" t="str">
            <v>Não Comprou</v>
          </cell>
        </row>
        <row r="1072">
          <cell r="A1072">
            <v>8967701000106</v>
          </cell>
          <cell r="B1072" t="str">
            <v>BIOFARMA</v>
          </cell>
          <cell r="C1072" t="str">
            <v>INDEPENDENTES VIN</v>
          </cell>
          <cell r="D1072" t="str">
            <v>APARECIDA DO TABOADO</v>
          </cell>
          <cell r="E1072" t="str">
            <v>MS</v>
          </cell>
          <cell r="F1072">
            <v>46303</v>
          </cell>
          <cell r="G1072">
            <v>488.13999999999993</v>
          </cell>
          <cell r="I1072" t="str">
            <v>Comprou Marcas</v>
          </cell>
        </row>
        <row r="1073">
          <cell r="A1073">
            <v>32641091000130</v>
          </cell>
          <cell r="B1073" t="str">
            <v>BIOFARDROGAS</v>
          </cell>
          <cell r="C1073" t="str">
            <v>BIOFARDROGAS</v>
          </cell>
          <cell r="D1073" t="str">
            <v>PROMISSAO</v>
          </cell>
          <cell r="E1073" t="str">
            <v>SP</v>
          </cell>
          <cell r="I1073" t="str">
            <v>Não Comprou</v>
          </cell>
        </row>
        <row r="1074">
          <cell r="A1074">
            <v>41677342000128</v>
          </cell>
          <cell r="B1074" t="str">
            <v>BIG FARMA POPULAR</v>
          </cell>
          <cell r="C1074" t="str">
            <v>INDEPENDENTES VIN</v>
          </cell>
          <cell r="D1074" t="str">
            <v>VARZEA GRANDE</v>
          </cell>
          <cell r="E1074" t="str">
            <v>MT</v>
          </cell>
          <cell r="F1074">
            <v>46310</v>
          </cell>
          <cell r="G1074">
            <v>137.85</v>
          </cell>
          <cell r="I1074" t="str">
            <v>Comprou Marcas</v>
          </cell>
        </row>
        <row r="1075">
          <cell r="A1075">
            <v>9465779000195</v>
          </cell>
          <cell r="B1075" t="str">
            <v>BETAFARMA</v>
          </cell>
          <cell r="C1075" t="str">
            <v>INDEPENDENTES VIN</v>
          </cell>
          <cell r="D1075" t="str">
            <v>ARENAPOLIS</v>
          </cell>
          <cell r="E1075" t="str">
            <v>MT</v>
          </cell>
          <cell r="I1075" t="str">
            <v>Não Comprou</v>
          </cell>
        </row>
        <row r="1076">
          <cell r="A1076">
            <v>48669698000169</v>
          </cell>
          <cell r="B1076" t="str">
            <v>BEM POPULAR BRASIL</v>
          </cell>
          <cell r="C1076" t="str">
            <v>COMPRE BEM</v>
          </cell>
          <cell r="D1076" t="str">
            <v>BRASNORTE</v>
          </cell>
          <cell r="E1076" t="str">
            <v>MT</v>
          </cell>
          <cell r="I1076" t="str">
            <v>Não Comprou</v>
          </cell>
        </row>
        <row r="1077">
          <cell r="A1077">
            <v>53446228000176</v>
          </cell>
          <cell r="B1077" t="str">
            <v>BEM POPULAR BRASIL</v>
          </cell>
          <cell r="C1077" t="str">
            <v>COMPRE BEM</v>
          </cell>
          <cell r="D1077" t="str">
            <v>ALTO ARAGUAIA</v>
          </cell>
          <cell r="E1077" t="str">
            <v>MT</v>
          </cell>
          <cell r="I1077" t="str">
            <v>Não Comprou</v>
          </cell>
        </row>
        <row r="1078">
          <cell r="A1078">
            <v>3300964000143</v>
          </cell>
          <cell r="B1078" t="str">
            <v>BELLA PHARMA - FARMACIA E MANIPULACAO</v>
          </cell>
          <cell r="C1078" t="str">
            <v>ASSOCIADAS</v>
          </cell>
          <cell r="D1078" t="str">
            <v>APARECIDA DO TABOADO</v>
          </cell>
          <cell r="E1078" t="str">
            <v>MS</v>
          </cell>
          <cell r="F1078">
            <v>46310</v>
          </cell>
          <cell r="G1078">
            <v>194.67</v>
          </cell>
          <cell r="I1078" t="str">
            <v>Comprou Marcas</v>
          </cell>
        </row>
        <row r="1079">
          <cell r="A1079">
            <v>35008629000162</v>
          </cell>
          <cell r="B1079" t="str">
            <v>BEC COMERCIO DE MEDICAMENTOS FARMACIA</v>
          </cell>
          <cell r="C1079" t="str">
            <v>MASTERFARMA</v>
          </cell>
          <cell r="D1079" t="str">
            <v>CAMPO GRANDE</v>
          </cell>
          <cell r="E1079" t="str">
            <v>MS</v>
          </cell>
          <cell r="F1079">
            <v>46308</v>
          </cell>
          <cell r="G1079">
            <v>115.8</v>
          </cell>
          <cell r="I1079" t="str">
            <v>Comprou Marcas</v>
          </cell>
        </row>
        <row r="1080">
          <cell r="A1080">
            <v>34959930000199</v>
          </cell>
          <cell r="B1080" t="str">
            <v>ATUAL FARMA</v>
          </cell>
          <cell r="C1080" t="str">
            <v>HIPER SAUDE</v>
          </cell>
          <cell r="D1080" t="str">
            <v>BATAGUASSU</v>
          </cell>
          <cell r="E1080" t="str">
            <v>MS</v>
          </cell>
          <cell r="F1080">
            <v>46303</v>
          </cell>
          <cell r="G1080">
            <v>1600.1400000000003</v>
          </cell>
          <cell r="I1080" t="str">
            <v>Comprou Marcas</v>
          </cell>
        </row>
        <row r="1081">
          <cell r="A1081">
            <v>12741296000180</v>
          </cell>
          <cell r="B1081" t="str">
            <v>ASTOLFI DROGARIA</v>
          </cell>
          <cell r="C1081" t="str">
            <v>HIPER SAUDE</v>
          </cell>
          <cell r="D1081" t="str">
            <v>PROMISSAO</v>
          </cell>
          <cell r="E1081" t="str">
            <v>SP</v>
          </cell>
          <cell r="F1081">
            <v>46303</v>
          </cell>
          <cell r="G1081">
            <v>361.34000000000003</v>
          </cell>
          <cell r="H1081">
            <v>2034.6</v>
          </cell>
          <cell r="I1081" t="str">
            <v>Comprou Marcas e SG</v>
          </cell>
        </row>
        <row r="1082">
          <cell r="A1082">
            <v>1531920000107</v>
          </cell>
          <cell r="B1082" t="str">
            <v>ARAL FARMA</v>
          </cell>
          <cell r="C1082" t="str">
            <v>ASSOCIADAS</v>
          </cell>
          <cell r="D1082" t="str">
            <v>ARAL MOREIRA</v>
          </cell>
          <cell r="E1082" t="str">
            <v>MS</v>
          </cell>
          <cell r="F1082">
            <v>46311</v>
          </cell>
          <cell r="G1082">
            <v>6574.6999999999989</v>
          </cell>
          <cell r="I1082" t="str">
            <v>Comprou Marcas</v>
          </cell>
        </row>
        <row r="1083">
          <cell r="A1083">
            <v>28760598000136</v>
          </cell>
          <cell r="B1083" t="str">
            <v>ARAGUAIA FARMA</v>
          </cell>
          <cell r="C1083" t="str">
            <v>INDEPENDENTES VIN</v>
          </cell>
          <cell r="D1083" t="str">
            <v>BARRA DO GARCAS</v>
          </cell>
          <cell r="E1083" t="str">
            <v>MT</v>
          </cell>
          <cell r="I1083" t="str">
            <v>Não Comprou</v>
          </cell>
        </row>
        <row r="1084">
          <cell r="A1084">
            <v>62028636000107</v>
          </cell>
          <cell r="B1084" t="str">
            <v>ANTONIO CLAUDIO TALON</v>
          </cell>
          <cell r="C1084" t="str">
            <v>ASSOCIADAS</v>
          </cell>
          <cell r="D1084" t="str">
            <v>BATAGUASSU</v>
          </cell>
          <cell r="E1084" t="str">
            <v>MS</v>
          </cell>
          <cell r="F1084">
            <v>46311</v>
          </cell>
          <cell r="G1084">
            <v>1575.1799999999998</v>
          </cell>
          <cell r="I1084" t="str">
            <v>Comprou Marcas</v>
          </cell>
        </row>
        <row r="1085">
          <cell r="A1085">
            <v>5113547000117</v>
          </cell>
          <cell r="B1085" t="str">
            <v>ANAFARMA</v>
          </cell>
          <cell r="C1085" t="str">
            <v>INDEPENDENTES VIN</v>
          </cell>
          <cell r="D1085" t="str">
            <v>PIRAPOZINHO</v>
          </cell>
          <cell r="E1085" t="str">
            <v>SP</v>
          </cell>
          <cell r="F1085">
            <v>46311</v>
          </cell>
          <cell r="G1085">
            <v>3735.5399999999991</v>
          </cell>
          <cell r="I1085" t="str">
            <v>Comprou Marcas</v>
          </cell>
        </row>
        <row r="1086">
          <cell r="A1086">
            <v>24248641000128</v>
          </cell>
          <cell r="B1086" t="str">
            <v>AMPLA FARMA</v>
          </cell>
          <cell r="C1086" t="str">
            <v>INDEPENDENTES VIN</v>
          </cell>
          <cell r="D1086" t="str">
            <v>TRES LAGOAS</v>
          </cell>
          <cell r="E1086" t="str">
            <v>MS</v>
          </cell>
          <cell r="F1086">
            <v>46304</v>
          </cell>
          <cell r="G1086">
            <v>745.04</v>
          </cell>
          <cell r="I1086" t="str">
            <v>Comprou Marcas</v>
          </cell>
        </row>
        <row r="1087">
          <cell r="A1087">
            <v>18919955000102</v>
          </cell>
          <cell r="B1087" t="str">
            <v>AMERICANA SAUDE</v>
          </cell>
          <cell r="C1087" t="str">
            <v>INDEPENDENTES VIN</v>
          </cell>
          <cell r="D1087" t="str">
            <v>PONTES E LACERDA</v>
          </cell>
          <cell r="E1087" t="str">
            <v>MT</v>
          </cell>
          <cell r="F1087">
            <v>46310</v>
          </cell>
          <cell r="G1087">
            <v>3733.6000000000004</v>
          </cell>
          <cell r="I1087" t="str">
            <v>Comprou Marcas</v>
          </cell>
        </row>
        <row r="1088">
          <cell r="A1088">
            <v>18919955000293</v>
          </cell>
          <cell r="B1088" t="str">
            <v>AMERICANA SAUDE</v>
          </cell>
          <cell r="C1088" t="str">
            <v>INDEPENDENTES VIN</v>
          </cell>
          <cell r="D1088" t="str">
            <v>PONTES E LACERDA</v>
          </cell>
          <cell r="E1088" t="str">
            <v>MT</v>
          </cell>
          <cell r="I1088" t="str">
            <v>Não Comprou</v>
          </cell>
        </row>
        <row r="1089">
          <cell r="A1089">
            <v>62392356000175</v>
          </cell>
          <cell r="B1089" t="str">
            <v>ALVORADA FARMA</v>
          </cell>
          <cell r="C1089" t="str">
            <v>ASSOCIADAS</v>
          </cell>
          <cell r="D1089" t="str">
            <v>DOURADOS</v>
          </cell>
          <cell r="E1089" t="str">
            <v>MS</v>
          </cell>
          <cell r="F1089">
            <v>46310</v>
          </cell>
          <cell r="G1089">
            <v>6231.5900000000011</v>
          </cell>
          <cell r="I1089" t="str">
            <v>Comprou Marcas</v>
          </cell>
        </row>
        <row r="1090">
          <cell r="A1090">
            <v>20397408000156</v>
          </cell>
          <cell r="B1090" t="str">
            <v>ALTA FARMA</v>
          </cell>
          <cell r="C1090" t="str">
            <v>INDEPENDENTES VIN</v>
          </cell>
          <cell r="D1090" t="str">
            <v>CAMPO VERDE</v>
          </cell>
          <cell r="E1090" t="str">
            <v>MT</v>
          </cell>
          <cell r="I1090" t="str">
            <v>Não Comprou</v>
          </cell>
        </row>
        <row r="1091">
          <cell r="A1091">
            <v>4433837000185</v>
          </cell>
          <cell r="B1091" t="str">
            <v>ACAO FARMA</v>
          </cell>
          <cell r="C1091" t="str">
            <v>REDE SMALLFARMA</v>
          </cell>
          <cell r="D1091" t="str">
            <v>PRESIDENTE PRUDENTE</v>
          </cell>
          <cell r="E1091" t="str">
            <v>SP</v>
          </cell>
          <cell r="I1091" t="str">
            <v>Não Comprou</v>
          </cell>
        </row>
        <row r="1092">
          <cell r="A1092">
            <v>36728431000388</v>
          </cell>
          <cell r="B1092" t="str">
            <v>ABRE FARMA COMERCIO DE MEDICAMENTOS E PERFUMARIA</v>
          </cell>
          <cell r="C1092" t="str">
            <v>FARMARCAS</v>
          </cell>
          <cell r="D1092" t="str">
            <v>CAMPO GRANDE</v>
          </cell>
          <cell r="E1092" t="str">
            <v>MS</v>
          </cell>
          <cell r="F1092">
            <v>46309</v>
          </cell>
          <cell r="G1092">
            <v>4685.8599999999997</v>
          </cell>
          <cell r="I1092" t="str">
            <v>Comprou Marcas</v>
          </cell>
        </row>
        <row r="1093">
          <cell r="A1093">
            <v>36728431000469</v>
          </cell>
          <cell r="B1093" t="str">
            <v>ABRE FARMA</v>
          </cell>
          <cell r="C1093" t="str">
            <v>FARMARCAS</v>
          </cell>
          <cell r="D1093" t="str">
            <v>CAMPO GRANDE</v>
          </cell>
          <cell r="E1093" t="str">
            <v>MS</v>
          </cell>
          <cell r="F1093">
            <v>46309</v>
          </cell>
          <cell r="G1093">
            <v>2164.34</v>
          </cell>
          <cell r="I1093" t="str">
            <v>Comprou Marcas</v>
          </cell>
        </row>
        <row r="1094">
          <cell r="A1094">
            <v>35588327000100</v>
          </cell>
          <cell r="B1094" t="str">
            <v>7 PHARMA</v>
          </cell>
          <cell r="C1094" t="str">
            <v>ASSOCIADAS</v>
          </cell>
          <cell r="D1094" t="str">
            <v>TRES LAGOAS</v>
          </cell>
          <cell r="E1094" t="str">
            <v>MS</v>
          </cell>
          <cell r="I1094" t="str">
            <v>Não Comprou</v>
          </cell>
        </row>
        <row r="1095">
          <cell r="A1095">
            <v>46018910000100</v>
          </cell>
          <cell r="B1095" t="str">
            <v>7 PHARMA</v>
          </cell>
          <cell r="C1095" t="str">
            <v>ASSOCIADAS</v>
          </cell>
          <cell r="D1095" t="str">
            <v>TRES LAGOAS</v>
          </cell>
          <cell r="E1095" t="str">
            <v>MS</v>
          </cell>
          <cell r="I1095" t="str">
            <v>Não Comprou</v>
          </cell>
        </row>
        <row r="1096">
          <cell r="A1096">
            <v>52852354000168</v>
          </cell>
          <cell r="B1096" t="str">
            <v>7 PHARMA</v>
          </cell>
          <cell r="C1096" t="str">
            <v>ASSOCIADAS</v>
          </cell>
          <cell r="D1096" t="str">
            <v>TRES LAGOAS</v>
          </cell>
          <cell r="E1096" t="str">
            <v>MS</v>
          </cell>
          <cell r="F1096">
            <v>46303</v>
          </cell>
          <cell r="G1096">
            <v>2148.46</v>
          </cell>
          <cell r="I1096" t="str">
            <v>Comprou Marcas</v>
          </cell>
        </row>
        <row r="1097">
          <cell r="A1097">
            <v>53091979000117</v>
          </cell>
          <cell r="B1097" t="str">
            <v>7 PHARMA</v>
          </cell>
          <cell r="C1097" t="str">
            <v>ASSOCIADAS</v>
          </cell>
          <cell r="D1097" t="str">
            <v>TRES LAGOAS</v>
          </cell>
          <cell r="E1097" t="str">
            <v>MS</v>
          </cell>
          <cell r="I1097" t="str">
            <v>Não Comprou</v>
          </cell>
        </row>
        <row r="1098">
          <cell r="A1098">
            <v>61144743000120</v>
          </cell>
          <cell r="B1098" t="str">
            <v>7 PHARMA</v>
          </cell>
          <cell r="C1098" t="str">
            <v>MASTERFARMA</v>
          </cell>
          <cell r="D1098" t="str">
            <v>TRES LAGOAS</v>
          </cell>
          <cell r="E1098" t="str">
            <v>MS</v>
          </cell>
          <cell r="I1098" t="str">
            <v>Não Comprou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A9C5C-ED47-4C76-AED3-72E15EBC0E52}">
  <sheetPr codeName="Planilha1"/>
  <dimension ref="A1:U1098"/>
  <sheetViews>
    <sheetView tabSelected="1" topLeftCell="F1" zoomScale="80" zoomScaleNormal="80" workbookViewId="0">
      <selection activeCell="R8" sqref="R8"/>
    </sheetView>
  </sheetViews>
  <sheetFormatPr defaultRowHeight="14.5" x14ac:dyDescent="0.35"/>
  <cols>
    <col min="1" max="1" width="15.453125" bestFit="1" customWidth="1"/>
    <col min="2" max="2" width="22" style="8" customWidth="1"/>
    <col min="3" max="3" width="14.90625" customWidth="1"/>
    <col min="4" max="4" width="24.1796875" customWidth="1"/>
    <col min="5" max="5" width="19.6328125" customWidth="1"/>
    <col min="6" max="6" width="3.453125" bestFit="1" customWidth="1"/>
    <col min="7" max="7" width="16.26953125" customWidth="1"/>
    <col min="8" max="8" width="9.08984375" customWidth="1"/>
    <col min="9" max="9" width="46.90625" bestFit="1" customWidth="1"/>
    <col min="10" max="10" width="15.90625" bestFit="1" customWidth="1"/>
    <col min="11" max="11" width="15.1796875" bestFit="1" customWidth="1"/>
    <col min="12" max="12" width="7.90625" bestFit="1" customWidth="1"/>
    <col min="13" max="13" width="15.453125" bestFit="1" customWidth="1"/>
    <col min="15" max="15" width="20.1796875" bestFit="1" customWidth="1"/>
    <col min="18" max="18" width="19.1796875" bestFit="1" customWidth="1"/>
    <col min="20" max="20" width="12.1796875" bestFit="1" customWidth="1"/>
    <col min="21" max="21" width="12.26953125" bestFit="1" customWidth="1"/>
  </cols>
  <sheetData>
    <row r="1" spans="1:21" ht="16" x14ac:dyDescent="0.35">
      <c r="A1" s="2" t="s">
        <v>0</v>
      </c>
      <c r="B1" s="2" t="s">
        <v>989</v>
      </c>
      <c r="C1" s="2" t="s">
        <v>990</v>
      </c>
      <c r="D1" s="2" t="s">
        <v>1</v>
      </c>
      <c r="E1" s="2" t="s">
        <v>2</v>
      </c>
      <c r="F1" s="2" t="s">
        <v>3</v>
      </c>
      <c r="G1" s="9" t="s">
        <v>4</v>
      </c>
      <c r="H1" s="2" t="s">
        <v>5</v>
      </c>
      <c r="I1" s="2" t="s">
        <v>1024</v>
      </c>
      <c r="J1" s="13" t="s">
        <v>1012</v>
      </c>
      <c r="K1" s="13" t="s">
        <v>1013</v>
      </c>
      <c r="L1" s="13" t="s">
        <v>1014</v>
      </c>
      <c r="M1" s="13" t="s">
        <v>1015</v>
      </c>
      <c r="N1" s="13" t="s">
        <v>1016</v>
      </c>
      <c r="O1" s="14" t="s">
        <v>1017</v>
      </c>
      <c r="P1" s="12" t="s">
        <v>1018</v>
      </c>
      <c r="Q1" s="12" t="s">
        <v>1019</v>
      </c>
      <c r="R1" s="15" t="s">
        <v>1020</v>
      </c>
      <c r="S1" s="16" t="s">
        <v>1021</v>
      </c>
      <c r="T1" s="3" t="s">
        <v>1032</v>
      </c>
      <c r="U1" s="3" t="s">
        <v>1033</v>
      </c>
    </row>
    <row r="2" spans="1:21" x14ac:dyDescent="0.35">
      <c r="A2" s="78">
        <v>20787984000614</v>
      </c>
      <c r="B2" s="7" t="s">
        <v>60</v>
      </c>
      <c r="C2" s="4"/>
      <c r="D2" s="1" t="s">
        <v>60</v>
      </c>
      <c r="E2" s="1" t="s">
        <v>61</v>
      </c>
      <c r="F2" s="1" t="s">
        <v>8</v>
      </c>
      <c r="G2" s="10" t="s">
        <v>62</v>
      </c>
      <c r="H2" s="1" t="s">
        <v>10</v>
      </c>
      <c r="I2" s="21" t="s">
        <v>1078</v>
      </c>
      <c r="J2" s="18">
        <v>7262.3168717491881</v>
      </c>
      <c r="K2" s="18">
        <f>VLOOKUP(A2,[1]Export!$A:$C,3,0)</f>
        <v>1820.95</v>
      </c>
      <c r="L2" s="19">
        <f>K2/J2</f>
        <v>0.25073954113508812</v>
      </c>
      <c r="M2" s="18">
        <f>VLOOKUP(A2,[1]Export!$A:$G,7,0)</f>
        <v>2887.9300000000003</v>
      </c>
      <c r="N2" s="19">
        <f>M2/J2</f>
        <v>0.39765959693031389</v>
      </c>
      <c r="O2" s="17" t="s">
        <v>1025</v>
      </c>
      <c r="P2" s="17" t="s">
        <v>1026</v>
      </c>
      <c r="Q2" s="17" t="s">
        <v>1022</v>
      </c>
      <c r="R2" s="17" t="str">
        <f>VLOOKUP(A2,[2]Export!$A:$I,9,0)</f>
        <v>Comprou Marcas</v>
      </c>
      <c r="S2" s="17" t="s">
        <v>1022</v>
      </c>
      <c r="T2" s="20"/>
      <c r="U2" s="17"/>
    </row>
    <row r="3" spans="1:21" x14ac:dyDescent="0.35">
      <c r="A3" s="4">
        <v>20787984000703</v>
      </c>
      <c r="B3" s="7" t="s">
        <v>60</v>
      </c>
      <c r="C3" s="4"/>
      <c r="D3" s="1" t="s">
        <v>60</v>
      </c>
      <c r="E3" s="1" t="s">
        <v>61</v>
      </c>
      <c r="F3" s="1" t="s">
        <v>8</v>
      </c>
      <c r="G3" s="10" t="s">
        <v>62</v>
      </c>
      <c r="H3" s="1" t="s">
        <v>10</v>
      </c>
      <c r="I3" s="21" t="s">
        <v>1068</v>
      </c>
      <c r="J3" s="18">
        <v>2926.6142410273869</v>
      </c>
      <c r="K3" s="18">
        <f>VLOOKUP(A3,[1]Export!$A:$C,3,0)</f>
        <v>474.14</v>
      </c>
      <c r="L3" s="19">
        <f t="shared" ref="L3:L12" si="0">K3/J3</f>
        <v>0.16200973580773437</v>
      </c>
      <c r="M3" s="18">
        <f>VLOOKUP(A3,[1]Export!$A:$G,7,0)</f>
        <v>1091.33</v>
      </c>
      <c r="N3" s="19">
        <f t="shared" ref="N3:N12" si="1">M3/J3</f>
        <v>0.37289847930791481</v>
      </c>
      <c r="O3" s="17" t="s">
        <v>1025</v>
      </c>
      <c r="P3" s="17" t="s">
        <v>1026</v>
      </c>
      <c r="Q3" s="17" t="s">
        <v>1022</v>
      </c>
      <c r="R3" s="17" t="str">
        <f>VLOOKUP(A3,[2]Export!$A:$I,9,0)</f>
        <v>Comprou Marcas</v>
      </c>
      <c r="S3" s="17" t="s">
        <v>1022</v>
      </c>
      <c r="T3" s="20"/>
      <c r="U3" s="17"/>
    </row>
    <row r="4" spans="1:21" x14ac:dyDescent="0.35">
      <c r="A4" s="4">
        <v>27750605000237</v>
      </c>
      <c r="B4" s="7"/>
      <c r="C4" s="4"/>
      <c r="D4" s="1" t="s">
        <v>13</v>
      </c>
      <c r="E4" s="1" t="s">
        <v>14</v>
      </c>
      <c r="F4" s="1" t="s">
        <v>15</v>
      </c>
      <c r="G4" s="10" t="s">
        <v>16</v>
      </c>
      <c r="H4" s="1" t="s">
        <v>17</v>
      </c>
      <c r="I4" s="21" t="s">
        <v>1069</v>
      </c>
      <c r="J4" s="18">
        <v>3157.5605296418353</v>
      </c>
      <c r="K4" s="18">
        <f>VLOOKUP(A4,[1]Export!$A:$C,3,0)</f>
        <v>1642.8899999999999</v>
      </c>
      <c r="L4" s="19">
        <f t="shared" si="0"/>
        <v>0.52030356491261132</v>
      </c>
      <c r="M4" s="18">
        <f>VLOOKUP(A4,[1]Export!$A:$G,7,0)</f>
        <v>2408.7099999999996</v>
      </c>
      <c r="N4" s="19">
        <f t="shared" si="1"/>
        <v>0.76283889964675411</v>
      </c>
      <c r="O4" s="17" t="s">
        <v>1025</v>
      </c>
      <c r="P4" s="17" t="s">
        <v>1026</v>
      </c>
      <c r="Q4" s="17" t="s">
        <v>1023</v>
      </c>
      <c r="R4" s="17" t="str">
        <f>VLOOKUP(A4,[2]Export!$A:$I,9,0)</f>
        <v>Comprou Marcas</v>
      </c>
      <c r="S4" s="17" t="s">
        <v>1022</v>
      </c>
      <c r="T4" s="20"/>
      <c r="U4" s="17"/>
    </row>
    <row r="5" spans="1:21" x14ac:dyDescent="0.35">
      <c r="A5" s="5">
        <v>32062591000118</v>
      </c>
      <c r="B5" s="7"/>
      <c r="C5" s="4"/>
      <c r="D5" s="6" t="s">
        <v>18</v>
      </c>
      <c r="E5" s="6" t="s">
        <v>19</v>
      </c>
      <c r="F5" s="6" t="s">
        <v>15</v>
      </c>
      <c r="G5" s="11" t="s">
        <v>20</v>
      </c>
      <c r="H5" s="6" t="s">
        <v>17</v>
      </c>
      <c r="I5" s="21" t="s">
        <v>1069</v>
      </c>
      <c r="J5" s="18">
        <v>1359.7775355074193</v>
      </c>
      <c r="K5" s="18">
        <f>VLOOKUP(A5,[1]Export!$A:$C,3,0)</f>
        <v>448.43999999999994</v>
      </c>
      <c r="L5" s="19">
        <f t="shared" si="0"/>
        <v>0.3297892399970106</v>
      </c>
      <c r="M5" s="18">
        <f>VLOOKUP(A5,[1]Export!$A:$G,7,0)</f>
        <v>0</v>
      </c>
      <c r="N5" s="19">
        <f t="shared" si="1"/>
        <v>0</v>
      </c>
      <c r="O5" s="17"/>
      <c r="P5" s="17"/>
      <c r="Q5" s="17"/>
      <c r="R5" s="17" t="str">
        <f>VLOOKUP(A5,[2]Export!$A:$I,9,0)</f>
        <v>Não Comprou</v>
      </c>
      <c r="S5" s="17"/>
      <c r="T5" s="20"/>
      <c r="U5" s="17"/>
    </row>
    <row r="6" spans="1:21" x14ac:dyDescent="0.35">
      <c r="A6" s="4">
        <v>62510454000160</v>
      </c>
      <c r="B6" s="7"/>
      <c r="C6" s="4"/>
      <c r="D6" s="1" t="s">
        <v>21</v>
      </c>
      <c r="E6" s="1" t="s">
        <v>22</v>
      </c>
      <c r="F6" s="1" t="s">
        <v>8</v>
      </c>
      <c r="G6" s="10" t="s">
        <v>20</v>
      </c>
      <c r="H6" s="1" t="s">
        <v>17</v>
      </c>
      <c r="I6" s="21" t="s">
        <v>1070</v>
      </c>
      <c r="J6" s="18">
        <v>2459.3534645815012</v>
      </c>
      <c r="K6" s="18">
        <f>VLOOKUP(A6,[1]Export!$A:$C,3,0)</f>
        <v>642.95000000000005</v>
      </c>
      <c r="L6" s="19">
        <f t="shared" si="0"/>
        <v>0.26143049759193865</v>
      </c>
      <c r="M6" s="18">
        <f>VLOOKUP(A6,[1]Export!$A:$G,7,0)</f>
        <v>0</v>
      </c>
      <c r="N6" s="19">
        <f t="shared" si="1"/>
        <v>0</v>
      </c>
      <c r="O6" s="17" t="s">
        <v>1025</v>
      </c>
      <c r="P6" s="17" t="s">
        <v>1026</v>
      </c>
      <c r="Q6" s="17" t="s">
        <v>1023</v>
      </c>
      <c r="R6" s="17" t="str">
        <f>VLOOKUP(A6,[2]Export!$A:$I,9,0)</f>
        <v>Não Comprou</v>
      </c>
      <c r="S6" s="17" t="s">
        <v>1022</v>
      </c>
      <c r="T6" s="20"/>
      <c r="U6" s="17"/>
    </row>
    <row r="7" spans="1:21" x14ac:dyDescent="0.35">
      <c r="A7" s="5">
        <v>982959000170</v>
      </c>
      <c r="B7" s="7"/>
      <c r="C7" s="4"/>
      <c r="D7" s="6" t="s">
        <v>23</v>
      </c>
      <c r="E7" s="6" t="s">
        <v>24</v>
      </c>
      <c r="F7" s="6" t="s">
        <v>15</v>
      </c>
      <c r="G7" s="11" t="s">
        <v>20</v>
      </c>
      <c r="H7" s="6" t="s">
        <v>17</v>
      </c>
      <c r="I7" s="21" t="s">
        <v>1071</v>
      </c>
      <c r="J7" s="18">
        <v>11070.462898397936</v>
      </c>
      <c r="K7" s="18">
        <f>VLOOKUP(A7,[1]Export!$A:$C,3,0)</f>
        <v>2099.61</v>
      </c>
      <c r="L7" s="19">
        <f t="shared" si="0"/>
        <v>0.18965873597786462</v>
      </c>
      <c r="M7" s="18">
        <f>VLOOKUP(A7,[1]Export!$A:$G,7,0)</f>
        <v>0</v>
      </c>
      <c r="N7" s="19">
        <f t="shared" si="1"/>
        <v>0</v>
      </c>
      <c r="O7" s="17" t="s">
        <v>1025</v>
      </c>
      <c r="P7" s="17" t="s">
        <v>1026</v>
      </c>
      <c r="Q7" s="17" t="s">
        <v>1023</v>
      </c>
      <c r="R7" s="17" t="str">
        <f>VLOOKUP(A7,[2]Export!$A:$I,9,0)</f>
        <v>Não Comprou</v>
      </c>
      <c r="S7" s="17" t="s">
        <v>1022</v>
      </c>
      <c r="T7" s="20"/>
      <c r="U7" s="17"/>
    </row>
    <row r="8" spans="1:21" x14ac:dyDescent="0.35">
      <c r="A8" s="4">
        <v>20787984000100</v>
      </c>
      <c r="B8" s="7" t="s">
        <v>60</v>
      </c>
      <c r="C8" s="4"/>
      <c r="D8" s="1" t="s">
        <v>60</v>
      </c>
      <c r="E8" s="1" t="s">
        <v>61</v>
      </c>
      <c r="F8" s="1" t="s">
        <v>8</v>
      </c>
      <c r="G8" s="10" t="s">
        <v>62</v>
      </c>
      <c r="H8" s="1" t="s">
        <v>10</v>
      </c>
      <c r="I8" s="21" t="s">
        <v>1068</v>
      </c>
      <c r="J8" s="18">
        <v>7251.5080207712172</v>
      </c>
      <c r="K8" s="18">
        <f>VLOOKUP(A8,[1]Export!$A:$C,3,0)</f>
        <v>1180.1399999999999</v>
      </c>
      <c r="L8" s="19">
        <f t="shared" si="0"/>
        <v>0.16274407979962338</v>
      </c>
      <c r="M8" s="18">
        <f>VLOOKUP(A8,[1]Export!$A:$G,7,0)</f>
        <v>2258.1600000000003</v>
      </c>
      <c r="N8" s="19">
        <f t="shared" si="1"/>
        <v>0.31140557157652277</v>
      </c>
      <c r="O8" s="17" t="s">
        <v>1025</v>
      </c>
      <c r="P8" s="17" t="s">
        <v>1026</v>
      </c>
      <c r="Q8" s="17" t="s">
        <v>1022</v>
      </c>
      <c r="R8" s="17" t="str">
        <f>VLOOKUP(A8,[2]Export!$A:$I,9,0)</f>
        <v>Comprou Marcas</v>
      </c>
      <c r="S8" s="17" t="s">
        <v>1022</v>
      </c>
      <c r="T8" s="20"/>
      <c r="U8" s="17"/>
    </row>
    <row r="9" spans="1:21" x14ac:dyDescent="0.35">
      <c r="A9" s="5">
        <v>1938125000120</v>
      </c>
      <c r="B9" s="7"/>
      <c r="C9" s="4"/>
      <c r="D9" s="6" t="s">
        <v>27</v>
      </c>
      <c r="E9" s="6" t="s">
        <v>28</v>
      </c>
      <c r="F9" s="6" t="s">
        <v>15</v>
      </c>
      <c r="G9" s="11" t="s">
        <v>9</v>
      </c>
      <c r="H9" s="6" t="s">
        <v>10</v>
      </c>
      <c r="I9" s="21" t="s">
        <v>1071</v>
      </c>
      <c r="J9" s="18">
        <v>10556.090862258141</v>
      </c>
      <c r="K9" s="18">
        <f>VLOOKUP(A9,[1]Export!$A:$C,3,0)</f>
        <v>4660.6400000000021</v>
      </c>
      <c r="L9" s="19">
        <f t="shared" si="0"/>
        <v>0.44151192527751754</v>
      </c>
      <c r="M9" s="18">
        <f>VLOOKUP(A9,[1]Export!$A:$G,7,0)</f>
        <v>3278.75</v>
      </c>
      <c r="N9" s="19">
        <f t="shared" si="1"/>
        <v>0.31060266937666503</v>
      </c>
      <c r="O9" s="17" t="s">
        <v>1027</v>
      </c>
      <c r="P9" s="17" t="s">
        <v>1028</v>
      </c>
      <c r="Q9" s="17" t="s">
        <v>1023</v>
      </c>
      <c r="R9" s="17" t="str">
        <f>VLOOKUP(A9,[2]Export!$A:$I,9,0)</f>
        <v>Comprou Marcas</v>
      </c>
      <c r="S9" s="17" t="s">
        <v>1022</v>
      </c>
      <c r="T9" s="20"/>
      <c r="U9" s="17"/>
    </row>
    <row r="10" spans="1:21" x14ac:dyDescent="0.35">
      <c r="A10" s="4">
        <v>1938125000200</v>
      </c>
      <c r="B10" s="7"/>
      <c r="C10" s="4"/>
      <c r="D10" s="1" t="s">
        <v>29</v>
      </c>
      <c r="E10" s="1" t="s">
        <v>30</v>
      </c>
      <c r="F10" s="1" t="s">
        <v>15</v>
      </c>
      <c r="G10" s="10" t="s">
        <v>9</v>
      </c>
      <c r="H10" s="1" t="s">
        <v>10</v>
      </c>
      <c r="I10" s="21" t="s">
        <v>1071</v>
      </c>
      <c r="J10" s="18">
        <v>4929.6425594295933</v>
      </c>
      <c r="K10" s="18">
        <f>VLOOKUP(A10,[1]Export!$A:$C,3,0)</f>
        <v>1511.38</v>
      </c>
      <c r="L10" s="19">
        <f t="shared" si="0"/>
        <v>0.30659018007481686</v>
      </c>
      <c r="M10" s="18">
        <f>VLOOKUP(A10,[1]Export!$A:$G,7,0)</f>
        <v>1330.7800000000002</v>
      </c>
      <c r="N10" s="19">
        <f t="shared" si="1"/>
        <v>0.26995466384361633</v>
      </c>
      <c r="O10" s="17" t="s">
        <v>1027</v>
      </c>
      <c r="P10" s="17" t="s">
        <v>1028</v>
      </c>
      <c r="Q10" s="17" t="s">
        <v>1023</v>
      </c>
      <c r="R10" s="17" t="str">
        <f>VLOOKUP(A10,[2]Export!$A:$I,9,0)</f>
        <v>Comprou Marcas</v>
      </c>
      <c r="S10" s="17" t="s">
        <v>1022</v>
      </c>
      <c r="T10" s="20"/>
      <c r="U10" s="17"/>
    </row>
    <row r="11" spans="1:21" x14ac:dyDescent="0.35">
      <c r="A11" s="5">
        <v>1956853000164</v>
      </c>
      <c r="B11" s="7"/>
      <c r="C11" s="4"/>
      <c r="D11" s="6" t="s">
        <v>31</v>
      </c>
      <c r="E11" s="6" t="s">
        <v>32</v>
      </c>
      <c r="F11" s="6" t="s">
        <v>15</v>
      </c>
      <c r="G11" s="11" t="s">
        <v>33</v>
      </c>
      <c r="H11" s="6" t="s">
        <v>17</v>
      </c>
      <c r="I11" s="21" t="s">
        <v>1069</v>
      </c>
      <c r="J11" s="18">
        <v>2959.8009021289613</v>
      </c>
      <c r="K11" s="18">
        <f>VLOOKUP(A11,[1]Export!$A:$C,3,0)</f>
        <v>644.22000000000014</v>
      </c>
      <c r="L11" s="19">
        <f t="shared" si="0"/>
        <v>0.21765653207843061</v>
      </c>
      <c r="M11" s="18">
        <f>VLOOKUP(A11,[1]Export!$A:$G,7,0)</f>
        <v>0</v>
      </c>
      <c r="N11" s="19">
        <f t="shared" si="1"/>
        <v>0</v>
      </c>
      <c r="O11" s="17" t="s">
        <v>1027</v>
      </c>
      <c r="P11" s="17" t="s">
        <v>1026</v>
      </c>
      <c r="Q11" s="17" t="s">
        <v>1023</v>
      </c>
      <c r="R11" s="17" t="str">
        <f>VLOOKUP(A11,[2]Export!$A:$I,9,0)</f>
        <v>Não Comprou</v>
      </c>
      <c r="S11" s="17" t="s">
        <v>1022</v>
      </c>
      <c r="T11" s="20">
        <v>4</v>
      </c>
      <c r="U11" s="17"/>
    </row>
    <row r="12" spans="1:21" x14ac:dyDescent="0.35">
      <c r="A12" s="4">
        <v>13289540000189</v>
      </c>
      <c r="B12" s="7"/>
      <c r="C12" s="4"/>
      <c r="D12" s="1" t="s">
        <v>34</v>
      </c>
      <c r="E12" s="1" t="s">
        <v>35</v>
      </c>
      <c r="F12" s="1" t="s">
        <v>8</v>
      </c>
      <c r="G12" s="10" t="s">
        <v>36</v>
      </c>
      <c r="H12" s="1" t="s">
        <v>17</v>
      </c>
      <c r="I12" s="21" t="s">
        <v>1072</v>
      </c>
      <c r="J12" s="18">
        <v>2365.7130154998008</v>
      </c>
      <c r="K12" s="18">
        <f>VLOOKUP(A12,[1]Export!$A:$C,3,0)</f>
        <v>1140.9100000000001</v>
      </c>
      <c r="L12" s="19">
        <f t="shared" si="0"/>
        <v>0.48226897874971603</v>
      </c>
      <c r="M12" s="18">
        <f>VLOOKUP(A12,[1]Export!$A:$G,7,0)</f>
        <v>0</v>
      </c>
      <c r="N12" s="19">
        <f t="shared" si="1"/>
        <v>0</v>
      </c>
      <c r="O12" s="17" t="s">
        <v>1025</v>
      </c>
      <c r="P12" s="17" t="s">
        <v>1026</v>
      </c>
      <c r="Q12" s="17" t="s">
        <v>1022</v>
      </c>
      <c r="R12" s="17" t="str">
        <f>VLOOKUP(A12,[2]Export!$A:$I,9,0)</f>
        <v>Não Comprou</v>
      </c>
      <c r="S12" s="17" t="s">
        <v>1023</v>
      </c>
      <c r="T12" s="20"/>
      <c r="U12" s="17"/>
    </row>
    <row r="13" spans="1:21" x14ac:dyDescent="0.35">
      <c r="A13" s="4">
        <v>4411142000100</v>
      </c>
      <c r="B13" s="7"/>
      <c r="C13" s="4"/>
      <c r="D13" s="1" t="s">
        <v>404</v>
      </c>
      <c r="E13" s="1" t="s">
        <v>94</v>
      </c>
      <c r="F13" s="1" t="s">
        <v>15</v>
      </c>
      <c r="G13" s="10" t="s">
        <v>38</v>
      </c>
      <c r="H13" s="1" t="s">
        <v>17</v>
      </c>
      <c r="I13" s="21" t="s">
        <v>1071</v>
      </c>
      <c r="J13" s="18">
        <v>2721.3526153947701</v>
      </c>
      <c r="K13" s="18">
        <f>VLOOKUP(A13,[1]Export!$A:$C,3,0)</f>
        <v>876.93</v>
      </c>
      <c r="L13" s="19">
        <f t="shared" ref="L13:L76" si="2">K13/J13</f>
        <v>0.32224048990901866</v>
      </c>
      <c r="M13" s="18">
        <f>VLOOKUP(A13,[1]Export!$A:$G,7,0)</f>
        <v>678.62</v>
      </c>
      <c r="N13" s="19">
        <f t="shared" ref="N13:N76" si="3">M13/J13</f>
        <v>0.24936863975694554</v>
      </c>
      <c r="O13" s="17" t="s">
        <v>1027</v>
      </c>
      <c r="P13" s="17" t="s">
        <v>1028</v>
      </c>
      <c r="Q13" s="17" t="s">
        <v>1023</v>
      </c>
      <c r="R13" s="17" t="str">
        <f>VLOOKUP(A13,[2]Export!$A:$I,9,0)</f>
        <v>Comprou Marcas e SG</v>
      </c>
      <c r="S13" s="17" t="s">
        <v>1022</v>
      </c>
      <c r="T13" s="20"/>
      <c r="U13" s="17"/>
    </row>
    <row r="14" spans="1:21" x14ac:dyDescent="0.35">
      <c r="A14" s="4">
        <v>7549438000172</v>
      </c>
      <c r="B14" s="7"/>
      <c r="C14" s="4"/>
      <c r="D14" s="1" t="s">
        <v>39</v>
      </c>
      <c r="E14" s="1" t="s">
        <v>40</v>
      </c>
      <c r="F14" s="1" t="s">
        <v>8</v>
      </c>
      <c r="G14" s="10" t="s">
        <v>20</v>
      </c>
      <c r="H14" s="1" t="s">
        <v>17</v>
      </c>
      <c r="I14" s="21" t="s">
        <v>1072</v>
      </c>
      <c r="J14" s="18">
        <v>3592.8306608693852</v>
      </c>
      <c r="K14" s="18">
        <f>VLOOKUP(A14,[1]Export!$A:$C,3,0)</f>
        <v>1448.88</v>
      </c>
      <c r="L14" s="19">
        <f t="shared" si="2"/>
        <v>0.40326977159825378</v>
      </c>
      <c r="M14" s="18">
        <f>VLOOKUP(A14,[1]Export!$A:$G,7,0)</f>
        <v>1250.8000000000004</v>
      </c>
      <c r="N14" s="19">
        <f t="shared" si="3"/>
        <v>0.34813775489695209</v>
      </c>
      <c r="O14" s="17" t="s">
        <v>1025</v>
      </c>
      <c r="P14" s="17" t="s">
        <v>1026</v>
      </c>
      <c r="Q14" s="17" t="s">
        <v>1022</v>
      </c>
      <c r="R14" s="17" t="str">
        <f>VLOOKUP(A14,[2]Export!$A:$I,9,0)</f>
        <v>Comprou Marcas</v>
      </c>
      <c r="S14" s="17" t="s">
        <v>1022</v>
      </c>
      <c r="T14" s="20"/>
      <c r="U14" s="17"/>
    </row>
    <row r="15" spans="1:21" x14ac:dyDescent="0.35">
      <c r="A15" s="5">
        <v>9033695000182</v>
      </c>
      <c r="B15" s="7"/>
      <c r="C15" s="4"/>
      <c r="D15" s="6" t="s">
        <v>41</v>
      </c>
      <c r="E15" s="6" t="s">
        <v>7</v>
      </c>
      <c r="F15" s="6" t="s">
        <v>8</v>
      </c>
      <c r="G15" s="11" t="s">
        <v>20</v>
      </c>
      <c r="H15" s="6" t="s">
        <v>17</v>
      </c>
      <c r="I15" s="21" t="s">
        <v>1068</v>
      </c>
      <c r="J15" s="18">
        <v>7135.7448196380083</v>
      </c>
      <c r="K15" s="18">
        <f>VLOOKUP(A15,[1]Export!$A:$C,3,0)</f>
        <v>478.86</v>
      </c>
      <c r="L15" s="19">
        <f t="shared" si="2"/>
        <v>6.7107220353809158E-2</v>
      </c>
      <c r="M15" s="18">
        <f>VLOOKUP(A15,[1]Export!$A:$G,7,0)</f>
        <v>0</v>
      </c>
      <c r="N15" s="19">
        <f t="shared" si="3"/>
        <v>0</v>
      </c>
      <c r="O15" s="17" t="s">
        <v>1025</v>
      </c>
      <c r="P15" s="17" t="s">
        <v>1026</v>
      </c>
      <c r="Q15" s="17" t="s">
        <v>1023</v>
      </c>
      <c r="R15" s="17" t="str">
        <f>VLOOKUP(A15,[2]Export!$A:$I,9,0)</f>
        <v>Não Comprou</v>
      </c>
      <c r="S15" s="17" t="s">
        <v>1023</v>
      </c>
      <c r="T15" s="20">
        <v>4</v>
      </c>
      <c r="U15" s="17"/>
    </row>
    <row r="16" spans="1:21" x14ac:dyDescent="0.35">
      <c r="A16" s="4">
        <v>9112212000216</v>
      </c>
      <c r="B16" s="7"/>
      <c r="C16" s="4"/>
      <c r="D16" s="1" t="s">
        <v>42</v>
      </c>
      <c r="E16" s="1" t="s">
        <v>43</v>
      </c>
      <c r="F16" s="1" t="s">
        <v>8</v>
      </c>
      <c r="G16" s="10" t="s">
        <v>36</v>
      </c>
      <c r="H16" s="1" t="s">
        <v>17</v>
      </c>
      <c r="I16" s="21" t="s">
        <v>1070</v>
      </c>
      <c r="J16" s="18">
        <v>10399.653601075664</v>
      </c>
      <c r="K16" s="18">
        <f>VLOOKUP(A16,[1]Export!$A:$C,3,0)</f>
        <v>2272.4699999999998</v>
      </c>
      <c r="L16" s="19">
        <f t="shared" si="2"/>
        <v>0.21851400894400483</v>
      </c>
      <c r="M16" s="18">
        <f>VLOOKUP(A16,[1]Export!$A:$G,7,0)</f>
        <v>0</v>
      </c>
      <c r="N16" s="19">
        <f t="shared" si="3"/>
        <v>0</v>
      </c>
      <c r="O16" s="17" t="s">
        <v>1025</v>
      </c>
      <c r="P16" s="17" t="s">
        <v>1026</v>
      </c>
      <c r="Q16" s="17" t="s">
        <v>1023</v>
      </c>
      <c r="R16" s="17" t="str">
        <f>VLOOKUP(A16,[2]Export!$A:$I,9,0)</f>
        <v>Não Comprou</v>
      </c>
      <c r="S16" s="17" t="s">
        <v>1023</v>
      </c>
      <c r="T16" s="20"/>
      <c r="U16" s="17"/>
    </row>
    <row r="17" spans="1:21" x14ac:dyDescent="0.35">
      <c r="A17" s="5">
        <v>7382151000109</v>
      </c>
      <c r="B17" s="7"/>
      <c r="C17" s="4"/>
      <c r="D17" s="6" t="s">
        <v>44</v>
      </c>
      <c r="E17" s="6" t="s">
        <v>45</v>
      </c>
      <c r="F17" s="6" t="s">
        <v>8</v>
      </c>
      <c r="G17" s="11" t="s">
        <v>33</v>
      </c>
      <c r="H17" s="6" t="s">
        <v>17</v>
      </c>
      <c r="I17" s="21" t="s">
        <v>1070</v>
      </c>
      <c r="J17" s="18">
        <v>3235.4629286244663</v>
      </c>
      <c r="K17" s="18">
        <f>VLOOKUP(A17,[1]Export!$A:$C,3,0)</f>
        <v>3749.67</v>
      </c>
      <c r="L17" s="19">
        <f t="shared" si="2"/>
        <v>1.1589284385941474</v>
      </c>
      <c r="M17" s="18">
        <f>VLOOKUP(A17,[1]Export!$A:$G,7,0)</f>
        <v>3168.54</v>
      </c>
      <c r="N17" s="19">
        <f t="shared" si="3"/>
        <v>0.9793158104108094</v>
      </c>
      <c r="O17" s="17" t="s">
        <v>1027</v>
      </c>
      <c r="P17" s="17" t="s">
        <v>1026</v>
      </c>
      <c r="Q17" s="17" t="s">
        <v>1023</v>
      </c>
      <c r="R17" s="17" t="str">
        <f>VLOOKUP(A17,[2]Export!$A:$I,9,0)</f>
        <v>Comprou Marcas</v>
      </c>
      <c r="S17" s="17" t="s">
        <v>1022</v>
      </c>
      <c r="T17" s="20"/>
      <c r="U17" s="17"/>
    </row>
    <row r="18" spans="1:21" x14ac:dyDescent="0.35">
      <c r="A18" s="4">
        <v>14178866000100</v>
      </c>
      <c r="B18" s="7"/>
      <c r="C18" s="4"/>
      <c r="D18" s="1" t="s">
        <v>46</v>
      </c>
      <c r="E18" s="1" t="s">
        <v>47</v>
      </c>
      <c r="F18" s="1" t="s">
        <v>48</v>
      </c>
      <c r="G18" s="10" t="s">
        <v>20</v>
      </c>
      <c r="H18" s="1" t="s">
        <v>17</v>
      </c>
      <c r="I18" s="21" t="s">
        <v>1073</v>
      </c>
      <c r="J18" s="18">
        <v>2273.2026013625441</v>
      </c>
      <c r="K18" s="18">
        <f>VLOOKUP(A18,[1]Export!$A:$C,3,0)</f>
        <v>1256.6200000000001</v>
      </c>
      <c r="L18" s="19">
        <f t="shared" si="2"/>
        <v>0.55279718545403278</v>
      </c>
      <c r="M18" s="18">
        <f>VLOOKUP(A18,[1]Export!$A:$G,7,0)</f>
        <v>0</v>
      </c>
      <c r="N18" s="19">
        <f t="shared" si="3"/>
        <v>0</v>
      </c>
      <c r="O18" s="17" t="s">
        <v>1025</v>
      </c>
      <c r="P18" s="17" t="s">
        <v>1026</v>
      </c>
      <c r="Q18" s="17" t="s">
        <v>1023</v>
      </c>
      <c r="R18" s="17" t="str">
        <f>VLOOKUP(A18,[2]Export!$A:$I,9,0)</f>
        <v>Não Comprou</v>
      </c>
      <c r="S18" s="17" t="s">
        <v>1022</v>
      </c>
      <c r="T18" s="20"/>
      <c r="U18" s="17"/>
    </row>
    <row r="19" spans="1:21" x14ac:dyDescent="0.35">
      <c r="A19" s="4">
        <v>14132723000159</v>
      </c>
      <c r="B19" s="7" t="s">
        <v>414</v>
      </c>
      <c r="C19" s="4"/>
      <c r="D19" s="1" t="s">
        <v>414</v>
      </c>
      <c r="E19" s="1" t="s">
        <v>30</v>
      </c>
      <c r="F19" s="1" t="s">
        <v>15</v>
      </c>
      <c r="G19" s="10" t="s">
        <v>38</v>
      </c>
      <c r="H19" s="1" t="s">
        <v>17</v>
      </c>
      <c r="I19" s="21" t="s">
        <v>1071</v>
      </c>
      <c r="J19" s="18">
        <v>16207.459548849571</v>
      </c>
      <c r="K19" s="18">
        <f>VLOOKUP(A19,[1]Export!$A:$C,3,0)</f>
        <v>9746.880000000001</v>
      </c>
      <c r="L19" s="19">
        <f t="shared" si="2"/>
        <v>0.60138234315024708</v>
      </c>
      <c r="M19" s="18">
        <f>VLOOKUP(A19,[1]Export!$A:$G,7,0)</f>
        <v>7068.65</v>
      </c>
      <c r="N19" s="19">
        <f t="shared" si="3"/>
        <v>0.43613559415002473</v>
      </c>
      <c r="O19" s="17" t="s">
        <v>1027</v>
      </c>
      <c r="P19" s="17" t="s">
        <v>1028</v>
      </c>
      <c r="Q19" s="17" t="s">
        <v>1023</v>
      </c>
      <c r="R19" s="17" t="str">
        <f>VLOOKUP(A19,[2]Export!$A:$I,9,0)</f>
        <v>Comprou Marcas</v>
      </c>
      <c r="S19" s="17" t="s">
        <v>1022</v>
      </c>
      <c r="T19" s="20"/>
      <c r="U19" s="17"/>
    </row>
    <row r="20" spans="1:21" x14ac:dyDescent="0.35">
      <c r="A20" s="4">
        <v>18380223000197</v>
      </c>
      <c r="B20" s="7"/>
      <c r="C20" s="4"/>
      <c r="D20" s="1" t="s">
        <v>51</v>
      </c>
      <c r="E20" s="1" t="s">
        <v>52</v>
      </c>
      <c r="F20" s="1" t="s">
        <v>8</v>
      </c>
      <c r="G20" s="10" t="s">
        <v>20</v>
      </c>
      <c r="H20" s="1" t="s">
        <v>17</v>
      </c>
      <c r="I20" s="21" t="s">
        <v>1074</v>
      </c>
      <c r="J20" s="18">
        <v>2371.727410814879</v>
      </c>
      <c r="K20" s="18">
        <f>VLOOKUP(A20,[1]Export!$A:$C,3,0)</f>
        <v>643.81000000000006</v>
      </c>
      <c r="L20" s="19">
        <f t="shared" si="2"/>
        <v>0.27145193712577603</v>
      </c>
      <c r="M20" s="18">
        <f>VLOOKUP(A20,[1]Export!$A:$G,7,0)</f>
        <v>137.85</v>
      </c>
      <c r="N20" s="19">
        <f t="shared" si="3"/>
        <v>5.8122193710548484E-2</v>
      </c>
      <c r="O20" s="17" t="s">
        <v>1025</v>
      </c>
      <c r="P20" s="17" t="s">
        <v>1026</v>
      </c>
      <c r="Q20" s="17" t="s">
        <v>1023</v>
      </c>
      <c r="R20" s="17" t="str">
        <f>VLOOKUP(A20,[2]Export!$A:$I,9,0)</f>
        <v>Comprou Marcas</v>
      </c>
      <c r="S20" s="17" t="s">
        <v>1023</v>
      </c>
      <c r="T20" s="20"/>
      <c r="U20" s="17"/>
    </row>
    <row r="21" spans="1:21" x14ac:dyDescent="0.35">
      <c r="A21" s="5">
        <v>18569567000149</v>
      </c>
      <c r="B21" s="7"/>
      <c r="C21" s="4"/>
      <c r="D21" s="6" t="s">
        <v>53</v>
      </c>
      <c r="E21" s="6" t="s">
        <v>54</v>
      </c>
      <c r="F21" s="6" t="s">
        <v>15</v>
      </c>
      <c r="G21" s="11" t="s">
        <v>33</v>
      </c>
      <c r="H21" s="6" t="s">
        <v>17</v>
      </c>
      <c r="I21" s="21" t="s">
        <v>1071</v>
      </c>
      <c r="J21" s="18">
        <v>1957.8532297452698</v>
      </c>
      <c r="K21" s="18">
        <f>VLOOKUP(A21,[1]Export!$A:$C,3,0)</f>
        <v>220.91</v>
      </c>
      <c r="L21" s="19">
        <f t="shared" si="2"/>
        <v>0.11283276838312437</v>
      </c>
      <c r="M21" s="18">
        <f>VLOOKUP(A21,[1]Export!$A:$G,7,0)</f>
        <v>0</v>
      </c>
      <c r="N21" s="19">
        <f t="shared" si="3"/>
        <v>0</v>
      </c>
      <c r="O21" s="17" t="s">
        <v>1027</v>
      </c>
      <c r="P21" s="17" t="s">
        <v>1026</v>
      </c>
      <c r="Q21" s="17" t="s">
        <v>1023</v>
      </c>
      <c r="R21" s="17" t="str">
        <f>VLOOKUP(A21,[2]Export!$A:$I,9,0)</f>
        <v>Não Comprou</v>
      </c>
      <c r="S21" s="17" t="s">
        <v>1022</v>
      </c>
      <c r="T21" s="20"/>
      <c r="U21" s="17"/>
    </row>
    <row r="22" spans="1:21" x14ac:dyDescent="0.35">
      <c r="A22" s="4">
        <v>18666741000414</v>
      </c>
      <c r="B22" s="7"/>
      <c r="C22" s="4"/>
      <c r="D22" s="1" t="s">
        <v>55</v>
      </c>
      <c r="E22" s="1" t="s">
        <v>56</v>
      </c>
      <c r="F22" s="1" t="s">
        <v>48</v>
      </c>
      <c r="G22" s="10" t="s">
        <v>9</v>
      </c>
      <c r="H22" s="1" t="s">
        <v>10</v>
      </c>
      <c r="I22" s="21" t="s">
        <v>1075</v>
      </c>
      <c r="J22" s="18">
        <v>12687.205069337233</v>
      </c>
      <c r="K22" s="18">
        <f>VLOOKUP(A22,[1]Export!$A:$C,3,0)</f>
        <v>9508.7500000000018</v>
      </c>
      <c r="L22" s="19">
        <f t="shared" si="2"/>
        <v>0.74947555021247314</v>
      </c>
      <c r="M22" s="18">
        <f>VLOOKUP(A22,[1]Export!$A:$G,7,0)</f>
        <v>0</v>
      </c>
      <c r="N22" s="19">
        <f t="shared" si="3"/>
        <v>0</v>
      </c>
      <c r="O22" s="17"/>
      <c r="P22" s="17"/>
      <c r="Q22" s="17"/>
      <c r="R22" s="17" t="str">
        <f>VLOOKUP(A22,[2]Export!$A:$I,9,0)</f>
        <v>Comprou Marcas e SG</v>
      </c>
      <c r="S22" s="17"/>
      <c r="T22" s="20"/>
      <c r="U22" s="17"/>
    </row>
    <row r="23" spans="1:21" x14ac:dyDescent="0.35">
      <c r="A23" s="4">
        <v>20787984000290</v>
      </c>
      <c r="B23" s="7" t="s">
        <v>60</v>
      </c>
      <c r="C23" s="4"/>
      <c r="D23" s="1" t="s">
        <v>60</v>
      </c>
      <c r="E23" s="1" t="s">
        <v>61</v>
      </c>
      <c r="F23" s="1" t="s">
        <v>8</v>
      </c>
      <c r="G23" s="10" t="s">
        <v>62</v>
      </c>
      <c r="H23" s="1" t="s">
        <v>10</v>
      </c>
      <c r="I23" s="21" t="s">
        <v>1068</v>
      </c>
      <c r="J23" s="18">
        <v>9636.4475021481594</v>
      </c>
      <c r="K23" s="18">
        <f>VLOOKUP(A23,[1]Export!$A:$C,3,0)</f>
        <v>2426.4899999999998</v>
      </c>
      <c r="L23" s="19">
        <f t="shared" si="2"/>
        <v>0.25180337457959334</v>
      </c>
      <c r="M23" s="18">
        <f>VLOOKUP(A23,[1]Export!$A:$G,7,0)</f>
        <v>1975.2700000000002</v>
      </c>
      <c r="N23" s="19">
        <f t="shared" si="3"/>
        <v>0.2049790651129135</v>
      </c>
      <c r="O23" s="17" t="s">
        <v>1025</v>
      </c>
      <c r="P23" s="17" t="s">
        <v>1026</v>
      </c>
      <c r="Q23" s="17" t="s">
        <v>1022</v>
      </c>
      <c r="R23" s="17" t="str">
        <f>VLOOKUP(A23,[2]Export!$A:$I,9,0)</f>
        <v>Comprou Marcas</v>
      </c>
      <c r="S23" s="17" t="s">
        <v>1022</v>
      </c>
      <c r="T23" s="20"/>
      <c r="U23" s="17"/>
    </row>
    <row r="24" spans="1:21" x14ac:dyDescent="0.35">
      <c r="A24" s="5">
        <v>20787984000967</v>
      </c>
      <c r="B24" s="7" t="s">
        <v>60</v>
      </c>
      <c r="C24" s="4"/>
      <c r="D24" s="6" t="s">
        <v>60</v>
      </c>
      <c r="E24" s="6" t="s">
        <v>122</v>
      </c>
      <c r="F24" s="6" t="s">
        <v>8</v>
      </c>
      <c r="G24" s="11" t="s">
        <v>62</v>
      </c>
      <c r="H24" s="6" t="s">
        <v>10</v>
      </c>
      <c r="I24" s="21" t="s">
        <v>1068</v>
      </c>
      <c r="J24" s="18">
        <v>7106.6996967980067</v>
      </c>
      <c r="K24" s="18">
        <f>VLOOKUP(A24,[1]Export!$A:$C,3,0)</f>
        <v>1833.2800000000004</v>
      </c>
      <c r="L24" s="19">
        <f t="shared" si="2"/>
        <v>0.25796502993168585</v>
      </c>
      <c r="M24" s="18">
        <f>VLOOKUP(A24,[1]Export!$A:$G,7,0)</f>
        <v>1178.7799999999997</v>
      </c>
      <c r="N24" s="19">
        <f t="shared" si="3"/>
        <v>0.16586883508404199</v>
      </c>
      <c r="O24" s="17" t="s">
        <v>1025</v>
      </c>
      <c r="P24" s="17" t="s">
        <v>1026</v>
      </c>
      <c r="Q24" s="17" t="s">
        <v>1022</v>
      </c>
      <c r="R24" s="17" t="str">
        <f>VLOOKUP(A24,[2]Export!$A:$I,9,0)</f>
        <v>Comprou Marcas</v>
      </c>
      <c r="S24" s="17" t="s">
        <v>1022</v>
      </c>
      <c r="T24" s="20"/>
      <c r="U24" s="17"/>
    </row>
    <row r="25" spans="1:21" x14ac:dyDescent="0.35">
      <c r="A25" s="5">
        <v>20787984000886</v>
      </c>
      <c r="B25" s="7" t="s">
        <v>60</v>
      </c>
      <c r="C25" s="4"/>
      <c r="D25" s="6" t="s">
        <v>60</v>
      </c>
      <c r="E25" s="6" t="s">
        <v>122</v>
      </c>
      <c r="F25" s="6" t="s">
        <v>8</v>
      </c>
      <c r="G25" s="11" t="s">
        <v>62</v>
      </c>
      <c r="H25" s="6" t="s">
        <v>10</v>
      </c>
      <c r="I25" s="21" t="s">
        <v>1068</v>
      </c>
      <c r="J25" s="18">
        <v>8112.0466444580697</v>
      </c>
      <c r="K25" s="18">
        <f>VLOOKUP(A25,[1]Export!$A:$C,3,0)</f>
        <v>1823.2100000000003</v>
      </c>
      <c r="L25" s="19">
        <f t="shared" si="2"/>
        <v>0.22475339207345016</v>
      </c>
      <c r="M25" s="18">
        <f>VLOOKUP(A25,[1]Export!$A:$G,7,0)</f>
        <v>1401.8299999999997</v>
      </c>
      <c r="N25" s="19">
        <f t="shared" si="3"/>
        <v>0.1728084244877576</v>
      </c>
      <c r="O25" s="17" t="s">
        <v>1025</v>
      </c>
      <c r="P25" s="17" t="s">
        <v>1026</v>
      </c>
      <c r="Q25" s="17" t="s">
        <v>1022</v>
      </c>
      <c r="R25" s="17" t="str">
        <f>VLOOKUP(A25,[2]Export!$A:$I,9,0)</f>
        <v>Comprou Marcas</v>
      </c>
      <c r="S25" s="17" t="s">
        <v>1022</v>
      </c>
      <c r="T25" s="20"/>
      <c r="U25" s="17"/>
    </row>
    <row r="26" spans="1:21" x14ac:dyDescent="0.35">
      <c r="A26" s="5">
        <v>18645755000109</v>
      </c>
      <c r="B26" s="7" t="s">
        <v>1005</v>
      </c>
      <c r="C26" s="4"/>
      <c r="D26" s="6" t="s">
        <v>313</v>
      </c>
      <c r="E26" s="6" t="s">
        <v>307</v>
      </c>
      <c r="F26" s="6" t="s">
        <v>8</v>
      </c>
      <c r="G26" s="11" t="s">
        <v>9</v>
      </c>
      <c r="H26" s="6" t="s">
        <v>10</v>
      </c>
      <c r="I26" s="21" t="s">
        <v>1070</v>
      </c>
      <c r="J26" s="18">
        <v>11325.46052120567</v>
      </c>
      <c r="K26" s="18">
        <f>VLOOKUP(A26,[1]Export!$A:$C,3,0)</f>
        <v>5356.3300000000008</v>
      </c>
      <c r="L26" s="19">
        <f t="shared" si="2"/>
        <v>0.4729458894824512</v>
      </c>
      <c r="M26" s="18">
        <f>VLOOKUP(A26,[1]Export!$A:$G,7,0)</f>
        <v>6711.7000000000025</v>
      </c>
      <c r="N26" s="19">
        <f t="shared" si="3"/>
        <v>0.59262049321818633</v>
      </c>
      <c r="O26" s="17" t="s">
        <v>1027</v>
      </c>
      <c r="P26" s="17" t="s">
        <v>1028</v>
      </c>
      <c r="Q26" s="17" t="s">
        <v>1023</v>
      </c>
      <c r="R26" s="17" t="str">
        <f>VLOOKUP(A26,[2]Export!$A:$I,9,0)</f>
        <v>Comprou Marcas</v>
      </c>
      <c r="S26" s="17" t="s">
        <v>1022</v>
      </c>
      <c r="T26" s="20"/>
      <c r="U26" s="17"/>
    </row>
    <row r="27" spans="1:21" x14ac:dyDescent="0.35">
      <c r="A27" s="5">
        <v>33019679000110</v>
      </c>
      <c r="B27" s="7"/>
      <c r="C27" s="4"/>
      <c r="D27" s="6" t="s">
        <v>63</v>
      </c>
      <c r="E27" s="6" t="s">
        <v>61</v>
      </c>
      <c r="F27" s="6" t="s">
        <v>8</v>
      </c>
      <c r="G27" s="11" t="s">
        <v>64</v>
      </c>
      <c r="H27" s="6" t="s">
        <v>17</v>
      </c>
      <c r="I27" s="21" t="s">
        <v>1068</v>
      </c>
      <c r="J27" s="18">
        <v>11566.402857489576</v>
      </c>
      <c r="K27" s="18">
        <f>VLOOKUP(A27,[1]Export!$A:$C,3,0)</f>
        <v>3192.9500000000003</v>
      </c>
      <c r="L27" s="19">
        <f t="shared" si="2"/>
        <v>0.27605384658830845</v>
      </c>
      <c r="M27" s="18">
        <f>VLOOKUP(A27,[1]Export!$A:$G,7,0)</f>
        <v>3612.3899999999994</v>
      </c>
      <c r="N27" s="19">
        <f t="shared" si="3"/>
        <v>0.31231749788663754</v>
      </c>
      <c r="O27" s="17" t="s">
        <v>1029</v>
      </c>
      <c r="P27" s="17" t="s">
        <v>1026</v>
      </c>
      <c r="Q27" s="17" t="s">
        <v>1022</v>
      </c>
      <c r="R27" s="17" t="str">
        <f>VLOOKUP(A27,[2]Export!$A:$I,9,0)</f>
        <v>Comprou Marcas</v>
      </c>
      <c r="S27" s="17" t="s">
        <v>1022</v>
      </c>
      <c r="T27" s="20"/>
      <c r="U27" s="17"/>
    </row>
    <row r="28" spans="1:21" x14ac:dyDescent="0.35">
      <c r="A28" s="4">
        <v>14132723000230</v>
      </c>
      <c r="B28" s="7" t="s">
        <v>414</v>
      </c>
      <c r="C28" s="4"/>
      <c r="D28" s="1" t="s">
        <v>414</v>
      </c>
      <c r="E28" s="1" t="s">
        <v>330</v>
      </c>
      <c r="F28" s="1" t="s">
        <v>15</v>
      </c>
      <c r="G28" s="10" t="s">
        <v>38</v>
      </c>
      <c r="H28" s="1" t="s">
        <v>17</v>
      </c>
      <c r="I28" s="21" t="s">
        <v>1071</v>
      </c>
      <c r="J28" s="18">
        <v>14038.397294595065</v>
      </c>
      <c r="K28" s="18">
        <f>VLOOKUP(A28,[1]Export!$A:$C,3,0)</f>
        <v>8157.55</v>
      </c>
      <c r="L28" s="19">
        <f t="shared" si="2"/>
        <v>0.58108841264527722</v>
      </c>
      <c r="M28" s="18">
        <f>VLOOKUP(A28,[1]Export!$A:$G,7,0)</f>
        <v>9806.7000000000007</v>
      </c>
      <c r="N28" s="19">
        <f t="shared" si="3"/>
        <v>0.69856264886987396</v>
      </c>
      <c r="O28" s="17" t="s">
        <v>1027</v>
      </c>
      <c r="P28" s="17" t="s">
        <v>1028</v>
      </c>
      <c r="Q28" s="17" t="s">
        <v>1022</v>
      </c>
      <c r="R28" s="17" t="str">
        <f>VLOOKUP(A28,[2]Export!$A:$I,9,0)</f>
        <v>Comprou Marcas</v>
      </c>
      <c r="S28" s="17" t="s">
        <v>1022</v>
      </c>
      <c r="T28" s="20"/>
      <c r="U28" s="17"/>
    </row>
    <row r="29" spans="1:21" x14ac:dyDescent="0.35">
      <c r="A29" s="5">
        <v>35595811000167</v>
      </c>
      <c r="B29" s="7"/>
      <c r="C29" s="4"/>
      <c r="D29" s="6" t="s">
        <v>66</v>
      </c>
      <c r="E29" s="6" t="s">
        <v>35</v>
      </c>
      <c r="F29" s="6" t="s">
        <v>8</v>
      </c>
      <c r="G29" s="11" t="s">
        <v>20</v>
      </c>
      <c r="H29" s="6" t="s">
        <v>17</v>
      </c>
      <c r="I29" s="21" t="s">
        <v>1072</v>
      </c>
      <c r="J29" s="18">
        <v>8236.3261613615268</v>
      </c>
      <c r="K29" s="18">
        <f>VLOOKUP(A29,[1]Export!$A:$C,3,0)</f>
        <v>186.77</v>
      </c>
      <c r="L29" s="19">
        <f t="shared" si="2"/>
        <v>2.2676372491922482E-2</v>
      </c>
      <c r="M29" s="18">
        <f>VLOOKUP(A29,[1]Export!$A:$G,7,0)</f>
        <v>0</v>
      </c>
      <c r="N29" s="19">
        <f t="shared" si="3"/>
        <v>0</v>
      </c>
      <c r="O29" s="17" t="s">
        <v>1027</v>
      </c>
      <c r="P29" s="17" t="s">
        <v>1028</v>
      </c>
      <c r="Q29" s="17" t="s">
        <v>1023</v>
      </c>
      <c r="R29" s="17" t="str">
        <f>VLOOKUP(A29,[2]Export!$A:$I,9,0)</f>
        <v>Não Comprou</v>
      </c>
      <c r="S29" s="17" t="s">
        <v>1022</v>
      </c>
      <c r="T29" s="20">
        <v>4</v>
      </c>
      <c r="U29" s="17"/>
    </row>
    <row r="30" spans="1:21" x14ac:dyDescent="0.35">
      <c r="A30" s="4">
        <v>30960236000130</v>
      </c>
      <c r="B30" s="7"/>
      <c r="C30" s="4"/>
      <c r="D30" s="1" t="s">
        <v>67</v>
      </c>
      <c r="E30" s="1" t="s">
        <v>68</v>
      </c>
      <c r="F30" s="1" t="s">
        <v>15</v>
      </c>
      <c r="G30" s="10" t="s">
        <v>20</v>
      </c>
      <c r="H30" s="1" t="s">
        <v>17</v>
      </c>
      <c r="I30" s="21" t="s">
        <v>1071</v>
      </c>
      <c r="J30" s="18">
        <v>3288.3094681418465</v>
      </c>
      <c r="K30" s="18">
        <f>VLOOKUP(A30,[1]Export!$A:$C,3,0)</f>
        <v>848.19</v>
      </c>
      <c r="L30" s="19">
        <f t="shared" si="2"/>
        <v>0.25794105093134501</v>
      </c>
      <c r="M30" s="18">
        <f>VLOOKUP(A30,[1]Export!$A:$G,7,0)</f>
        <v>0</v>
      </c>
      <c r="N30" s="19">
        <f t="shared" si="3"/>
        <v>0</v>
      </c>
      <c r="O30" s="17" t="s">
        <v>1025</v>
      </c>
      <c r="P30" s="17" t="s">
        <v>1026</v>
      </c>
      <c r="Q30" s="17" t="s">
        <v>1022</v>
      </c>
      <c r="R30" s="17" t="str">
        <f>VLOOKUP(A30,[2]Export!$A:$I,9,0)</f>
        <v>Não Comprou</v>
      </c>
      <c r="S30" s="17" t="s">
        <v>1022</v>
      </c>
      <c r="T30" s="20"/>
      <c r="U30" s="17"/>
    </row>
    <row r="31" spans="1:21" x14ac:dyDescent="0.35">
      <c r="A31" s="5">
        <v>33019679000209</v>
      </c>
      <c r="B31" s="7"/>
      <c r="C31" s="4"/>
      <c r="D31" s="6" t="s">
        <v>69</v>
      </c>
      <c r="E31" s="6" t="s">
        <v>61</v>
      </c>
      <c r="F31" s="6" t="s">
        <v>8</v>
      </c>
      <c r="G31" s="11" t="s">
        <v>64</v>
      </c>
      <c r="H31" s="6" t="s">
        <v>17</v>
      </c>
      <c r="I31" s="21" t="s">
        <v>1068</v>
      </c>
      <c r="J31" s="18">
        <v>4998.572460426727</v>
      </c>
      <c r="K31" s="18">
        <f>VLOOKUP(A31,[1]Export!$A:$C,3,0)</f>
        <v>2204.8799999999997</v>
      </c>
      <c r="L31" s="19">
        <f t="shared" si="2"/>
        <v>0.44110193809449538</v>
      </c>
      <c r="M31" s="18">
        <f>VLOOKUP(A31,[1]Export!$A:$G,7,0)</f>
        <v>2155.0099999999998</v>
      </c>
      <c r="N31" s="19">
        <f t="shared" si="3"/>
        <v>0.43112508962529417</v>
      </c>
      <c r="O31" s="17" t="s">
        <v>1029</v>
      </c>
      <c r="P31" s="17" t="s">
        <v>1026</v>
      </c>
      <c r="Q31" s="17" t="s">
        <v>1022</v>
      </c>
      <c r="R31" s="17" t="str">
        <f>VLOOKUP(A31,[2]Export!$A:$I,9,0)</f>
        <v>Comprou Marcas</v>
      </c>
      <c r="S31" s="17" t="s">
        <v>1022</v>
      </c>
      <c r="T31" s="20">
        <v>1</v>
      </c>
      <c r="U31" s="17"/>
    </row>
    <row r="32" spans="1:21" x14ac:dyDescent="0.35">
      <c r="A32" s="4">
        <v>33193160000153</v>
      </c>
      <c r="B32" s="7"/>
      <c r="C32" s="4"/>
      <c r="D32" s="1" t="s">
        <v>70</v>
      </c>
      <c r="E32" s="1" t="s">
        <v>71</v>
      </c>
      <c r="F32" s="1" t="s">
        <v>15</v>
      </c>
      <c r="G32" s="10" t="s">
        <v>36</v>
      </c>
      <c r="H32" s="1" t="s">
        <v>17</v>
      </c>
      <c r="I32" s="21" t="s">
        <v>1071</v>
      </c>
      <c r="J32" s="18">
        <v>4224.5038958684936</v>
      </c>
      <c r="K32" s="18">
        <f>VLOOKUP(A32,[1]Export!$A:$C,3,0)</f>
        <v>2166.1000000000004</v>
      </c>
      <c r="L32" s="19">
        <f t="shared" si="2"/>
        <v>0.51274659780013843</v>
      </c>
      <c r="M32" s="18">
        <f>VLOOKUP(A32,[1]Export!$A:$G,7,0)</f>
        <v>0</v>
      </c>
      <c r="N32" s="19">
        <f t="shared" si="3"/>
        <v>0</v>
      </c>
      <c r="O32" s="17" t="s">
        <v>1025</v>
      </c>
      <c r="P32" s="17" t="s">
        <v>1026</v>
      </c>
      <c r="Q32" s="17" t="s">
        <v>1022</v>
      </c>
      <c r="R32" s="17" t="str">
        <f>VLOOKUP(A32,[2]Export!$A:$I,9,0)</f>
        <v>Não Comprou</v>
      </c>
      <c r="S32" s="17" t="s">
        <v>1022</v>
      </c>
      <c r="T32" s="20"/>
      <c r="U32" s="17"/>
    </row>
    <row r="33" spans="1:21" x14ac:dyDescent="0.35">
      <c r="A33" s="5">
        <v>16735647000282</v>
      </c>
      <c r="B33" s="7"/>
      <c r="C33" s="4"/>
      <c r="D33" s="6" t="s">
        <v>72</v>
      </c>
      <c r="E33" s="6" t="s">
        <v>61</v>
      </c>
      <c r="F33" s="6" t="s">
        <v>8</v>
      </c>
      <c r="G33" s="11" t="s">
        <v>20</v>
      </c>
      <c r="H33" s="6" t="s">
        <v>17</v>
      </c>
      <c r="I33" s="21" t="s">
        <v>1068</v>
      </c>
      <c r="J33" s="18">
        <v>1672.6892611244018</v>
      </c>
      <c r="K33" s="18">
        <f>VLOOKUP(A33,[1]Export!$A:$C,3,0)</f>
        <v>29.8</v>
      </c>
      <c r="L33" s="19">
        <f t="shared" si="2"/>
        <v>1.7815622239344134E-2</v>
      </c>
      <c r="M33" s="18">
        <f>VLOOKUP(A33,[1]Export!$A:$G,7,0)</f>
        <v>0</v>
      </c>
      <c r="N33" s="19">
        <f t="shared" si="3"/>
        <v>0</v>
      </c>
      <c r="O33" s="17" t="s">
        <v>1025</v>
      </c>
      <c r="P33" s="17" t="s">
        <v>1026</v>
      </c>
      <c r="Q33" s="17" t="s">
        <v>1023</v>
      </c>
      <c r="R33" s="17" t="str">
        <f>VLOOKUP(A33,[2]Export!$A:$I,9,0)</f>
        <v>Não Comprou</v>
      </c>
      <c r="S33" s="17" t="s">
        <v>1023</v>
      </c>
      <c r="T33" s="20"/>
      <c r="U33" s="17"/>
    </row>
    <row r="34" spans="1:21" x14ac:dyDescent="0.35">
      <c r="A34" s="4">
        <v>22054397000137</v>
      </c>
      <c r="B34" s="7"/>
      <c r="C34" s="4"/>
      <c r="D34" s="1" t="s">
        <v>73</v>
      </c>
      <c r="E34" s="1" t="s">
        <v>45</v>
      </c>
      <c r="F34" s="1" t="s">
        <v>8</v>
      </c>
      <c r="G34" s="10" t="s">
        <v>74</v>
      </c>
      <c r="H34" s="1" t="s">
        <v>17</v>
      </c>
      <c r="I34" s="21" t="s">
        <v>1070</v>
      </c>
      <c r="J34" s="18">
        <v>3095.4035332870158</v>
      </c>
      <c r="K34" s="18">
        <f>VLOOKUP(A34,[1]Export!$A:$C,3,0)</f>
        <v>1164.46</v>
      </c>
      <c r="L34" s="19">
        <f t="shared" si="2"/>
        <v>0.37619004678315959</v>
      </c>
      <c r="M34" s="18">
        <f>VLOOKUP(A34,[1]Export!$A:$G,7,0)</f>
        <v>0</v>
      </c>
      <c r="N34" s="19">
        <f t="shared" si="3"/>
        <v>0</v>
      </c>
      <c r="O34" s="17" t="s">
        <v>1025</v>
      </c>
      <c r="P34" s="17" t="s">
        <v>1026</v>
      </c>
      <c r="Q34" s="17" t="s">
        <v>1023</v>
      </c>
      <c r="R34" s="17" t="str">
        <f>VLOOKUP(A34,[2]Export!$A:$I,9,0)</f>
        <v>Não Comprou</v>
      </c>
      <c r="S34" s="17" t="s">
        <v>1022</v>
      </c>
      <c r="T34" s="20"/>
      <c r="U34" s="17"/>
    </row>
    <row r="35" spans="1:21" x14ac:dyDescent="0.35">
      <c r="A35" s="5">
        <v>32641091000130</v>
      </c>
      <c r="B35" s="7"/>
      <c r="C35" s="4"/>
      <c r="D35" s="6" t="s">
        <v>75</v>
      </c>
      <c r="E35" s="6" t="s">
        <v>56</v>
      </c>
      <c r="F35" s="6" t="s">
        <v>48</v>
      </c>
      <c r="G35" s="11" t="s">
        <v>75</v>
      </c>
      <c r="H35" s="6" t="s">
        <v>17</v>
      </c>
      <c r="I35" s="21" t="s">
        <v>1075</v>
      </c>
      <c r="J35" s="18">
        <v>4038.2597437023906</v>
      </c>
      <c r="K35" s="18">
        <f>VLOOKUP(A35,[1]Export!$A:$C,3,0)</f>
        <v>817.86</v>
      </c>
      <c r="L35" s="19">
        <f t="shared" si="2"/>
        <v>0.20252783424232212</v>
      </c>
      <c r="M35" s="18">
        <f>VLOOKUP(A35,[1]Export!$A:$G,7,0)</f>
        <v>0</v>
      </c>
      <c r="N35" s="19">
        <f t="shared" si="3"/>
        <v>0</v>
      </c>
      <c r="O35" s="17" t="s">
        <v>1027</v>
      </c>
      <c r="P35" s="17" t="s">
        <v>1026</v>
      </c>
      <c r="Q35" s="17" t="s">
        <v>1023</v>
      </c>
      <c r="R35" s="17" t="str">
        <f>VLOOKUP(A35,[2]Export!$A:$I,9,0)</f>
        <v>Não Comprou</v>
      </c>
      <c r="S35" s="17" t="s">
        <v>1023</v>
      </c>
      <c r="T35" s="20"/>
      <c r="U35" s="17"/>
    </row>
    <row r="36" spans="1:21" x14ac:dyDescent="0.35">
      <c r="A36" s="4">
        <v>55845358000107</v>
      </c>
      <c r="B36" s="7"/>
      <c r="C36" s="4"/>
      <c r="D36" s="1" t="s">
        <v>76</v>
      </c>
      <c r="E36" s="1" t="s">
        <v>50</v>
      </c>
      <c r="F36" s="1" t="s">
        <v>48</v>
      </c>
      <c r="G36" s="10" t="s">
        <v>16</v>
      </c>
      <c r="H36" s="1" t="s">
        <v>17</v>
      </c>
      <c r="I36" s="21" t="s">
        <v>1073</v>
      </c>
      <c r="J36" s="18">
        <v>1733.0829608640961</v>
      </c>
      <c r="K36" s="18">
        <f>VLOOKUP(A36,[1]Export!$A:$C,3,0)</f>
        <v>194.83999999999997</v>
      </c>
      <c r="L36" s="19">
        <f t="shared" si="2"/>
        <v>0.11242393145614615</v>
      </c>
      <c r="M36" s="18">
        <f>VLOOKUP(A36,[1]Export!$A:$G,7,0)</f>
        <v>0</v>
      </c>
      <c r="N36" s="19">
        <f t="shared" si="3"/>
        <v>0</v>
      </c>
      <c r="O36" s="17" t="s">
        <v>1025</v>
      </c>
      <c r="P36" s="17" t="s">
        <v>1026</v>
      </c>
      <c r="Q36" s="17" t="s">
        <v>1023</v>
      </c>
      <c r="R36" s="17" t="str">
        <f>VLOOKUP(A36,[2]Export!$A:$I,9,0)</f>
        <v>Não Comprou</v>
      </c>
      <c r="S36" s="17" t="s">
        <v>1023</v>
      </c>
      <c r="T36" s="20"/>
      <c r="U36" s="17"/>
    </row>
    <row r="37" spans="1:21" x14ac:dyDescent="0.35">
      <c r="A37" s="5">
        <v>57338966000150</v>
      </c>
      <c r="B37" s="7"/>
      <c r="C37" s="4"/>
      <c r="D37" s="6" t="s">
        <v>77</v>
      </c>
      <c r="E37" s="6" t="s">
        <v>61</v>
      </c>
      <c r="F37" s="6" t="s">
        <v>8</v>
      </c>
      <c r="G37" s="11" t="s">
        <v>74</v>
      </c>
      <c r="H37" s="6" t="s">
        <v>17</v>
      </c>
      <c r="I37" s="21" t="s">
        <v>1068</v>
      </c>
      <c r="J37" s="18">
        <v>893.70473724607871</v>
      </c>
      <c r="K37" s="18">
        <f>VLOOKUP(A37,[1]Export!$A:$C,3,0)</f>
        <v>73.399999999999991</v>
      </c>
      <c r="L37" s="19">
        <f t="shared" si="2"/>
        <v>8.2130033489785051E-2</v>
      </c>
      <c r="M37" s="18">
        <f>VLOOKUP(A37,[1]Export!$A:$G,7,0)</f>
        <v>0</v>
      </c>
      <c r="N37" s="19">
        <f t="shared" si="3"/>
        <v>0</v>
      </c>
      <c r="O37" s="17" t="s">
        <v>1027</v>
      </c>
      <c r="P37" s="17" t="s">
        <v>1028</v>
      </c>
      <c r="Q37" s="17" t="s">
        <v>1023</v>
      </c>
      <c r="R37" s="17" t="str">
        <f>VLOOKUP(A37,[2]Export!$A:$I,9,0)</f>
        <v>Não Comprou</v>
      </c>
      <c r="S37" s="17" t="s">
        <v>1022</v>
      </c>
      <c r="T37" s="20"/>
      <c r="U37" s="17"/>
    </row>
    <row r="38" spans="1:21" x14ac:dyDescent="0.35">
      <c r="A38" s="4">
        <v>8029945000148</v>
      </c>
      <c r="B38" s="7"/>
      <c r="C38" s="4"/>
      <c r="D38" s="1" t="s">
        <v>78</v>
      </c>
      <c r="E38" s="1" t="s">
        <v>79</v>
      </c>
      <c r="F38" s="1" t="s">
        <v>48</v>
      </c>
      <c r="G38" s="10" t="s">
        <v>80</v>
      </c>
      <c r="H38" s="1" t="s">
        <v>17</v>
      </c>
      <c r="I38" s="21" t="s">
        <v>1075</v>
      </c>
      <c r="J38" s="18">
        <v>13195.811985356409</v>
      </c>
      <c r="K38" s="18">
        <f>VLOOKUP(A38,[1]Export!$A:$C,3,0)</f>
        <v>10757.21</v>
      </c>
      <c r="L38" s="19">
        <f t="shared" si="2"/>
        <v>0.8151987927637524</v>
      </c>
      <c r="M38" s="18">
        <f>VLOOKUP(A38,[1]Export!$A:$G,7,0)</f>
        <v>4312.8600000000006</v>
      </c>
      <c r="N38" s="19">
        <f t="shared" si="3"/>
        <v>0.32683551453946497</v>
      </c>
      <c r="O38" s="17" t="s">
        <v>1027</v>
      </c>
      <c r="P38" s="17" t="s">
        <v>1028</v>
      </c>
      <c r="Q38" s="17" t="s">
        <v>1023</v>
      </c>
      <c r="R38" s="17" t="str">
        <f>VLOOKUP(A38,[2]Export!$A:$I,9,0)</f>
        <v>Comprou Marcas</v>
      </c>
      <c r="S38" s="17" t="s">
        <v>1022</v>
      </c>
      <c r="T38" s="20">
        <v>4</v>
      </c>
      <c r="U38" s="17"/>
    </row>
    <row r="39" spans="1:21" x14ac:dyDescent="0.35">
      <c r="A39" s="5">
        <v>8298153000179</v>
      </c>
      <c r="B39" s="7"/>
      <c r="C39" s="4"/>
      <c r="D39" s="6" t="s">
        <v>81</v>
      </c>
      <c r="E39" s="6" t="s">
        <v>82</v>
      </c>
      <c r="F39" s="6" t="s">
        <v>8</v>
      </c>
      <c r="G39" s="11" t="s">
        <v>20</v>
      </c>
      <c r="H39" s="6" t="s">
        <v>17</v>
      </c>
      <c r="I39" s="21" t="s">
        <v>1072</v>
      </c>
      <c r="J39" s="18">
        <v>1343.4458856421838</v>
      </c>
      <c r="K39" s="18">
        <f>VLOOKUP(A39,[1]Export!$A:$C,3,0)</f>
        <v>420.37999999999994</v>
      </c>
      <c r="L39" s="19">
        <f t="shared" si="2"/>
        <v>0.3129117476875915</v>
      </c>
      <c r="M39" s="18">
        <f>VLOOKUP(A39,[1]Export!$A:$G,7,0)</f>
        <v>328.98</v>
      </c>
      <c r="N39" s="19">
        <f t="shared" si="3"/>
        <v>0.24487774574019666</v>
      </c>
      <c r="O39" s="17" t="s">
        <v>1025</v>
      </c>
      <c r="P39" s="17" t="s">
        <v>1026</v>
      </c>
      <c r="Q39" s="17" t="s">
        <v>1023</v>
      </c>
      <c r="R39" s="17" t="str">
        <f>VLOOKUP(A39,[2]Export!$A:$I,9,0)</f>
        <v>Comprou Marcas</v>
      </c>
      <c r="S39" s="17" t="s">
        <v>1022</v>
      </c>
      <c r="T39" s="20"/>
      <c r="U39" s="17"/>
    </row>
    <row r="40" spans="1:21" x14ac:dyDescent="0.35">
      <c r="A40" s="4">
        <v>9447656000121</v>
      </c>
      <c r="B40" s="7"/>
      <c r="C40" s="4"/>
      <c r="D40" s="1" t="s">
        <v>83</v>
      </c>
      <c r="E40" s="1" t="s">
        <v>84</v>
      </c>
      <c r="F40" s="1" t="s">
        <v>8</v>
      </c>
      <c r="G40" s="10" t="s">
        <v>36</v>
      </c>
      <c r="H40" s="1" t="s">
        <v>17</v>
      </c>
      <c r="I40" s="21" t="s">
        <v>1074</v>
      </c>
      <c r="J40" s="18">
        <v>2213.5782668646507</v>
      </c>
      <c r="K40" s="18">
        <f>VLOOKUP(A40,[1]Export!$A:$C,3,0)</f>
        <v>564.63</v>
      </c>
      <c r="L40" s="19">
        <f t="shared" si="2"/>
        <v>0.25507568828806371</v>
      </c>
      <c r="M40" s="18">
        <f>VLOOKUP(A40,[1]Export!$A:$G,7,0)</f>
        <v>137.85</v>
      </c>
      <c r="N40" s="19">
        <f t="shared" si="3"/>
        <v>6.2274735013211457E-2</v>
      </c>
      <c r="O40" s="17" t="s">
        <v>1025</v>
      </c>
      <c r="P40" s="17" t="s">
        <v>1026</v>
      </c>
      <c r="Q40" s="17" t="s">
        <v>1022</v>
      </c>
      <c r="R40" s="17" t="str">
        <f>VLOOKUP(A40,[2]Export!$A:$I,9,0)</f>
        <v>Comprou Marcas</v>
      </c>
      <c r="S40" s="17" t="s">
        <v>1023</v>
      </c>
      <c r="T40" s="20"/>
      <c r="U40" s="17"/>
    </row>
    <row r="41" spans="1:21" x14ac:dyDescent="0.35">
      <c r="A41" s="5">
        <v>1770218000198</v>
      </c>
      <c r="B41" s="7"/>
      <c r="C41" s="4"/>
      <c r="D41" s="6" t="s">
        <v>85</v>
      </c>
      <c r="E41" s="6" t="s">
        <v>86</v>
      </c>
      <c r="F41" s="6" t="s">
        <v>48</v>
      </c>
      <c r="G41" s="11" t="s">
        <v>87</v>
      </c>
      <c r="H41" s="6" t="s">
        <v>17</v>
      </c>
      <c r="I41" s="21" t="s">
        <v>1075</v>
      </c>
      <c r="J41" s="18">
        <v>5749.9059934698689</v>
      </c>
      <c r="K41" s="18">
        <f>VLOOKUP(A41,[1]Export!$A:$C,3,0)</f>
        <v>818.28000000000009</v>
      </c>
      <c r="L41" s="19">
        <f t="shared" si="2"/>
        <v>0.14231189186906976</v>
      </c>
      <c r="M41" s="18">
        <f>VLOOKUP(A41,[1]Export!$A:$G,7,0)</f>
        <v>176.63000000000002</v>
      </c>
      <c r="N41" s="19">
        <f t="shared" si="3"/>
        <v>3.0718763089448344E-2</v>
      </c>
      <c r="O41" s="17" t="s">
        <v>1029</v>
      </c>
      <c r="P41" s="17" t="s">
        <v>1026</v>
      </c>
      <c r="Q41" s="17" t="s">
        <v>1022</v>
      </c>
      <c r="R41" s="17" t="str">
        <f>VLOOKUP(A41,[2]Export!$A:$I,9,0)</f>
        <v>Comprou Marcas</v>
      </c>
      <c r="S41" s="17" t="s">
        <v>1023</v>
      </c>
      <c r="T41" s="20"/>
      <c r="U41" s="17"/>
    </row>
    <row r="42" spans="1:21" x14ac:dyDescent="0.35">
      <c r="A42" s="4">
        <v>2021988000109</v>
      </c>
      <c r="B42" s="7"/>
      <c r="C42" s="4"/>
      <c r="D42" s="1" t="s">
        <v>88</v>
      </c>
      <c r="E42" s="1" t="s">
        <v>89</v>
      </c>
      <c r="F42" s="1" t="s">
        <v>15</v>
      </c>
      <c r="G42" s="10" t="s">
        <v>20</v>
      </c>
      <c r="H42" s="1" t="s">
        <v>17</v>
      </c>
      <c r="I42" s="21" t="s">
        <v>1069</v>
      </c>
      <c r="J42" s="18">
        <v>613.53326523484054</v>
      </c>
      <c r="K42" s="18">
        <f>VLOOKUP(A42,[1]Export!$A:$C,3,0)</f>
        <v>0</v>
      </c>
      <c r="L42" s="19">
        <f t="shared" si="2"/>
        <v>0</v>
      </c>
      <c r="M42" s="18">
        <f>VLOOKUP(A42,[1]Export!$A:$G,7,0)</f>
        <v>0</v>
      </c>
      <c r="N42" s="19">
        <f t="shared" si="3"/>
        <v>0</v>
      </c>
      <c r="O42" s="17" t="s">
        <v>1025</v>
      </c>
      <c r="P42" s="17" t="s">
        <v>1026</v>
      </c>
      <c r="Q42" s="17" t="s">
        <v>1023</v>
      </c>
      <c r="R42" s="17" t="str">
        <f>VLOOKUP(A42,[2]Export!$A:$I,9,0)</f>
        <v>Não Comprou</v>
      </c>
      <c r="S42" s="17" t="s">
        <v>1023</v>
      </c>
      <c r="T42" s="20"/>
      <c r="U42" s="17"/>
    </row>
    <row r="43" spans="1:21" x14ac:dyDescent="0.35">
      <c r="A43" s="5">
        <v>2440068000206</v>
      </c>
      <c r="B43" s="7"/>
      <c r="C43" s="4"/>
      <c r="D43" s="6" t="s">
        <v>90</v>
      </c>
      <c r="E43" s="6" t="s">
        <v>58</v>
      </c>
      <c r="F43" s="6" t="s">
        <v>8</v>
      </c>
      <c r="G43" s="11" t="s">
        <v>64</v>
      </c>
      <c r="H43" s="6" t="s">
        <v>17</v>
      </c>
      <c r="I43" s="21" t="s">
        <v>1068</v>
      </c>
      <c r="J43" s="18">
        <v>14495.808018265254</v>
      </c>
      <c r="K43" s="18">
        <f>VLOOKUP(A43,[1]Export!$A:$C,3,0)</f>
        <v>3589.6500000000005</v>
      </c>
      <c r="L43" s="19">
        <f t="shared" si="2"/>
        <v>0.24763366039871038</v>
      </c>
      <c r="M43" s="18">
        <f>VLOOKUP(A43,[1]Export!$A:$G,7,0)</f>
        <v>3698.47</v>
      </c>
      <c r="N43" s="19">
        <f t="shared" si="3"/>
        <v>0.25514065827443294</v>
      </c>
      <c r="O43" s="17" t="s">
        <v>1029</v>
      </c>
      <c r="P43" s="17" t="s">
        <v>1026</v>
      </c>
      <c r="Q43" s="17" t="s">
        <v>1022</v>
      </c>
      <c r="R43" s="17" t="str">
        <f>VLOOKUP(A43,[2]Export!$A:$I,9,0)</f>
        <v>Comprou Marcas</v>
      </c>
      <c r="S43" s="17" t="s">
        <v>1022</v>
      </c>
      <c r="T43" s="20"/>
      <c r="U43" s="17"/>
    </row>
    <row r="44" spans="1:21" x14ac:dyDescent="0.35">
      <c r="A44" s="4">
        <v>4834843001620</v>
      </c>
      <c r="B44" s="7" t="s">
        <v>994</v>
      </c>
      <c r="C44" s="4"/>
      <c r="D44" s="1" t="s">
        <v>91</v>
      </c>
      <c r="E44" s="1" t="s">
        <v>47</v>
      </c>
      <c r="F44" s="1" t="s">
        <v>48</v>
      </c>
      <c r="G44" s="10" t="s">
        <v>92</v>
      </c>
      <c r="H44" s="1" t="s">
        <v>17</v>
      </c>
      <c r="I44" s="21" t="s">
        <v>1073</v>
      </c>
      <c r="J44" s="18">
        <v>7244.0068679043243</v>
      </c>
      <c r="K44" s="18">
        <f>VLOOKUP(A44,[1]Export!$A:$C,3,0)</f>
        <v>2814.7000000000003</v>
      </c>
      <c r="L44" s="19">
        <f t="shared" si="2"/>
        <v>0.38855567800065971</v>
      </c>
      <c r="M44" s="18">
        <f>VLOOKUP(A44,[1]Export!$A:$G,7,0)</f>
        <v>3431.57</v>
      </c>
      <c r="N44" s="19">
        <f t="shared" si="3"/>
        <v>0.47371158843099581</v>
      </c>
      <c r="O44" s="17" t="s">
        <v>1027</v>
      </c>
      <c r="P44" s="17" t="s">
        <v>1028</v>
      </c>
      <c r="Q44" s="17" t="s">
        <v>1023</v>
      </c>
      <c r="R44" s="17" t="str">
        <f>VLOOKUP(A44,[2]Export!$A:$I,9,0)</f>
        <v>Comprou Marcas</v>
      </c>
      <c r="S44" s="17" t="s">
        <v>1022</v>
      </c>
      <c r="T44" s="20"/>
      <c r="U44" s="17"/>
    </row>
    <row r="45" spans="1:21" x14ac:dyDescent="0.35">
      <c r="A45" s="5">
        <v>5382051000149</v>
      </c>
      <c r="B45" s="7"/>
      <c r="C45" s="4"/>
      <c r="D45" s="6" t="s">
        <v>93</v>
      </c>
      <c r="E45" s="6" t="s">
        <v>94</v>
      </c>
      <c r="F45" s="6" t="s">
        <v>15</v>
      </c>
      <c r="G45" s="11" t="s">
        <v>36</v>
      </c>
      <c r="H45" s="6" t="s">
        <v>17</v>
      </c>
      <c r="I45" s="21" t="s">
        <v>1071</v>
      </c>
      <c r="J45" s="18">
        <v>3924.3133275495561</v>
      </c>
      <c r="K45" s="18">
        <f>VLOOKUP(A45,[1]Export!$A:$C,3,0)</f>
        <v>303.85000000000002</v>
      </c>
      <c r="L45" s="19">
        <f t="shared" si="2"/>
        <v>7.7427558565954749E-2</v>
      </c>
      <c r="M45" s="18">
        <f>VLOOKUP(A45,[1]Export!$A:$G,7,0)</f>
        <v>308.02999999999997</v>
      </c>
      <c r="N45" s="19">
        <f t="shared" si="3"/>
        <v>7.8492713065891187E-2</v>
      </c>
      <c r="O45" s="17" t="s">
        <v>1025</v>
      </c>
      <c r="P45" s="17" t="s">
        <v>1026</v>
      </c>
      <c r="Q45" s="17" t="s">
        <v>1022</v>
      </c>
      <c r="R45" s="17" t="str">
        <f>VLOOKUP(A45,[2]Export!$A:$I,9,0)</f>
        <v>Comprou Marcas</v>
      </c>
      <c r="S45" s="17" t="s">
        <v>1022</v>
      </c>
      <c r="T45" s="20"/>
      <c r="U45" s="17"/>
    </row>
    <row r="46" spans="1:21" x14ac:dyDescent="0.35">
      <c r="A46" s="4">
        <v>13475688000108</v>
      </c>
      <c r="B46" s="7"/>
      <c r="C46" s="4"/>
      <c r="D46" s="1" t="s">
        <v>95</v>
      </c>
      <c r="E46" s="1" t="s">
        <v>96</v>
      </c>
      <c r="F46" s="1" t="s">
        <v>8</v>
      </c>
      <c r="G46" s="10" t="s">
        <v>64</v>
      </c>
      <c r="H46" s="1" t="s">
        <v>17</v>
      </c>
      <c r="I46" s="21" t="s">
        <v>1074</v>
      </c>
      <c r="J46" s="18">
        <v>2548.411243993849</v>
      </c>
      <c r="K46" s="18">
        <f>VLOOKUP(A46,[1]Export!$A:$C,3,0)</f>
        <v>148.63</v>
      </c>
      <c r="L46" s="19">
        <f t="shared" si="2"/>
        <v>5.8322611921562663E-2</v>
      </c>
      <c r="M46" s="18">
        <f>VLOOKUP(A46,[1]Export!$A:$G,7,0)</f>
        <v>0</v>
      </c>
      <c r="N46" s="19">
        <f t="shared" si="3"/>
        <v>0</v>
      </c>
      <c r="O46" s="17" t="s">
        <v>1025</v>
      </c>
      <c r="P46" s="17" t="s">
        <v>1026</v>
      </c>
      <c r="Q46" s="17" t="s">
        <v>1023</v>
      </c>
      <c r="R46" s="17" t="str">
        <f>VLOOKUP(A46,[2]Export!$A:$I,9,0)</f>
        <v>Não Comprou</v>
      </c>
      <c r="S46" s="17" t="s">
        <v>1023</v>
      </c>
      <c r="T46" s="20"/>
      <c r="U46" s="17"/>
    </row>
    <row r="47" spans="1:21" x14ac:dyDescent="0.35">
      <c r="A47" s="5">
        <v>16042681000190</v>
      </c>
      <c r="B47" s="7"/>
      <c r="C47" s="4"/>
      <c r="D47" s="6" t="s">
        <v>97</v>
      </c>
      <c r="E47" s="6" t="s">
        <v>98</v>
      </c>
      <c r="F47" s="6" t="s">
        <v>15</v>
      </c>
      <c r="G47" s="11" t="s">
        <v>20</v>
      </c>
      <c r="H47" s="6" t="s">
        <v>17</v>
      </c>
      <c r="I47" s="21" t="s">
        <v>1075</v>
      </c>
      <c r="J47" s="18">
        <v>4681.819533945436</v>
      </c>
      <c r="K47" s="18">
        <f>VLOOKUP(A47,[1]Export!$A:$C,3,0)</f>
        <v>1051.8300000000002</v>
      </c>
      <c r="L47" s="19">
        <f t="shared" si="2"/>
        <v>0.22466265356315604</v>
      </c>
      <c r="M47" s="18">
        <f>VLOOKUP(A47,[1]Export!$A:$G,7,0)</f>
        <v>951.63000000000011</v>
      </c>
      <c r="N47" s="19">
        <f t="shared" si="3"/>
        <v>0.20326071799654524</v>
      </c>
      <c r="O47" s="17" t="s">
        <v>1025</v>
      </c>
      <c r="P47" s="17" t="s">
        <v>1026</v>
      </c>
      <c r="Q47" s="17" t="s">
        <v>1023</v>
      </c>
      <c r="R47" s="17" t="str">
        <f>VLOOKUP(A47,[2]Export!$A:$I,9,0)</f>
        <v>Comprou Marcas</v>
      </c>
      <c r="S47" s="17" t="s">
        <v>1022</v>
      </c>
      <c r="T47" s="20"/>
      <c r="U47" s="17"/>
    </row>
    <row r="48" spans="1:21" x14ac:dyDescent="0.35">
      <c r="A48" s="4">
        <v>16925842000194</v>
      </c>
      <c r="B48" s="7"/>
      <c r="C48" s="4"/>
      <c r="D48" s="1" t="s">
        <v>99</v>
      </c>
      <c r="E48" s="1" t="s">
        <v>100</v>
      </c>
      <c r="F48" s="1" t="s">
        <v>15</v>
      </c>
      <c r="G48" s="10" t="s">
        <v>16</v>
      </c>
      <c r="H48" s="1" t="s">
        <v>17</v>
      </c>
      <c r="I48" s="21" t="s">
        <v>1075</v>
      </c>
      <c r="J48" s="18">
        <v>1930.937807795156</v>
      </c>
      <c r="K48" s="18">
        <f>VLOOKUP(A48,[1]Export!$A:$C,3,0)</f>
        <v>829.56</v>
      </c>
      <c r="L48" s="19">
        <f t="shared" si="2"/>
        <v>0.42961507960074291</v>
      </c>
      <c r="M48" s="18">
        <f>VLOOKUP(A48,[1]Export!$A:$G,7,0)</f>
        <v>243.66999999999996</v>
      </c>
      <c r="N48" s="19">
        <f t="shared" si="3"/>
        <v>0.1261925676820399</v>
      </c>
      <c r="O48" s="17" t="s">
        <v>1029</v>
      </c>
      <c r="P48" s="17" t="s">
        <v>1026</v>
      </c>
      <c r="Q48" s="17" t="s">
        <v>1022</v>
      </c>
      <c r="R48" s="17" t="str">
        <f>VLOOKUP(A48,[2]Export!$A:$I,9,0)</f>
        <v>Comprou Marcas</v>
      </c>
      <c r="S48" s="17" t="s">
        <v>1023</v>
      </c>
      <c r="T48" s="20"/>
      <c r="U48" s="17"/>
    </row>
    <row r="49" spans="1:21" x14ac:dyDescent="0.35">
      <c r="A49" s="5">
        <v>17241854000162</v>
      </c>
      <c r="B49" s="7"/>
      <c r="C49" s="4">
        <v>116557</v>
      </c>
      <c r="D49" s="6" t="s">
        <v>101</v>
      </c>
      <c r="E49" s="6" t="s">
        <v>102</v>
      </c>
      <c r="F49" s="6" t="s">
        <v>48</v>
      </c>
      <c r="G49" s="11" t="s">
        <v>103</v>
      </c>
      <c r="H49" s="6" t="s">
        <v>17</v>
      </c>
      <c r="I49" s="21" t="s">
        <v>1073</v>
      </c>
      <c r="J49" s="18">
        <v>28247.564316245545</v>
      </c>
      <c r="K49" s="18">
        <f>VLOOKUP(A49,[1]Export!$A:$C,3,0)</f>
        <v>14120.230000000003</v>
      </c>
      <c r="L49" s="19">
        <f t="shared" si="2"/>
        <v>0.49987424904735145</v>
      </c>
      <c r="M49" s="18">
        <f>VLOOKUP(A49,[1]Export!$A:$G,7,0)</f>
        <v>9576.2700000000023</v>
      </c>
      <c r="N49" s="19">
        <f t="shared" si="3"/>
        <v>0.33901223810976733</v>
      </c>
      <c r="O49" s="17" t="s">
        <v>1027</v>
      </c>
      <c r="P49" s="17" t="s">
        <v>1028</v>
      </c>
      <c r="Q49" s="17" t="s">
        <v>1023</v>
      </c>
      <c r="R49" s="17" t="str">
        <f>VLOOKUP(A49,[2]Export!$A:$I,9,0)</f>
        <v>Comprou Marcas e SG</v>
      </c>
      <c r="S49" s="17" t="s">
        <v>1022</v>
      </c>
      <c r="T49" s="20">
        <v>4</v>
      </c>
      <c r="U49" s="17"/>
    </row>
    <row r="50" spans="1:21" x14ac:dyDescent="0.35">
      <c r="A50" s="4">
        <v>18645755000532</v>
      </c>
      <c r="B50" s="7" t="s">
        <v>1005</v>
      </c>
      <c r="C50" s="4"/>
      <c r="D50" s="1" t="s">
        <v>686</v>
      </c>
      <c r="E50" s="1" t="s">
        <v>127</v>
      </c>
      <c r="F50" s="1" t="s">
        <v>8</v>
      </c>
      <c r="G50" s="10" t="s">
        <v>9</v>
      </c>
      <c r="H50" s="1" t="s">
        <v>10</v>
      </c>
      <c r="I50" s="21" t="s">
        <v>1070</v>
      </c>
      <c r="J50" s="18">
        <v>1948.9473959941201</v>
      </c>
      <c r="K50" s="18">
        <f>VLOOKUP(A50,[1]Export!$A:$C,3,0)</f>
        <v>1657.1299999999997</v>
      </c>
      <c r="L50" s="19">
        <f t="shared" si="2"/>
        <v>0.8502692291264895</v>
      </c>
      <c r="M50" s="18">
        <f>VLOOKUP(A50,[1]Export!$A:$G,7,0)</f>
        <v>0</v>
      </c>
      <c r="N50" s="19">
        <f t="shared" si="3"/>
        <v>0</v>
      </c>
      <c r="O50" s="17" t="s">
        <v>1027</v>
      </c>
      <c r="P50" s="17" t="s">
        <v>1028</v>
      </c>
      <c r="Q50" s="17" t="s">
        <v>1023</v>
      </c>
      <c r="R50" s="17" t="str">
        <f>VLOOKUP(A50,[2]Export!$A:$I,9,0)</f>
        <v>Não Comprou</v>
      </c>
      <c r="S50" s="17"/>
      <c r="T50" s="20"/>
      <c r="U50" s="17"/>
    </row>
    <row r="51" spans="1:21" x14ac:dyDescent="0.35">
      <c r="A51" s="5">
        <v>12741296000180</v>
      </c>
      <c r="B51" s="7"/>
      <c r="C51" s="4"/>
      <c r="D51" s="6" t="s">
        <v>106</v>
      </c>
      <c r="E51" s="6" t="s">
        <v>56</v>
      </c>
      <c r="F51" s="6" t="s">
        <v>48</v>
      </c>
      <c r="G51" s="11" t="s">
        <v>33</v>
      </c>
      <c r="H51" s="6" t="s">
        <v>17</v>
      </c>
      <c r="I51" s="21" t="s">
        <v>1075</v>
      </c>
      <c r="J51" s="18">
        <v>3681.9848483465744</v>
      </c>
      <c r="K51" s="18">
        <f>VLOOKUP(A51,[1]Export!$A:$C,3,0)</f>
        <v>843.22</v>
      </c>
      <c r="L51" s="19">
        <f t="shared" si="2"/>
        <v>0.22901234924382019</v>
      </c>
      <c r="M51" s="18">
        <f>VLOOKUP(A51,[1]Export!$A:$G,7,0)</f>
        <v>361.34000000000003</v>
      </c>
      <c r="N51" s="19">
        <f t="shared" si="3"/>
        <v>9.8137285970164356E-2</v>
      </c>
      <c r="O51" s="17" t="s">
        <v>1029</v>
      </c>
      <c r="P51" s="17" t="s">
        <v>1026</v>
      </c>
      <c r="Q51" s="17" t="s">
        <v>1023</v>
      </c>
      <c r="R51" s="17" t="str">
        <f>VLOOKUP(A51,[2]Export!$A:$I,9,0)</f>
        <v>Comprou Marcas e SG</v>
      </c>
      <c r="S51" s="17" t="s">
        <v>1022</v>
      </c>
      <c r="T51" s="20"/>
      <c r="U51" s="17"/>
    </row>
    <row r="52" spans="1:21" x14ac:dyDescent="0.35">
      <c r="A52" s="4">
        <v>57259868000128</v>
      </c>
      <c r="B52" s="7"/>
      <c r="C52" s="4"/>
      <c r="D52" s="1" t="s">
        <v>107</v>
      </c>
      <c r="E52" s="1" t="s">
        <v>47</v>
      </c>
      <c r="F52" s="1" t="s">
        <v>48</v>
      </c>
      <c r="G52" s="10" t="s">
        <v>20</v>
      </c>
      <c r="H52" s="1" t="s">
        <v>17</v>
      </c>
      <c r="I52" s="21" t="s">
        <v>1073</v>
      </c>
      <c r="J52" s="18">
        <v>1557.1122690860834</v>
      </c>
      <c r="K52" s="18">
        <f>VLOOKUP(A52,[1]Export!$A:$C,3,0)</f>
        <v>386.49</v>
      </c>
      <c r="L52" s="19">
        <f t="shared" si="2"/>
        <v>0.24820946290972504</v>
      </c>
      <c r="M52" s="18">
        <f>VLOOKUP(A52,[1]Export!$A:$G,7,0)</f>
        <v>0</v>
      </c>
      <c r="N52" s="19">
        <f t="shared" si="3"/>
        <v>0</v>
      </c>
      <c r="O52" s="17" t="s">
        <v>1025</v>
      </c>
      <c r="P52" s="17" t="s">
        <v>1026</v>
      </c>
      <c r="Q52" s="17" t="s">
        <v>1023</v>
      </c>
      <c r="R52" s="17" t="str">
        <f>VLOOKUP(A52,[2]Export!$A:$I,9,0)</f>
        <v>Não Comprou</v>
      </c>
      <c r="S52" s="17" t="s">
        <v>1023</v>
      </c>
      <c r="T52" s="20"/>
      <c r="U52" s="17"/>
    </row>
    <row r="53" spans="1:21" x14ac:dyDescent="0.35">
      <c r="A53" s="5">
        <v>54297138000123</v>
      </c>
      <c r="B53" s="7"/>
      <c r="C53" s="4"/>
      <c r="D53" s="6" t="s">
        <v>108</v>
      </c>
      <c r="E53" s="6" t="s">
        <v>14</v>
      </c>
      <c r="F53" s="6" t="s">
        <v>15</v>
      </c>
      <c r="G53" s="11" t="s">
        <v>20</v>
      </c>
      <c r="H53" s="6" t="s">
        <v>17</v>
      </c>
      <c r="I53" s="21" t="s">
        <v>1069</v>
      </c>
      <c r="J53" s="18">
        <v>3670.8603949917547</v>
      </c>
      <c r="K53" s="18">
        <f>VLOOKUP(A53,[1]Export!$A:$C,3,0)</f>
        <v>721.86999999999989</v>
      </c>
      <c r="L53" s="19">
        <f t="shared" si="2"/>
        <v>0.19664872055196239</v>
      </c>
      <c r="M53" s="18">
        <f>VLOOKUP(A53,[1]Export!$A:$G,7,0)</f>
        <v>335.71</v>
      </c>
      <c r="N53" s="19">
        <f t="shared" si="3"/>
        <v>9.1452674271682299E-2</v>
      </c>
      <c r="O53" s="17" t="s">
        <v>1025</v>
      </c>
      <c r="P53" s="17" t="s">
        <v>1026</v>
      </c>
      <c r="Q53" s="17" t="s">
        <v>1023</v>
      </c>
      <c r="R53" s="17" t="str">
        <f>VLOOKUP(A53,[2]Export!$A:$I,9,0)</f>
        <v>Comprou Marcas</v>
      </c>
      <c r="S53" s="17" t="s">
        <v>1022</v>
      </c>
      <c r="T53" s="20"/>
      <c r="U53" s="17"/>
    </row>
    <row r="54" spans="1:21" x14ac:dyDescent="0.35">
      <c r="A54" s="4">
        <v>23566528000128</v>
      </c>
      <c r="B54" s="7"/>
      <c r="C54" s="4"/>
      <c r="D54" s="1" t="s">
        <v>109</v>
      </c>
      <c r="E54" s="1" t="s">
        <v>110</v>
      </c>
      <c r="F54" s="1" t="s">
        <v>15</v>
      </c>
      <c r="G54" s="10" t="s">
        <v>16</v>
      </c>
      <c r="H54" s="1" t="s">
        <v>17</v>
      </c>
      <c r="I54" s="21" t="s">
        <v>1071</v>
      </c>
      <c r="J54" s="18">
        <v>4552.2196156872305</v>
      </c>
      <c r="K54" s="18">
        <f>VLOOKUP(A54,[1]Export!$A:$C,3,0)</f>
        <v>1593.86</v>
      </c>
      <c r="L54" s="19">
        <f t="shared" si="2"/>
        <v>0.35012809894045088</v>
      </c>
      <c r="M54" s="18">
        <f>VLOOKUP(A54,[1]Export!$A:$G,7,0)</f>
        <v>0</v>
      </c>
      <c r="N54" s="19">
        <f t="shared" si="3"/>
        <v>0</v>
      </c>
      <c r="O54" s="17" t="s">
        <v>1029</v>
      </c>
      <c r="P54" s="17" t="s">
        <v>1026</v>
      </c>
      <c r="Q54" s="17" t="s">
        <v>1022</v>
      </c>
      <c r="R54" s="17" t="str">
        <f>VLOOKUP(A54,[2]Export!$A:$I,9,0)</f>
        <v>Não Comprou</v>
      </c>
      <c r="S54" s="17" t="s">
        <v>1023</v>
      </c>
      <c r="T54" s="20"/>
      <c r="U54" s="17"/>
    </row>
    <row r="55" spans="1:21" x14ac:dyDescent="0.35">
      <c r="A55" s="5">
        <v>26495088000153</v>
      </c>
      <c r="B55" s="7"/>
      <c r="C55" s="4"/>
      <c r="D55" s="6" t="s">
        <v>111</v>
      </c>
      <c r="E55" s="6" t="s">
        <v>43</v>
      </c>
      <c r="F55" s="6" t="s">
        <v>8</v>
      </c>
      <c r="G55" s="11" t="s">
        <v>16</v>
      </c>
      <c r="H55" s="6" t="s">
        <v>17</v>
      </c>
      <c r="I55" s="21" t="s">
        <v>1070</v>
      </c>
      <c r="J55" s="18">
        <v>2825.1883665619698</v>
      </c>
      <c r="K55" s="18">
        <f>VLOOKUP(A55,[1]Export!$A:$C,3,0)</f>
        <v>826.01</v>
      </c>
      <c r="L55" s="19">
        <f t="shared" si="2"/>
        <v>0.29237342535329375</v>
      </c>
      <c r="M55" s="18">
        <f>VLOOKUP(A55,[1]Export!$A:$G,7,0)</f>
        <v>642.67000000000007</v>
      </c>
      <c r="N55" s="19">
        <f t="shared" si="3"/>
        <v>0.2274786373915586</v>
      </c>
      <c r="O55" s="17" t="s">
        <v>1027</v>
      </c>
      <c r="P55" s="17" t="s">
        <v>1028</v>
      </c>
      <c r="Q55" s="17" t="s">
        <v>1023</v>
      </c>
      <c r="R55" s="17" t="str">
        <f>VLOOKUP(A55,[2]Export!$A:$I,9,0)</f>
        <v>Comprou Marcas</v>
      </c>
      <c r="S55" s="17" t="s">
        <v>1023</v>
      </c>
      <c r="T55" s="20"/>
      <c r="U55" s="17"/>
    </row>
    <row r="56" spans="1:21" x14ac:dyDescent="0.35">
      <c r="A56" s="4">
        <v>27377243000280</v>
      </c>
      <c r="B56" s="7" t="s">
        <v>147</v>
      </c>
      <c r="C56" s="4"/>
      <c r="D56" s="1" t="s">
        <v>112</v>
      </c>
      <c r="E56" s="1" t="s">
        <v>113</v>
      </c>
      <c r="F56" s="1" t="s">
        <v>8</v>
      </c>
      <c r="G56" s="10" t="s">
        <v>20</v>
      </c>
      <c r="H56" s="1" t="s">
        <v>17</v>
      </c>
      <c r="I56" s="21" t="s">
        <v>1074</v>
      </c>
      <c r="J56" s="18">
        <v>1930.5423440592911</v>
      </c>
      <c r="K56" s="18">
        <f>VLOOKUP(A56,[1]Export!$A:$C,3,0)</f>
        <v>523.1</v>
      </c>
      <c r="L56" s="19">
        <f t="shared" si="2"/>
        <v>0.27096012766034128</v>
      </c>
      <c r="M56" s="18">
        <f>VLOOKUP(A56,[1]Export!$A:$G,7,0)</f>
        <v>249.20999999999998</v>
      </c>
      <c r="N56" s="19">
        <f t="shared" si="3"/>
        <v>0.12908807764143307</v>
      </c>
      <c r="O56" s="17" t="s">
        <v>1025</v>
      </c>
      <c r="P56" s="17" t="s">
        <v>1026</v>
      </c>
      <c r="Q56" s="17" t="s">
        <v>1022</v>
      </c>
      <c r="R56" s="17" t="str">
        <f>VLOOKUP(A56,[2]Export!$A:$I,9,0)</f>
        <v>Comprou Marcas</v>
      </c>
      <c r="S56" s="17" t="s">
        <v>1023</v>
      </c>
      <c r="T56" s="20"/>
      <c r="U56" s="17"/>
    </row>
    <row r="57" spans="1:21" x14ac:dyDescent="0.35">
      <c r="A57" s="5">
        <v>33780608000135</v>
      </c>
      <c r="B57" s="7"/>
      <c r="C57" s="4"/>
      <c r="D57" s="6" t="s">
        <v>114</v>
      </c>
      <c r="E57" s="6" t="s">
        <v>115</v>
      </c>
      <c r="F57" s="6" t="s">
        <v>8</v>
      </c>
      <c r="G57" s="11" t="s">
        <v>20</v>
      </c>
      <c r="H57" s="6" t="s">
        <v>17</v>
      </c>
      <c r="I57" s="21" t="s">
        <v>1068</v>
      </c>
      <c r="J57" s="18">
        <v>7404.9569441859649</v>
      </c>
      <c r="K57" s="18">
        <f>VLOOKUP(A57,[1]Export!$A:$C,3,0)</f>
        <v>3799.6400000000003</v>
      </c>
      <c r="L57" s="19">
        <f t="shared" si="2"/>
        <v>0.51312114690731658</v>
      </c>
      <c r="M57" s="18">
        <f>VLOOKUP(A57,[1]Export!$A:$G,7,0)</f>
        <v>3203.74</v>
      </c>
      <c r="N57" s="19">
        <f t="shared" si="3"/>
        <v>0.43264802538999642</v>
      </c>
      <c r="O57" s="17" t="s">
        <v>1025</v>
      </c>
      <c r="P57" s="17" t="s">
        <v>1026</v>
      </c>
      <c r="Q57" s="17" t="s">
        <v>1023</v>
      </c>
      <c r="R57" s="17" t="str">
        <f>VLOOKUP(A57,[2]Export!$A:$I,9,0)</f>
        <v>Comprou Marcas</v>
      </c>
      <c r="S57" s="17" t="s">
        <v>1023</v>
      </c>
      <c r="T57" s="20"/>
      <c r="U57" s="17"/>
    </row>
    <row r="58" spans="1:21" x14ac:dyDescent="0.35">
      <c r="A58" s="4">
        <v>40727407000130</v>
      </c>
      <c r="B58" s="7"/>
      <c r="C58" s="4"/>
      <c r="D58" s="1" t="s">
        <v>116</v>
      </c>
      <c r="E58" s="1" t="s">
        <v>14</v>
      </c>
      <c r="F58" s="1" t="s">
        <v>15</v>
      </c>
      <c r="G58" s="10" t="s">
        <v>117</v>
      </c>
      <c r="H58" s="1" t="s">
        <v>17</v>
      </c>
      <c r="I58" s="21" t="s">
        <v>1069</v>
      </c>
      <c r="J58" s="18">
        <v>5005.1363445213401</v>
      </c>
      <c r="K58" s="18">
        <f>VLOOKUP(A58,[1]Export!$A:$C,3,0)</f>
        <v>1188.45</v>
      </c>
      <c r="L58" s="19">
        <f t="shared" si="2"/>
        <v>0.23744607902657563</v>
      </c>
      <c r="M58" s="18">
        <f>VLOOKUP(A58,[1]Export!$A:$G,7,0)</f>
        <v>1837.54</v>
      </c>
      <c r="N58" s="19">
        <f t="shared" si="3"/>
        <v>0.36713085788589656</v>
      </c>
      <c r="O58" s="17" t="s">
        <v>1025</v>
      </c>
      <c r="P58" s="17" t="s">
        <v>1026</v>
      </c>
      <c r="Q58" s="17" t="s">
        <v>1023</v>
      </c>
      <c r="R58" s="17" t="str">
        <f>VLOOKUP(A58,[2]Export!$A:$I,9,0)</f>
        <v>Comprou Marcas</v>
      </c>
      <c r="S58" s="17" t="s">
        <v>1022</v>
      </c>
      <c r="T58" s="20"/>
      <c r="U58" s="17"/>
    </row>
    <row r="59" spans="1:21" x14ac:dyDescent="0.35">
      <c r="A59" s="5">
        <v>23339848000145</v>
      </c>
      <c r="B59" s="7"/>
      <c r="C59" s="4"/>
      <c r="D59" s="6" t="s">
        <v>118</v>
      </c>
      <c r="E59" s="6" t="s">
        <v>35</v>
      </c>
      <c r="F59" s="6" t="s">
        <v>8</v>
      </c>
      <c r="G59" s="11" t="s">
        <v>16</v>
      </c>
      <c r="H59" s="6" t="s">
        <v>17</v>
      </c>
      <c r="I59" s="21" t="s">
        <v>1072</v>
      </c>
      <c r="J59" s="18">
        <v>6457.7234935757479</v>
      </c>
      <c r="K59" s="18">
        <f>VLOOKUP(A59,[1]Export!$A:$C,3,0)</f>
        <v>912.19999999999993</v>
      </c>
      <c r="L59" s="19">
        <f t="shared" si="2"/>
        <v>0.14125720943417164</v>
      </c>
      <c r="M59" s="18">
        <f>VLOOKUP(A59,[1]Export!$A:$G,7,0)</f>
        <v>0</v>
      </c>
      <c r="N59" s="19">
        <f t="shared" si="3"/>
        <v>0</v>
      </c>
      <c r="O59" s="17" t="s">
        <v>1025</v>
      </c>
      <c r="P59" s="17" t="s">
        <v>1026</v>
      </c>
      <c r="Q59" s="17" t="s">
        <v>1023</v>
      </c>
      <c r="R59" s="17" t="str">
        <f>VLOOKUP(A59,[2]Export!$A:$I,9,0)</f>
        <v>Não Comprou</v>
      </c>
      <c r="S59" s="17" t="s">
        <v>1022</v>
      </c>
      <c r="T59" s="20"/>
      <c r="U59" s="17"/>
    </row>
    <row r="60" spans="1:21" x14ac:dyDescent="0.35">
      <c r="A60" s="4">
        <v>24217601000119</v>
      </c>
      <c r="B60" s="7"/>
      <c r="C60" s="4"/>
      <c r="D60" s="1" t="s">
        <v>119</v>
      </c>
      <c r="E60" s="1" t="s">
        <v>120</v>
      </c>
      <c r="F60" s="1" t="s">
        <v>15</v>
      </c>
      <c r="G60" s="10" t="s">
        <v>20</v>
      </c>
      <c r="H60" s="1" t="s">
        <v>17</v>
      </c>
      <c r="I60" s="21" t="s">
        <v>1071</v>
      </c>
      <c r="J60" s="18">
        <v>2287.1676453714567</v>
      </c>
      <c r="K60" s="18">
        <f>VLOOKUP(A60,[1]Export!$A:$C,3,0)</f>
        <v>223.22</v>
      </c>
      <c r="L60" s="19">
        <f t="shared" si="2"/>
        <v>9.7596693644967619E-2</v>
      </c>
      <c r="M60" s="18">
        <f>VLOOKUP(A60,[1]Export!$A:$G,7,0)</f>
        <v>0</v>
      </c>
      <c r="N60" s="19">
        <f t="shared" si="3"/>
        <v>0</v>
      </c>
      <c r="O60" s="17"/>
      <c r="P60" s="17"/>
      <c r="Q60" s="17"/>
      <c r="R60" s="17" t="str">
        <f>VLOOKUP(A60,[2]Export!$A:$I,9,0)</f>
        <v>Não Comprou</v>
      </c>
      <c r="S60" s="17"/>
      <c r="T60" s="20"/>
      <c r="U60" s="17"/>
    </row>
    <row r="61" spans="1:21" x14ac:dyDescent="0.35">
      <c r="A61" s="4">
        <v>18645755000451</v>
      </c>
      <c r="B61" s="7" t="s">
        <v>1005</v>
      </c>
      <c r="C61" s="4"/>
      <c r="D61" s="1" t="s">
        <v>686</v>
      </c>
      <c r="E61" s="1" t="s">
        <v>127</v>
      </c>
      <c r="F61" s="1" t="s">
        <v>8</v>
      </c>
      <c r="G61" s="10" t="s">
        <v>9</v>
      </c>
      <c r="H61" s="1" t="s">
        <v>10</v>
      </c>
      <c r="I61" s="21" t="s">
        <v>1070</v>
      </c>
      <c r="J61" s="18">
        <v>7952.1845374242203</v>
      </c>
      <c r="K61" s="18">
        <f>VLOOKUP(A61,[1]Export!$A:$C,3,0)</f>
        <v>3632.7700000000004</v>
      </c>
      <c r="L61" s="19">
        <f t="shared" si="2"/>
        <v>0.45682667233181251</v>
      </c>
      <c r="M61" s="18">
        <f>VLOOKUP(A61,[1]Export!$A:$G,7,0)</f>
        <v>1422.0700000000002</v>
      </c>
      <c r="N61" s="19">
        <f t="shared" si="3"/>
        <v>0.17882759049510447</v>
      </c>
      <c r="O61" s="17" t="s">
        <v>1027</v>
      </c>
      <c r="P61" s="17" t="s">
        <v>1028</v>
      </c>
      <c r="Q61" s="17" t="s">
        <v>1023</v>
      </c>
      <c r="R61" s="17" t="str">
        <f>VLOOKUP(A61,[2]Export!$A:$I,9,0)</f>
        <v>Comprou Marcas</v>
      </c>
      <c r="S61" s="17" t="s">
        <v>1022</v>
      </c>
      <c r="T61" s="20"/>
      <c r="U61" s="17"/>
    </row>
    <row r="62" spans="1:21" x14ac:dyDescent="0.35">
      <c r="A62" s="4">
        <v>26543256000139</v>
      </c>
      <c r="B62" s="7"/>
      <c r="C62" s="4"/>
      <c r="D62" s="1" t="s">
        <v>121</v>
      </c>
      <c r="E62" s="1" t="s">
        <v>122</v>
      </c>
      <c r="F62" s="1" t="s">
        <v>8</v>
      </c>
      <c r="G62" s="10" t="s">
        <v>20</v>
      </c>
      <c r="H62" s="1" t="s">
        <v>17</v>
      </c>
      <c r="I62" s="21" t="s">
        <v>1068</v>
      </c>
      <c r="J62" s="18">
        <v>4287.1738088201273</v>
      </c>
      <c r="K62" s="18">
        <f>VLOOKUP(A62,[1]Export!$A:$C,3,0)</f>
        <v>796.43999999999994</v>
      </c>
      <c r="L62" s="19">
        <f t="shared" si="2"/>
        <v>0.18577273409383607</v>
      </c>
      <c r="M62" s="18">
        <f>VLOOKUP(A62,[1]Export!$A:$G,7,0)</f>
        <v>0</v>
      </c>
      <c r="N62" s="19">
        <f t="shared" si="3"/>
        <v>0</v>
      </c>
      <c r="O62" s="17" t="s">
        <v>1025</v>
      </c>
      <c r="P62" s="17" t="s">
        <v>1026</v>
      </c>
      <c r="Q62" s="17" t="s">
        <v>1023</v>
      </c>
      <c r="R62" s="17" t="str">
        <f>VLOOKUP(A62,[2]Export!$A:$I,9,0)</f>
        <v>Não Comprou</v>
      </c>
      <c r="S62" s="17" t="s">
        <v>1023</v>
      </c>
      <c r="T62" s="20"/>
      <c r="U62" s="17"/>
    </row>
    <row r="63" spans="1:21" x14ac:dyDescent="0.35">
      <c r="A63" s="4">
        <v>18645755000290</v>
      </c>
      <c r="B63" s="7" t="s">
        <v>1005</v>
      </c>
      <c r="C63" s="4"/>
      <c r="D63" s="1" t="s">
        <v>686</v>
      </c>
      <c r="E63" s="1" t="s">
        <v>127</v>
      </c>
      <c r="F63" s="1" t="s">
        <v>8</v>
      </c>
      <c r="G63" s="10" t="s">
        <v>9</v>
      </c>
      <c r="H63" s="1" t="s">
        <v>10</v>
      </c>
      <c r="I63" s="21" t="s">
        <v>1070</v>
      </c>
      <c r="J63" s="18">
        <v>8121.0710117034687</v>
      </c>
      <c r="K63" s="18">
        <f>VLOOKUP(A63,[1]Export!$A:$C,3,0)</f>
        <v>3501.76</v>
      </c>
      <c r="L63" s="19">
        <f t="shared" si="2"/>
        <v>0.43119435785668303</v>
      </c>
      <c r="M63" s="18">
        <f>VLOOKUP(A63,[1]Export!$A:$G,7,0)</f>
        <v>3722.2100000000005</v>
      </c>
      <c r="N63" s="19">
        <f t="shared" si="3"/>
        <v>0.45833979220669724</v>
      </c>
      <c r="O63" s="17" t="s">
        <v>1029</v>
      </c>
      <c r="P63" s="17" t="s">
        <v>1026</v>
      </c>
      <c r="Q63" s="17" t="s">
        <v>1022</v>
      </c>
      <c r="R63" s="17" t="str">
        <f>VLOOKUP(A63,[2]Export!$A:$I,9,0)</f>
        <v>Comprou Marcas</v>
      </c>
      <c r="S63" s="17" t="s">
        <v>1022</v>
      </c>
      <c r="T63" s="20"/>
      <c r="U63" s="17">
        <v>6</v>
      </c>
    </row>
    <row r="64" spans="1:21" x14ac:dyDescent="0.35">
      <c r="A64" s="4">
        <v>28800059000264</v>
      </c>
      <c r="B64" s="7" t="s">
        <v>950</v>
      </c>
      <c r="C64" s="4"/>
      <c r="D64" s="1" t="s">
        <v>124</v>
      </c>
      <c r="E64" s="1" t="s">
        <v>125</v>
      </c>
      <c r="F64" s="1" t="s">
        <v>15</v>
      </c>
      <c r="G64" s="10" t="s">
        <v>20</v>
      </c>
      <c r="H64" s="1" t="s">
        <v>17</v>
      </c>
      <c r="I64" s="21" t="s">
        <v>1069</v>
      </c>
      <c r="J64" s="18">
        <v>43987.164135477273</v>
      </c>
      <c r="K64" s="18">
        <f>VLOOKUP(A64,[1]Export!$A:$C,3,0)</f>
        <v>19734.799999999992</v>
      </c>
      <c r="L64" s="19">
        <f t="shared" si="2"/>
        <v>0.44864906360451517</v>
      </c>
      <c r="M64" s="18">
        <f>VLOOKUP(A64,[1]Export!$A:$G,7,0)</f>
        <v>25963.459999999995</v>
      </c>
      <c r="N64" s="19">
        <f t="shared" si="3"/>
        <v>0.59025082681016727</v>
      </c>
      <c r="O64" s="17" t="s">
        <v>1027</v>
      </c>
      <c r="P64" s="17" t="s">
        <v>1028</v>
      </c>
      <c r="Q64" s="17" t="s">
        <v>1023</v>
      </c>
      <c r="R64" s="17" t="str">
        <f>VLOOKUP(A64,[2]Export!$A:$I,9,0)</f>
        <v>Comprou Marcas e SG</v>
      </c>
      <c r="S64" s="17" t="s">
        <v>1022</v>
      </c>
      <c r="T64" s="20"/>
      <c r="U64" s="17"/>
    </row>
    <row r="65" spans="1:21" x14ac:dyDescent="0.35">
      <c r="A65" s="5">
        <v>29946302000139</v>
      </c>
      <c r="B65" s="7"/>
      <c r="C65" s="4"/>
      <c r="D65" s="6" t="s">
        <v>126</v>
      </c>
      <c r="E65" s="6" t="s">
        <v>127</v>
      </c>
      <c r="F65" s="6" t="s">
        <v>8</v>
      </c>
      <c r="G65" s="11" t="s">
        <v>36</v>
      </c>
      <c r="H65" s="6" t="s">
        <v>17</v>
      </c>
      <c r="I65" s="21" t="s">
        <v>1070</v>
      </c>
      <c r="J65" s="18">
        <v>13885.647937435755</v>
      </c>
      <c r="K65" s="18">
        <f>VLOOKUP(A65,[1]Export!$A:$C,3,0)</f>
        <v>4246</v>
      </c>
      <c r="L65" s="19">
        <f t="shared" si="2"/>
        <v>0.30578335408841595</v>
      </c>
      <c r="M65" s="18">
        <f>VLOOKUP(A65,[1]Export!$A:$G,7,0)</f>
        <v>0</v>
      </c>
      <c r="N65" s="19">
        <f t="shared" si="3"/>
        <v>0</v>
      </c>
      <c r="O65" s="17" t="s">
        <v>1027</v>
      </c>
      <c r="P65" s="17" t="s">
        <v>1026</v>
      </c>
      <c r="Q65" s="17" t="s">
        <v>1023</v>
      </c>
      <c r="R65" s="17" t="str">
        <f>VLOOKUP(A65,[2]Export!$A:$I,9,0)</f>
        <v>Não Comprou</v>
      </c>
      <c r="S65" s="17" t="s">
        <v>1022</v>
      </c>
      <c r="T65" s="20"/>
      <c r="U65" s="17"/>
    </row>
    <row r="66" spans="1:21" x14ac:dyDescent="0.35">
      <c r="A66" s="4">
        <v>30890084000147</v>
      </c>
      <c r="B66" s="7"/>
      <c r="C66" s="4"/>
      <c r="D66" s="1" t="s">
        <v>128</v>
      </c>
      <c r="E66" s="1" t="s">
        <v>129</v>
      </c>
      <c r="F66" s="1" t="s">
        <v>15</v>
      </c>
      <c r="G66" s="10" t="s">
        <v>20</v>
      </c>
      <c r="H66" s="1" t="s">
        <v>17</v>
      </c>
      <c r="I66" s="21" t="s">
        <v>1071</v>
      </c>
      <c r="J66" s="18">
        <v>1950.1240156776246</v>
      </c>
      <c r="K66" s="18">
        <f>VLOOKUP(A66,[1]Export!$A:$C,3,0)</f>
        <v>312.87</v>
      </c>
      <c r="L66" s="19">
        <f t="shared" si="2"/>
        <v>0.16043595047532638</v>
      </c>
      <c r="M66" s="18">
        <f>VLOOKUP(A66,[1]Export!$A:$G,7,0)</f>
        <v>72</v>
      </c>
      <c r="N66" s="19">
        <f t="shared" si="3"/>
        <v>3.692072884656087E-2</v>
      </c>
      <c r="O66" s="17" t="s">
        <v>1025</v>
      </c>
      <c r="P66" s="17" t="s">
        <v>1026</v>
      </c>
      <c r="Q66" s="17" t="s">
        <v>1023</v>
      </c>
      <c r="R66" s="17" t="str">
        <f>VLOOKUP(A66,[2]Export!$A:$I,9,0)</f>
        <v>Comprou Marcas</v>
      </c>
      <c r="S66" s="17" t="s">
        <v>1023</v>
      </c>
      <c r="T66" s="20"/>
      <c r="U66" s="17"/>
    </row>
    <row r="67" spans="1:21" x14ac:dyDescent="0.35">
      <c r="A67" s="5">
        <v>2440068000117</v>
      </c>
      <c r="B67" s="7"/>
      <c r="C67" s="4"/>
      <c r="D67" s="6" t="s">
        <v>130</v>
      </c>
      <c r="E67" s="6" t="s">
        <v>131</v>
      </c>
      <c r="F67" s="6" t="s">
        <v>8</v>
      </c>
      <c r="G67" s="11" t="s">
        <v>64</v>
      </c>
      <c r="H67" s="6" t="s">
        <v>17</v>
      </c>
      <c r="I67" s="21" t="s">
        <v>1068</v>
      </c>
      <c r="J67" s="18">
        <v>7696.4296002099554</v>
      </c>
      <c r="K67" s="18">
        <f>VLOOKUP(A67,[1]Export!$A:$C,3,0)</f>
        <v>3768.4199999999996</v>
      </c>
      <c r="L67" s="19">
        <f t="shared" si="2"/>
        <v>0.48963223153463248</v>
      </c>
      <c r="M67" s="18">
        <f>VLOOKUP(A67,[1]Export!$A:$G,7,0)</f>
        <v>3941.4900000000007</v>
      </c>
      <c r="N67" s="19">
        <f t="shared" si="3"/>
        <v>0.51211928189305833</v>
      </c>
      <c r="O67" s="17" t="s">
        <v>1029</v>
      </c>
      <c r="P67" s="17" t="s">
        <v>1026</v>
      </c>
      <c r="Q67" s="17" t="s">
        <v>1022</v>
      </c>
      <c r="R67" s="17" t="str">
        <f>VLOOKUP(A67,[2]Export!$A:$I,9,0)</f>
        <v>Comprou Marcas</v>
      </c>
      <c r="S67" s="17" t="s">
        <v>1022</v>
      </c>
      <c r="T67" s="20"/>
      <c r="U67" s="17"/>
    </row>
    <row r="68" spans="1:21" x14ac:dyDescent="0.35">
      <c r="A68" s="4">
        <v>3070289000103</v>
      </c>
      <c r="B68" s="7"/>
      <c r="C68" s="4"/>
      <c r="D68" s="1" t="s">
        <v>132</v>
      </c>
      <c r="E68" s="1" t="s">
        <v>133</v>
      </c>
      <c r="F68" s="1" t="s">
        <v>15</v>
      </c>
      <c r="G68" s="10" t="s">
        <v>33</v>
      </c>
      <c r="H68" s="1" t="s">
        <v>17</v>
      </c>
      <c r="I68" s="21" t="s">
        <v>1075</v>
      </c>
      <c r="J68" s="18">
        <v>6754.0239694625525</v>
      </c>
      <c r="K68" s="18">
        <f>VLOOKUP(A68,[1]Export!$A:$C,3,0)</f>
        <v>2368.63</v>
      </c>
      <c r="L68" s="19">
        <f t="shared" si="2"/>
        <v>0.35069908112696296</v>
      </c>
      <c r="M68" s="18">
        <f>VLOOKUP(A68,[1]Export!$A:$G,7,0)</f>
        <v>314.10000000000002</v>
      </c>
      <c r="N68" s="19">
        <f t="shared" si="3"/>
        <v>4.6505609310858627E-2</v>
      </c>
      <c r="O68" s="17" t="s">
        <v>1027</v>
      </c>
      <c r="P68" s="17" t="s">
        <v>1026</v>
      </c>
      <c r="Q68" s="17" t="s">
        <v>1023</v>
      </c>
      <c r="R68" s="17" t="str">
        <f>VLOOKUP(A68,[2]Export!$A:$I,9,0)</f>
        <v>Comprou Marcas</v>
      </c>
      <c r="S68" s="17" t="s">
        <v>1023</v>
      </c>
      <c r="T68" s="20"/>
      <c r="U68" s="17"/>
    </row>
    <row r="69" spans="1:21" x14ac:dyDescent="0.35">
      <c r="A69" s="5">
        <v>4972853000308</v>
      </c>
      <c r="B69" s="7" t="s">
        <v>135</v>
      </c>
      <c r="C69" s="4"/>
      <c r="D69" s="6" t="s">
        <v>134</v>
      </c>
      <c r="E69" s="6" t="s">
        <v>35</v>
      </c>
      <c r="F69" s="6" t="s">
        <v>8</v>
      </c>
      <c r="G69" s="11" t="s">
        <v>135</v>
      </c>
      <c r="H69" s="6" t="s">
        <v>17</v>
      </c>
      <c r="I69" s="21" t="s">
        <v>1072</v>
      </c>
      <c r="J69" s="18">
        <v>27410.24302406656</v>
      </c>
      <c r="K69" s="18">
        <f>VLOOKUP(A69,[1]Export!$A:$C,3,0)</f>
        <v>9061.7299999999977</v>
      </c>
      <c r="L69" s="19">
        <f t="shared" si="2"/>
        <v>0.33059648511848938</v>
      </c>
      <c r="M69" s="18">
        <f>VLOOKUP(A69,[1]Export!$A:$G,7,0)</f>
        <v>19007.320000000003</v>
      </c>
      <c r="N69" s="19">
        <f t="shared" si="3"/>
        <v>0.69343857999767911</v>
      </c>
      <c r="O69" s="17" t="s">
        <v>1025</v>
      </c>
      <c r="P69" s="17" t="s">
        <v>1026</v>
      </c>
      <c r="Q69" s="17" t="s">
        <v>1022</v>
      </c>
      <c r="R69" s="17" t="str">
        <f>VLOOKUP(A69,[2]Export!$A:$I,9,0)</f>
        <v>Comprou Marcas e SG</v>
      </c>
      <c r="S69" s="17" t="s">
        <v>1022</v>
      </c>
      <c r="T69" s="20">
        <v>4</v>
      </c>
      <c r="U69" s="17">
        <v>3</v>
      </c>
    </row>
    <row r="70" spans="1:21" x14ac:dyDescent="0.35">
      <c r="A70" s="4">
        <v>4993223000158</v>
      </c>
      <c r="B70" s="7"/>
      <c r="C70" s="4"/>
      <c r="D70" s="1" t="s">
        <v>136</v>
      </c>
      <c r="E70" s="1" t="s">
        <v>122</v>
      </c>
      <c r="F70" s="1" t="s">
        <v>8</v>
      </c>
      <c r="G70" s="10" t="s">
        <v>20</v>
      </c>
      <c r="H70" s="1" t="s">
        <v>17</v>
      </c>
      <c r="I70" s="21" t="s">
        <v>1068</v>
      </c>
      <c r="J70" s="18">
        <v>11342.616727649192</v>
      </c>
      <c r="K70" s="18">
        <f>VLOOKUP(A70,[1]Export!$A:$C,3,0)</f>
        <v>5565.3099999999986</v>
      </c>
      <c r="L70" s="19">
        <f t="shared" si="2"/>
        <v>0.49065485801294756</v>
      </c>
      <c r="M70" s="18">
        <f>VLOOKUP(A70,[1]Export!$A:$G,7,0)</f>
        <v>5082.5800000000017</v>
      </c>
      <c r="N70" s="19">
        <f t="shared" si="3"/>
        <v>0.4480958955097647</v>
      </c>
      <c r="O70" s="17" t="s">
        <v>1025</v>
      </c>
      <c r="P70" s="17" t="s">
        <v>1026</v>
      </c>
      <c r="Q70" s="17" t="s">
        <v>1022</v>
      </c>
      <c r="R70" s="17" t="str">
        <f>VLOOKUP(A70,[2]Export!$A:$I,9,0)</f>
        <v>Comprou Marcas</v>
      </c>
      <c r="S70" s="17" t="s">
        <v>1022</v>
      </c>
      <c r="T70" s="20">
        <v>2</v>
      </c>
      <c r="U70" s="17">
        <v>2</v>
      </c>
    </row>
    <row r="71" spans="1:21" x14ac:dyDescent="0.35">
      <c r="A71" s="5">
        <v>5015978000140</v>
      </c>
      <c r="B71" s="7"/>
      <c r="C71" s="4"/>
      <c r="D71" s="6" t="s">
        <v>137</v>
      </c>
      <c r="E71" s="6" t="s">
        <v>138</v>
      </c>
      <c r="F71" s="6" t="s">
        <v>15</v>
      </c>
      <c r="G71" s="11" t="s">
        <v>36</v>
      </c>
      <c r="H71" s="6" t="s">
        <v>17</v>
      </c>
      <c r="I71" s="21" t="s">
        <v>1071</v>
      </c>
      <c r="J71" s="18">
        <v>782.84146822178855</v>
      </c>
      <c r="K71" s="18">
        <f>VLOOKUP(A71,[1]Export!$A:$C,3,0)</f>
        <v>243.5</v>
      </c>
      <c r="L71" s="19">
        <f t="shared" si="2"/>
        <v>0.31104637386303285</v>
      </c>
      <c r="M71" s="18">
        <f>VLOOKUP(A71,[1]Export!$A:$G,7,0)</f>
        <v>0</v>
      </c>
      <c r="N71" s="19">
        <f t="shared" si="3"/>
        <v>0</v>
      </c>
      <c r="O71" s="17" t="s">
        <v>1025</v>
      </c>
      <c r="P71" s="17" t="s">
        <v>1026</v>
      </c>
      <c r="Q71" s="17" t="s">
        <v>1023</v>
      </c>
      <c r="R71" s="17" t="str">
        <f>VLOOKUP(A71,[2]Export!$A:$I,9,0)</f>
        <v>Não Comprou</v>
      </c>
      <c r="S71" s="17" t="s">
        <v>1022</v>
      </c>
      <c r="T71" s="20"/>
      <c r="U71" s="17"/>
    </row>
    <row r="72" spans="1:21" x14ac:dyDescent="0.35">
      <c r="A72" s="4">
        <v>5051579000135</v>
      </c>
      <c r="B72" s="7"/>
      <c r="C72" s="4"/>
      <c r="D72" s="1" t="s">
        <v>139</v>
      </c>
      <c r="E72" s="1" t="s">
        <v>19</v>
      </c>
      <c r="F72" s="1" t="s">
        <v>15</v>
      </c>
      <c r="G72" s="10" t="s">
        <v>20</v>
      </c>
      <c r="H72" s="1" t="s">
        <v>17</v>
      </c>
      <c r="I72" s="21" t="s">
        <v>1069</v>
      </c>
      <c r="J72" s="18">
        <v>2930.2242486128944</v>
      </c>
      <c r="K72" s="18">
        <f>VLOOKUP(A72,[1]Export!$A:$C,3,0)</f>
        <v>210.35999999999999</v>
      </c>
      <c r="L72" s="19">
        <f t="shared" si="2"/>
        <v>7.1789727390174973E-2</v>
      </c>
      <c r="M72" s="18">
        <f>VLOOKUP(A72,[1]Export!$A:$G,7,0)</f>
        <v>0</v>
      </c>
      <c r="N72" s="19">
        <f t="shared" si="3"/>
        <v>0</v>
      </c>
      <c r="O72" s="17"/>
      <c r="P72" s="17"/>
      <c r="Q72" s="17"/>
      <c r="R72" s="17" t="str">
        <f>VLOOKUP(A72,[2]Export!$A:$I,9,0)</f>
        <v>Não Comprou</v>
      </c>
      <c r="S72" s="17"/>
      <c r="T72" s="20"/>
      <c r="U72" s="17"/>
    </row>
    <row r="73" spans="1:21" x14ac:dyDescent="0.35">
      <c r="A73" s="5">
        <v>569000000107</v>
      </c>
      <c r="B73" s="7"/>
      <c r="C73" s="4"/>
      <c r="D73" s="6" t="s">
        <v>872</v>
      </c>
      <c r="E73" s="6" t="s">
        <v>252</v>
      </c>
      <c r="F73" s="6" t="s">
        <v>15</v>
      </c>
      <c r="G73" s="11" t="s">
        <v>38</v>
      </c>
      <c r="H73" s="6" t="s">
        <v>17</v>
      </c>
      <c r="I73" s="21" t="s">
        <v>1071</v>
      </c>
      <c r="J73" s="18">
        <v>2633.0300191240535</v>
      </c>
      <c r="K73" s="18">
        <f>VLOOKUP(A73,[1]Export!$A:$C,3,0)</f>
        <v>816.43</v>
      </c>
      <c r="L73" s="19">
        <f t="shared" si="2"/>
        <v>0.31007242381217015</v>
      </c>
      <c r="M73" s="18">
        <f>VLOOKUP(A73,[1]Export!$A:$G,7,0)</f>
        <v>0</v>
      </c>
      <c r="N73" s="19">
        <f t="shared" si="3"/>
        <v>0</v>
      </c>
      <c r="O73" s="17" t="s">
        <v>1031</v>
      </c>
      <c r="P73" s="17" t="s">
        <v>1026</v>
      </c>
      <c r="Q73" s="17" t="s">
        <v>1023</v>
      </c>
      <c r="R73" s="17" t="str">
        <f>VLOOKUP(A73,[2]Export!$A:$I,9,0)</f>
        <v>Não Comprou</v>
      </c>
      <c r="S73" s="17" t="s">
        <v>1023</v>
      </c>
      <c r="T73" s="20"/>
      <c r="U73" s="17"/>
    </row>
    <row r="74" spans="1:21" x14ac:dyDescent="0.35">
      <c r="A74" s="4">
        <v>3492774000175</v>
      </c>
      <c r="B74" s="7"/>
      <c r="C74" s="4"/>
      <c r="D74" s="1" t="s">
        <v>141</v>
      </c>
      <c r="E74" s="1" t="s">
        <v>19</v>
      </c>
      <c r="F74" s="1" t="s">
        <v>15</v>
      </c>
      <c r="G74" s="10" t="s">
        <v>16</v>
      </c>
      <c r="H74" s="1" t="s">
        <v>17</v>
      </c>
      <c r="I74" s="21" t="s">
        <v>1069</v>
      </c>
      <c r="J74" s="18">
        <v>4634.0100702135915</v>
      </c>
      <c r="K74" s="18">
        <f>VLOOKUP(A74,[1]Export!$A:$C,3,0)</f>
        <v>650.79999999999995</v>
      </c>
      <c r="L74" s="19">
        <f t="shared" si="2"/>
        <v>0.1404399192360847</v>
      </c>
      <c r="M74" s="18">
        <f>VLOOKUP(A74,[1]Export!$A:$G,7,0)</f>
        <v>0</v>
      </c>
      <c r="N74" s="19">
        <f t="shared" si="3"/>
        <v>0</v>
      </c>
      <c r="O74" s="17" t="s">
        <v>1029</v>
      </c>
      <c r="P74" s="17" t="s">
        <v>1026</v>
      </c>
      <c r="Q74" s="17" t="s">
        <v>1023</v>
      </c>
      <c r="R74" s="17" t="str">
        <f>VLOOKUP(A74,[2]Export!$A:$I,9,0)</f>
        <v>Não Comprou</v>
      </c>
      <c r="S74" s="17" t="s">
        <v>1022</v>
      </c>
      <c r="T74" s="20"/>
      <c r="U74" s="17"/>
    </row>
    <row r="75" spans="1:21" x14ac:dyDescent="0.35">
      <c r="A75" s="5">
        <v>3878763000128</v>
      </c>
      <c r="B75" s="7"/>
      <c r="C75" s="4"/>
      <c r="D75" s="6" t="s">
        <v>142</v>
      </c>
      <c r="E75" s="6" t="s">
        <v>143</v>
      </c>
      <c r="F75" s="6" t="s">
        <v>48</v>
      </c>
      <c r="G75" s="11" t="s">
        <v>80</v>
      </c>
      <c r="H75" s="6" t="s">
        <v>17</v>
      </c>
      <c r="I75" s="21" t="s">
        <v>1075</v>
      </c>
      <c r="J75" s="18">
        <v>3898.7298780103706</v>
      </c>
      <c r="K75" s="18">
        <f>VLOOKUP(A75,[1]Export!$A:$C,3,0)</f>
        <v>1861.8200000000004</v>
      </c>
      <c r="L75" s="19">
        <f t="shared" si="2"/>
        <v>0.47754526685755888</v>
      </c>
      <c r="M75" s="18">
        <f>VLOOKUP(A75,[1]Export!$A:$G,7,0)</f>
        <v>1016.9899999999999</v>
      </c>
      <c r="N75" s="19">
        <f t="shared" si="3"/>
        <v>0.26085161881463764</v>
      </c>
      <c r="O75" s="17" t="s">
        <v>1027</v>
      </c>
      <c r="P75" s="17" t="s">
        <v>1026</v>
      </c>
      <c r="Q75" s="17" t="s">
        <v>1023</v>
      </c>
      <c r="R75" s="17" t="str">
        <f>VLOOKUP(A75,[2]Export!$A:$I,9,0)</f>
        <v>Comprou Marcas</v>
      </c>
      <c r="S75" s="17" t="s">
        <v>1022</v>
      </c>
      <c r="T75" s="20"/>
      <c r="U75" s="17"/>
    </row>
    <row r="76" spans="1:21" x14ac:dyDescent="0.35">
      <c r="A76" s="4">
        <v>4834843000659</v>
      </c>
      <c r="B76" s="7" t="s">
        <v>994</v>
      </c>
      <c r="C76" s="4"/>
      <c r="D76" s="1" t="s">
        <v>91</v>
      </c>
      <c r="E76" s="1" t="s">
        <v>144</v>
      </c>
      <c r="F76" s="1" t="s">
        <v>48</v>
      </c>
      <c r="G76" s="10" t="s">
        <v>92</v>
      </c>
      <c r="H76" s="1" t="s">
        <v>17</v>
      </c>
      <c r="I76" s="21" t="s">
        <v>1073</v>
      </c>
      <c r="J76" s="18">
        <v>10723.979410472792</v>
      </c>
      <c r="K76" s="18">
        <f>VLOOKUP(A76,[1]Export!$A:$C,3,0)</f>
        <v>2113.4100000000003</v>
      </c>
      <c r="L76" s="19">
        <f t="shared" si="2"/>
        <v>0.19707329892260822</v>
      </c>
      <c r="M76" s="18">
        <f>VLOOKUP(A76,[1]Export!$A:$G,7,0)</f>
        <v>3496.9800000000005</v>
      </c>
      <c r="N76" s="19">
        <f t="shared" si="3"/>
        <v>0.32608977191665717</v>
      </c>
      <c r="O76" s="17" t="s">
        <v>1027</v>
      </c>
      <c r="P76" s="17" t="s">
        <v>1028</v>
      </c>
      <c r="Q76" s="17" t="s">
        <v>1023</v>
      </c>
      <c r="R76" s="17" t="str">
        <f>VLOOKUP(A76,[2]Export!$A:$I,9,0)</f>
        <v>Comprou Marcas</v>
      </c>
      <c r="S76" s="17" t="s">
        <v>1022</v>
      </c>
      <c r="T76" s="20"/>
      <c r="U76" s="17"/>
    </row>
    <row r="77" spans="1:21" x14ac:dyDescent="0.35">
      <c r="A77" s="5">
        <v>4924863000106</v>
      </c>
      <c r="B77" s="7"/>
      <c r="C77" s="4"/>
      <c r="D77" s="6" t="s">
        <v>145</v>
      </c>
      <c r="E77" s="6" t="s">
        <v>146</v>
      </c>
      <c r="F77" s="6" t="s">
        <v>8</v>
      </c>
      <c r="G77" s="11" t="s">
        <v>36</v>
      </c>
      <c r="H77" s="6" t="s">
        <v>17</v>
      </c>
      <c r="I77" s="21" t="s">
        <v>1074</v>
      </c>
      <c r="J77" s="18">
        <v>653.0781773552626</v>
      </c>
      <c r="K77" s="18">
        <f>VLOOKUP(A77,[1]Export!$A:$C,3,0)</f>
        <v>263.47000000000003</v>
      </c>
      <c r="L77" s="19">
        <f t="shared" ref="L77:L140" si="4">K77/J77</f>
        <v>0.40342796488310334</v>
      </c>
      <c r="M77" s="18">
        <f>VLOOKUP(A77,[1]Export!$A:$G,7,0)</f>
        <v>137.85</v>
      </c>
      <c r="N77" s="19">
        <f t="shared" ref="N77:N140" si="5">M77/J77</f>
        <v>0.21107733312762664</v>
      </c>
      <c r="O77" s="17" t="s">
        <v>1025</v>
      </c>
      <c r="P77" s="17" t="s">
        <v>1026</v>
      </c>
      <c r="Q77" s="17" t="s">
        <v>1023</v>
      </c>
      <c r="R77" s="17" t="str">
        <f>VLOOKUP(A77,[2]Export!$A:$I,9,0)</f>
        <v>Comprou Marcas</v>
      </c>
      <c r="S77" s="17" t="s">
        <v>1023</v>
      </c>
      <c r="T77" s="20"/>
      <c r="U77" s="17"/>
    </row>
    <row r="78" spans="1:21" x14ac:dyDescent="0.35">
      <c r="A78" s="4">
        <v>27377243000108</v>
      </c>
      <c r="B78" s="7" t="s">
        <v>147</v>
      </c>
      <c r="C78" s="4"/>
      <c r="D78" s="1" t="s">
        <v>147</v>
      </c>
      <c r="E78" s="1" t="s">
        <v>113</v>
      </c>
      <c r="F78" s="1" t="s">
        <v>8</v>
      </c>
      <c r="G78" s="10" t="s">
        <v>20</v>
      </c>
      <c r="H78" s="1" t="s">
        <v>17</v>
      </c>
      <c r="I78" s="21" t="s">
        <v>1074</v>
      </c>
      <c r="J78" s="18">
        <v>310.7497514298804</v>
      </c>
      <c r="K78" s="18">
        <f>VLOOKUP(A78,[1]Export!$A:$C,3,0)</f>
        <v>139.56</v>
      </c>
      <c r="L78" s="19">
        <f t="shared" si="4"/>
        <v>0.44910735843819727</v>
      </c>
      <c r="M78" s="18">
        <f>VLOOKUP(A78,[1]Export!$A:$G,7,0)</f>
        <v>137.85</v>
      </c>
      <c r="N78" s="19">
        <f t="shared" si="5"/>
        <v>0.44360453826816776</v>
      </c>
      <c r="O78" s="17" t="s">
        <v>1027</v>
      </c>
      <c r="P78" s="17" t="s">
        <v>1026</v>
      </c>
      <c r="Q78" s="17" t="s">
        <v>1023</v>
      </c>
      <c r="R78" s="17" t="str">
        <f>VLOOKUP(A78,[2]Export!$A:$I,9,0)</f>
        <v>Comprou Marcas</v>
      </c>
      <c r="S78" s="17" t="s">
        <v>1023</v>
      </c>
      <c r="T78" s="20"/>
      <c r="U78" s="17"/>
    </row>
    <row r="79" spans="1:21" x14ac:dyDescent="0.35">
      <c r="A79" s="5">
        <v>27704045000101</v>
      </c>
      <c r="B79" s="7"/>
      <c r="C79" s="4"/>
      <c r="D79" s="6" t="s">
        <v>148</v>
      </c>
      <c r="E79" s="6" t="s">
        <v>149</v>
      </c>
      <c r="F79" s="6" t="s">
        <v>8</v>
      </c>
      <c r="G79" s="11" t="s">
        <v>20</v>
      </c>
      <c r="H79" s="6" t="s">
        <v>17</v>
      </c>
      <c r="I79" s="21" t="s">
        <v>1074</v>
      </c>
      <c r="J79" s="18">
        <v>731.8846996102385</v>
      </c>
      <c r="K79" s="18">
        <f>VLOOKUP(A79,[1]Export!$A:$C,3,0)</f>
        <v>66.69</v>
      </c>
      <c r="L79" s="19">
        <f t="shared" si="4"/>
        <v>9.1120910213747353E-2</v>
      </c>
      <c r="M79" s="18">
        <f>VLOOKUP(A79,[1]Export!$A:$G,7,0)</f>
        <v>0</v>
      </c>
      <c r="N79" s="19">
        <f t="shared" si="5"/>
        <v>0</v>
      </c>
      <c r="O79" s="17" t="s">
        <v>1025</v>
      </c>
      <c r="P79" s="17" t="s">
        <v>1026</v>
      </c>
      <c r="Q79" s="17" t="s">
        <v>1023</v>
      </c>
      <c r="R79" s="17" t="str">
        <f>VLOOKUP(A79,[2]Export!$A:$I,9,0)</f>
        <v>Não Comprou</v>
      </c>
      <c r="S79" s="17" t="s">
        <v>1023</v>
      </c>
      <c r="T79" s="20"/>
      <c r="U79" s="17"/>
    </row>
    <row r="80" spans="1:21" x14ac:dyDescent="0.35">
      <c r="A80" s="4">
        <v>29630512000113</v>
      </c>
      <c r="B80" s="7"/>
      <c r="C80" s="4"/>
      <c r="D80" s="1" t="s">
        <v>150</v>
      </c>
      <c r="E80" s="1" t="s">
        <v>52</v>
      </c>
      <c r="F80" s="1" t="s">
        <v>8</v>
      </c>
      <c r="G80" s="10" t="s">
        <v>33</v>
      </c>
      <c r="H80" s="1" t="s">
        <v>17</v>
      </c>
      <c r="I80" s="21" t="s">
        <v>1074</v>
      </c>
      <c r="J80" s="18">
        <v>4081.9543917798305</v>
      </c>
      <c r="K80" s="18">
        <f>VLOOKUP(A80,[1]Export!$A:$C,3,0)</f>
        <v>1582.9900000000002</v>
      </c>
      <c r="L80" s="19">
        <f t="shared" si="4"/>
        <v>0.38780198112644232</v>
      </c>
      <c r="M80" s="18">
        <f>VLOOKUP(A80,[1]Export!$A:$G,7,0)</f>
        <v>137.85</v>
      </c>
      <c r="N80" s="19">
        <f t="shared" si="5"/>
        <v>3.3770588000101118E-2</v>
      </c>
      <c r="O80" s="17" t="s">
        <v>1025</v>
      </c>
      <c r="P80" s="17" t="s">
        <v>1026</v>
      </c>
      <c r="Q80" s="17" t="s">
        <v>1023</v>
      </c>
      <c r="R80" s="17" t="str">
        <f>VLOOKUP(A80,[2]Export!$A:$I,9,0)</f>
        <v>Comprou Marcas</v>
      </c>
      <c r="S80" s="17" t="s">
        <v>1022</v>
      </c>
      <c r="T80" s="20"/>
      <c r="U80" s="17"/>
    </row>
    <row r="81" spans="1:21" x14ac:dyDescent="0.35">
      <c r="A81" s="4">
        <v>19651628000185</v>
      </c>
      <c r="B81" s="7" t="s">
        <v>993</v>
      </c>
      <c r="C81" s="4"/>
      <c r="D81" s="1" t="s">
        <v>59</v>
      </c>
      <c r="E81" s="1" t="s">
        <v>35</v>
      </c>
      <c r="F81" s="1" t="s">
        <v>8</v>
      </c>
      <c r="G81" s="10" t="s">
        <v>9</v>
      </c>
      <c r="H81" s="1" t="s">
        <v>10</v>
      </c>
      <c r="I81" s="21" t="s">
        <v>1072</v>
      </c>
      <c r="J81" s="18">
        <v>10159.440018075791</v>
      </c>
      <c r="K81" s="18">
        <f>VLOOKUP(A81,[1]Export!$A:$C,3,0)</f>
        <v>3631.72</v>
      </c>
      <c r="L81" s="19">
        <f t="shared" si="4"/>
        <v>0.35747245847590048</v>
      </c>
      <c r="M81" s="18">
        <f>VLOOKUP(A81,[1]Export!$A:$G,7,0)</f>
        <v>4631.6200000000008</v>
      </c>
      <c r="N81" s="19">
        <f t="shared" si="5"/>
        <v>0.45589323739884974</v>
      </c>
      <c r="O81" s="17" t="s">
        <v>1027</v>
      </c>
      <c r="P81" s="17" t="s">
        <v>1028</v>
      </c>
      <c r="Q81" s="17" t="s">
        <v>1023</v>
      </c>
      <c r="R81" s="17" t="str">
        <f>VLOOKUP(A81,[2]Export!$A:$I,9,0)</f>
        <v>Comprou Marcas e SG</v>
      </c>
      <c r="S81" s="17" t="s">
        <v>1022</v>
      </c>
      <c r="T81" s="20"/>
      <c r="U81" s="17"/>
    </row>
    <row r="82" spans="1:21" x14ac:dyDescent="0.35">
      <c r="A82" s="4">
        <v>11411195000189</v>
      </c>
      <c r="B82" s="7"/>
      <c r="C82" s="4"/>
      <c r="D82" s="1" t="s">
        <v>153</v>
      </c>
      <c r="E82" s="1" t="s">
        <v>14</v>
      </c>
      <c r="F82" s="1" t="s">
        <v>15</v>
      </c>
      <c r="G82" s="10" t="s">
        <v>20</v>
      </c>
      <c r="H82" s="1" t="s">
        <v>17</v>
      </c>
      <c r="I82" s="21" t="s">
        <v>1069</v>
      </c>
      <c r="J82" s="18">
        <v>3167.79131739267</v>
      </c>
      <c r="K82" s="18">
        <f>VLOOKUP(A82,[1]Export!$A:$C,3,0)</f>
        <v>1126.7600000000002</v>
      </c>
      <c r="L82" s="19">
        <f t="shared" si="4"/>
        <v>0.35569262211609581</v>
      </c>
      <c r="M82" s="18">
        <f>VLOOKUP(A82,[1]Export!$A:$G,7,0)</f>
        <v>1782.6899999999996</v>
      </c>
      <c r="N82" s="19">
        <f t="shared" si="5"/>
        <v>0.56275487283906289</v>
      </c>
      <c r="O82" s="17" t="s">
        <v>1025</v>
      </c>
      <c r="P82" s="17" t="s">
        <v>1026</v>
      </c>
      <c r="Q82" s="17" t="s">
        <v>1023</v>
      </c>
      <c r="R82" s="17" t="str">
        <f>VLOOKUP(A82,[2]Export!$A:$I,9,0)</f>
        <v>Comprou Marcas</v>
      </c>
      <c r="S82" s="17" t="s">
        <v>1023</v>
      </c>
      <c r="T82" s="20"/>
      <c r="U82" s="17"/>
    </row>
    <row r="83" spans="1:21" x14ac:dyDescent="0.35">
      <c r="A83" s="5">
        <v>12476127000160</v>
      </c>
      <c r="B83" s="7"/>
      <c r="C83" s="4"/>
      <c r="D83" s="6" t="s">
        <v>154</v>
      </c>
      <c r="E83" s="6" t="s">
        <v>98</v>
      </c>
      <c r="F83" s="6" t="s">
        <v>15</v>
      </c>
      <c r="G83" s="11" t="s">
        <v>16</v>
      </c>
      <c r="H83" s="6" t="s">
        <v>17</v>
      </c>
      <c r="I83" s="21" t="s">
        <v>1075</v>
      </c>
      <c r="J83" s="18">
        <v>23154.949232804945</v>
      </c>
      <c r="K83" s="18">
        <f>VLOOKUP(A83,[1]Export!$A:$C,3,0)</f>
        <v>5920.07</v>
      </c>
      <c r="L83" s="19">
        <f t="shared" si="4"/>
        <v>0.25567190584087729</v>
      </c>
      <c r="M83" s="18">
        <f>VLOOKUP(A83,[1]Export!$A:$G,7,0)</f>
        <v>3857.65</v>
      </c>
      <c r="N83" s="19">
        <f t="shared" si="5"/>
        <v>0.1666015313276803</v>
      </c>
      <c r="O83" s="17" t="s">
        <v>1029</v>
      </c>
      <c r="P83" s="17" t="s">
        <v>1026</v>
      </c>
      <c r="Q83" s="17" t="s">
        <v>1022</v>
      </c>
      <c r="R83" s="17" t="str">
        <f>VLOOKUP(A83,[2]Export!$A:$I,9,0)</f>
        <v>Comprou Marcas</v>
      </c>
      <c r="S83" s="17" t="s">
        <v>1023</v>
      </c>
      <c r="T83" s="20">
        <v>2</v>
      </c>
      <c r="U83" s="17"/>
    </row>
    <row r="84" spans="1:21" x14ac:dyDescent="0.35">
      <c r="A84" s="4">
        <v>19436791000206</v>
      </c>
      <c r="B84" s="7" t="s">
        <v>996</v>
      </c>
      <c r="C84" s="4"/>
      <c r="D84" s="1" t="s">
        <v>59</v>
      </c>
      <c r="E84" s="1" t="s">
        <v>155</v>
      </c>
      <c r="F84" s="1" t="s">
        <v>15</v>
      </c>
      <c r="G84" s="10" t="s">
        <v>9</v>
      </c>
      <c r="H84" s="1" t="s">
        <v>10</v>
      </c>
      <c r="I84" s="21" t="s">
        <v>1071</v>
      </c>
      <c r="J84" s="18">
        <v>19428.138101137301</v>
      </c>
      <c r="K84" s="18">
        <f>VLOOKUP(A84,[1]Export!$A:$C,3,0)</f>
        <v>9240.4599999999991</v>
      </c>
      <c r="L84" s="19">
        <f t="shared" si="4"/>
        <v>0.47562251986766929</v>
      </c>
      <c r="M84" s="18">
        <f>VLOOKUP(A84,[1]Export!$A:$G,7,0)</f>
        <v>9456.3899999999958</v>
      </c>
      <c r="N84" s="19">
        <f t="shared" si="5"/>
        <v>0.48673681187423873</v>
      </c>
      <c r="O84" s="17" t="s">
        <v>1027</v>
      </c>
      <c r="P84" s="17" t="s">
        <v>1028</v>
      </c>
      <c r="Q84" s="17" t="s">
        <v>1023</v>
      </c>
      <c r="R84" s="17" t="str">
        <f>VLOOKUP(A84,[2]Export!$A:$I,9,0)</f>
        <v>Comprou Marcas e SG</v>
      </c>
      <c r="S84" s="17" t="s">
        <v>1022</v>
      </c>
      <c r="T84" s="20"/>
      <c r="U84" s="17"/>
    </row>
    <row r="85" spans="1:21" x14ac:dyDescent="0.35">
      <c r="A85" s="5">
        <v>19671223000109</v>
      </c>
      <c r="B85" s="7" t="s">
        <v>994</v>
      </c>
      <c r="C85" s="4"/>
      <c r="D85" s="6" t="s">
        <v>156</v>
      </c>
      <c r="E85" s="6" t="s">
        <v>157</v>
      </c>
      <c r="F85" s="6" t="s">
        <v>48</v>
      </c>
      <c r="G85" s="11" t="s">
        <v>92</v>
      </c>
      <c r="H85" s="6" t="s">
        <v>17</v>
      </c>
      <c r="I85" s="21" t="s">
        <v>1073</v>
      </c>
      <c r="J85" s="18">
        <v>20020.36344044649</v>
      </c>
      <c r="K85" s="18">
        <f>VLOOKUP(A85,[1]Export!$A:$C,3,0)</f>
        <v>7854.22</v>
      </c>
      <c r="L85" s="19">
        <f t="shared" si="4"/>
        <v>0.39231155934623918</v>
      </c>
      <c r="M85" s="18">
        <f>VLOOKUP(A85,[1]Export!$A:$G,7,0)</f>
        <v>3118.8800000000006</v>
      </c>
      <c r="N85" s="19">
        <f t="shared" si="5"/>
        <v>0.1557853836808491</v>
      </c>
      <c r="O85" s="17" t="s">
        <v>1027</v>
      </c>
      <c r="P85" s="17" t="s">
        <v>1028</v>
      </c>
      <c r="Q85" s="17" t="s">
        <v>1023</v>
      </c>
      <c r="R85" s="17" t="str">
        <f>VLOOKUP(A85,[2]Export!$A:$I,9,0)</f>
        <v>Comprou Marcas</v>
      </c>
      <c r="S85" s="17" t="s">
        <v>1022</v>
      </c>
      <c r="T85" s="20">
        <v>3</v>
      </c>
      <c r="U85" s="17"/>
    </row>
    <row r="86" spans="1:21" x14ac:dyDescent="0.35">
      <c r="A86" s="4">
        <v>21206725000100</v>
      </c>
      <c r="B86" s="7"/>
      <c r="C86" s="4"/>
      <c r="D86" s="1" t="s">
        <v>158</v>
      </c>
      <c r="E86" s="1" t="s">
        <v>52</v>
      </c>
      <c r="F86" s="1" t="s">
        <v>8</v>
      </c>
      <c r="G86" s="10" t="s">
        <v>33</v>
      </c>
      <c r="H86" s="1" t="s">
        <v>17</v>
      </c>
      <c r="I86" s="21" t="s">
        <v>1074</v>
      </c>
      <c r="J86" s="18">
        <v>15423.846601623236</v>
      </c>
      <c r="K86" s="18">
        <f>VLOOKUP(A86,[1]Export!$A:$C,3,0)</f>
        <v>4961.3100000000004</v>
      </c>
      <c r="L86" s="19">
        <f t="shared" si="4"/>
        <v>0.32166489515513352</v>
      </c>
      <c r="M86" s="18">
        <f>VLOOKUP(A86,[1]Export!$A:$G,7,0)</f>
        <v>137.85</v>
      </c>
      <c r="N86" s="19">
        <f t="shared" si="5"/>
        <v>8.9374592188625878E-3</v>
      </c>
      <c r="O86" s="17" t="s">
        <v>1027</v>
      </c>
      <c r="P86" s="17" t="s">
        <v>1026</v>
      </c>
      <c r="Q86" s="17" t="s">
        <v>1023</v>
      </c>
      <c r="R86" s="17" t="str">
        <f>VLOOKUP(A86,[2]Export!$A:$I,9,0)</f>
        <v>Comprou Marcas</v>
      </c>
      <c r="S86" s="17" t="s">
        <v>1022</v>
      </c>
      <c r="T86" s="20"/>
      <c r="U86" s="17"/>
    </row>
    <row r="87" spans="1:21" x14ac:dyDescent="0.35">
      <c r="A87" s="5">
        <v>34565893000215</v>
      </c>
      <c r="B87" s="7" t="s">
        <v>997</v>
      </c>
      <c r="C87" s="4"/>
      <c r="D87" s="6" t="s">
        <v>29</v>
      </c>
      <c r="E87" s="6" t="s">
        <v>14</v>
      </c>
      <c r="F87" s="6" t="s">
        <v>15</v>
      </c>
      <c r="G87" s="11" t="s">
        <v>9</v>
      </c>
      <c r="H87" s="6" t="s">
        <v>10</v>
      </c>
      <c r="I87" s="21" t="s">
        <v>1069</v>
      </c>
      <c r="J87" s="18">
        <v>2644.9200107252218</v>
      </c>
      <c r="K87" s="18">
        <f>VLOOKUP(A87,[1]Export!$A:$C,3,0)</f>
        <v>1509.1599999999996</v>
      </c>
      <c r="L87" s="19">
        <f t="shared" si="4"/>
        <v>0.57058814401959801</v>
      </c>
      <c r="M87" s="18">
        <f>VLOOKUP(A87,[1]Export!$A:$G,7,0)</f>
        <v>873.82</v>
      </c>
      <c r="N87" s="19">
        <f t="shared" si="5"/>
        <v>0.33037672082960406</v>
      </c>
      <c r="O87" s="17" t="s">
        <v>1027</v>
      </c>
      <c r="P87" s="17" t="s">
        <v>1028</v>
      </c>
      <c r="Q87" s="17" t="s">
        <v>1023</v>
      </c>
      <c r="R87" s="17" t="str">
        <f>VLOOKUP(A87,[2]Export!$A:$I,9,0)</f>
        <v>Comprou Marcas</v>
      </c>
      <c r="S87" s="17" t="s">
        <v>1022</v>
      </c>
      <c r="T87" s="20"/>
      <c r="U87" s="17"/>
    </row>
    <row r="88" spans="1:21" x14ac:dyDescent="0.35">
      <c r="A88" s="4">
        <v>45665886000120</v>
      </c>
      <c r="B88" s="7"/>
      <c r="C88" s="4"/>
      <c r="D88" s="1" t="s">
        <v>159</v>
      </c>
      <c r="E88" s="1" t="s">
        <v>160</v>
      </c>
      <c r="F88" s="1" t="s">
        <v>8</v>
      </c>
      <c r="G88" s="10" t="s">
        <v>36</v>
      </c>
      <c r="H88" s="1" t="s">
        <v>17</v>
      </c>
      <c r="I88" s="21" t="s">
        <v>1070</v>
      </c>
      <c r="J88" s="18">
        <v>4915.2488927500754</v>
      </c>
      <c r="K88" s="18">
        <f>VLOOKUP(A88,[1]Export!$A:$C,3,0)</f>
        <v>941.30000000000018</v>
      </c>
      <c r="L88" s="19">
        <f t="shared" si="4"/>
        <v>0.19150607030061179</v>
      </c>
      <c r="M88" s="18">
        <f>VLOOKUP(A88,[1]Export!$A:$G,7,0)</f>
        <v>134.41999999999999</v>
      </c>
      <c r="N88" s="19">
        <f t="shared" si="5"/>
        <v>2.7347546977380462E-2</v>
      </c>
      <c r="O88" s="17" t="s">
        <v>1027</v>
      </c>
      <c r="P88" s="17" t="s">
        <v>1028</v>
      </c>
      <c r="Q88" s="17" t="s">
        <v>1023</v>
      </c>
      <c r="R88" s="17" t="str">
        <f>VLOOKUP(A88,[2]Export!$A:$I,9,0)</f>
        <v>Comprou Marcas</v>
      </c>
      <c r="S88" s="17" t="s">
        <v>1022</v>
      </c>
      <c r="T88" s="20"/>
      <c r="U88" s="17"/>
    </row>
    <row r="89" spans="1:21" x14ac:dyDescent="0.35">
      <c r="A89" s="5">
        <v>47964776000195</v>
      </c>
      <c r="B89" s="7"/>
      <c r="C89" s="4"/>
      <c r="D89" s="6" t="s">
        <v>161</v>
      </c>
      <c r="E89" s="6" t="s">
        <v>162</v>
      </c>
      <c r="F89" s="6" t="s">
        <v>8</v>
      </c>
      <c r="G89" s="11" t="s">
        <v>20</v>
      </c>
      <c r="H89" s="6" t="s">
        <v>17</v>
      </c>
      <c r="I89" s="21" t="s">
        <v>1074</v>
      </c>
      <c r="J89" s="18">
        <v>6144.941280442602</v>
      </c>
      <c r="K89" s="18">
        <f>VLOOKUP(A89,[1]Export!$A:$C,3,0)</f>
        <v>987.62</v>
      </c>
      <c r="L89" s="19">
        <f t="shared" si="4"/>
        <v>0.16072081976491476</v>
      </c>
      <c r="M89" s="18">
        <f>VLOOKUP(A89,[1]Export!$A:$G,7,0)</f>
        <v>137.85</v>
      </c>
      <c r="N89" s="19">
        <f t="shared" si="5"/>
        <v>2.2433086616910857E-2</v>
      </c>
      <c r="O89" s="17" t="s">
        <v>1029</v>
      </c>
      <c r="P89" s="17" t="s">
        <v>1026</v>
      </c>
      <c r="Q89" s="17" t="s">
        <v>1023</v>
      </c>
      <c r="R89" s="17" t="str">
        <f>VLOOKUP(A89,[2]Export!$A:$I,9,0)</f>
        <v>Comprou Marcas</v>
      </c>
      <c r="S89" s="17" t="s">
        <v>1022</v>
      </c>
      <c r="T89" s="20"/>
      <c r="U89" s="17"/>
    </row>
    <row r="90" spans="1:21" x14ac:dyDescent="0.35">
      <c r="A90" s="4">
        <v>48771512000188</v>
      </c>
      <c r="B90" s="7"/>
      <c r="C90" s="4"/>
      <c r="D90" s="1" t="s">
        <v>163</v>
      </c>
      <c r="E90" s="1" t="s">
        <v>50</v>
      </c>
      <c r="F90" s="1" t="s">
        <v>48</v>
      </c>
      <c r="G90" s="10" t="s">
        <v>80</v>
      </c>
      <c r="H90" s="1" t="s">
        <v>17</v>
      </c>
      <c r="I90" s="21" t="s">
        <v>1073</v>
      </c>
      <c r="J90" s="18">
        <v>2283.2352436436981</v>
      </c>
      <c r="K90" s="18">
        <f>VLOOKUP(A90,[1]Export!$A:$C,3,0)</f>
        <v>1074.96</v>
      </c>
      <c r="L90" s="19">
        <f t="shared" si="4"/>
        <v>0.47080562679320176</v>
      </c>
      <c r="M90" s="18">
        <f>VLOOKUP(A90,[1]Export!$A:$G,7,0)</f>
        <v>518.41999999999996</v>
      </c>
      <c r="N90" s="19">
        <f t="shared" si="5"/>
        <v>0.22705500952791882</v>
      </c>
      <c r="O90" s="17" t="s">
        <v>1027</v>
      </c>
      <c r="P90" s="17" t="s">
        <v>1028</v>
      </c>
      <c r="Q90" s="17" t="s">
        <v>1023</v>
      </c>
      <c r="R90" s="17" t="str">
        <f>VLOOKUP(A90,[2]Export!$A:$I,9,0)</f>
        <v>Comprou Marcas</v>
      </c>
      <c r="S90" s="17" t="s">
        <v>1022</v>
      </c>
      <c r="T90" s="20"/>
      <c r="U90" s="17"/>
    </row>
    <row r="91" spans="1:21" x14ac:dyDescent="0.35">
      <c r="A91" s="5">
        <v>48771964000160</v>
      </c>
      <c r="B91" s="7"/>
      <c r="C91" s="4"/>
      <c r="D91" s="6" t="s">
        <v>164</v>
      </c>
      <c r="E91" s="6" t="s">
        <v>52</v>
      </c>
      <c r="F91" s="6" t="s">
        <v>8</v>
      </c>
      <c r="G91" s="11" t="s">
        <v>64</v>
      </c>
      <c r="H91" s="6" t="s">
        <v>17</v>
      </c>
      <c r="I91" s="21" t="s">
        <v>1074</v>
      </c>
      <c r="J91" s="18">
        <v>2701.3333607141103</v>
      </c>
      <c r="K91" s="18">
        <f>VLOOKUP(A91,[1]Export!$A:$C,3,0)</f>
        <v>630.48</v>
      </c>
      <c r="L91" s="19">
        <f t="shared" si="4"/>
        <v>0.23339585153360326</v>
      </c>
      <c r="M91" s="18">
        <f>VLOOKUP(A91,[1]Export!$A:$G,7,0)</f>
        <v>137.85</v>
      </c>
      <c r="N91" s="19">
        <f t="shared" si="5"/>
        <v>5.1030354862814375E-2</v>
      </c>
      <c r="O91" s="17" t="s">
        <v>1029</v>
      </c>
      <c r="P91" s="17" t="s">
        <v>1026</v>
      </c>
      <c r="Q91" s="17" t="s">
        <v>1022</v>
      </c>
      <c r="R91" s="17" t="str">
        <f>VLOOKUP(A91,[2]Export!$A:$I,9,0)</f>
        <v>Comprou Marcas</v>
      </c>
      <c r="S91" s="17" t="s">
        <v>1023</v>
      </c>
      <c r="T91" s="20"/>
      <c r="U91" s="17"/>
    </row>
    <row r="92" spans="1:21" x14ac:dyDescent="0.35">
      <c r="A92" s="4">
        <v>48892332000154</v>
      </c>
      <c r="B92" s="7"/>
      <c r="C92" s="4"/>
      <c r="D92" s="1" t="s">
        <v>165</v>
      </c>
      <c r="E92" s="1" t="s">
        <v>166</v>
      </c>
      <c r="F92" s="1" t="s">
        <v>8</v>
      </c>
      <c r="G92" s="10" t="s">
        <v>36</v>
      </c>
      <c r="H92" s="1" t="s">
        <v>17</v>
      </c>
      <c r="I92" s="21" t="s">
        <v>1070</v>
      </c>
      <c r="J92" s="18">
        <v>2630.6135406137546</v>
      </c>
      <c r="K92" s="18">
        <f>VLOOKUP(A92,[1]Export!$A:$C,3,0)</f>
        <v>0</v>
      </c>
      <c r="L92" s="19">
        <f t="shared" si="4"/>
        <v>0</v>
      </c>
      <c r="M92" s="18">
        <f>VLOOKUP(A92,[1]Export!$A:$G,7,0)</f>
        <v>0</v>
      </c>
      <c r="N92" s="19">
        <f t="shared" si="5"/>
        <v>0</v>
      </c>
      <c r="O92" s="17" t="s">
        <v>1029</v>
      </c>
      <c r="P92" s="17" t="s">
        <v>1026</v>
      </c>
      <c r="Q92" s="17" t="s">
        <v>1022</v>
      </c>
      <c r="R92" s="17" t="str">
        <f>VLOOKUP(A92,[2]Export!$A:$I,9,0)</f>
        <v>Não Comprou</v>
      </c>
      <c r="S92" s="17" t="s">
        <v>1023</v>
      </c>
      <c r="T92" s="20"/>
      <c r="U92" s="17"/>
    </row>
    <row r="93" spans="1:21" x14ac:dyDescent="0.35">
      <c r="A93" s="5">
        <v>34975101000108</v>
      </c>
      <c r="B93" s="7"/>
      <c r="C93" s="4"/>
      <c r="D93" s="6" t="s">
        <v>167</v>
      </c>
      <c r="E93" s="6" t="s">
        <v>122</v>
      </c>
      <c r="F93" s="6" t="s">
        <v>8</v>
      </c>
      <c r="G93" s="11" t="s">
        <v>36</v>
      </c>
      <c r="H93" s="6" t="s">
        <v>17</v>
      </c>
      <c r="I93" s="21" t="s">
        <v>1068</v>
      </c>
      <c r="J93" s="18">
        <v>4488.75913386503</v>
      </c>
      <c r="K93" s="18">
        <f>VLOOKUP(A93,[1]Export!$A:$C,3,0)</f>
        <v>823</v>
      </c>
      <c r="L93" s="19">
        <f t="shared" si="4"/>
        <v>0.18334688395083448</v>
      </c>
      <c r="M93" s="18">
        <f>VLOOKUP(A93,[1]Export!$A:$G,7,0)</f>
        <v>0</v>
      </c>
      <c r="N93" s="19">
        <f t="shared" si="5"/>
        <v>0</v>
      </c>
      <c r="O93" s="17" t="s">
        <v>1025</v>
      </c>
      <c r="P93" s="17" t="s">
        <v>1026</v>
      </c>
      <c r="Q93" s="17" t="s">
        <v>1023</v>
      </c>
      <c r="R93" s="17" t="str">
        <f>VLOOKUP(A93,[2]Export!$A:$I,9,0)</f>
        <v>Não Comprou</v>
      </c>
      <c r="S93" s="17" t="s">
        <v>1023</v>
      </c>
      <c r="T93" s="20"/>
      <c r="U93" s="17"/>
    </row>
    <row r="94" spans="1:21" x14ac:dyDescent="0.35">
      <c r="A94" s="4">
        <v>36728431000205</v>
      </c>
      <c r="B94" s="7" t="s">
        <v>998</v>
      </c>
      <c r="C94" s="4"/>
      <c r="D94" s="1" t="s">
        <v>168</v>
      </c>
      <c r="E94" s="1" t="s">
        <v>14</v>
      </c>
      <c r="F94" s="1" t="s">
        <v>15</v>
      </c>
      <c r="G94" s="10" t="s">
        <v>9</v>
      </c>
      <c r="H94" s="1" t="s">
        <v>10</v>
      </c>
      <c r="I94" s="21" t="s">
        <v>1069</v>
      </c>
      <c r="J94" s="18">
        <v>8814.3965169529256</v>
      </c>
      <c r="K94" s="18">
        <f>VLOOKUP(A94,[1]Export!$A:$C,3,0)</f>
        <v>3922.2100000000005</v>
      </c>
      <c r="L94" s="19">
        <f t="shared" si="4"/>
        <v>0.44497771259283903</v>
      </c>
      <c r="M94" s="18">
        <f>VLOOKUP(A94,[1]Export!$A:$G,7,0)</f>
        <v>6861.4400000000005</v>
      </c>
      <c r="N94" s="19">
        <f t="shared" si="5"/>
        <v>0.77843559531310391</v>
      </c>
      <c r="O94" s="17" t="s">
        <v>1027</v>
      </c>
      <c r="P94" s="17" t="s">
        <v>1028</v>
      </c>
      <c r="Q94" s="17" t="s">
        <v>1023</v>
      </c>
      <c r="R94" s="17" t="str">
        <f>VLOOKUP(A94,[2]Export!$A:$I,9,0)</f>
        <v>Comprou Marcas</v>
      </c>
      <c r="S94" s="17" t="s">
        <v>1022</v>
      </c>
      <c r="T94" s="20"/>
      <c r="U94" s="17"/>
    </row>
    <row r="95" spans="1:21" x14ac:dyDescent="0.35">
      <c r="A95" s="5">
        <v>37489689000170</v>
      </c>
      <c r="B95" s="7"/>
      <c r="C95" s="4"/>
      <c r="D95" s="6" t="s">
        <v>169</v>
      </c>
      <c r="E95" s="6" t="s">
        <v>22</v>
      </c>
      <c r="F95" s="6" t="s">
        <v>8</v>
      </c>
      <c r="G95" s="11" t="s">
        <v>36</v>
      </c>
      <c r="H95" s="6" t="s">
        <v>17</v>
      </c>
      <c r="I95" s="21" t="s">
        <v>1070</v>
      </c>
      <c r="J95" s="18">
        <v>601.71829391534982</v>
      </c>
      <c r="K95" s="18">
        <f>VLOOKUP(A95,[1]Export!$A:$C,3,0)</f>
        <v>796.07999999999981</v>
      </c>
      <c r="L95" s="19">
        <f t="shared" si="4"/>
        <v>1.3230111300421805</v>
      </c>
      <c r="M95" s="18">
        <f>VLOOKUP(A95,[1]Export!$A:$G,7,0)</f>
        <v>0</v>
      </c>
      <c r="N95" s="19">
        <f t="shared" si="5"/>
        <v>0</v>
      </c>
      <c r="O95" s="17" t="s">
        <v>1029</v>
      </c>
      <c r="P95" s="17" t="s">
        <v>1026</v>
      </c>
      <c r="Q95" s="17" t="s">
        <v>1023</v>
      </c>
      <c r="R95" s="17" t="str">
        <f>VLOOKUP(A95,[2]Export!$A:$I,9,0)</f>
        <v>Não Comprou</v>
      </c>
      <c r="S95" s="17" t="s">
        <v>1022</v>
      </c>
      <c r="T95" s="20"/>
      <c r="U95" s="17"/>
    </row>
    <row r="96" spans="1:21" x14ac:dyDescent="0.35">
      <c r="A96" s="4">
        <v>3577994000282</v>
      </c>
      <c r="B96" s="7"/>
      <c r="C96" s="4"/>
      <c r="D96" s="1" t="s">
        <v>170</v>
      </c>
      <c r="E96" s="1" t="s">
        <v>171</v>
      </c>
      <c r="F96" s="1" t="s">
        <v>8</v>
      </c>
      <c r="G96" s="10" t="s">
        <v>36</v>
      </c>
      <c r="H96" s="1" t="s">
        <v>17</v>
      </c>
      <c r="I96" s="21" t="s">
        <v>1072</v>
      </c>
      <c r="J96" s="18">
        <v>3673.1987321938732</v>
      </c>
      <c r="K96" s="18">
        <f>VLOOKUP(A96,[1]Export!$A:$C,3,0)</f>
        <v>1698.2999999999997</v>
      </c>
      <c r="L96" s="19">
        <f t="shared" si="4"/>
        <v>0.46234906516633378</v>
      </c>
      <c r="M96" s="18">
        <f>VLOOKUP(A96,[1]Export!$A:$G,7,0)</f>
        <v>1706.31</v>
      </c>
      <c r="N96" s="19">
        <f t="shared" si="5"/>
        <v>0.46452972583405</v>
      </c>
      <c r="O96" s="17" t="s">
        <v>1027</v>
      </c>
      <c r="P96" s="17" t="s">
        <v>1028</v>
      </c>
      <c r="Q96" s="17" t="s">
        <v>1023</v>
      </c>
      <c r="R96" s="17" t="str">
        <f>VLOOKUP(A96,[2]Export!$A:$I,9,0)</f>
        <v>Comprou Marcas</v>
      </c>
      <c r="S96" s="17" t="s">
        <v>1022</v>
      </c>
      <c r="T96" s="20"/>
      <c r="U96" s="17"/>
    </row>
    <row r="97" spans="1:21" x14ac:dyDescent="0.35">
      <c r="A97" s="5">
        <v>3836752000185</v>
      </c>
      <c r="B97" s="7"/>
      <c r="C97" s="4"/>
      <c r="D97" s="6" t="s">
        <v>172</v>
      </c>
      <c r="E97" s="6" t="s">
        <v>94</v>
      </c>
      <c r="F97" s="6" t="s">
        <v>15</v>
      </c>
      <c r="G97" s="11" t="s">
        <v>36</v>
      </c>
      <c r="H97" s="6" t="s">
        <v>17</v>
      </c>
      <c r="I97" s="21" t="s">
        <v>1071</v>
      </c>
      <c r="J97" s="18">
        <v>7239.863288361038</v>
      </c>
      <c r="K97" s="18">
        <f>VLOOKUP(A97,[1]Export!$A:$C,3,0)</f>
        <v>2742.04</v>
      </c>
      <c r="L97" s="19">
        <f t="shared" si="4"/>
        <v>0.37874195834721952</v>
      </c>
      <c r="M97" s="18">
        <f>VLOOKUP(A97,[1]Export!$A:$G,7,0)</f>
        <v>0</v>
      </c>
      <c r="N97" s="19">
        <f t="shared" si="5"/>
        <v>0</v>
      </c>
      <c r="O97" s="17" t="s">
        <v>1025</v>
      </c>
      <c r="P97" s="17" t="s">
        <v>1026</v>
      </c>
      <c r="Q97" s="17" t="s">
        <v>1022</v>
      </c>
      <c r="R97" s="17" t="str">
        <f>VLOOKUP(A97,[2]Export!$A:$I,9,0)</f>
        <v>Não Comprou</v>
      </c>
      <c r="S97" s="17" t="s">
        <v>1022</v>
      </c>
      <c r="T97" s="20"/>
      <c r="U97" s="17"/>
    </row>
    <row r="98" spans="1:21" x14ac:dyDescent="0.35">
      <c r="A98" s="4">
        <v>4564557000106</v>
      </c>
      <c r="B98" s="7"/>
      <c r="C98" s="4"/>
      <c r="D98" s="1" t="s">
        <v>173</v>
      </c>
      <c r="E98" s="1" t="s">
        <v>174</v>
      </c>
      <c r="F98" s="1" t="s">
        <v>48</v>
      </c>
      <c r="G98" s="10" t="s">
        <v>20</v>
      </c>
      <c r="H98" s="1" t="s">
        <v>17</v>
      </c>
      <c r="I98" s="21" t="s">
        <v>1075</v>
      </c>
      <c r="J98" s="18">
        <v>2660.8150448173183</v>
      </c>
      <c r="K98" s="18">
        <f>VLOOKUP(A98,[1]Export!$A:$C,3,0)</f>
        <v>992.94000000000017</v>
      </c>
      <c r="L98" s="19">
        <f t="shared" si="4"/>
        <v>0.37317137165697728</v>
      </c>
      <c r="M98" s="18">
        <f>VLOOKUP(A98,[1]Export!$A:$G,7,0)</f>
        <v>267.67</v>
      </c>
      <c r="N98" s="19">
        <f t="shared" si="5"/>
        <v>0.1005969958420681</v>
      </c>
      <c r="O98" s="17" t="s">
        <v>1027</v>
      </c>
      <c r="P98" s="17" t="s">
        <v>1028</v>
      </c>
      <c r="Q98" s="17" t="s">
        <v>1023</v>
      </c>
      <c r="R98" s="17" t="str">
        <f>VLOOKUP(A98,[2]Export!$A:$I,9,0)</f>
        <v>Comprou Marcas e SG</v>
      </c>
      <c r="S98" s="17" t="s">
        <v>1022</v>
      </c>
      <c r="T98" s="20"/>
      <c r="U98" s="17"/>
    </row>
    <row r="99" spans="1:21" x14ac:dyDescent="0.35">
      <c r="A99" s="4">
        <v>14511974000144</v>
      </c>
      <c r="B99" s="7"/>
      <c r="C99" s="4"/>
      <c r="D99" s="1" t="s">
        <v>623</v>
      </c>
      <c r="E99" s="1" t="s">
        <v>14</v>
      </c>
      <c r="F99" s="1" t="s">
        <v>15</v>
      </c>
      <c r="G99" s="10" t="s">
        <v>38</v>
      </c>
      <c r="H99" s="1" t="s">
        <v>17</v>
      </c>
      <c r="I99" s="21" t="s">
        <v>1069</v>
      </c>
      <c r="J99" s="18">
        <v>3945.0686839929967</v>
      </c>
      <c r="K99" s="18">
        <f>VLOOKUP(A99,[1]Export!$A:$C,3,0)</f>
        <v>938.62000000000012</v>
      </c>
      <c r="L99" s="19">
        <f t="shared" si="4"/>
        <v>0.23792234690575195</v>
      </c>
      <c r="M99" s="18">
        <f>VLOOKUP(A99,[1]Export!$A:$G,7,0)</f>
        <v>0</v>
      </c>
      <c r="N99" s="19">
        <f t="shared" si="5"/>
        <v>0</v>
      </c>
      <c r="O99" s="17" t="s">
        <v>1031</v>
      </c>
      <c r="P99" s="17" t="s">
        <v>1026</v>
      </c>
      <c r="Q99" s="17" t="s">
        <v>1023</v>
      </c>
      <c r="R99" s="17" t="str">
        <f>VLOOKUP(A99,[2]Export!$A:$I,9,0)</f>
        <v>Não Comprou</v>
      </c>
      <c r="S99" s="17" t="s">
        <v>1023</v>
      </c>
      <c r="T99" s="20"/>
      <c r="U99" s="17"/>
    </row>
    <row r="100" spans="1:21" x14ac:dyDescent="0.35">
      <c r="A100" s="4">
        <v>4972853000499</v>
      </c>
      <c r="B100" s="7" t="s">
        <v>135</v>
      </c>
      <c r="C100" s="4"/>
      <c r="D100" s="1" t="s">
        <v>134</v>
      </c>
      <c r="E100" s="1" t="s">
        <v>35</v>
      </c>
      <c r="F100" s="1" t="s">
        <v>8</v>
      </c>
      <c r="G100" s="10" t="s">
        <v>135</v>
      </c>
      <c r="H100" s="1" t="s">
        <v>17</v>
      </c>
      <c r="I100" s="21" t="s">
        <v>1072</v>
      </c>
      <c r="J100" s="18">
        <v>4520.1129601150105</v>
      </c>
      <c r="K100" s="18">
        <f>VLOOKUP(A100,[1]Export!$A:$C,3,0)</f>
        <v>1351.7400000000002</v>
      </c>
      <c r="L100" s="19">
        <f t="shared" si="4"/>
        <v>0.29905004851153238</v>
      </c>
      <c r="M100" s="18">
        <f>VLOOKUP(A100,[1]Export!$A:$G,7,0)</f>
        <v>3181.67</v>
      </c>
      <c r="N100" s="19">
        <f t="shared" si="5"/>
        <v>0.70389170095409415</v>
      </c>
      <c r="O100" s="17" t="s">
        <v>1025</v>
      </c>
      <c r="P100" s="17" t="s">
        <v>1026</v>
      </c>
      <c r="Q100" s="17" t="s">
        <v>1022</v>
      </c>
      <c r="R100" s="17" t="str">
        <f>VLOOKUP(A100,[2]Export!$A:$I,9,0)</f>
        <v>Comprou Marcas e SG</v>
      </c>
      <c r="S100" s="17" t="s">
        <v>1022</v>
      </c>
      <c r="T100" s="20"/>
      <c r="U100" s="17"/>
    </row>
    <row r="101" spans="1:21" x14ac:dyDescent="0.35">
      <c r="A101" s="5">
        <v>4972853000812</v>
      </c>
      <c r="B101" s="7" t="s">
        <v>135</v>
      </c>
      <c r="C101" s="4"/>
      <c r="D101" s="6" t="s">
        <v>134</v>
      </c>
      <c r="E101" s="6" t="s">
        <v>35</v>
      </c>
      <c r="F101" s="6" t="s">
        <v>8</v>
      </c>
      <c r="G101" s="11" t="s">
        <v>135</v>
      </c>
      <c r="H101" s="6" t="s">
        <v>17</v>
      </c>
      <c r="I101" s="21" t="s">
        <v>1072</v>
      </c>
      <c r="J101" s="18">
        <v>44175.31906892945</v>
      </c>
      <c r="K101" s="18">
        <f>VLOOKUP(A101,[1]Export!$A:$C,3,0)</f>
        <v>13134.430000000006</v>
      </c>
      <c r="L101" s="19">
        <f t="shared" si="4"/>
        <v>0.29732507374775385</v>
      </c>
      <c r="M101" s="18">
        <f>VLOOKUP(A101,[1]Export!$A:$G,7,0)</f>
        <v>29933.87</v>
      </c>
      <c r="N101" s="19">
        <f t="shared" si="5"/>
        <v>0.6776152528359185</v>
      </c>
      <c r="O101" s="17" t="s">
        <v>1025</v>
      </c>
      <c r="P101" s="17" t="s">
        <v>1026</v>
      </c>
      <c r="Q101" s="17" t="s">
        <v>1022</v>
      </c>
      <c r="R101" s="17" t="str">
        <f>VLOOKUP(A101,[2]Export!$A:$I,9,0)</f>
        <v>Comprou Marcas e SG</v>
      </c>
      <c r="S101" s="17" t="s">
        <v>1022</v>
      </c>
      <c r="T101" s="20">
        <v>4</v>
      </c>
      <c r="U101" s="17"/>
    </row>
    <row r="102" spans="1:21" x14ac:dyDescent="0.35">
      <c r="A102" s="4">
        <v>5674541000119</v>
      </c>
      <c r="B102" s="7"/>
      <c r="C102" s="4"/>
      <c r="D102" s="1" t="s">
        <v>177</v>
      </c>
      <c r="E102" s="1" t="s">
        <v>178</v>
      </c>
      <c r="F102" s="1" t="s">
        <v>15</v>
      </c>
      <c r="G102" s="10" t="s">
        <v>36</v>
      </c>
      <c r="H102" s="1" t="s">
        <v>17</v>
      </c>
      <c r="I102" s="21" t="s">
        <v>1075</v>
      </c>
      <c r="J102" s="18">
        <v>3834.8720979186523</v>
      </c>
      <c r="K102" s="18">
        <f>VLOOKUP(A102,[1]Export!$A:$C,3,0)</f>
        <v>1307.0399999999997</v>
      </c>
      <c r="L102" s="19">
        <f t="shared" si="4"/>
        <v>0.34083014156049318</v>
      </c>
      <c r="M102" s="18">
        <f>VLOOKUP(A102,[1]Export!$A:$G,7,0)</f>
        <v>0</v>
      </c>
      <c r="N102" s="19">
        <f t="shared" si="5"/>
        <v>0</v>
      </c>
      <c r="O102" s="17" t="s">
        <v>1025</v>
      </c>
      <c r="P102" s="17" t="s">
        <v>1026</v>
      </c>
      <c r="Q102" s="17" t="s">
        <v>1022</v>
      </c>
      <c r="R102" s="17" t="str">
        <f>VLOOKUP(A102,[2]Export!$A:$I,9,0)</f>
        <v>Não Comprou</v>
      </c>
      <c r="S102" s="17" t="s">
        <v>1022</v>
      </c>
      <c r="T102" s="20"/>
      <c r="U102" s="17"/>
    </row>
    <row r="103" spans="1:21" x14ac:dyDescent="0.35">
      <c r="A103" s="5">
        <v>531367000131</v>
      </c>
      <c r="B103" s="7"/>
      <c r="C103" s="4"/>
      <c r="D103" s="6" t="s">
        <v>179</v>
      </c>
      <c r="E103" s="6" t="s">
        <v>180</v>
      </c>
      <c r="F103" s="6" t="s">
        <v>15</v>
      </c>
      <c r="G103" s="11" t="s">
        <v>9</v>
      </c>
      <c r="H103" s="6" t="s">
        <v>10</v>
      </c>
      <c r="I103" s="21" t="s">
        <v>1071</v>
      </c>
      <c r="J103" s="18">
        <v>2510.5119527779057</v>
      </c>
      <c r="K103" s="18">
        <f>VLOOKUP(A103,[1]Export!$A:$C,3,0)</f>
        <v>364.24</v>
      </c>
      <c r="L103" s="19">
        <f t="shared" si="4"/>
        <v>0.1450859453574658</v>
      </c>
      <c r="M103" s="18">
        <f>VLOOKUP(A103,[1]Export!$A:$G,7,0)</f>
        <v>764.89</v>
      </c>
      <c r="N103" s="19">
        <f t="shared" si="5"/>
        <v>0.30467490869885794</v>
      </c>
      <c r="O103" s="17" t="s">
        <v>1027</v>
      </c>
      <c r="P103" s="17" t="s">
        <v>1028</v>
      </c>
      <c r="Q103" s="17" t="s">
        <v>1023</v>
      </c>
      <c r="R103" s="17" t="str">
        <f>VLOOKUP(A103,[2]Export!$A:$I,9,0)</f>
        <v>Comprou Marcas</v>
      </c>
      <c r="S103" s="17" t="s">
        <v>1022</v>
      </c>
      <c r="T103" s="20"/>
      <c r="U103" s="17"/>
    </row>
    <row r="104" spans="1:21" x14ac:dyDescent="0.35">
      <c r="A104" s="4">
        <v>10309605000112</v>
      </c>
      <c r="B104" s="7"/>
      <c r="C104" s="4"/>
      <c r="D104" s="1" t="s">
        <v>181</v>
      </c>
      <c r="E104" s="1" t="s">
        <v>100</v>
      </c>
      <c r="F104" s="1" t="s">
        <v>15</v>
      </c>
      <c r="G104" s="10" t="s">
        <v>103</v>
      </c>
      <c r="H104" s="1" t="s">
        <v>17</v>
      </c>
      <c r="I104" s="21" t="s">
        <v>1075</v>
      </c>
      <c r="J104" s="18">
        <v>13543.786136610925</v>
      </c>
      <c r="K104" s="18">
        <f>VLOOKUP(A104,[1]Export!$A:$C,3,0)</f>
        <v>3551.6799999999994</v>
      </c>
      <c r="L104" s="19">
        <f t="shared" si="4"/>
        <v>0.26223686376730843</v>
      </c>
      <c r="M104" s="18">
        <f>VLOOKUP(A104,[1]Export!$A:$G,7,0)</f>
        <v>4498.54</v>
      </c>
      <c r="N104" s="19">
        <f t="shared" si="5"/>
        <v>0.33214789089439017</v>
      </c>
      <c r="O104" s="17" t="s">
        <v>1030</v>
      </c>
      <c r="P104" s="17" t="s">
        <v>1026</v>
      </c>
      <c r="Q104" s="17" t="s">
        <v>1022</v>
      </c>
      <c r="R104" s="17" t="str">
        <f>VLOOKUP(A104,[2]Export!$A:$I,9,0)</f>
        <v>Comprou Marcas</v>
      </c>
      <c r="S104" s="17" t="s">
        <v>1022</v>
      </c>
      <c r="T104" s="20"/>
      <c r="U104" s="17"/>
    </row>
    <row r="105" spans="1:21" x14ac:dyDescent="0.35">
      <c r="A105" s="5">
        <v>19651628000347</v>
      </c>
      <c r="B105" s="7" t="s">
        <v>993</v>
      </c>
      <c r="C105" s="4"/>
      <c r="D105" s="6" t="s">
        <v>59</v>
      </c>
      <c r="E105" s="6" t="s">
        <v>35</v>
      </c>
      <c r="F105" s="6" t="s">
        <v>8</v>
      </c>
      <c r="G105" s="11" t="s">
        <v>9</v>
      </c>
      <c r="H105" s="6" t="s">
        <v>10</v>
      </c>
      <c r="I105" s="21" t="s">
        <v>1072</v>
      </c>
      <c r="J105" s="18">
        <v>6265.4712192037796</v>
      </c>
      <c r="K105" s="18">
        <f>VLOOKUP(A105,[1]Export!$A:$C,3,0)</f>
        <v>1856.25</v>
      </c>
      <c r="L105" s="19">
        <f t="shared" si="4"/>
        <v>0.2962666230610973</v>
      </c>
      <c r="M105" s="18">
        <f>VLOOKUP(A105,[1]Export!$A:$G,7,0)</f>
        <v>2712.6699999999996</v>
      </c>
      <c r="N105" s="19">
        <f t="shared" si="5"/>
        <v>0.43295546417731812</v>
      </c>
      <c r="O105" s="17" t="s">
        <v>1027</v>
      </c>
      <c r="P105" s="17" t="s">
        <v>1028</v>
      </c>
      <c r="Q105" s="17" t="s">
        <v>1023</v>
      </c>
      <c r="R105" s="17" t="str">
        <f>VLOOKUP(A105,[2]Export!$A:$I,9,0)</f>
        <v>Comprou Marcas e SG</v>
      </c>
      <c r="S105" s="17" t="s">
        <v>1022</v>
      </c>
      <c r="T105" s="20"/>
      <c r="U105" s="17"/>
    </row>
    <row r="106" spans="1:21" x14ac:dyDescent="0.35">
      <c r="A106" s="4">
        <v>19651628000851</v>
      </c>
      <c r="B106" s="7" t="s">
        <v>993</v>
      </c>
      <c r="C106" s="4"/>
      <c r="D106" s="1" t="s">
        <v>104</v>
      </c>
      <c r="E106" s="1" t="s">
        <v>105</v>
      </c>
      <c r="F106" s="1" t="s">
        <v>8</v>
      </c>
      <c r="G106" s="10" t="s">
        <v>20</v>
      </c>
      <c r="H106" s="1" t="s">
        <v>10</v>
      </c>
      <c r="I106" s="21" t="s">
        <v>1072</v>
      </c>
      <c r="J106" s="18">
        <v>13.43852877</v>
      </c>
      <c r="K106" s="18">
        <f>VLOOKUP(A106,[1]Export!$A:$C,3,0)</f>
        <v>1547.61</v>
      </c>
      <c r="L106" s="19">
        <f t="shared" si="4"/>
        <v>115.16215997206962</v>
      </c>
      <c r="M106" s="18">
        <f>VLOOKUP(A106,[1]Export!$A:$G,7,0)</f>
        <v>67.540000000000006</v>
      </c>
      <c r="N106" s="19">
        <f t="shared" si="5"/>
        <v>5.0258477811034972</v>
      </c>
      <c r="O106" s="17"/>
      <c r="P106" s="17"/>
      <c r="Q106" s="17"/>
      <c r="R106" s="17" t="str">
        <f>VLOOKUP(A106,[2]Export!$A:$I,9,0)</f>
        <v>Comprou Marcas</v>
      </c>
      <c r="S106" s="17" t="s">
        <v>1022</v>
      </c>
      <c r="T106" s="20"/>
      <c r="U106" s="17"/>
    </row>
    <row r="107" spans="1:21" x14ac:dyDescent="0.35">
      <c r="A107" s="5">
        <v>10737685000450</v>
      </c>
      <c r="B107" s="7" t="s">
        <v>999</v>
      </c>
      <c r="C107" s="4"/>
      <c r="D107" s="6" t="s">
        <v>183</v>
      </c>
      <c r="E107" s="6" t="s">
        <v>113</v>
      </c>
      <c r="F107" s="6" t="s">
        <v>8</v>
      </c>
      <c r="G107" s="11" t="s">
        <v>64</v>
      </c>
      <c r="H107" s="6" t="s">
        <v>17</v>
      </c>
      <c r="I107" s="21" t="s">
        <v>1074</v>
      </c>
      <c r="J107" s="18">
        <v>45368.032309507165</v>
      </c>
      <c r="K107" s="18">
        <f>VLOOKUP(A107,[1]Export!$A:$C,3,0)</f>
        <v>10718.91</v>
      </c>
      <c r="L107" s="19">
        <f t="shared" si="4"/>
        <v>0.23626570195670096</v>
      </c>
      <c r="M107" s="18">
        <f>VLOOKUP(A107,[1]Export!$A:$G,7,0)</f>
        <v>8672.0499999999993</v>
      </c>
      <c r="N107" s="19">
        <f t="shared" si="5"/>
        <v>0.19114891165739878</v>
      </c>
      <c r="O107" s="17" t="s">
        <v>1027</v>
      </c>
      <c r="P107" s="17" t="s">
        <v>1028</v>
      </c>
      <c r="Q107" s="17" t="s">
        <v>1023</v>
      </c>
      <c r="R107" s="17" t="str">
        <f>VLOOKUP(A107,[2]Export!$A:$I,9,0)</f>
        <v>Comprou Marcas</v>
      </c>
      <c r="S107" s="17" t="s">
        <v>1022</v>
      </c>
      <c r="T107" s="20">
        <v>6</v>
      </c>
      <c r="U107" s="17"/>
    </row>
    <row r="108" spans="1:21" x14ac:dyDescent="0.35">
      <c r="A108" s="5">
        <v>73399826000149</v>
      </c>
      <c r="B108" s="7"/>
      <c r="C108" s="4"/>
      <c r="D108" s="6" t="s">
        <v>964</v>
      </c>
      <c r="E108" s="6" t="s">
        <v>14</v>
      </c>
      <c r="F108" s="6" t="s">
        <v>15</v>
      </c>
      <c r="G108" s="11" t="s">
        <v>38</v>
      </c>
      <c r="H108" s="6" t="s">
        <v>17</v>
      </c>
      <c r="I108" s="21" t="s">
        <v>1069</v>
      </c>
      <c r="J108" s="18">
        <v>1089.3643341737315</v>
      </c>
      <c r="K108" s="18">
        <f>VLOOKUP(A108,[1]Export!$A:$C,3,0)</f>
        <v>127.80999999999999</v>
      </c>
      <c r="L108" s="19">
        <f t="shared" si="4"/>
        <v>0.11732530246360799</v>
      </c>
      <c r="M108" s="18">
        <f>VLOOKUP(A108,[1]Export!$A:$G,7,0)</f>
        <v>0</v>
      </c>
      <c r="N108" s="19">
        <f t="shared" si="5"/>
        <v>0</v>
      </c>
      <c r="O108" s="17" t="s">
        <v>1029</v>
      </c>
      <c r="P108" s="17" t="s">
        <v>1026</v>
      </c>
      <c r="Q108" s="17" t="s">
        <v>1022</v>
      </c>
      <c r="R108" s="17" t="str">
        <f>VLOOKUP(A108,[2]Export!$A:$I,9,0)</f>
        <v>Não Comprou</v>
      </c>
      <c r="S108" s="17" t="s">
        <v>1023</v>
      </c>
      <c r="T108" s="20"/>
      <c r="U108" s="17"/>
    </row>
    <row r="109" spans="1:21" x14ac:dyDescent="0.35">
      <c r="A109" s="5">
        <v>22524747000181</v>
      </c>
      <c r="B109" s="7"/>
      <c r="C109" s="4"/>
      <c r="D109" s="6" t="s">
        <v>185</v>
      </c>
      <c r="E109" s="6" t="s">
        <v>186</v>
      </c>
      <c r="F109" s="6" t="s">
        <v>15</v>
      </c>
      <c r="G109" s="11" t="s">
        <v>36</v>
      </c>
      <c r="H109" s="6" t="s">
        <v>17</v>
      </c>
      <c r="I109" s="21" t="s">
        <v>1069</v>
      </c>
      <c r="J109" s="18">
        <v>9296.2182898952578</v>
      </c>
      <c r="K109" s="18">
        <f>VLOOKUP(A109,[1]Export!$A:$C,3,0)</f>
        <v>5365.0400000000009</v>
      </c>
      <c r="L109" s="19">
        <f t="shared" si="4"/>
        <v>0.57712069926667453</v>
      </c>
      <c r="M109" s="18">
        <f>VLOOKUP(A109,[1]Export!$A:$G,7,0)</f>
        <v>0</v>
      </c>
      <c r="N109" s="19">
        <f t="shared" si="5"/>
        <v>0</v>
      </c>
      <c r="O109" s="17"/>
      <c r="P109" s="17"/>
      <c r="Q109" s="17"/>
      <c r="R109" s="17" t="str">
        <f>VLOOKUP(A109,[2]Export!$A:$I,9,0)</f>
        <v>Não Comprou</v>
      </c>
      <c r="S109" s="17"/>
      <c r="T109" s="20"/>
      <c r="U109" s="17"/>
    </row>
    <row r="110" spans="1:21" x14ac:dyDescent="0.35">
      <c r="A110" s="4">
        <v>24385511000137</v>
      </c>
      <c r="B110" s="7"/>
      <c r="C110" s="4"/>
      <c r="D110" s="1" t="s">
        <v>187</v>
      </c>
      <c r="E110" s="1" t="s">
        <v>155</v>
      </c>
      <c r="F110" s="1" t="s">
        <v>15</v>
      </c>
      <c r="G110" s="10" t="s">
        <v>20</v>
      </c>
      <c r="H110" s="1" t="s">
        <v>17</v>
      </c>
      <c r="I110" s="21" t="s">
        <v>1071</v>
      </c>
      <c r="J110" s="18">
        <v>2153.7782084643354</v>
      </c>
      <c r="K110" s="18">
        <f>VLOOKUP(A110,[1]Export!$A:$C,3,0)</f>
        <v>301</v>
      </c>
      <c r="L110" s="19">
        <f t="shared" si="4"/>
        <v>0.1397544087023779</v>
      </c>
      <c r="M110" s="18">
        <f>VLOOKUP(A110,[1]Export!$A:$G,7,0)</f>
        <v>0</v>
      </c>
      <c r="N110" s="19">
        <f t="shared" si="5"/>
        <v>0</v>
      </c>
      <c r="O110" s="17" t="s">
        <v>1025</v>
      </c>
      <c r="P110" s="17" t="s">
        <v>1026</v>
      </c>
      <c r="Q110" s="17" t="s">
        <v>1023</v>
      </c>
      <c r="R110" s="17" t="str">
        <f>VLOOKUP(A110,[2]Export!$A:$I,9,0)</f>
        <v>Não Comprou</v>
      </c>
      <c r="S110" s="17" t="s">
        <v>1023</v>
      </c>
      <c r="T110" s="20"/>
      <c r="U110" s="17"/>
    </row>
    <row r="111" spans="1:21" x14ac:dyDescent="0.35">
      <c r="A111" s="5">
        <v>26034403000145</v>
      </c>
      <c r="B111" s="7"/>
      <c r="C111" s="4"/>
      <c r="D111" s="6" t="s">
        <v>188</v>
      </c>
      <c r="E111" s="6" t="s">
        <v>52</v>
      </c>
      <c r="F111" s="6" t="s">
        <v>8</v>
      </c>
      <c r="G111" s="11" t="s">
        <v>16</v>
      </c>
      <c r="H111" s="6" t="s">
        <v>17</v>
      </c>
      <c r="I111" s="21" t="s">
        <v>1074</v>
      </c>
      <c r="J111" s="18">
        <v>2628.2879985005989</v>
      </c>
      <c r="K111" s="18">
        <f>VLOOKUP(A111,[1]Export!$A:$C,3,0)</f>
        <v>786.9</v>
      </c>
      <c r="L111" s="19">
        <f t="shared" si="4"/>
        <v>0.29939641334926587</v>
      </c>
      <c r="M111" s="18">
        <f>VLOOKUP(A111,[1]Export!$A:$G,7,0)</f>
        <v>137.85</v>
      </c>
      <c r="N111" s="19">
        <f t="shared" si="5"/>
        <v>5.2448590138767695E-2</v>
      </c>
      <c r="O111" s="17" t="s">
        <v>1029</v>
      </c>
      <c r="P111" s="17" t="s">
        <v>1026</v>
      </c>
      <c r="Q111" s="17" t="s">
        <v>1022</v>
      </c>
      <c r="R111" s="17" t="str">
        <f>VLOOKUP(A111,[2]Export!$A:$I,9,0)</f>
        <v>Comprou Marcas</v>
      </c>
      <c r="S111" s="17" t="s">
        <v>1022</v>
      </c>
      <c r="T111" s="20"/>
      <c r="U111" s="17"/>
    </row>
    <row r="112" spans="1:21" x14ac:dyDescent="0.35">
      <c r="A112" s="4">
        <v>26661675000175</v>
      </c>
      <c r="B112" s="7"/>
      <c r="C112" s="4"/>
      <c r="D112" s="1" t="s">
        <v>189</v>
      </c>
      <c r="E112" s="1" t="s">
        <v>40</v>
      </c>
      <c r="F112" s="1" t="s">
        <v>8</v>
      </c>
      <c r="G112" s="10" t="s">
        <v>190</v>
      </c>
      <c r="H112" s="1" t="s">
        <v>17</v>
      </c>
      <c r="I112" s="21" t="s">
        <v>1072</v>
      </c>
      <c r="J112" s="18">
        <v>16542.312373378594</v>
      </c>
      <c r="K112" s="18">
        <f>VLOOKUP(A112,[1]Export!$A:$C,3,0)</f>
        <v>5042.8100000000004</v>
      </c>
      <c r="L112" s="19">
        <f t="shared" si="4"/>
        <v>0.30484311299279737</v>
      </c>
      <c r="M112" s="18">
        <f>VLOOKUP(A112,[1]Export!$A:$G,7,0)</f>
        <v>5673.1700000000019</v>
      </c>
      <c r="N112" s="19">
        <f t="shared" si="5"/>
        <v>0.342949031063504</v>
      </c>
      <c r="O112" s="17" t="s">
        <v>1027</v>
      </c>
      <c r="P112" s="17" t="s">
        <v>1028</v>
      </c>
      <c r="Q112" s="17" t="s">
        <v>1023</v>
      </c>
      <c r="R112" s="17" t="str">
        <f>VLOOKUP(A112,[2]Export!$A:$I,9,0)</f>
        <v>Comprou Marcas</v>
      </c>
      <c r="S112" s="17" t="s">
        <v>1022</v>
      </c>
      <c r="T112" s="20"/>
      <c r="U112" s="17"/>
    </row>
    <row r="113" spans="1:21" x14ac:dyDescent="0.35">
      <c r="A113" s="5">
        <v>12881115000111</v>
      </c>
      <c r="B113" s="7"/>
      <c r="C113" s="4"/>
      <c r="D113" s="6" t="s">
        <v>191</v>
      </c>
      <c r="E113" s="6" t="s">
        <v>149</v>
      </c>
      <c r="F113" s="6" t="s">
        <v>8</v>
      </c>
      <c r="G113" s="11" t="s">
        <v>33</v>
      </c>
      <c r="H113" s="6" t="s">
        <v>17</v>
      </c>
      <c r="I113" s="21" t="s">
        <v>1074</v>
      </c>
      <c r="J113" s="18">
        <v>1769.943479186968</v>
      </c>
      <c r="K113" s="18">
        <f>VLOOKUP(A113,[1]Export!$A:$C,3,0)</f>
        <v>185.7</v>
      </c>
      <c r="L113" s="19">
        <f t="shared" si="4"/>
        <v>0.10491860456770188</v>
      </c>
      <c r="M113" s="18">
        <f>VLOOKUP(A113,[1]Export!$A:$G,7,0)</f>
        <v>0</v>
      </c>
      <c r="N113" s="19">
        <f t="shared" si="5"/>
        <v>0</v>
      </c>
      <c r="O113" s="17" t="s">
        <v>1027</v>
      </c>
      <c r="P113" s="17" t="s">
        <v>1026</v>
      </c>
      <c r="Q113" s="17" t="s">
        <v>1023</v>
      </c>
      <c r="R113" s="17" t="str">
        <f>VLOOKUP(A113,[2]Export!$A:$I,9,0)</f>
        <v>Não Comprou</v>
      </c>
      <c r="S113" s="17" t="s">
        <v>1022</v>
      </c>
      <c r="T113" s="20"/>
      <c r="U113" s="17"/>
    </row>
    <row r="114" spans="1:21" x14ac:dyDescent="0.35">
      <c r="A114" s="4">
        <v>13412480000140</v>
      </c>
      <c r="B114" s="7"/>
      <c r="C114" s="4"/>
      <c r="D114" s="1" t="s">
        <v>192</v>
      </c>
      <c r="E114" s="1" t="s">
        <v>193</v>
      </c>
      <c r="F114" s="1" t="s">
        <v>194</v>
      </c>
      <c r="G114" s="10" t="s">
        <v>20</v>
      </c>
      <c r="H114" s="1" t="s">
        <v>17</v>
      </c>
      <c r="I114" s="21" t="s">
        <v>1070</v>
      </c>
      <c r="J114" s="18">
        <v>1492.0175778938988</v>
      </c>
      <c r="K114" s="18">
        <f>VLOOKUP(A114,[1]Export!$A:$C,3,0)</f>
        <v>1195.54</v>
      </c>
      <c r="L114" s="19">
        <f t="shared" si="4"/>
        <v>0.80129082774453608</v>
      </c>
      <c r="M114" s="18">
        <f>VLOOKUP(A114,[1]Export!$A:$G,7,0)</f>
        <v>0</v>
      </c>
      <c r="N114" s="19">
        <f t="shared" si="5"/>
        <v>0</v>
      </c>
      <c r="O114" s="17" t="s">
        <v>1025</v>
      </c>
      <c r="P114" s="17" t="s">
        <v>1026</v>
      </c>
      <c r="Q114" s="17" t="s">
        <v>1023</v>
      </c>
      <c r="R114" s="17" t="str">
        <f>VLOOKUP(A114,[2]Export!$A:$I,9,0)</f>
        <v>Não Comprou</v>
      </c>
      <c r="S114" s="17" t="s">
        <v>1022</v>
      </c>
      <c r="T114" s="20"/>
      <c r="U114" s="17"/>
    </row>
    <row r="115" spans="1:21" x14ac:dyDescent="0.35">
      <c r="A115" s="5">
        <v>14782944000172</v>
      </c>
      <c r="B115" s="7"/>
      <c r="C115" s="4"/>
      <c r="D115" s="6" t="s">
        <v>195</v>
      </c>
      <c r="E115" s="6" t="s">
        <v>61</v>
      </c>
      <c r="F115" s="6" t="s">
        <v>8</v>
      </c>
      <c r="G115" s="11" t="s">
        <v>20</v>
      </c>
      <c r="H115" s="6" t="s">
        <v>17</v>
      </c>
      <c r="I115" s="21" t="s">
        <v>1068</v>
      </c>
      <c r="J115" s="18">
        <v>2255.4714599977378</v>
      </c>
      <c r="K115" s="18">
        <f>VLOOKUP(A115,[1]Export!$A:$C,3,0)</f>
        <v>811.96999999999991</v>
      </c>
      <c r="L115" s="19">
        <f t="shared" si="4"/>
        <v>0.36000012166006939</v>
      </c>
      <c r="M115" s="18">
        <f>VLOOKUP(A115,[1]Export!$A:$G,7,0)</f>
        <v>796.57999999999993</v>
      </c>
      <c r="N115" s="19">
        <f t="shared" si="5"/>
        <v>0.35317671454854005</v>
      </c>
      <c r="O115" s="17" t="s">
        <v>1025</v>
      </c>
      <c r="P115" s="17" t="s">
        <v>1026</v>
      </c>
      <c r="Q115" s="17" t="s">
        <v>1023</v>
      </c>
      <c r="R115" s="17" t="str">
        <f>VLOOKUP(A115,[2]Export!$A:$I,9,0)</f>
        <v>Comprou Marcas</v>
      </c>
      <c r="S115" s="17" t="s">
        <v>1022</v>
      </c>
      <c r="T115" s="20"/>
      <c r="U115" s="17"/>
    </row>
    <row r="116" spans="1:21" x14ac:dyDescent="0.35">
      <c r="A116" s="4">
        <v>15056307000181</v>
      </c>
      <c r="B116" s="7"/>
      <c r="C116" s="4"/>
      <c r="D116" s="1" t="s">
        <v>154</v>
      </c>
      <c r="E116" s="1" t="s">
        <v>196</v>
      </c>
      <c r="F116" s="1" t="s">
        <v>48</v>
      </c>
      <c r="G116" s="10" t="s">
        <v>197</v>
      </c>
      <c r="H116" s="1" t="s">
        <v>17</v>
      </c>
      <c r="I116" s="21" t="s">
        <v>1073</v>
      </c>
      <c r="J116" s="18">
        <v>3422.2466306673537</v>
      </c>
      <c r="K116" s="18">
        <f>VLOOKUP(A116,[1]Export!$A:$C,3,0)</f>
        <v>3425.2799999999993</v>
      </c>
      <c r="L116" s="19">
        <f t="shared" si="4"/>
        <v>1.0008863678337683</v>
      </c>
      <c r="M116" s="18">
        <f>VLOOKUP(A116,[1]Export!$A:$G,7,0)</f>
        <v>0</v>
      </c>
      <c r="N116" s="19">
        <f t="shared" si="5"/>
        <v>0</v>
      </c>
      <c r="O116" s="17"/>
      <c r="P116" s="17"/>
      <c r="Q116" s="17"/>
      <c r="R116" s="17" t="str">
        <f>VLOOKUP(A116,[2]Export!$A:$I,9,0)</f>
        <v>Não Comprou</v>
      </c>
      <c r="S116" s="17"/>
      <c r="T116" s="20"/>
      <c r="U116" s="17"/>
    </row>
    <row r="117" spans="1:21" x14ac:dyDescent="0.35">
      <c r="A117" s="5">
        <v>15448038000107</v>
      </c>
      <c r="B117" s="7"/>
      <c r="C117" s="4"/>
      <c r="D117" s="6" t="s">
        <v>198</v>
      </c>
      <c r="E117" s="6" t="s">
        <v>199</v>
      </c>
      <c r="F117" s="6" t="s">
        <v>15</v>
      </c>
      <c r="G117" s="11" t="s">
        <v>20</v>
      </c>
      <c r="H117" s="6" t="s">
        <v>17</v>
      </c>
      <c r="I117" s="21" t="s">
        <v>1071</v>
      </c>
      <c r="J117" s="18">
        <v>3006.1930933430262</v>
      </c>
      <c r="K117" s="18">
        <f>VLOOKUP(A117,[1]Export!$A:$C,3,0)</f>
        <v>1867.62</v>
      </c>
      <c r="L117" s="19">
        <f t="shared" si="4"/>
        <v>0.62125749810805397</v>
      </c>
      <c r="M117" s="18">
        <f>VLOOKUP(A117,[1]Export!$A:$G,7,0)</f>
        <v>995.98</v>
      </c>
      <c r="N117" s="19">
        <f t="shared" si="5"/>
        <v>0.33130939000742099</v>
      </c>
      <c r="O117" s="17" t="s">
        <v>1025</v>
      </c>
      <c r="P117" s="17" t="s">
        <v>1026</v>
      </c>
      <c r="Q117" s="17" t="s">
        <v>1023</v>
      </c>
      <c r="R117" s="17" t="str">
        <f>VLOOKUP(A117,[2]Export!$A:$I,9,0)</f>
        <v>Comprou Marcas</v>
      </c>
      <c r="S117" s="17" t="s">
        <v>1022</v>
      </c>
      <c r="T117" s="20"/>
      <c r="U117" s="17"/>
    </row>
    <row r="118" spans="1:21" x14ac:dyDescent="0.35">
      <c r="A118" s="4">
        <v>35976688000124</v>
      </c>
      <c r="B118" s="7"/>
      <c r="C118" s="4"/>
      <c r="D118" s="1" t="s">
        <v>200</v>
      </c>
      <c r="E118" s="1" t="s">
        <v>182</v>
      </c>
      <c r="F118" s="1" t="s">
        <v>8</v>
      </c>
      <c r="G118" s="10" t="s">
        <v>20</v>
      </c>
      <c r="H118" s="1" t="s">
        <v>17</v>
      </c>
      <c r="I118" s="21" t="s">
        <v>1074</v>
      </c>
      <c r="J118" s="18">
        <v>1846.9604656784468</v>
      </c>
      <c r="K118" s="18">
        <f>VLOOKUP(A118,[1]Export!$A:$C,3,0)</f>
        <v>334.34999999999997</v>
      </c>
      <c r="L118" s="19">
        <f t="shared" si="4"/>
        <v>0.18102715581255427</v>
      </c>
      <c r="M118" s="18">
        <f>VLOOKUP(A118,[1]Export!$A:$G,7,0)</f>
        <v>137.85</v>
      </c>
      <c r="N118" s="19">
        <f t="shared" si="5"/>
        <v>7.4636140059101561E-2</v>
      </c>
      <c r="O118" s="17" t="s">
        <v>1025</v>
      </c>
      <c r="P118" s="17" t="s">
        <v>1026</v>
      </c>
      <c r="Q118" s="17" t="s">
        <v>1023</v>
      </c>
      <c r="R118" s="17" t="str">
        <f>VLOOKUP(A118,[2]Export!$A:$I,9,0)</f>
        <v>Comprou Marcas</v>
      </c>
      <c r="S118" s="17" t="s">
        <v>1023</v>
      </c>
      <c r="T118" s="20"/>
      <c r="U118" s="17"/>
    </row>
    <row r="119" spans="1:21" x14ac:dyDescent="0.35">
      <c r="A119" s="5">
        <v>36728431000469</v>
      </c>
      <c r="B119" s="7"/>
      <c r="C119" s="4"/>
      <c r="D119" s="6" t="s">
        <v>201</v>
      </c>
      <c r="E119" s="6" t="s">
        <v>14</v>
      </c>
      <c r="F119" s="6" t="s">
        <v>15</v>
      </c>
      <c r="G119" s="11" t="s">
        <v>9</v>
      </c>
      <c r="H119" s="6" t="s">
        <v>10</v>
      </c>
      <c r="I119" s="21" t="s">
        <v>1069</v>
      </c>
      <c r="J119" s="18">
        <v>3712.2664245732894</v>
      </c>
      <c r="K119" s="18">
        <f>VLOOKUP(A119,[1]Export!$A:$C,3,0)</f>
        <v>935.49</v>
      </c>
      <c r="L119" s="19">
        <f t="shared" si="4"/>
        <v>0.25199969318137799</v>
      </c>
      <c r="M119" s="18">
        <f>VLOOKUP(A119,[1]Export!$A:$G,7,0)</f>
        <v>2164.3399999999997</v>
      </c>
      <c r="N119" s="19">
        <f t="shared" si="5"/>
        <v>0.58302388688300633</v>
      </c>
      <c r="O119" s="17" t="s">
        <v>1027</v>
      </c>
      <c r="P119" s="17" t="s">
        <v>1028</v>
      </c>
      <c r="Q119" s="17" t="s">
        <v>1023</v>
      </c>
      <c r="R119" s="17" t="str">
        <f>VLOOKUP(A119,[2]Export!$A:$I,9,0)</f>
        <v>Comprou Marcas</v>
      </c>
      <c r="S119" s="17" t="s">
        <v>1022</v>
      </c>
      <c r="T119" s="20"/>
      <c r="U119" s="17"/>
    </row>
    <row r="120" spans="1:21" x14ac:dyDescent="0.35">
      <c r="A120" s="4">
        <v>39350015000115</v>
      </c>
      <c r="B120" s="7"/>
      <c r="C120" s="4"/>
      <c r="D120" s="1" t="s">
        <v>202</v>
      </c>
      <c r="E120" s="1" t="s">
        <v>203</v>
      </c>
      <c r="F120" s="1" t="s">
        <v>8</v>
      </c>
      <c r="G120" s="10" t="s">
        <v>74</v>
      </c>
      <c r="H120" s="1" t="s">
        <v>17</v>
      </c>
      <c r="I120" s="21" t="s">
        <v>1074</v>
      </c>
      <c r="J120" s="18">
        <v>6350.2997404043226</v>
      </c>
      <c r="K120" s="18">
        <f>VLOOKUP(A120,[1]Export!$A:$C,3,0)</f>
        <v>2674.54</v>
      </c>
      <c r="L120" s="19">
        <f t="shared" si="4"/>
        <v>0.42116752111447775</v>
      </c>
      <c r="M120" s="18">
        <f>VLOOKUP(A120,[1]Export!$A:$G,7,0)</f>
        <v>0</v>
      </c>
      <c r="N120" s="19">
        <f t="shared" si="5"/>
        <v>0</v>
      </c>
      <c r="O120" s="17" t="s">
        <v>1029</v>
      </c>
      <c r="P120" s="17" t="s">
        <v>1026</v>
      </c>
      <c r="Q120" s="17" t="s">
        <v>1023</v>
      </c>
      <c r="R120" s="17" t="str">
        <f>VLOOKUP(A120,[2]Export!$A:$I,9,0)</f>
        <v>Não Comprou</v>
      </c>
      <c r="S120" s="17" t="s">
        <v>1022</v>
      </c>
      <c r="T120" s="20">
        <v>4</v>
      </c>
      <c r="U120" s="17"/>
    </row>
    <row r="121" spans="1:21" x14ac:dyDescent="0.35">
      <c r="A121" s="5">
        <v>42162995000137</v>
      </c>
      <c r="B121" s="7"/>
      <c r="C121" s="4"/>
      <c r="D121" s="6" t="s">
        <v>204</v>
      </c>
      <c r="E121" s="6" t="s">
        <v>14</v>
      </c>
      <c r="F121" s="6" t="s">
        <v>15</v>
      </c>
      <c r="G121" s="11" t="s">
        <v>36</v>
      </c>
      <c r="H121" s="6" t="s">
        <v>17</v>
      </c>
      <c r="I121" s="21" t="s">
        <v>1069</v>
      </c>
      <c r="J121" s="18">
        <v>3316.4869148744756</v>
      </c>
      <c r="K121" s="18">
        <f>VLOOKUP(A121,[1]Export!$A:$C,3,0)</f>
        <v>1857.04</v>
      </c>
      <c r="L121" s="19">
        <f t="shared" si="4"/>
        <v>0.559941904691726</v>
      </c>
      <c r="M121" s="18">
        <f>VLOOKUP(A121,[1]Export!$A:$G,7,0)</f>
        <v>889.92</v>
      </c>
      <c r="N121" s="19">
        <f t="shared" si="5"/>
        <v>0.26833213060745098</v>
      </c>
      <c r="O121" s="17" t="s">
        <v>1025</v>
      </c>
      <c r="P121" s="17" t="s">
        <v>1026</v>
      </c>
      <c r="Q121" s="17" t="s">
        <v>1023</v>
      </c>
      <c r="R121" s="17" t="str">
        <f>VLOOKUP(A121,[2]Export!$A:$I,9,0)</f>
        <v>Comprou Marcas</v>
      </c>
      <c r="S121" s="17" t="s">
        <v>1023</v>
      </c>
      <c r="T121" s="20"/>
      <c r="U121" s="17"/>
    </row>
    <row r="122" spans="1:21" x14ac:dyDescent="0.35">
      <c r="A122" s="4">
        <v>43533082000142</v>
      </c>
      <c r="B122" s="7"/>
      <c r="C122" s="4"/>
      <c r="D122" s="1" t="s">
        <v>205</v>
      </c>
      <c r="E122" s="1" t="s">
        <v>206</v>
      </c>
      <c r="F122" s="1" t="s">
        <v>48</v>
      </c>
      <c r="G122" s="10" t="s">
        <v>20</v>
      </c>
      <c r="H122" s="1" t="s">
        <v>17</v>
      </c>
      <c r="I122" s="21" t="s">
        <v>1075</v>
      </c>
      <c r="J122" s="18">
        <v>1559.9559594339762</v>
      </c>
      <c r="K122" s="18">
        <f>VLOOKUP(A122,[1]Export!$A:$C,3,0)</f>
        <v>1873.92</v>
      </c>
      <c r="L122" s="19">
        <f t="shared" si="4"/>
        <v>1.201264682292662</v>
      </c>
      <c r="M122" s="18">
        <f>VLOOKUP(A122,[1]Export!$A:$G,7,0)</f>
        <v>0</v>
      </c>
      <c r="N122" s="19">
        <f t="shared" si="5"/>
        <v>0</v>
      </c>
      <c r="O122" s="17" t="s">
        <v>1025</v>
      </c>
      <c r="P122" s="17" t="s">
        <v>1026</v>
      </c>
      <c r="Q122" s="17" t="s">
        <v>1023</v>
      </c>
      <c r="R122" s="17" t="str">
        <f>VLOOKUP(A122,[2]Export!$A:$I,9,0)</f>
        <v>Não Comprou</v>
      </c>
      <c r="S122" s="17" t="s">
        <v>1022</v>
      </c>
      <c r="T122" s="20">
        <v>1</v>
      </c>
      <c r="U122" s="17"/>
    </row>
    <row r="123" spans="1:21" x14ac:dyDescent="0.35">
      <c r="A123" s="5">
        <v>36728431000116</v>
      </c>
      <c r="B123" s="7"/>
      <c r="C123" s="4"/>
      <c r="D123" s="6" t="s">
        <v>168</v>
      </c>
      <c r="E123" s="6" t="s">
        <v>14</v>
      </c>
      <c r="F123" s="6" t="s">
        <v>15</v>
      </c>
      <c r="G123" s="11" t="s">
        <v>9</v>
      </c>
      <c r="H123" s="6" t="s">
        <v>10</v>
      </c>
      <c r="I123" s="21" t="s">
        <v>1069</v>
      </c>
      <c r="J123" s="18">
        <v>5339.5951158266043</v>
      </c>
      <c r="K123" s="18">
        <f>VLOOKUP(A123,[1]Export!$A:$C,3,0)</f>
        <v>2249.7200000000003</v>
      </c>
      <c r="L123" s="19">
        <f t="shared" si="4"/>
        <v>0.42132782564951626</v>
      </c>
      <c r="M123" s="18">
        <f>VLOOKUP(A123,[1]Export!$A:$G,7,0)</f>
        <v>3879.08</v>
      </c>
      <c r="N123" s="19">
        <f t="shared" si="5"/>
        <v>0.72647455768741243</v>
      </c>
      <c r="O123" s="17" t="s">
        <v>1027</v>
      </c>
      <c r="P123" s="17" t="s">
        <v>1028</v>
      </c>
      <c r="Q123" s="17" t="s">
        <v>1023</v>
      </c>
      <c r="R123" s="17" t="str">
        <f>VLOOKUP(A123,[2]Export!$A:$I,9,0)</f>
        <v>Comprou Marcas</v>
      </c>
      <c r="S123" s="17" t="s">
        <v>1022</v>
      </c>
      <c r="T123" s="20"/>
      <c r="U123" s="17"/>
    </row>
    <row r="124" spans="1:21" x14ac:dyDescent="0.35">
      <c r="A124" s="4">
        <v>18096092000110</v>
      </c>
      <c r="B124" s="7"/>
      <c r="C124" s="4"/>
      <c r="D124" s="1" t="s">
        <v>207</v>
      </c>
      <c r="E124" s="1" t="s">
        <v>208</v>
      </c>
      <c r="F124" s="1" t="s">
        <v>15</v>
      </c>
      <c r="G124" s="10" t="s">
        <v>36</v>
      </c>
      <c r="H124" s="1" t="s">
        <v>17</v>
      </c>
      <c r="I124" s="21" t="s">
        <v>1069</v>
      </c>
      <c r="J124" s="18">
        <v>4287.1491389053581</v>
      </c>
      <c r="K124" s="18">
        <f>VLOOKUP(A124,[1]Export!$A:$C,3,0)</f>
        <v>4679.47</v>
      </c>
      <c r="L124" s="19">
        <f t="shared" si="4"/>
        <v>1.0915108964916518</v>
      </c>
      <c r="M124" s="18">
        <f>VLOOKUP(A124,[1]Export!$A:$G,7,0)</f>
        <v>4024.4900000000007</v>
      </c>
      <c r="N124" s="19">
        <f t="shared" si="5"/>
        <v>0.93873337959676806</v>
      </c>
      <c r="O124" s="17" t="s">
        <v>1027</v>
      </c>
      <c r="P124" s="17" t="s">
        <v>1028</v>
      </c>
      <c r="Q124" s="17" t="s">
        <v>1022</v>
      </c>
      <c r="R124" s="17" t="str">
        <f>VLOOKUP(A124,[2]Export!$A:$I,9,0)</f>
        <v>Comprou Marcas</v>
      </c>
      <c r="S124" s="17" t="s">
        <v>1022</v>
      </c>
      <c r="T124" s="20"/>
      <c r="U124" s="17"/>
    </row>
    <row r="125" spans="1:21" x14ac:dyDescent="0.35">
      <c r="A125" s="5">
        <v>1069181000175</v>
      </c>
      <c r="B125" s="7"/>
      <c r="C125" s="4"/>
      <c r="D125" s="6" t="s">
        <v>209</v>
      </c>
      <c r="E125" s="6" t="s">
        <v>210</v>
      </c>
      <c r="F125" s="6" t="s">
        <v>8</v>
      </c>
      <c r="G125" s="11" t="s">
        <v>20</v>
      </c>
      <c r="H125" s="6" t="s">
        <v>17</v>
      </c>
      <c r="I125" s="21" t="s">
        <v>1070</v>
      </c>
      <c r="J125" s="18">
        <v>393.16066964743152</v>
      </c>
      <c r="K125" s="18">
        <f>VLOOKUP(A125,[1]Export!$A:$C,3,0)</f>
        <v>0</v>
      </c>
      <c r="L125" s="19">
        <f t="shared" si="4"/>
        <v>0</v>
      </c>
      <c r="M125" s="18">
        <f>VLOOKUP(A125,[1]Export!$A:$G,7,0)</f>
        <v>0</v>
      </c>
      <c r="N125" s="19">
        <f t="shared" si="5"/>
        <v>0</v>
      </c>
      <c r="O125" s="17" t="s">
        <v>1025</v>
      </c>
      <c r="P125" s="17" t="s">
        <v>1026</v>
      </c>
      <c r="Q125" s="17" t="s">
        <v>1023</v>
      </c>
      <c r="R125" s="17" t="str">
        <f>VLOOKUP(A125,[2]Export!$A:$I,9,0)</f>
        <v>Não Comprou</v>
      </c>
      <c r="S125" s="17" t="s">
        <v>1023</v>
      </c>
      <c r="T125" s="20"/>
      <c r="U125" s="17"/>
    </row>
    <row r="126" spans="1:21" x14ac:dyDescent="0.35">
      <c r="A126" s="4">
        <v>1561919000117</v>
      </c>
      <c r="B126" s="7"/>
      <c r="C126" s="4"/>
      <c r="D126" s="1" t="s">
        <v>211</v>
      </c>
      <c r="E126" s="1" t="s">
        <v>212</v>
      </c>
      <c r="F126" s="1" t="s">
        <v>15</v>
      </c>
      <c r="G126" s="10" t="s">
        <v>36</v>
      </c>
      <c r="H126" s="1" t="s">
        <v>17</v>
      </c>
      <c r="I126" s="21" t="s">
        <v>1069</v>
      </c>
      <c r="J126" s="18">
        <v>8400.0043320821896</v>
      </c>
      <c r="K126" s="18">
        <f>VLOOKUP(A126,[1]Export!$A:$C,3,0)</f>
        <v>1869.54</v>
      </c>
      <c r="L126" s="19">
        <f t="shared" si="4"/>
        <v>0.2225641709325856</v>
      </c>
      <c r="M126" s="18">
        <f>VLOOKUP(A126,[1]Export!$A:$G,7,0)</f>
        <v>0</v>
      </c>
      <c r="N126" s="19">
        <f t="shared" si="5"/>
        <v>0</v>
      </c>
      <c r="O126" s="17" t="s">
        <v>1025</v>
      </c>
      <c r="P126" s="17" t="s">
        <v>1026</v>
      </c>
      <c r="Q126" s="17" t="s">
        <v>1022</v>
      </c>
      <c r="R126" s="17" t="str">
        <f>VLOOKUP(A126,[2]Export!$A:$I,9,0)</f>
        <v>Não Comprou</v>
      </c>
      <c r="S126" s="17" t="s">
        <v>1022</v>
      </c>
      <c r="T126" s="20"/>
      <c r="U126" s="17"/>
    </row>
    <row r="127" spans="1:21" x14ac:dyDescent="0.35">
      <c r="A127" s="5">
        <v>1569011000150</v>
      </c>
      <c r="B127" s="7"/>
      <c r="C127" s="4"/>
      <c r="D127" s="6" t="s">
        <v>213</v>
      </c>
      <c r="E127" s="6" t="s">
        <v>125</v>
      </c>
      <c r="F127" s="6" t="s">
        <v>15</v>
      </c>
      <c r="G127" s="11" t="s">
        <v>16</v>
      </c>
      <c r="H127" s="6" t="s">
        <v>17</v>
      </c>
      <c r="I127" s="21" t="s">
        <v>1069</v>
      </c>
      <c r="J127" s="18">
        <v>6849.210587306492</v>
      </c>
      <c r="K127" s="18">
        <f>VLOOKUP(A127,[1]Export!$A:$C,3,0)</f>
        <v>1237.69</v>
      </c>
      <c r="L127" s="19">
        <f t="shared" si="4"/>
        <v>0.18070549652740808</v>
      </c>
      <c r="M127" s="18">
        <f>VLOOKUP(A127,[1]Export!$A:$G,7,0)</f>
        <v>927.20999999999992</v>
      </c>
      <c r="N127" s="19">
        <f t="shared" si="5"/>
        <v>0.13537472504033971</v>
      </c>
      <c r="O127" s="17" t="s">
        <v>1029</v>
      </c>
      <c r="P127" s="17" t="s">
        <v>1026</v>
      </c>
      <c r="Q127" s="17" t="s">
        <v>1022</v>
      </c>
      <c r="R127" s="17" t="str">
        <f>VLOOKUP(A127,[2]Export!$A:$I,9,0)</f>
        <v>Comprou Marcas</v>
      </c>
      <c r="S127" s="17" t="s">
        <v>1022</v>
      </c>
      <c r="T127" s="20"/>
      <c r="U127" s="17"/>
    </row>
    <row r="128" spans="1:21" x14ac:dyDescent="0.35">
      <c r="A128" s="4">
        <v>2025871000195</v>
      </c>
      <c r="B128" s="7" t="s">
        <v>994</v>
      </c>
      <c r="C128" s="4"/>
      <c r="D128" s="1" t="s">
        <v>214</v>
      </c>
      <c r="E128" s="1" t="s">
        <v>50</v>
      </c>
      <c r="F128" s="1" t="s">
        <v>48</v>
      </c>
      <c r="G128" s="10" t="s">
        <v>92</v>
      </c>
      <c r="H128" s="1" t="s">
        <v>17</v>
      </c>
      <c r="I128" s="21" t="s">
        <v>1073</v>
      </c>
      <c r="J128" s="18">
        <v>8586.7630668873317</v>
      </c>
      <c r="K128" s="18">
        <f>VLOOKUP(A128,[1]Export!$A:$C,3,0)</f>
        <v>3266.57</v>
      </c>
      <c r="L128" s="19">
        <f t="shared" si="4"/>
        <v>0.38041925397903392</v>
      </c>
      <c r="M128" s="18">
        <f>VLOOKUP(A128,[1]Export!$A:$G,7,0)</f>
        <v>1304.2900000000004</v>
      </c>
      <c r="N128" s="19">
        <f t="shared" si="5"/>
        <v>0.151895422039728</v>
      </c>
      <c r="O128" s="17" t="s">
        <v>1027</v>
      </c>
      <c r="P128" s="17" t="s">
        <v>1028</v>
      </c>
      <c r="Q128" s="17" t="s">
        <v>1023</v>
      </c>
      <c r="R128" s="17" t="str">
        <f>VLOOKUP(A128,[2]Export!$A:$I,9,0)</f>
        <v>Comprou Marcas e SG</v>
      </c>
      <c r="S128" s="17" t="s">
        <v>1022</v>
      </c>
      <c r="T128" s="20"/>
      <c r="U128" s="17"/>
    </row>
    <row r="129" spans="1:21" x14ac:dyDescent="0.35">
      <c r="A129" s="5">
        <v>2222873000174</v>
      </c>
      <c r="B129" s="7"/>
      <c r="C129" s="4"/>
      <c r="D129" s="6" t="s">
        <v>215</v>
      </c>
      <c r="E129" s="6" t="s">
        <v>216</v>
      </c>
      <c r="F129" s="6" t="s">
        <v>15</v>
      </c>
      <c r="G129" s="11" t="s">
        <v>16</v>
      </c>
      <c r="H129" s="6" t="s">
        <v>17</v>
      </c>
      <c r="I129" s="21" t="s">
        <v>1075</v>
      </c>
      <c r="J129" s="18">
        <v>5056.1381288460116</v>
      </c>
      <c r="K129" s="18">
        <f>VLOOKUP(A129,[1]Export!$A:$C,3,0)</f>
        <v>1870.53</v>
      </c>
      <c r="L129" s="19">
        <f t="shared" si="4"/>
        <v>0.36995231386744581</v>
      </c>
      <c r="M129" s="18">
        <f>VLOOKUP(A129,[1]Export!$A:$G,7,0)</f>
        <v>599.9799999999999</v>
      </c>
      <c r="N129" s="19">
        <f t="shared" si="5"/>
        <v>0.11866368851298302</v>
      </c>
      <c r="O129" s="17" t="s">
        <v>1027</v>
      </c>
      <c r="P129" s="17" t="s">
        <v>1028</v>
      </c>
      <c r="Q129" s="17" t="s">
        <v>1023</v>
      </c>
      <c r="R129" s="17" t="str">
        <f>VLOOKUP(A129,[2]Export!$A:$I,9,0)</f>
        <v>Comprou Marcas</v>
      </c>
      <c r="S129" s="17" t="s">
        <v>1022</v>
      </c>
      <c r="T129" s="20"/>
      <c r="U129" s="17"/>
    </row>
    <row r="130" spans="1:21" x14ac:dyDescent="0.35">
      <c r="A130" s="5">
        <v>19651628000690</v>
      </c>
      <c r="B130" s="7" t="s">
        <v>993</v>
      </c>
      <c r="C130" s="4"/>
      <c r="D130" s="6" t="s">
        <v>470</v>
      </c>
      <c r="E130" s="6" t="s">
        <v>35</v>
      </c>
      <c r="F130" s="6" t="s">
        <v>8</v>
      </c>
      <c r="G130" s="11" t="s">
        <v>9</v>
      </c>
      <c r="H130" s="6" t="s">
        <v>10</v>
      </c>
      <c r="I130" s="21" t="s">
        <v>1072</v>
      </c>
      <c r="J130" s="18">
        <v>16077.580325756708</v>
      </c>
      <c r="K130" s="18">
        <f>VLOOKUP(A130,[1]Export!$A:$C,3,0)</f>
        <v>5775.9999999999991</v>
      </c>
      <c r="L130" s="19">
        <f t="shared" si="4"/>
        <v>0.35925804026285563</v>
      </c>
      <c r="M130" s="18">
        <f>VLOOKUP(A130,[1]Export!$A:$G,7,0)</f>
        <v>3698.4500000000003</v>
      </c>
      <c r="N130" s="19">
        <f t="shared" si="5"/>
        <v>0.23003772489788069</v>
      </c>
      <c r="O130" s="17" t="s">
        <v>1027</v>
      </c>
      <c r="P130" s="17" t="s">
        <v>1028</v>
      </c>
      <c r="Q130" s="17" t="s">
        <v>1023</v>
      </c>
      <c r="R130" s="17" t="str">
        <f>VLOOKUP(A130,[2]Export!$A:$I,9,0)</f>
        <v>Comprou Marcas e SG</v>
      </c>
      <c r="S130" s="17" t="s">
        <v>1022</v>
      </c>
      <c r="T130" s="20"/>
      <c r="U130" s="17"/>
    </row>
    <row r="131" spans="1:21" x14ac:dyDescent="0.35">
      <c r="A131" s="5">
        <v>6940115000142</v>
      </c>
      <c r="B131" s="7"/>
      <c r="C131" s="4"/>
      <c r="D131" s="6" t="s">
        <v>217</v>
      </c>
      <c r="E131" s="6" t="s">
        <v>35</v>
      </c>
      <c r="F131" s="6" t="s">
        <v>8</v>
      </c>
      <c r="G131" s="11" t="s">
        <v>197</v>
      </c>
      <c r="H131" s="6" t="s">
        <v>17</v>
      </c>
      <c r="I131" s="21" t="s">
        <v>1072</v>
      </c>
      <c r="J131" s="18">
        <v>3799.6427197281359</v>
      </c>
      <c r="K131" s="18">
        <f>VLOOKUP(A131,[1]Export!$A:$C,3,0)</f>
        <v>466.65</v>
      </c>
      <c r="L131" s="19">
        <f t="shared" si="4"/>
        <v>0.1228141787060939</v>
      </c>
      <c r="M131" s="18">
        <f>VLOOKUP(A131,[1]Export!$A:$G,7,0)</f>
        <v>225.21999999999997</v>
      </c>
      <c r="N131" s="19">
        <f t="shared" si="5"/>
        <v>5.9273994060187435E-2</v>
      </c>
      <c r="O131" s="17" t="s">
        <v>1027</v>
      </c>
      <c r="P131" s="17" t="s">
        <v>1028</v>
      </c>
      <c r="Q131" s="17" t="s">
        <v>1023</v>
      </c>
      <c r="R131" s="17" t="str">
        <f>VLOOKUP(A131,[2]Export!$A:$I,9,0)</f>
        <v>Comprou Marcas</v>
      </c>
      <c r="S131" s="17" t="s">
        <v>1022</v>
      </c>
      <c r="T131" s="20"/>
      <c r="U131" s="17"/>
    </row>
    <row r="132" spans="1:21" x14ac:dyDescent="0.35">
      <c r="A132" s="4">
        <v>8087667000266</v>
      </c>
      <c r="B132" s="7" t="s">
        <v>1001</v>
      </c>
      <c r="C132" s="4"/>
      <c r="D132" s="1" t="s">
        <v>218</v>
      </c>
      <c r="E132" s="1" t="s">
        <v>219</v>
      </c>
      <c r="F132" s="1" t="s">
        <v>8</v>
      </c>
      <c r="G132" s="10" t="s">
        <v>36</v>
      </c>
      <c r="H132" s="1" t="s">
        <v>17</v>
      </c>
      <c r="I132" s="21" t="s">
        <v>1072</v>
      </c>
      <c r="J132" s="18">
        <v>19196.936341061344</v>
      </c>
      <c r="K132" s="18">
        <f>VLOOKUP(A132,[1]Export!$A:$C,3,0)</f>
        <v>4291</v>
      </c>
      <c r="L132" s="19">
        <f t="shared" si="4"/>
        <v>0.22352525026723941</v>
      </c>
      <c r="M132" s="18">
        <f>VLOOKUP(A132,[1]Export!$A:$G,7,0)</f>
        <v>4062.09</v>
      </c>
      <c r="N132" s="19">
        <f t="shared" si="5"/>
        <v>0.21160095172641588</v>
      </c>
      <c r="O132" s="17" t="s">
        <v>1025</v>
      </c>
      <c r="P132" s="17" t="s">
        <v>1026</v>
      </c>
      <c r="Q132" s="17" t="s">
        <v>1023</v>
      </c>
      <c r="R132" s="17" t="str">
        <f>VLOOKUP(A132,[2]Export!$A:$I,9,0)</f>
        <v>Comprou Marcas</v>
      </c>
      <c r="S132" s="17" t="s">
        <v>1022</v>
      </c>
      <c r="T132" s="20">
        <v>4</v>
      </c>
      <c r="U132" s="17"/>
    </row>
    <row r="133" spans="1:21" x14ac:dyDescent="0.35">
      <c r="A133" s="5">
        <v>8967701000106</v>
      </c>
      <c r="B133" s="7"/>
      <c r="C133" s="4"/>
      <c r="D133" s="6" t="s">
        <v>220</v>
      </c>
      <c r="E133" s="6" t="s">
        <v>221</v>
      </c>
      <c r="F133" s="6" t="s">
        <v>15</v>
      </c>
      <c r="G133" s="11" t="s">
        <v>20</v>
      </c>
      <c r="H133" s="6" t="s">
        <v>17</v>
      </c>
      <c r="I133" s="21" t="s">
        <v>1075</v>
      </c>
      <c r="J133" s="18">
        <v>2385.0235105481288</v>
      </c>
      <c r="K133" s="18">
        <f>VLOOKUP(A133,[1]Export!$A:$C,3,0)</f>
        <v>856.44</v>
      </c>
      <c r="L133" s="19">
        <f t="shared" si="4"/>
        <v>0.35909079982325709</v>
      </c>
      <c r="M133" s="18">
        <f>VLOOKUP(A133,[1]Export!$A:$G,7,0)</f>
        <v>488.13999999999993</v>
      </c>
      <c r="N133" s="19">
        <f t="shared" si="5"/>
        <v>0.20466884198043608</v>
      </c>
      <c r="O133" s="17" t="s">
        <v>1027</v>
      </c>
      <c r="P133" s="17" t="s">
        <v>1028</v>
      </c>
      <c r="Q133" s="17" t="s">
        <v>1022</v>
      </c>
      <c r="R133" s="17" t="str">
        <f>VLOOKUP(A133,[2]Export!$A:$I,9,0)</f>
        <v>Comprou Marcas</v>
      </c>
      <c r="S133" s="17" t="s">
        <v>1023</v>
      </c>
      <c r="T133" s="20"/>
      <c r="U133" s="17"/>
    </row>
    <row r="134" spans="1:21" x14ac:dyDescent="0.35">
      <c r="A134" s="4">
        <v>9137352000168</v>
      </c>
      <c r="B134" s="7"/>
      <c r="C134" s="4"/>
      <c r="D134" s="1" t="s">
        <v>222</v>
      </c>
      <c r="E134" s="1" t="s">
        <v>193</v>
      </c>
      <c r="F134" s="1" t="s">
        <v>194</v>
      </c>
      <c r="G134" s="10" t="s">
        <v>20</v>
      </c>
      <c r="H134" s="1" t="s">
        <v>17</v>
      </c>
      <c r="I134" s="21" t="s">
        <v>1070</v>
      </c>
      <c r="J134" s="18">
        <v>151.31757555855859</v>
      </c>
      <c r="K134" s="18">
        <f>VLOOKUP(A134,[1]Export!$A:$C,3,0)</f>
        <v>0</v>
      </c>
      <c r="L134" s="19">
        <f t="shared" si="4"/>
        <v>0</v>
      </c>
      <c r="M134" s="18">
        <f>VLOOKUP(A134,[1]Export!$A:$G,7,0)</f>
        <v>0</v>
      </c>
      <c r="N134" s="19">
        <f t="shared" si="5"/>
        <v>0</v>
      </c>
      <c r="O134" s="17" t="s">
        <v>1029</v>
      </c>
      <c r="P134" s="17" t="s">
        <v>1026</v>
      </c>
      <c r="Q134" s="17" t="s">
        <v>1022</v>
      </c>
      <c r="R134" s="17" t="str">
        <f>VLOOKUP(A134,[2]Export!$A:$I,9,0)</f>
        <v>Não Comprou</v>
      </c>
      <c r="S134" s="17" t="s">
        <v>1023</v>
      </c>
      <c r="T134" s="20"/>
      <c r="U134" s="17"/>
    </row>
    <row r="135" spans="1:21" x14ac:dyDescent="0.35">
      <c r="A135" s="4">
        <v>10870136000106</v>
      </c>
      <c r="B135" s="7"/>
      <c r="C135" s="4"/>
      <c r="D135" s="1" t="s">
        <v>184</v>
      </c>
      <c r="E135" s="1" t="s">
        <v>146</v>
      </c>
      <c r="F135" s="1" t="s">
        <v>8</v>
      </c>
      <c r="G135" s="10" t="s">
        <v>38</v>
      </c>
      <c r="H135" s="1" t="s">
        <v>17</v>
      </c>
      <c r="I135" s="21" t="s">
        <v>1074</v>
      </c>
      <c r="J135" s="18">
        <v>6396.6318826220395</v>
      </c>
      <c r="K135" s="18">
        <f>VLOOKUP(A135,[1]Export!$A:$C,3,0)</f>
        <v>1286.3699999999999</v>
      </c>
      <c r="L135" s="19">
        <f t="shared" si="4"/>
        <v>0.20110114566616341</v>
      </c>
      <c r="M135" s="18">
        <f>VLOOKUP(A135,[1]Export!$A:$G,7,0)</f>
        <v>668.67</v>
      </c>
      <c r="N135" s="19">
        <f t="shared" si="5"/>
        <v>0.10453470080349626</v>
      </c>
      <c r="O135" s="17" t="s">
        <v>1031</v>
      </c>
      <c r="P135" s="17" t="s">
        <v>1026</v>
      </c>
      <c r="Q135" s="17" t="s">
        <v>1022</v>
      </c>
      <c r="R135" s="17" t="str">
        <f>VLOOKUP(A135,[2]Export!$A:$I,9,0)</f>
        <v>Comprou Marcas</v>
      </c>
      <c r="S135" s="17" t="s">
        <v>1022</v>
      </c>
      <c r="T135" s="20"/>
      <c r="U135" s="17"/>
    </row>
    <row r="136" spans="1:21" x14ac:dyDescent="0.35">
      <c r="A136" s="4">
        <v>10742383000127</v>
      </c>
      <c r="B136" s="7"/>
      <c r="C136" s="4"/>
      <c r="D136" s="1" t="s">
        <v>224</v>
      </c>
      <c r="E136" s="1" t="s">
        <v>35</v>
      </c>
      <c r="F136" s="1" t="s">
        <v>8</v>
      </c>
      <c r="G136" s="10" t="s">
        <v>20</v>
      </c>
      <c r="H136" s="1" t="s">
        <v>17</v>
      </c>
      <c r="I136" s="21" t="s">
        <v>1072</v>
      </c>
      <c r="J136" s="18">
        <v>97.493367849103336</v>
      </c>
      <c r="K136" s="18">
        <f>VLOOKUP(A136,[1]Export!$A:$C,3,0)</f>
        <v>0</v>
      </c>
      <c r="L136" s="19">
        <f t="shared" si="4"/>
        <v>0</v>
      </c>
      <c r="M136" s="18">
        <f>VLOOKUP(A136,[1]Export!$A:$G,7,0)</f>
        <v>0</v>
      </c>
      <c r="N136" s="19">
        <f t="shared" si="5"/>
        <v>0</v>
      </c>
      <c r="O136" s="17" t="s">
        <v>1025</v>
      </c>
      <c r="P136" s="17" t="s">
        <v>1026</v>
      </c>
      <c r="Q136" s="17" t="s">
        <v>1022</v>
      </c>
      <c r="R136" s="17" t="str">
        <f>VLOOKUP(A136,[2]Export!$A:$I,9,0)</f>
        <v>Não Comprou</v>
      </c>
      <c r="S136" s="17" t="s">
        <v>1023</v>
      </c>
      <c r="T136" s="20"/>
      <c r="U136" s="17"/>
    </row>
    <row r="137" spans="1:21" x14ac:dyDescent="0.35">
      <c r="A137" s="5">
        <v>8226395000157</v>
      </c>
      <c r="B137" s="7"/>
      <c r="C137" s="4"/>
      <c r="D137" s="6" t="s">
        <v>225</v>
      </c>
      <c r="E137" s="6" t="s">
        <v>226</v>
      </c>
      <c r="F137" s="6" t="s">
        <v>15</v>
      </c>
      <c r="G137" s="11" t="s">
        <v>36</v>
      </c>
      <c r="H137" s="6" t="s">
        <v>17</v>
      </c>
      <c r="I137" s="21" t="s">
        <v>1071</v>
      </c>
      <c r="J137" s="18">
        <v>4374.9470766634386</v>
      </c>
      <c r="K137" s="18">
        <f>VLOOKUP(A137,[1]Export!$A:$C,3,0)</f>
        <v>113.17999999999999</v>
      </c>
      <c r="L137" s="19">
        <f t="shared" si="4"/>
        <v>2.5870027229293234E-2</v>
      </c>
      <c r="M137" s="18">
        <f>VLOOKUP(A137,[1]Export!$A:$G,7,0)</f>
        <v>0</v>
      </c>
      <c r="N137" s="19">
        <f t="shared" si="5"/>
        <v>0</v>
      </c>
      <c r="O137" s="17" t="s">
        <v>1025</v>
      </c>
      <c r="P137" s="17" t="s">
        <v>1026</v>
      </c>
      <c r="Q137" s="17" t="s">
        <v>1022</v>
      </c>
      <c r="R137" s="17" t="str">
        <f>VLOOKUP(A137,[2]Export!$A:$I,9,0)</f>
        <v>Não Comprou</v>
      </c>
      <c r="S137" s="17" t="s">
        <v>1023</v>
      </c>
      <c r="T137" s="20"/>
      <c r="U137" s="17"/>
    </row>
    <row r="138" spans="1:21" x14ac:dyDescent="0.35">
      <c r="A138" s="4">
        <v>8954952000237</v>
      </c>
      <c r="B138" s="7" t="s">
        <v>227</v>
      </c>
      <c r="C138" s="4">
        <v>137437</v>
      </c>
      <c r="D138" s="1" t="s">
        <v>227</v>
      </c>
      <c r="E138" s="1" t="s">
        <v>35</v>
      </c>
      <c r="F138" s="1" t="s">
        <v>8</v>
      </c>
      <c r="G138" s="10" t="s">
        <v>16</v>
      </c>
      <c r="H138" s="1" t="s">
        <v>17</v>
      </c>
      <c r="I138" s="21" t="s">
        <v>1072</v>
      </c>
      <c r="J138" s="18">
        <v>14139.68048777353</v>
      </c>
      <c r="K138" s="18">
        <f>VLOOKUP(A138,[1]Export!$A:$C,3,0)</f>
        <v>7114.5500000000011</v>
      </c>
      <c r="L138" s="19">
        <f t="shared" si="4"/>
        <v>0.50316200611123396</v>
      </c>
      <c r="M138" s="18">
        <f>VLOOKUP(A138,[1]Export!$A:$G,7,0)</f>
        <v>2861.26</v>
      </c>
      <c r="N138" s="19">
        <f t="shared" si="5"/>
        <v>0.2023567648840516</v>
      </c>
      <c r="O138" s="17" t="s">
        <v>1027</v>
      </c>
      <c r="P138" s="17" t="s">
        <v>1028</v>
      </c>
      <c r="Q138" s="17" t="s">
        <v>1023</v>
      </c>
      <c r="R138" s="17" t="str">
        <f>VLOOKUP(A138,[2]Export!$A:$I,9,0)</f>
        <v>Comprou Marcas e SG</v>
      </c>
      <c r="S138" s="17" t="s">
        <v>1022</v>
      </c>
      <c r="T138" s="20"/>
      <c r="U138" s="17"/>
    </row>
    <row r="139" spans="1:21" x14ac:dyDescent="0.35">
      <c r="A139" s="5">
        <v>8954952000318</v>
      </c>
      <c r="B139" s="7" t="s">
        <v>227</v>
      </c>
      <c r="C139" s="4"/>
      <c r="D139" s="6" t="s">
        <v>227</v>
      </c>
      <c r="E139" s="6" t="s">
        <v>35</v>
      </c>
      <c r="F139" s="6" t="s">
        <v>8</v>
      </c>
      <c r="G139" s="11" t="s">
        <v>16</v>
      </c>
      <c r="H139" s="6" t="s">
        <v>17</v>
      </c>
      <c r="I139" s="21" t="s">
        <v>1072</v>
      </c>
      <c r="J139" s="18">
        <v>17770.341882431079</v>
      </c>
      <c r="K139" s="18">
        <f>VLOOKUP(A139,[1]Export!$A:$C,3,0)</f>
        <v>6053.7500000000009</v>
      </c>
      <c r="L139" s="19">
        <f t="shared" si="4"/>
        <v>0.34066592753542541</v>
      </c>
      <c r="M139" s="18">
        <f>VLOOKUP(A139,[1]Export!$A:$G,7,0)</f>
        <v>5596.6299999999983</v>
      </c>
      <c r="N139" s="19">
        <f t="shared" si="5"/>
        <v>0.31494216808136888</v>
      </c>
      <c r="O139" s="17" t="s">
        <v>1027</v>
      </c>
      <c r="P139" s="17" t="s">
        <v>1028</v>
      </c>
      <c r="Q139" s="17" t="s">
        <v>1023</v>
      </c>
      <c r="R139" s="17" t="str">
        <f>VLOOKUP(A139,[2]Export!$A:$I,9,0)</f>
        <v>Comprou Marcas e SG</v>
      </c>
      <c r="S139" s="17" t="s">
        <v>1022</v>
      </c>
      <c r="T139" s="20">
        <v>17</v>
      </c>
      <c r="U139" s="17"/>
    </row>
    <row r="140" spans="1:21" x14ac:dyDescent="0.35">
      <c r="A140" s="4">
        <v>9555593000127</v>
      </c>
      <c r="B140" s="7"/>
      <c r="C140" s="4">
        <v>13685</v>
      </c>
      <c r="D140" s="1" t="s">
        <v>228</v>
      </c>
      <c r="E140" s="1" t="s">
        <v>221</v>
      </c>
      <c r="F140" s="1" t="s">
        <v>15</v>
      </c>
      <c r="G140" s="10" t="s">
        <v>229</v>
      </c>
      <c r="H140" s="1" t="s">
        <v>17</v>
      </c>
      <c r="I140" s="21" t="s">
        <v>1075</v>
      </c>
      <c r="J140" s="18">
        <v>6110.2289990059116</v>
      </c>
      <c r="K140" s="18">
        <f>VLOOKUP(A140,[1]Export!$A:$C,3,0)</f>
        <v>658.8900000000001</v>
      </c>
      <c r="L140" s="19">
        <f t="shared" si="4"/>
        <v>0.10783392899140058</v>
      </c>
      <c r="M140" s="18">
        <f>VLOOKUP(A140,[1]Export!$A:$G,7,0)</f>
        <v>812.63999999999987</v>
      </c>
      <c r="N140" s="19">
        <f t="shared" si="5"/>
        <v>0.13299665202927916</v>
      </c>
      <c r="O140" s="17" t="s">
        <v>1029</v>
      </c>
      <c r="P140" s="17" t="s">
        <v>1026</v>
      </c>
      <c r="Q140" s="17" t="s">
        <v>1022</v>
      </c>
      <c r="R140" s="17" t="str">
        <f>VLOOKUP(A140,[2]Export!$A:$I,9,0)</f>
        <v>Comprou Marcas</v>
      </c>
      <c r="S140" s="17" t="s">
        <v>1022</v>
      </c>
      <c r="T140" s="20"/>
      <c r="U140" s="17"/>
    </row>
    <row r="141" spans="1:21" x14ac:dyDescent="0.35">
      <c r="A141" s="5">
        <v>10309726000164</v>
      </c>
      <c r="B141" s="7"/>
      <c r="C141" s="4"/>
      <c r="D141" s="6" t="s">
        <v>230</v>
      </c>
      <c r="E141" s="6" t="s">
        <v>47</v>
      </c>
      <c r="F141" s="6" t="s">
        <v>48</v>
      </c>
      <c r="G141" s="11" t="s">
        <v>80</v>
      </c>
      <c r="H141" s="6" t="s">
        <v>17</v>
      </c>
      <c r="I141" s="21" t="s">
        <v>1073</v>
      </c>
      <c r="J141" s="18">
        <v>4462.7316562512997</v>
      </c>
      <c r="K141" s="18">
        <f>VLOOKUP(A141,[1]Export!$A:$C,3,0)</f>
        <v>632.26999999999987</v>
      </c>
      <c r="L141" s="19">
        <f t="shared" ref="L141:L204" si="6">K141/J141</f>
        <v>0.14167779931700117</v>
      </c>
      <c r="M141" s="18">
        <f>VLOOKUP(A141,[1]Export!$A:$G,7,0)</f>
        <v>0</v>
      </c>
      <c r="N141" s="19">
        <f t="shared" ref="N141:N204" si="7">M141/J141</f>
        <v>0</v>
      </c>
      <c r="O141" s="17" t="s">
        <v>1027</v>
      </c>
      <c r="P141" s="17" t="s">
        <v>1028</v>
      </c>
      <c r="Q141" s="17" t="s">
        <v>1023</v>
      </c>
      <c r="R141" s="17" t="str">
        <f>VLOOKUP(A141,[2]Export!$A:$I,9,0)</f>
        <v>Comprou SG</v>
      </c>
      <c r="S141" s="17" t="s">
        <v>1022</v>
      </c>
      <c r="T141" s="20"/>
      <c r="U141" s="17"/>
    </row>
    <row r="142" spans="1:21" x14ac:dyDescent="0.35">
      <c r="A142" s="4">
        <v>49413331000142</v>
      </c>
      <c r="B142" s="7"/>
      <c r="C142" s="4"/>
      <c r="D142" s="1" t="s">
        <v>90</v>
      </c>
      <c r="E142" s="1" t="s">
        <v>171</v>
      </c>
      <c r="F142" s="1" t="s">
        <v>8</v>
      </c>
      <c r="G142" s="10" t="s">
        <v>64</v>
      </c>
      <c r="H142" s="1" t="s">
        <v>17</v>
      </c>
      <c r="I142" s="21" t="s">
        <v>1072</v>
      </c>
      <c r="J142" s="18">
        <v>2050.2748365508028</v>
      </c>
      <c r="K142" s="18">
        <f>VLOOKUP(A142,[1]Export!$A:$C,3,0)</f>
        <v>473.71000000000004</v>
      </c>
      <c r="L142" s="19">
        <f t="shared" si="6"/>
        <v>0.2310470730826151</v>
      </c>
      <c r="M142" s="18">
        <f>VLOOKUP(A142,[1]Export!$A:$G,7,0)</f>
        <v>0</v>
      </c>
      <c r="N142" s="19">
        <f t="shared" si="7"/>
        <v>0</v>
      </c>
      <c r="O142" s="17" t="s">
        <v>1029</v>
      </c>
      <c r="P142" s="17" t="s">
        <v>1026</v>
      </c>
      <c r="Q142" s="17" t="s">
        <v>1022</v>
      </c>
      <c r="R142" s="17" t="str">
        <f>VLOOKUP(A142,[2]Export!$A:$I,9,0)</f>
        <v>Não Comprou</v>
      </c>
      <c r="S142" s="17" t="s">
        <v>1023</v>
      </c>
      <c r="T142" s="20"/>
      <c r="U142" s="17"/>
    </row>
    <row r="143" spans="1:21" x14ac:dyDescent="0.35">
      <c r="A143" s="5">
        <v>23088454000161</v>
      </c>
      <c r="B143" s="7"/>
      <c r="C143" s="4"/>
      <c r="D143" s="6" t="s">
        <v>231</v>
      </c>
      <c r="E143" s="6" t="s">
        <v>232</v>
      </c>
      <c r="F143" s="6" t="s">
        <v>8</v>
      </c>
      <c r="G143" s="11" t="s">
        <v>36</v>
      </c>
      <c r="H143" s="6" t="s">
        <v>17</v>
      </c>
      <c r="I143" s="21" t="s">
        <v>1070</v>
      </c>
      <c r="J143" s="18">
        <v>3591.0654510559316</v>
      </c>
      <c r="K143" s="18">
        <f>VLOOKUP(A143,[1]Export!$A:$C,3,0)</f>
        <v>1005.71</v>
      </c>
      <c r="L143" s="19">
        <f t="shared" si="6"/>
        <v>0.2800589445408958</v>
      </c>
      <c r="M143" s="18">
        <f>VLOOKUP(A143,[1]Export!$A:$G,7,0)</f>
        <v>871.9899999999999</v>
      </c>
      <c r="N143" s="19">
        <f t="shared" si="7"/>
        <v>0.24282208494517871</v>
      </c>
      <c r="O143" s="17" t="s">
        <v>1025</v>
      </c>
      <c r="P143" s="17" t="s">
        <v>1026</v>
      </c>
      <c r="Q143" s="17" t="s">
        <v>1022</v>
      </c>
      <c r="R143" s="17" t="str">
        <f>VLOOKUP(A143,[2]Export!$A:$I,9,0)</f>
        <v>Comprou Marcas</v>
      </c>
      <c r="S143" s="17" t="s">
        <v>1022</v>
      </c>
      <c r="T143" s="20"/>
      <c r="U143" s="17"/>
    </row>
    <row r="144" spans="1:21" x14ac:dyDescent="0.35">
      <c r="A144" s="4">
        <v>23716744000102</v>
      </c>
      <c r="B144" s="7"/>
      <c r="C144" s="4"/>
      <c r="D144" s="1" t="s">
        <v>233</v>
      </c>
      <c r="E144" s="1" t="s">
        <v>45</v>
      </c>
      <c r="F144" s="1" t="s">
        <v>8</v>
      </c>
      <c r="G144" s="10" t="s">
        <v>20</v>
      </c>
      <c r="H144" s="1" t="s">
        <v>17</v>
      </c>
      <c r="I144" s="21" t="s">
        <v>1070</v>
      </c>
      <c r="J144" s="18">
        <v>4097.1738713064824</v>
      </c>
      <c r="K144" s="18">
        <f>VLOOKUP(A144,[1]Export!$A:$C,3,0)</f>
        <v>358.34999999999997</v>
      </c>
      <c r="L144" s="19">
        <f t="shared" si="6"/>
        <v>8.7462727054278377E-2</v>
      </c>
      <c r="M144" s="18">
        <f>VLOOKUP(A144,[1]Export!$A:$G,7,0)</f>
        <v>0</v>
      </c>
      <c r="N144" s="19">
        <f t="shared" si="7"/>
        <v>0</v>
      </c>
      <c r="O144" s="17" t="s">
        <v>1025</v>
      </c>
      <c r="P144" s="17" t="s">
        <v>1026</v>
      </c>
      <c r="Q144" s="17" t="s">
        <v>1023</v>
      </c>
      <c r="R144" s="17" t="str">
        <f>VLOOKUP(A144,[2]Export!$A:$I,9,0)</f>
        <v>Não Comprou</v>
      </c>
      <c r="S144" s="17" t="s">
        <v>1022</v>
      </c>
      <c r="T144" s="20"/>
      <c r="U144" s="17"/>
    </row>
    <row r="145" spans="1:21" x14ac:dyDescent="0.35">
      <c r="A145" s="5">
        <v>10693312000505</v>
      </c>
      <c r="B145" s="7"/>
      <c r="C145" s="4"/>
      <c r="D145" s="6" t="s">
        <v>90</v>
      </c>
      <c r="E145" s="6" t="s">
        <v>166</v>
      </c>
      <c r="F145" s="6" t="s">
        <v>8</v>
      </c>
      <c r="G145" s="11" t="s">
        <v>64</v>
      </c>
      <c r="H145" s="6" t="s">
        <v>17</v>
      </c>
      <c r="I145" s="21" t="s">
        <v>1070</v>
      </c>
      <c r="J145" s="18">
        <v>24948.062461456331</v>
      </c>
      <c r="K145" s="18">
        <f>VLOOKUP(A145,[1]Export!$A:$C,3,0)</f>
        <v>8153.380000000001</v>
      </c>
      <c r="L145" s="19">
        <f t="shared" si="6"/>
        <v>0.32681415691485532</v>
      </c>
      <c r="M145" s="18">
        <f>VLOOKUP(A145,[1]Export!$A:$G,7,0)</f>
        <v>13354.6</v>
      </c>
      <c r="N145" s="19">
        <f t="shared" si="7"/>
        <v>0.53529607842822569</v>
      </c>
      <c r="O145" s="17" t="s">
        <v>1029</v>
      </c>
      <c r="P145" s="17" t="s">
        <v>1026</v>
      </c>
      <c r="Q145" s="17" t="s">
        <v>1022</v>
      </c>
      <c r="R145" s="17" t="str">
        <f>VLOOKUP(A145,[2]Export!$A:$I,9,0)</f>
        <v>Comprou Marcas e SG</v>
      </c>
      <c r="S145" s="17" t="s">
        <v>1022</v>
      </c>
      <c r="T145" s="20">
        <v>4</v>
      </c>
      <c r="U145" s="17"/>
    </row>
    <row r="146" spans="1:21" x14ac:dyDescent="0.35">
      <c r="A146" s="4">
        <v>15272871000131</v>
      </c>
      <c r="B146" s="7"/>
      <c r="C146" s="4"/>
      <c r="D146" s="1" t="s">
        <v>234</v>
      </c>
      <c r="E146" s="1" t="s">
        <v>61</v>
      </c>
      <c r="F146" s="1" t="s">
        <v>8</v>
      </c>
      <c r="G146" s="10" t="s">
        <v>20</v>
      </c>
      <c r="H146" s="1" t="s">
        <v>17</v>
      </c>
      <c r="I146" s="21" t="s">
        <v>1068</v>
      </c>
      <c r="J146" s="18">
        <v>1582.816827504623</v>
      </c>
      <c r="K146" s="18">
        <f>VLOOKUP(A146,[1]Export!$A:$C,3,0)</f>
        <v>0</v>
      </c>
      <c r="L146" s="19">
        <f t="shared" si="6"/>
        <v>0</v>
      </c>
      <c r="M146" s="18">
        <f>VLOOKUP(A146,[1]Export!$A:$G,7,0)</f>
        <v>0</v>
      </c>
      <c r="N146" s="19">
        <f t="shared" si="7"/>
        <v>0</v>
      </c>
      <c r="O146" s="17" t="s">
        <v>1025</v>
      </c>
      <c r="P146" s="17" t="s">
        <v>1026</v>
      </c>
      <c r="Q146" s="17" t="s">
        <v>1023</v>
      </c>
      <c r="R146" s="17" t="str">
        <f>VLOOKUP(A146,[2]Export!$A:$I,9,0)</f>
        <v>Não Comprou</v>
      </c>
      <c r="S146" s="17" t="s">
        <v>1023</v>
      </c>
      <c r="T146" s="20"/>
      <c r="U146" s="17"/>
    </row>
    <row r="147" spans="1:21" x14ac:dyDescent="0.35">
      <c r="A147" s="5">
        <v>26609370000114</v>
      </c>
      <c r="B147" s="7"/>
      <c r="C147" s="4"/>
      <c r="D147" s="6" t="s">
        <v>235</v>
      </c>
      <c r="E147" s="6" t="s">
        <v>45</v>
      </c>
      <c r="F147" s="6" t="s">
        <v>8</v>
      </c>
      <c r="G147" s="11" t="s">
        <v>20</v>
      </c>
      <c r="H147" s="6" t="s">
        <v>17</v>
      </c>
      <c r="I147" s="21" t="s">
        <v>1070</v>
      </c>
      <c r="J147" s="18">
        <v>568.66951488794336</v>
      </c>
      <c r="K147" s="18">
        <f>VLOOKUP(A147,[1]Export!$A:$C,3,0)</f>
        <v>186.22</v>
      </c>
      <c r="L147" s="19">
        <f t="shared" si="6"/>
        <v>0.32746612069875902</v>
      </c>
      <c r="M147" s="18">
        <f>VLOOKUP(A147,[1]Export!$A:$G,7,0)</f>
        <v>0</v>
      </c>
      <c r="N147" s="19">
        <f t="shared" si="7"/>
        <v>0</v>
      </c>
      <c r="O147" s="17" t="s">
        <v>1025</v>
      </c>
      <c r="P147" s="17" t="s">
        <v>1026</v>
      </c>
      <c r="Q147" s="17" t="s">
        <v>1023</v>
      </c>
      <c r="R147" s="17" t="str">
        <f>VLOOKUP(A147,[2]Export!$A:$I,9,0)</f>
        <v>Não Comprou</v>
      </c>
      <c r="S147" s="17" t="s">
        <v>1023</v>
      </c>
      <c r="T147" s="20"/>
      <c r="U147" s="17"/>
    </row>
    <row r="148" spans="1:21" x14ac:dyDescent="0.35">
      <c r="A148" s="4">
        <v>19651628000509</v>
      </c>
      <c r="B148" s="7" t="s">
        <v>993</v>
      </c>
      <c r="C148" s="4"/>
      <c r="D148" s="1" t="s">
        <v>29</v>
      </c>
      <c r="E148" s="1" t="s">
        <v>35</v>
      </c>
      <c r="F148" s="1" t="s">
        <v>8</v>
      </c>
      <c r="G148" s="10" t="s">
        <v>9</v>
      </c>
      <c r="H148" s="1" t="s">
        <v>10</v>
      </c>
      <c r="I148" s="21" t="s">
        <v>1072</v>
      </c>
      <c r="J148" s="18">
        <v>13820.441939742699</v>
      </c>
      <c r="K148" s="18">
        <f>VLOOKUP(A148,[1]Export!$A:$C,3,0)</f>
        <v>5181.62</v>
      </c>
      <c r="L148" s="19">
        <f t="shared" si="6"/>
        <v>0.37492433473487524</v>
      </c>
      <c r="M148" s="18">
        <f>VLOOKUP(A148,[1]Export!$A:$G,7,0)</f>
        <v>2961.19</v>
      </c>
      <c r="N148" s="19">
        <f t="shared" si="7"/>
        <v>0.21426159980345244</v>
      </c>
      <c r="O148" s="17" t="s">
        <v>1027</v>
      </c>
      <c r="P148" s="17" t="s">
        <v>1028</v>
      </c>
      <c r="Q148" s="17" t="s">
        <v>1023</v>
      </c>
      <c r="R148" s="17" t="str">
        <f>VLOOKUP(A148,[2]Export!$A:$I,9,0)</f>
        <v>Comprou Marcas e SG</v>
      </c>
      <c r="S148" s="17" t="s">
        <v>1022</v>
      </c>
      <c r="T148" s="20"/>
      <c r="U148" s="17"/>
    </row>
    <row r="149" spans="1:21" x14ac:dyDescent="0.35">
      <c r="A149" s="5">
        <v>29141097000134</v>
      </c>
      <c r="B149" s="7"/>
      <c r="C149" s="4"/>
      <c r="D149" s="6" t="s">
        <v>236</v>
      </c>
      <c r="E149" s="6" t="s">
        <v>52</v>
      </c>
      <c r="F149" s="6" t="s">
        <v>8</v>
      </c>
      <c r="G149" s="11" t="s">
        <v>36</v>
      </c>
      <c r="H149" s="6" t="s">
        <v>17</v>
      </c>
      <c r="I149" s="21" t="s">
        <v>1074</v>
      </c>
      <c r="J149" s="18">
        <v>3664.2234005479891</v>
      </c>
      <c r="K149" s="18">
        <f>VLOOKUP(A149,[1]Export!$A:$C,3,0)</f>
        <v>871.00000000000023</v>
      </c>
      <c r="L149" s="19">
        <f t="shared" si="6"/>
        <v>0.23770384738816447</v>
      </c>
      <c r="M149" s="18">
        <f>VLOOKUP(A149,[1]Export!$A:$G,7,0)</f>
        <v>4283.1900000000005</v>
      </c>
      <c r="N149" s="19">
        <f t="shared" si="7"/>
        <v>1.1689216327147096</v>
      </c>
      <c r="O149" s="17" t="s">
        <v>1025</v>
      </c>
      <c r="P149" s="17" t="s">
        <v>1026</v>
      </c>
      <c r="Q149" s="17" t="s">
        <v>1023</v>
      </c>
      <c r="R149" s="17" t="str">
        <f>VLOOKUP(A149,[2]Export!$A:$I,9,0)</f>
        <v>Comprou Marcas</v>
      </c>
      <c r="S149" s="17" t="s">
        <v>1023</v>
      </c>
      <c r="T149" s="20"/>
      <c r="U149" s="17"/>
    </row>
    <row r="150" spans="1:21" x14ac:dyDescent="0.35">
      <c r="A150" s="4">
        <v>30425108000197</v>
      </c>
      <c r="B150" s="7"/>
      <c r="C150" s="4"/>
      <c r="D150" s="1" t="s">
        <v>237</v>
      </c>
      <c r="E150" s="1" t="s">
        <v>35</v>
      </c>
      <c r="F150" s="1" t="s">
        <v>8</v>
      </c>
      <c r="G150" s="10" t="s">
        <v>20</v>
      </c>
      <c r="H150" s="1" t="s">
        <v>17</v>
      </c>
      <c r="I150" s="21" t="s">
        <v>1072</v>
      </c>
      <c r="J150" s="18">
        <v>1290.9621000586965</v>
      </c>
      <c r="K150" s="18">
        <f>VLOOKUP(A150,[1]Export!$A:$C,3,0)</f>
        <v>91.49</v>
      </c>
      <c r="L150" s="19">
        <f t="shared" si="6"/>
        <v>7.0869625061680888E-2</v>
      </c>
      <c r="M150" s="18">
        <f>VLOOKUP(A150,[1]Export!$A:$G,7,0)</f>
        <v>0</v>
      </c>
      <c r="N150" s="19">
        <f t="shared" si="7"/>
        <v>0</v>
      </c>
      <c r="O150" s="17" t="s">
        <v>1025</v>
      </c>
      <c r="P150" s="17" t="s">
        <v>1026</v>
      </c>
      <c r="Q150" s="17" t="s">
        <v>1023</v>
      </c>
      <c r="R150" s="17" t="str">
        <f>VLOOKUP(A150,[2]Export!$A:$I,9,0)</f>
        <v>Não Comprou</v>
      </c>
      <c r="S150" s="17" t="s">
        <v>1022</v>
      </c>
      <c r="T150" s="20"/>
      <c r="U150" s="17"/>
    </row>
    <row r="151" spans="1:21" x14ac:dyDescent="0.35">
      <c r="A151" s="5">
        <v>30531806000177</v>
      </c>
      <c r="B151" s="7"/>
      <c r="C151" s="4"/>
      <c r="D151" s="6" t="s">
        <v>238</v>
      </c>
      <c r="E151" s="6" t="s">
        <v>14</v>
      </c>
      <c r="F151" s="6" t="s">
        <v>15</v>
      </c>
      <c r="G151" s="11" t="s">
        <v>36</v>
      </c>
      <c r="H151" s="6" t="s">
        <v>17</v>
      </c>
      <c r="I151" s="21" t="s">
        <v>1069</v>
      </c>
      <c r="J151" s="18">
        <v>2633.404285375289</v>
      </c>
      <c r="K151" s="18">
        <f>VLOOKUP(A151,[1]Export!$A:$C,3,0)</f>
        <v>861.74</v>
      </c>
      <c r="L151" s="19">
        <f t="shared" si="6"/>
        <v>0.32723422103689354</v>
      </c>
      <c r="M151" s="18">
        <f>VLOOKUP(A151,[1]Export!$A:$G,7,0)</f>
        <v>900.04</v>
      </c>
      <c r="N151" s="19">
        <f t="shared" si="7"/>
        <v>0.34177813296591275</v>
      </c>
      <c r="O151" s="17" t="s">
        <v>1027</v>
      </c>
      <c r="P151" s="17" t="s">
        <v>1028</v>
      </c>
      <c r="Q151" s="17" t="s">
        <v>1023</v>
      </c>
      <c r="R151" s="17" t="str">
        <f>VLOOKUP(A151,[2]Export!$A:$I,9,0)</f>
        <v>Comprou Marcas</v>
      </c>
      <c r="S151" s="17" t="s">
        <v>1023</v>
      </c>
      <c r="T151" s="20"/>
      <c r="U151" s="17"/>
    </row>
    <row r="152" spans="1:21" x14ac:dyDescent="0.35">
      <c r="A152" s="4">
        <v>37447212000121</v>
      </c>
      <c r="B152" s="7"/>
      <c r="C152" s="4"/>
      <c r="D152" s="1" t="s">
        <v>239</v>
      </c>
      <c r="E152" s="1" t="s">
        <v>240</v>
      </c>
      <c r="F152" s="1" t="s">
        <v>8</v>
      </c>
      <c r="G152" s="10" t="s">
        <v>20</v>
      </c>
      <c r="H152" s="1" t="s">
        <v>17</v>
      </c>
      <c r="I152" s="21" t="s">
        <v>1070</v>
      </c>
      <c r="J152" s="18">
        <v>3003.1331289970044</v>
      </c>
      <c r="K152" s="18">
        <f>VLOOKUP(A152,[1]Export!$A:$C,3,0)</f>
        <v>345.27000000000004</v>
      </c>
      <c r="L152" s="19">
        <f t="shared" si="6"/>
        <v>0.11496992812813275</v>
      </c>
      <c r="M152" s="18">
        <f>VLOOKUP(A152,[1]Export!$A:$G,7,0)</f>
        <v>0</v>
      </c>
      <c r="N152" s="19">
        <f t="shared" si="7"/>
        <v>0</v>
      </c>
      <c r="O152" s="17" t="s">
        <v>1025</v>
      </c>
      <c r="P152" s="17" t="s">
        <v>1026</v>
      </c>
      <c r="Q152" s="17" t="s">
        <v>1023</v>
      </c>
      <c r="R152" s="17" t="str">
        <f>VLOOKUP(A152,[2]Export!$A:$I,9,0)</f>
        <v>Não Comprou</v>
      </c>
      <c r="S152" s="17" t="s">
        <v>1022</v>
      </c>
      <c r="T152" s="20"/>
      <c r="U152" s="17"/>
    </row>
    <row r="153" spans="1:21" x14ac:dyDescent="0.35">
      <c r="A153" s="5">
        <v>27717961000178</v>
      </c>
      <c r="B153" s="7"/>
      <c r="C153" s="4"/>
      <c r="D153" s="6" t="s">
        <v>241</v>
      </c>
      <c r="E153" s="6" t="s">
        <v>199</v>
      </c>
      <c r="F153" s="6" t="s">
        <v>15</v>
      </c>
      <c r="G153" s="11" t="s">
        <v>36</v>
      </c>
      <c r="H153" s="6" t="s">
        <v>17</v>
      </c>
      <c r="I153" s="21" t="s">
        <v>1071</v>
      </c>
      <c r="J153" s="18">
        <v>7918.6791504710891</v>
      </c>
      <c r="K153" s="18">
        <f>VLOOKUP(A153,[1]Export!$A:$C,3,0)</f>
        <v>2043.4499999999996</v>
      </c>
      <c r="L153" s="19">
        <f t="shared" si="6"/>
        <v>0.25805440038297711</v>
      </c>
      <c r="M153" s="18">
        <f>VLOOKUP(A153,[1]Export!$A:$G,7,0)</f>
        <v>4913.0400000000009</v>
      </c>
      <c r="N153" s="19">
        <f t="shared" si="7"/>
        <v>0.62043680601804907</v>
      </c>
      <c r="O153" s="17" t="s">
        <v>1025</v>
      </c>
      <c r="P153" s="17" t="s">
        <v>1026</v>
      </c>
      <c r="Q153" s="17" t="s">
        <v>1023</v>
      </c>
      <c r="R153" s="17" t="str">
        <f>VLOOKUP(A153,[2]Export!$A:$I,9,0)</f>
        <v>Comprou Marcas</v>
      </c>
      <c r="S153" s="17" t="s">
        <v>1022</v>
      </c>
      <c r="T153" s="20"/>
      <c r="U153" s="17"/>
    </row>
    <row r="154" spans="1:21" x14ac:dyDescent="0.35">
      <c r="A154" s="4">
        <v>29041586000114</v>
      </c>
      <c r="B154" s="7"/>
      <c r="C154" s="4"/>
      <c r="D154" s="1" t="s">
        <v>242</v>
      </c>
      <c r="E154" s="1" t="s">
        <v>61</v>
      </c>
      <c r="F154" s="1" t="s">
        <v>8</v>
      </c>
      <c r="G154" s="10" t="s">
        <v>20</v>
      </c>
      <c r="H154" s="1" t="s">
        <v>17</v>
      </c>
      <c r="I154" s="21" t="s">
        <v>1068</v>
      </c>
      <c r="J154" s="18">
        <v>730.62091223784932</v>
      </c>
      <c r="K154" s="18">
        <f>VLOOKUP(A154,[1]Export!$A:$C,3,0)</f>
        <v>118.57</v>
      </c>
      <c r="L154" s="19">
        <f t="shared" si="6"/>
        <v>0.16228662226054683</v>
      </c>
      <c r="M154" s="18">
        <f>VLOOKUP(A154,[1]Export!$A:$G,7,0)</f>
        <v>0</v>
      </c>
      <c r="N154" s="19">
        <f t="shared" si="7"/>
        <v>0</v>
      </c>
      <c r="O154" s="17" t="s">
        <v>1025</v>
      </c>
      <c r="P154" s="17" t="s">
        <v>1026</v>
      </c>
      <c r="Q154" s="17" t="s">
        <v>1023</v>
      </c>
      <c r="R154" s="17" t="str">
        <f>VLOOKUP(A154,[2]Export!$A:$I,9,0)</f>
        <v>Não Comprou</v>
      </c>
      <c r="S154" s="17" t="s">
        <v>1023</v>
      </c>
      <c r="T154" s="20"/>
      <c r="U154" s="17"/>
    </row>
    <row r="155" spans="1:21" x14ac:dyDescent="0.35">
      <c r="A155" s="5">
        <v>29576260000191</v>
      </c>
      <c r="B155" s="7"/>
      <c r="C155" s="4"/>
      <c r="D155" s="6" t="s">
        <v>243</v>
      </c>
      <c r="E155" s="6" t="s">
        <v>14</v>
      </c>
      <c r="F155" s="6" t="s">
        <v>15</v>
      </c>
      <c r="G155" s="11" t="s">
        <v>20</v>
      </c>
      <c r="H155" s="6" t="s">
        <v>17</v>
      </c>
      <c r="I155" s="21" t="s">
        <v>1069</v>
      </c>
      <c r="J155" s="18">
        <v>6842.1078066538639</v>
      </c>
      <c r="K155" s="18">
        <f>VLOOKUP(A155,[1]Export!$A:$C,3,0)</f>
        <v>1078.04</v>
      </c>
      <c r="L155" s="19">
        <f t="shared" si="6"/>
        <v>0.15755963373620327</v>
      </c>
      <c r="M155" s="18">
        <f>VLOOKUP(A155,[1]Export!$A:$G,7,0)</f>
        <v>0</v>
      </c>
      <c r="N155" s="19">
        <f t="shared" si="7"/>
        <v>0</v>
      </c>
      <c r="O155" s="17" t="s">
        <v>1025</v>
      </c>
      <c r="P155" s="17" t="s">
        <v>1026</v>
      </c>
      <c r="Q155" s="17" t="s">
        <v>1023</v>
      </c>
      <c r="R155" s="17" t="str">
        <f>VLOOKUP(A155,[2]Export!$A:$I,9,0)</f>
        <v>Não Comprou</v>
      </c>
      <c r="S155" s="17" t="s">
        <v>1022</v>
      </c>
      <c r="T155" s="20"/>
      <c r="U155" s="17"/>
    </row>
    <row r="156" spans="1:21" x14ac:dyDescent="0.35">
      <c r="A156" s="4">
        <v>1531920000107</v>
      </c>
      <c r="B156" s="7"/>
      <c r="C156" s="4"/>
      <c r="D156" s="1" t="s">
        <v>244</v>
      </c>
      <c r="E156" s="1" t="s">
        <v>245</v>
      </c>
      <c r="F156" s="1" t="s">
        <v>15</v>
      </c>
      <c r="G156" s="10" t="s">
        <v>36</v>
      </c>
      <c r="H156" s="1" t="s">
        <v>17</v>
      </c>
      <c r="I156" s="21" t="s">
        <v>1071</v>
      </c>
      <c r="J156" s="18">
        <v>11946.19592799611</v>
      </c>
      <c r="K156" s="18">
        <f>VLOOKUP(A156,[1]Export!$A:$C,3,0)</f>
        <v>5103.62</v>
      </c>
      <c r="L156" s="19">
        <f t="shared" si="6"/>
        <v>0.42721716860842546</v>
      </c>
      <c r="M156" s="18">
        <f>VLOOKUP(A156,[1]Export!$A:$G,7,0)</f>
        <v>4573.9399999999996</v>
      </c>
      <c r="N156" s="19">
        <f t="shared" si="7"/>
        <v>0.38287836793978031</v>
      </c>
      <c r="O156" s="17" t="s">
        <v>1025</v>
      </c>
      <c r="P156" s="17" t="s">
        <v>1026</v>
      </c>
      <c r="Q156" s="17" t="s">
        <v>1022</v>
      </c>
      <c r="R156" s="17" t="str">
        <f>VLOOKUP(A156,[2]Export!$A:$I,9,0)</f>
        <v>Comprou Marcas</v>
      </c>
      <c r="S156" s="17" t="s">
        <v>1022</v>
      </c>
      <c r="T156" s="20">
        <v>4</v>
      </c>
      <c r="U156" s="17"/>
    </row>
    <row r="157" spans="1:21" x14ac:dyDescent="0.35">
      <c r="A157" s="5">
        <v>2100833000150</v>
      </c>
      <c r="B157" s="7"/>
      <c r="C157" s="4"/>
      <c r="D157" s="6" t="s">
        <v>246</v>
      </c>
      <c r="E157" s="6" t="s">
        <v>125</v>
      </c>
      <c r="F157" s="6" t="s">
        <v>15</v>
      </c>
      <c r="G157" s="11" t="s">
        <v>9</v>
      </c>
      <c r="H157" s="6" t="s">
        <v>10</v>
      </c>
      <c r="I157" s="21" t="s">
        <v>1069</v>
      </c>
      <c r="J157" s="18">
        <v>41134.389910313315</v>
      </c>
      <c r="K157" s="18">
        <f>VLOOKUP(A157,[1]Export!$A:$C,3,0)</f>
        <v>20987.710000000006</v>
      </c>
      <c r="L157" s="19">
        <f t="shared" si="6"/>
        <v>0.51022295567675158</v>
      </c>
      <c r="M157" s="18">
        <f>VLOOKUP(A157,[1]Export!$A:$G,7,0)</f>
        <v>11076.340000000002</v>
      </c>
      <c r="N157" s="19">
        <f t="shared" si="7"/>
        <v>0.26927201361561742</v>
      </c>
      <c r="O157" s="17" t="s">
        <v>1027</v>
      </c>
      <c r="P157" s="17" t="s">
        <v>1028</v>
      </c>
      <c r="Q157" s="17" t="s">
        <v>1023</v>
      </c>
      <c r="R157" s="17" t="str">
        <f>VLOOKUP(A157,[2]Export!$A:$I,9,0)</f>
        <v>Comprou Marcas e SG</v>
      </c>
      <c r="S157" s="17" t="s">
        <v>1022</v>
      </c>
      <c r="T157" s="20"/>
      <c r="U157" s="17"/>
    </row>
    <row r="158" spans="1:21" x14ac:dyDescent="0.35">
      <c r="A158" s="4">
        <v>4050862000180</v>
      </c>
      <c r="B158" s="7" t="s">
        <v>997</v>
      </c>
      <c r="C158" s="4"/>
      <c r="D158" s="1" t="s">
        <v>247</v>
      </c>
      <c r="E158" s="1" t="s">
        <v>14</v>
      </c>
      <c r="F158" s="1" t="s">
        <v>15</v>
      </c>
      <c r="G158" s="10" t="s">
        <v>9</v>
      </c>
      <c r="H158" s="1" t="s">
        <v>10</v>
      </c>
      <c r="I158" s="21" t="s">
        <v>1069</v>
      </c>
      <c r="J158" s="18">
        <v>4548.179071356325</v>
      </c>
      <c r="K158" s="18">
        <f>VLOOKUP(A158,[1]Export!$A:$C,3,0)</f>
        <v>1896.9299999999998</v>
      </c>
      <c r="L158" s="19">
        <f t="shared" si="6"/>
        <v>0.4170746072744913</v>
      </c>
      <c r="M158" s="18">
        <f>VLOOKUP(A158,[1]Export!$A:$G,7,0)</f>
        <v>866.24999999999989</v>
      </c>
      <c r="N158" s="19">
        <f t="shared" si="7"/>
        <v>0.19046083859263552</v>
      </c>
      <c r="O158" s="17" t="s">
        <v>1027</v>
      </c>
      <c r="P158" s="17" t="s">
        <v>1028</v>
      </c>
      <c r="Q158" s="17" t="s">
        <v>1023</v>
      </c>
      <c r="R158" s="17" t="str">
        <f>VLOOKUP(A158,[2]Export!$A:$I,9,0)</f>
        <v>Comprou Marcas</v>
      </c>
      <c r="S158" s="17" t="s">
        <v>1022</v>
      </c>
      <c r="T158" s="20"/>
      <c r="U158" s="17"/>
    </row>
    <row r="159" spans="1:21" x14ac:dyDescent="0.35">
      <c r="A159" s="5">
        <v>4237820000152</v>
      </c>
      <c r="B159" s="7"/>
      <c r="C159" s="4">
        <v>11444</v>
      </c>
      <c r="D159" s="6" t="s">
        <v>248</v>
      </c>
      <c r="E159" s="6" t="s">
        <v>24</v>
      </c>
      <c r="F159" s="6" t="s">
        <v>15</v>
      </c>
      <c r="G159" s="11" t="s">
        <v>36</v>
      </c>
      <c r="H159" s="6" t="s">
        <v>17</v>
      </c>
      <c r="I159" s="21" t="s">
        <v>1071</v>
      </c>
      <c r="J159" s="18">
        <v>17184.950526547433</v>
      </c>
      <c r="K159" s="18">
        <f>VLOOKUP(A159,[1]Export!$A:$C,3,0)</f>
        <v>2834.5099999999998</v>
      </c>
      <c r="L159" s="19">
        <f t="shared" si="6"/>
        <v>0.16494141170911308</v>
      </c>
      <c r="M159" s="18">
        <f>VLOOKUP(A159,[1]Export!$A:$G,7,0)</f>
        <v>3352.3</v>
      </c>
      <c r="N159" s="19">
        <f t="shared" si="7"/>
        <v>0.19507184468301747</v>
      </c>
      <c r="O159" s="17" t="s">
        <v>1031</v>
      </c>
      <c r="P159" s="17" t="s">
        <v>1026</v>
      </c>
      <c r="Q159" s="17" t="s">
        <v>1023</v>
      </c>
      <c r="R159" s="17" t="str">
        <f>VLOOKUP(A159,[2]Export!$A:$I,9,0)</f>
        <v>Comprou Marcas</v>
      </c>
      <c r="S159" s="17" t="s">
        <v>1022</v>
      </c>
      <c r="T159" s="20">
        <v>1</v>
      </c>
      <c r="U159" s="17"/>
    </row>
    <row r="160" spans="1:21" x14ac:dyDescent="0.35">
      <c r="A160" s="4">
        <v>5562705000116</v>
      </c>
      <c r="B160" s="7"/>
      <c r="C160" s="4"/>
      <c r="D160" s="1" t="s">
        <v>249</v>
      </c>
      <c r="E160" s="1" t="s">
        <v>122</v>
      </c>
      <c r="F160" s="1" t="s">
        <v>8</v>
      </c>
      <c r="G160" s="10" t="s">
        <v>36</v>
      </c>
      <c r="H160" s="1" t="s">
        <v>17</v>
      </c>
      <c r="I160" s="21" t="s">
        <v>1068</v>
      </c>
      <c r="J160" s="18">
        <v>4260.7273689377935</v>
      </c>
      <c r="K160" s="18">
        <f>VLOOKUP(A160,[1]Export!$A:$C,3,0)</f>
        <v>579.90000000000009</v>
      </c>
      <c r="L160" s="19">
        <f t="shared" si="6"/>
        <v>0.13610352171971288</v>
      </c>
      <c r="M160" s="18">
        <f>VLOOKUP(A160,[1]Export!$A:$G,7,0)</f>
        <v>758.37</v>
      </c>
      <c r="N160" s="19">
        <f t="shared" si="7"/>
        <v>0.17799073593133063</v>
      </c>
      <c r="O160" s="17" t="s">
        <v>1025</v>
      </c>
      <c r="P160" s="17" t="s">
        <v>1026</v>
      </c>
      <c r="Q160" s="17" t="s">
        <v>1023</v>
      </c>
      <c r="R160" s="17" t="str">
        <f>VLOOKUP(A160,[2]Export!$A:$I,9,0)</f>
        <v>Comprou Marcas</v>
      </c>
      <c r="S160" s="17" t="s">
        <v>1022</v>
      </c>
      <c r="T160" s="20"/>
      <c r="U160" s="17"/>
    </row>
    <row r="161" spans="1:21" x14ac:dyDescent="0.35">
      <c r="A161" s="5">
        <v>5628142000111</v>
      </c>
      <c r="B161" s="7"/>
      <c r="C161" s="4"/>
      <c r="D161" s="6" t="s">
        <v>250</v>
      </c>
      <c r="E161" s="6" t="s">
        <v>50</v>
      </c>
      <c r="F161" s="6" t="s">
        <v>48</v>
      </c>
      <c r="G161" s="11" t="s">
        <v>80</v>
      </c>
      <c r="H161" s="6" t="s">
        <v>17</v>
      </c>
      <c r="I161" s="21" t="s">
        <v>1073</v>
      </c>
      <c r="J161" s="18">
        <v>2583.5305426702025</v>
      </c>
      <c r="K161" s="18">
        <f>VLOOKUP(A161,[1]Export!$A:$C,3,0)</f>
        <v>667.65</v>
      </c>
      <c r="L161" s="19">
        <f t="shared" si="6"/>
        <v>0.25842543332580531</v>
      </c>
      <c r="M161" s="18">
        <f>VLOOKUP(A161,[1]Export!$A:$G,7,0)</f>
        <v>109.9</v>
      </c>
      <c r="N161" s="19">
        <f t="shared" si="7"/>
        <v>4.25386881187838E-2</v>
      </c>
      <c r="O161" s="17" t="s">
        <v>1027</v>
      </c>
      <c r="P161" s="17" t="s">
        <v>1028</v>
      </c>
      <c r="Q161" s="17" t="s">
        <v>1023</v>
      </c>
      <c r="R161" s="17" t="str">
        <f>VLOOKUP(A161,[2]Export!$A:$I,9,0)</f>
        <v>Comprou Marcas</v>
      </c>
      <c r="S161" s="17" t="s">
        <v>1022</v>
      </c>
      <c r="T161" s="20"/>
      <c r="U161" s="17"/>
    </row>
    <row r="162" spans="1:21" x14ac:dyDescent="0.35">
      <c r="A162" s="4">
        <v>3744695000104</v>
      </c>
      <c r="B162" s="7"/>
      <c r="C162" s="4"/>
      <c r="D162" s="1" t="s">
        <v>251</v>
      </c>
      <c r="E162" s="1" t="s">
        <v>252</v>
      </c>
      <c r="F162" s="1" t="s">
        <v>15</v>
      </c>
      <c r="G162" s="10" t="s">
        <v>36</v>
      </c>
      <c r="H162" s="1" t="s">
        <v>17</v>
      </c>
      <c r="I162" s="21" t="s">
        <v>1071</v>
      </c>
      <c r="J162" s="18">
        <v>3298.5606450017294</v>
      </c>
      <c r="K162" s="18">
        <f>VLOOKUP(A162,[1]Export!$A:$C,3,0)</f>
        <v>1606.53</v>
      </c>
      <c r="L162" s="19">
        <f t="shared" si="6"/>
        <v>0.48703970394916224</v>
      </c>
      <c r="M162" s="18">
        <f>VLOOKUP(A162,[1]Export!$A:$G,7,0)</f>
        <v>252.37</v>
      </c>
      <c r="N162" s="19">
        <f t="shared" si="7"/>
        <v>7.6509128423154299E-2</v>
      </c>
      <c r="O162" s="17" t="s">
        <v>1025</v>
      </c>
      <c r="P162" s="17" t="s">
        <v>1026</v>
      </c>
      <c r="Q162" s="17" t="s">
        <v>1023</v>
      </c>
      <c r="R162" s="17" t="str">
        <f>VLOOKUP(A162,[2]Export!$A:$I,9,0)</f>
        <v>Comprou Marcas</v>
      </c>
      <c r="S162" s="17" t="s">
        <v>1022</v>
      </c>
      <c r="T162" s="20"/>
      <c r="U162" s="17"/>
    </row>
    <row r="163" spans="1:21" x14ac:dyDescent="0.35">
      <c r="A163" s="5">
        <v>19651628000266</v>
      </c>
      <c r="B163" s="7" t="s">
        <v>993</v>
      </c>
      <c r="C163" s="4"/>
      <c r="D163" s="6" t="s">
        <v>559</v>
      </c>
      <c r="E163" s="6" t="s">
        <v>35</v>
      </c>
      <c r="F163" s="6" t="s">
        <v>8</v>
      </c>
      <c r="G163" s="11" t="s">
        <v>9</v>
      </c>
      <c r="H163" s="6" t="s">
        <v>10</v>
      </c>
      <c r="I163" s="21" t="s">
        <v>1072</v>
      </c>
      <c r="J163" s="18">
        <v>11779.891386150279</v>
      </c>
      <c r="K163" s="18">
        <f>VLOOKUP(A163,[1]Export!$A:$C,3,0)</f>
        <v>7435.9999999999982</v>
      </c>
      <c r="L163" s="19">
        <f t="shared" si="6"/>
        <v>0.63124520899594783</v>
      </c>
      <c r="M163" s="18">
        <f>VLOOKUP(A163,[1]Export!$A:$G,7,0)</f>
        <v>2594.0700000000006</v>
      </c>
      <c r="N163" s="19">
        <f t="shared" si="7"/>
        <v>0.22021170781335653</v>
      </c>
      <c r="O163" s="17" t="s">
        <v>1027</v>
      </c>
      <c r="P163" s="17" t="s">
        <v>1028</v>
      </c>
      <c r="Q163" s="17" t="s">
        <v>1023</v>
      </c>
      <c r="R163" s="17" t="str">
        <f>VLOOKUP(A163,[2]Export!$A:$I,9,0)</f>
        <v>Comprou Marcas e SG</v>
      </c>
      <c r="S163" s="17" t="s">
        <v>1022</v>
      </c>
      <c r="T163" s="20">
        <v>1</v>
      </c>
      <c r="U163" s="17"/>
    </row>
    <row r="164" spans="1:21" x14ac:dyDescent="0.35">
      <c r="A164" s="4">
        <v>4225403000190</v>
      </c>
      <c r="B164" s="7"/>
      <c r="C164" s="4"/>
      <c r="D164" s="1" t="s">
        <v>253</v>
      </c>
      <c r="E164" s="1" t="s">
        <v>22</v>
      </c>
      <c r="F164" s="1" t="s">
        <v>8</v>
      </c>
      <c r="G164" s="10" t="s">
        <v>20</v>
      </c>
      <c r="H164" s="1" t="s">
        <v>17</v>
      </c>
      <c r="I164" s="21" t="s">
        <v>1070</v>
      </c>
      <c r="J164" s="18">
        <v>3876.0461901337439</v>
      </c>
      <c r="K164" s="18">
        <f>VLOOKUP(A164,[1]Export!$A:$C,3,0)</f>
        <v>1312.0300000000002</v>
      </c>
      <c r="L164" s="19">
        <f t="shared" si="6"/>
        <v>0.33849699813683809</v>
      </c>
      <c r="M164" s="18">
        <f>VLOOKUP(A164,[1]Export!$A:$G,7,0)</f>
        <v>0</v>
      </c>
      <c r="N164" s="19">
        <f t="shared" si="7"/>
        <v>0</v>
      </c>
      <c r="O164" s="17" t="s">
        <v>1025</v>
      </c>
      <c r="P164" s="17" t="s">
        <v>1026</v>
      </c>
      <c r="Q164" s="17" t="s">
        <v>1023</v>
      </c>
      <c r="R164" s="17" t="str">
        <f>VLOOKUP(A164,[2]Export!$A:$I,9,0)</f>
        <v>Não Comprou</v>
      </c>
      <c r="S164" s="17" t="s">
        <v>1023</v>
      </c>
      <c r="T164" s="20"/>
      <c r="U164" s="17"/>
    </row>
    <row r="165" spans="1:21" x14ac:dyDescent="0.35">
      <c r="A165" s="5">
        <v>4834843000144</v>
      </c>
      <c r="B165" s="7" t="s">
        <v>994</v>
      </c>
      <c r="C165" s="4">
        <v>13471</v>
      </c>
      <c r="D165" s="6" t="s">
        <v>91</v>
      </c>
      <c r="E165" s="6" t="s">
        <v>50</v>
      </c>
      <c r="F165" s="6" t="s">
        <v>48</v>
      </c>
      <c r="G165" s="11" t="s">
        <v>92</v>
      </c>
      <c r="H165" s="6" t="s">
        <v>17</v>
      </c>
      <c r="I165" s="21" t="s">
        <v>1073</v>
      </c>
      <c r="J165" s="18">
        <v>9320.8642371830883</v>
      </c>
      <c r="K165" s="18">
        <f>VLOOKUP(A165,[1]Export!$A:$C,3,0)</f>
        <v>2950.5400000000004</v>
      </c>
      <c r="L165" s="19">
        <f t="shared" si="6"/>
        <v>0.3165521913976187</v>
      </c>
      <c r="M165" s="18">
        <f>VLOOKUP(A165,[1]Export!$A:$G,7,0)</f>
        <v>1814.19</v>
      </c>
      <c r="N165" s="19">
        <f t="shared" si="7"/>
        <v>0.19463753079492088</v>
      </c>
      <c r="O165" s="17" t="s">
        <v>1027</v>
      </c>
      <c r="P165" s="17" t="s">
        <v>1028</v>
      </c>
      <c r="Q165" s="17" t="s">
        <v>1023</v>
      </c>
      <c r="R165" s="17" t="str">
        <f>VLOOKUP(A165,[2]Export!$A:$I,9,0)</f>
        <v>Comprou Marcas</v>
      </c>
      <c r="S165" s="17" t="s">
        <v>1022</v>
      </c>
      <c r="T165" s="20"/>
      <c r="U165" s="17"/>
    </row>
    <row r="166" spans="1:21" x14ac:dyDescent="0.35">
      <c r="A166" s="4">
        <v>4834843001469</v>
      </c>
      <c r="B166" s="7" t="s">
        <v>994</v>
      </c>
      <c r="C166" s="4"/>
      <c r="D166" s="1" t="s">
        <v>91</v>
      </c>
      <c r="E166" s="1" t="s">
        <v>254</v>
      </c>
      <c r="F166" s="1" t="s">
        <v>255</v>
      </c>
      <c r="G166" s="10" t="s">
        <v>92</v>
      </c>
      <c r="H166" s="1" t="s">
        <v>17</v>
      </c>
      <c r="I166" s="21" t="s">
        <v>1073</v>
      </c>
      <c r="J166" s="18">
        <v>5788.6244183784156</v>
      </c>
      <c r="K166" s="18">
        <f>VLOOKUP(A166,[1]Export!$A:$C,3,0)</f>
        <v>2152.06</v>
      </c>
      <c r="L166" s="19">
        <f t="shared" si="6"/>
        <v>0.37177399058183547</v>
      </c>
      <c r="M166" s="18">
        <f>VLOOKUP(A166,[1]Export!$A:$G,7,0)</f>
        <v>2571.11</v>
      </c>
      <c r="N166" s="19">
        <f t="shared" si="7"/>
        <v>0.44416597349742248</v>
      </c>
      <c r="O166" s="17" t="s">
        <v>1027</v>
      </c>
      <c r="P166" s="17" t="s">
        <v>1028</v>
      </c>
      <c r="Q166" s="17" t="s">
        <v>1023</v>
      </c>
      <c r="R166" s="17" t="str">
        <f>VLOOKUP(A166,[2]Export!$A:$I,9,0)</f>
        <v>Comprou Marcas e SG</v>
      </c>
      <c r="S166" s="17" t="s">
        <v>1022</v>
      </c>
      <c r="T166" s="20"/>
      <c r="U166" s="17"/>
    </row>
    <row r="167" spans="1:21" x14ac:dyDescent="0.35">
      <c r="A167" s="5">
        <v>8963901000190</v>
      </c>
      <c r="B167" s="7"/>
      <c r="C167" s="4"/>
      <c r="D167" s="6" t="s">
        <v>256</v>
      </c>
      <c r="E167" s="6" t="s">
        <v>257</v>
      </c>
      <c r="F167" s="6" t="s">
        <v>8</v>
      </c>
      <c r="G167" s="11" t="s">
        <v>16</v>
      </c>
      <c r="H167" s="6" t="s">
        <v>17</v>
      </c>
      <c r="I167" s="21" t="s">
        <v>1074</v>
      </c>
      <c r="J167" s="18">
        <v>13214.014002437179</v>
      </c>
      <c r="K167" s="18">
        <f>VLOOKUP(A167,[1]Export!$A:$C,3,0)</f>
        <v>2083.7300000000005</v>
      </c>
      <c r="L167" s="19">
        <f t="shared" si="6"/>
        <v>0.15769091811282168</v>
      </c>
      <c r="M167" s="18">
        <f>VLOOKUP(A167,[1]Export!$A:$G,7,0)</f>
        <v>1171</v>
      </c>
      <c r="N167" s="19">
        <f t="shared" si="7"/>
        <v>8.8618038378347558E-2</v>
      </c>
      <c r="O167" s="17" t="s">
        <v>1029</v>
      </c>
      <c r="P167" s="17" t="s">
        <v>1026</v>
      </c>
      <c r="Q167" s="17" t="s">
        <v>1022</v>
      </c>
      <c r="R167" s="17" t="str">
        <f>VLOOKUP(A167,[2]Export!$A:$I,9,0)</f>
        <v>Comprou Marcas</v>
      </c>
      <c r="S167" s="17" t="s">
        <v>1022</v>
      </c>
      <c r="T167" s="20"/>
      <c r="U167" s="17"/>
    </row>
    <row r="168" spans="1:21" x14ac:dyDescent="0.35">
      <c r="A168" s="4">
        <v>9495338000136</v>
      </c>
      <c r="B168" s="7"/>
      <c r="C168" s="4">
        <v>111658</v>
      </c>
      <c r="D168" s="1" t="s">
        <v>258</v>
      </c>
      <c r="E168" s="1" t="s">
        <v>259</v>
      </c>
      <c r="F168" s="1" t="s">
        <v>15</v>
      </c>
      <c r="G168" s="10" t="s">
        <v>33</v>
      </c>
      <c r="H168" s="1" t="s">
        <v>17</v>
      </c>
      <c r="I168" s="21" t="s">
        <v>1071</v>
      </c>
      <c r="J168" s="18">
        <v>9667.8345503204418</v>
      </c>
      <c r="K168" s="18">
        <f>VLOOKUP(A168,[1]Export!$A:$C,3,0)</f>
        <v>2766.08</v>
      </c>
      <c r="L168" s="19">
        <f t="shared" si="6"/>
        <v>0.2861116401612725</v>
      </c>
      <c r="M168" s="18">
        <f>VLOOKUP(A168,[1]Export!$A:$G,7,0)</f>
        <v>3708.3200000000006</v>
      </c>
      <c r="N168" s="19">
        <f t="shared" si="7"/>
        <v>0.3835729687654913</v>
      </c>
      <c r="O168" s="17" t="s">
        <v>1027</v>
      </c>
      <c r="P168" s="17" t="s">
        <v>1026</v>
      </c>
      <c r="Q168" s="17" t="s">
        <v>1023</v>
      </c>
      <c r="R168" s="17" t="str">
        <f>VLOOKUP(A168,[2]Export!$A:$I,9,0)</f>
        <v>Comprou Marcas</v>
      </c>
      <c r="S168" s="17" t="s">
        <v>1022</v>
      </c>
      <c r="T168" s="20"/>
      <c r="U168" s="17"/>
    </row>
    <row r="169" spans="1:21" x14ac:dyDescent="0.35">
      <c r="A169" s="4">
        <v>19651628000428</v>
      </c>
      <c r="B169" s="7" t="s">
        <v>993</v>
      </c>
      <c r="C169" s="4"/>
      <c r="D169" s="1" t="s">
        <v>470</v>
      </c>
      <c r="E169" s="1" t="s">
        <v>35</v>
      </c>
      <c r="F169" s="1" t="s">
        <v>8</v>
      </c>
      <c r="G169" s="10" t="s">
        <v>9</v>
      </c>
      <c r="H169" s="1" t="s">
        <v>10</v>
      </c>
      <c r="I169" s="21" t="s">
        <v>1072</v>
      </c>
      <c r="J169" s="18">
        <v>6806.9426973570853</v>
      </c>
      <c r="K169" s="18">
        <f>VLOOKUP(A169,[1]Export!$A:$C,3,0)</f>
        <v>2256.6799999999998</v>
      </c>
      <c r="L169" s="19">
        <f t="shared" si="6"/>
        <v>0.33152622261330267</v>
      </c>
      <c r="M169" s="18">
        <f>VLOOKUP(A169,[1]Export!$A:$G,7,0)</f>
        <v>772.06</v>
      </c>
      <c r="N169" s="19">
        <f t="shared" si="7"/>
        <v>0.11342243270238866</v>
      </c>
      <c r="O169" s="17" t="s">
        <v>1027</v>
      </c>
      <c r="P169" s="17" t="s">
        <v>1028</v>
      </c>
      <c r="Q169" s="17" t="s">
        <v>1023</v>
      </c>
      <c r="R169" s="17" t="str">
        <f>VLOOKUP(A169,[2]Export!$A:$I,9,0)</f>
        <v>Comprou Marcas e SG</v>
      </c>
      <c r="S169" s="17" t="s">
        <v>1022</v>
      </c>
      <c r="T169" s="20"/>
      <c r="U169" s="17"/>
    </row>
    <row r="170" spans="1:21" x14ac:dyDescent="0.35">
      <c r="A170" s="5">
        <v>19651628000770</v>
      </c>
      <c r="B170" s="7" t="s">
        <v>993</v>
      </c>
      <c r="C170" s="4"/>
      <c r="D170" s="6" t="s">
        <v>104</v>
      </c>
      <c r="E170" s="6" t="s">
        <v>35</v>
      </c>
      <c r="F170" s="6" t="s">
        <v>8</v>
      </c>
      <c r="G170" s="11" t="s">
        <v>9</v>
      </c>
      <c r="H170" s="6" t="s">
        <v>10</v>
      </c>
      <c r="I170" s="21" t="s">
        <v>1072</v>
      </c>
      <c r="J170" s="18">
        <v>9186.7028109200364</v>
      </c>
      <c r="K170" s="18">
        <f>VLOOKUP(A170,[1]Export!$A:$C,3,0)</f>
        <v>3833.26</v>
      </c>
      <c r="L170" s="19">
        <f t="shared" si="6"/>
        <v>0.41726178356869087</v>
      </c>
      <c r="M170" s="18">
        <f>VLOOKUP(A170,[1]Export!$A:$G,7,0)</f>
        <v>2647.4600000000005</v>
      </c>
      <c r="N170" s="19">
        <f t="shared" si="7"/>
        <v>0.28818391696017659</v>
      </c>
      <c r="O170" s="17" t="s">
        <v>1027</v>
      </c>
      <c r="P170" s="17" t="s">
        <v>1028</v>
      </c>
      <c r="Q170" s="17" t="s">
        <v>1023</v>
      </c>
      <c r="R170" s="17" t="str">
        <f>VLOOKUP(A170,[2]Export!$A:$I,9,0)</f>
        <v>Comprou Marcas e SG</v>
      </c>
      <c r="S170" s="17" t="s">
        <v>1022</v>
      </c>
      <c r="T170" s="20">
        <v>3</v>
      </c>
      <c r="U170" s="17"/>
    </row>
    <row r="171" spans="1:21" x14ac:dyDescent="0.35">
      <c r="A171" s="5">
        <v>7139095000178</v>
      </c>
      <c r="B171" s="7"/>
      <c r="C171" s="4"/>
      <c r="D171" s="6" t="s">
        <v>261</v>
      </c>
      <c r="E171" s="6" t="s">
        <v>178</v>
      </c>
      <c r="F171" s="6" t="s">
        <v>15</v>
      </c>
      <c r="G171" s="11" t="s">
        <v>190</v>
      </c>
      <c r="H171" s="6" t="s">
        <v>17</v>
      </c>
      <c r="I171" s="21" t="s">
        <v>1075</v>
      </c>
      <c r="J171" s="18">
        <v>6521.4619802438056</v>
      </c>
      <c r="K171" s="18">
        <f>VLOOKUP(A171,[1]Export!$A:$C,3,0)</f>
        <v>1050.8500000000001</v>
      </c>
      <c r="L171" s="19">
        <f t="shared" si="6"/>
        <v>0.16113718107741143</v>
      </c>
      <c r="M171" s="18">
        <f>VLOOKUP(A171,[1]Export!$A:$G,7,0)</f>
        <v>0</v>
      </c>
      <c r="N171" s="19">
        <f t="shared" si="7"/>
        <v>0</v>
      </c>
      <c r="O171" s="17" t="s">
        <v>1025</v>
      </c>
      <c r="P171" s="17" t="s">
        <v>1026</v>
      </c>
      <c r="Q171" s="17" t="s">
        <v>1023</v>
      </c>
      <c r="R171" s="17" t="str">
        <f>VLOOKUP(A171,[2]Export!$A:$I,9,0)</f>
        <v>Não Comprou</v>
      </c>
      <c r="S171" s="17" t="s">
        <v>1022</v>
      </c>
      <c r="T171" s="20">
        <v>4</v>
      </c>
      <c r="U171" s="17"/>
    </row>
    <row r="172" spans="1:21" x14ac:dyDescent="0.35">
      <c r="A172" s="5">
        <v>24769226000110</v>
      </c>
      <c r="B172" s="7" t="s">
        <v>995</v>
      </c>
      <c r="C172" s="4"/>
      <c r="D172" s="6" t="s">
        <v>29</v>
      </c>
      <c r="E172" s="6" t="s">
        <v>115</v>
      </c>
      <c r="F172" s="6" t="s">
        <v>8</v>
      </c>
      <c r="G172" s="11" t="s">
        <v>9</v>
      </c>
      <c r="H172" s="6" t="s">
        <v>10</v>
      </c>
      <c r="I172" s="21" t="s">
        <v>1068</v>
      </c>
      <c r="J172" s="18">
        <v>41658.41111463643</v>
      </c>
      <c r="K172" s="18">
        <f>VLOOKUP(A172,[1]Export!$A:$C,3,0)</f>
        <v>19686.540000000012</v>
      </c>
      <c r="L172" s="19">
        <f t="shared" si="6"/>
        <v>0.47257059194663487</v>
      </c>
      <c r="M172" s="18">
        <f>VLOOKUP(A172,[1]Export!$A:$G,7,0)</f>
        <v>11625.949999999999</v>
      </c>
      <c r="N172" s="19">
        <f t="shared" si="7"/>
        <v>0.27907809464954103</v>
      </c>
      <c r="O172" s="17" t="s">
        <v>1027</v>
      </c>
      <c r="P172" s="17" t="s">
        <v>1028</v>
      </c>
      <c r="Q172" s="17" t="s">
        <v>1022</v>
      </c>
      <c r="R172" s="17" t="str">
        <f>VLOOKUP(A172,[2]Export!$A:$I,9,0)</f>
        <v>Comprou Marcas e SG</v>
      </c>
      <c r="S172" s="17" t="s">
        <v>1022</v>
      </c>
      <c r="T172" s="20"/>
      <c r="U172" s="17">
        <v>3</v>
      </c>
    </row>
    <row r="173" spans="1:21" x14ac:dyDescent="0.35">
      <c r="A173" s="5">
        <v>10689094000101</v>
      </c>
      <c r="B173" s="7"/>
      <c r="C173" s="4"/>
      <c r="D173" s="6" t="s">
        <v>262</v>
      </c>
      <c r="E173" s="6" t="s">
        <v>193</v>
      </c>
      <c r="F173" s="6" t="s">
        <v>194</v>
      </c>
      <c r="G173" s="11" t="s">
        <v>36</v>
      </c>
      <c r="H173" s="6" t="s">
        <v>17</v>
      </c>
      <c r="I173" s="21" t="s">
        <v>1070</v>
      </c>
      <c r="J173" s="18">
        <v>2686.5223856969251</v>
      </c>
      <c r="K173" s="18">
        <f>VLOOKUP(A173,[1]Export!$A:$C,3,0)</f>
        <v>92.67</v>
      </c>
      <c r="L173" s="19">
        <f t="shared" si="6"/>
        <v>3.4494408270474911E-2</v>
      </c>
      <c r="M173" s="18">
        <f>VLOOKUP(A173,[1]Export!$A:$G,7,0)</f>
        <v>0</v>
      </c>
      <c r="N173" s="19">
        <f t="shared" si="7"/>
        <v>0</v>
      </c>
      <c r="O173" s="17" t="s">
        <v>1025</v>
      </c>
      <c r="P173" s="17" t="s">
        <v>1026</v>
      </c>
      <c r="Q173" s="17" t="s">
        <v>1023</v>
      </c>
      <c r="R173" s="17" t="str">
        <f>VLOOKUP(A173,[2]Export!$A:$I,9,0)</f>
        <v>Não Comprou</v>
      </c>
      <c r="S173" s="17" t="s">
        <v>1023</v>
      </c>
      <c r="T173" s="20"/>
      <c r="U173" s="17"/>
    </row>
    <row r="174" spans="1:21" x14ac:dyDescent="0.35">
      <c r="A174" s="4">
        <v>11318768000124</v>
      </c>
      <c r="B174" s="7"/>
      <c r="C174" s="4"/>
      <c r="D174" s="1" t="s">
        <v>263</v>
      </c>
      <c r="E174" s="1" t="s">
        <v>98</v>
      </c>
      <c r="F174" s="1" t="s">
        <v>15</v>
      </c>
      <c r="G174" s="10" t="s">
        <v>87</v>
      </c>
      <c r="H174" s="1" t="s">
        <v>17</v>
      </c>
      <c r="I174" s="21" t="s">
        <v>1075</v>
      </c>
      <c r="J174" s="18">
        <v>8160.5485489288285</v>
      </c>
      <c r="K174" s="18">
        <f>VLOOKUP(A174,[1]Export!$A:$C,3,0)</f>
        <v>2510.54</v>
      </c>
      <c r="L174" s="19">
        <f t="shared" si="6"/>
        <v>0.3076435346162531</v>
      </c>
      <c r="M174" s="18">
        <f>VLOOKUP(A174,[1]Export!$A:$G,7,0)</f>
        <v>651.29999999999995</v>
      </c>
      <c r="N174" s="19">
        <f t="shared" si="7"/>
        <v>7.9810811257962674E-2</v>
      </c>
      <c r="O174" s="17" t="s">
        <v>1025</v>
      </c>
      <c r="P174" s="17" t="s">
        <v>1026</v>
      </c>
      <c r="Q174" s="17" t="s">
        <v>1023</v>
      </c>
      <c r="R174" s="17" t="str">
        <f>VLOOKUP(A174,[2]Export!$A:$I,9,0)</f>
        <v>Não Comprou</v>
      </c>
      <c r="S174" s="17" t="s">
        <v>1023</v>
      </c>
      <c r="T174" s="20">
        <v>1</v>
      </c>
      <c r="U174" s="17"/>
    </row>
    <row r="175" spans="1:21" x14ac:dyDescent="0.35">
      <c r="A175" s="5">
        <v>45924995000115</v>
      </c>
      <c r="B175" s="7"/>
      <c r="C175" s="4"/>
      <c r="D175" s="6" t="s">
        <v>264</v>
      </c>
      <c r="E175" s="6" t="s">
        <v>35</v>
      </c>
      <c r="F175" s="6" t="s">
        <v>8</v>
      </c>
      <c r="G175" s="11" t="s">
        <v>33</v>
      </c>
      <c r="H175" s="6" t="s">
        <v>17</v>
      </c>
      <c r="I175" s="21" t="s">
        <v>1072</v>
      </c>
      <c r="J175" s="18">
        <v>4752.5958535760847</v>
      </c>
      <c r="K175" s="18">
        <f>VLOOKUP(A175,[1]Export!$A:$C,3,0)</f>
        <v>1812.47</v>
      </c>
      <c r="L175" s="19">
        <f t="shared" si="6"/>
        <v>0.38136421775401108</v>
      </c>
      <c r="M175" s="18">
        <f>VLOOKUP(A175,[1]Export!$A:$G,7,0)</f>
        <v>1376.7299999999998</v>
      </c>
      <c r="N175" s="19">
        <f t="shared" si="7"/>
        <v>0.28967958614955258</v>
      </c>
      <c r="O175" s="17" t="s">
        <v>1029</v>
      </c>
      <c r="P175" s="17" t="s">
        <v>1026</v>
      </c>
      <c r="Q175" s="17" t="s">
        <v>1023</v>
      </c>
      <c r="R175" s="17" t="str">
        <f>VLOOKUP(A175,[2]Export!$A:$I,9,0)</f>
        <v>Comprou Marcas</v>
      </c>
      <c r="S175" s="17" t="s">
        <v>1022</v>
      </c>
      <c r="T175" s="20"/>
      <c r="U175" s="17"/>
    </row>
    <row r="176" spans="1:21" x14ac:dyDescent="0.35">
      <c r="A176" s="4">
        <v>45290499000157</v>
      </c>
      <c r="B176" s="7"/>
      <c r="C176" s="4"/>
      <c r="D176" s="1" t="s">
        <v>223</v>
      </c>
      <c r="E176" s="1" t="s">
        <v>265</v>
      </c>
      <c r="F176" s="1" t="s">
        <v>15</v>
      </c>
      <c r="G176" s="10" t="s">
        <v>16</v>
      </c>
      <c r="H176" s="1" t="s">
        <v>17</v>
      </c>
      <c r="I176" s="21" t="s">
        <v>1071</v>
      </c>
      <c r="J176" s="18">
        <v>11011.335182389987</v>
      </c>
      <c r="K176" s="18">
        <f>VLOOKUP(A176,[1]Export!$A:$C,3,0)</f>
        <v>2689.4400000000005</v>
      </c>
      <c r="L176" s="19">
        <f t="shared" si="6"/>
        <v>0.24424286023924879</v>
      </c>
      <c r="M176" s="18">
        <f>VLOOKUP(A176,[1]Export!$A:$G,7,0)</f>
        <v>0</v>
      </c>
      <c r="N176" s="19">
        <f t="shared" si="7"/>
        <v>0</v>
      </c>
      <c r="O176" s="17" t="s">
        <v>1029</v>
      </c>
      <c r="P176" s="17" t="s">
        <v>1026</v>
      </c>
      <c r="Q176" s="17" t="s">
        <v>1023</v>
      </c>
      <c r="R176" s="17" t="str">
        <f>VLOOKUP(A176,[2]Export!$A:$I,9,0)</f>
        <v>Não Comprou</v>
      </c>
      <c r="S176" s="17" t="s">
        <v>1022</v>
      </c>
      <c r="T176" s="20">
        <v>5</v>
      </c>
      <c r="U176" s="17"/>
    </row>
    <row r="177" spans="1:21" x14ac:dyDescent="0.35">
      <c r="A177" s="5">
        <v>7217112000229</v>
      </c>
      <c r="B177" s="7" t="s">
        <v>1002</v>
      </c>
      <c r="C177" s="4"/>
      <c r="D177" s="6" t="s">
        <v>266</v>
      </c>
      <c r="E177" s="6" t="s">
        <v>12</v>
      </c>
      <c r="F177" s="6" t="s">
        <v>8</v>
      </c>
      <c r="G177" s="11" t="s">
        <v>20</v>
      </c>
      <c r="H177" s="6" t="s">
        <v>17</v>
      </c>
      <c r="I177" s="21" t="s">
        <v>1068</v>
      </c>
      <c r="J177" s="18">
        <v>3872.4683115254188</v>
      </c>
      <c r="K177" s="18">
        <f>VLOOKUP(A177,[1]Export!$A:$C,3,0)</f>
        <v>205.88</v>
      </c>
      <c r="L177" s="19">
        <f t="shared" si="6"/>
        <v>5.3165057384007619E-2</v>
      </c>
      <c r="M177" s="18">
        <f>VLOOKUP(A177,[1]Export!$A:$G,7,0)</f>
        <v>0</v>
      </c>
      <c r="N177" s="19">
        <f t="shared" si="7"/>
        <v>0</v>
      </c>
      <c r="O177" s="17" t="s">
        <v>1027</v>
      </c>
      <c r="P177" s="17" t="s">
        <v>1028</v>
      </c>
      <c r="Q177" s="17" t="s">
        <v>1023</v>
      </c>
      <c r="R177" s="17" t="str">
        <f>VLOOKUP(A177,[2]Export!$A:$I,9,0)</f>
        <v>Não Comprou</v>
      </c>
      <c r="S177" s="17" t="s">
        <v>1022</v>
      </c>
      <c r="T177" s="20"/>
      <c r="U177" s="17"/>
    </row>
    <row r="178" spans="1:21" x14ac:dyDescent="0.35">
      <c r="A178" s="4">
        <v>7734117000148</v>
      </c>
      <c r="B178" s="7" t="s">
        <v>1003</v>
      </c>
      <c r="C178" s="4">
        <v>12589</v>
      </c>
      <c r="D178" s="1" t="s">
        <v>267</v>
      </c>
      <c r="E178" s="1" t="s">
        <v>146</v>
      </c>
      <c r="F178" s="1" t="s">
        <v>8</v>
      </c>
      <c r="G178" s="10" t="s">
        <v>36</v>
      </c>
      <c r="H178" s="1" t="s">
        <v>17</v>
      </c>
      <c r="I178" s="21" t="s">
        <v>1074</v>
      </c>
      <c r="J178" s="18">
        <v>10053.63029000498</v>
      </c>
      <c r="K178" s="18">
        <f>VLOOKUP(A178,[1]Export!$A:$C,3,0)</f>
        <v>899.98</v>
      </c>
      <c r="L178" s="19">
        <f t="shared" si="6"/>
        <v>8.9517912837389038E-2</v>
      </c>
      <c r="M178" s="18">
        <f>VLOOKUP(A178,[1]Export!$A:$G,7,0)</f>
        <v>137.85</v>
      </c>
      <c r="N178" s="19">
        <f t="shared" si="7"/>
        <v>1.3711465015482652E-2</v>
      </c>
      <c r="O178" s="17" t="s">
        <v>1025</v>
      </c>
      <c r="P178" s="17" t="s">
        <v>1026</v>
      </c>
      <c r="Q178" s="17" t="s">
        <v>1023</v>
      </c>
      <c r="R178" s="17" t="str">
        <f>VLOOKUP(A178,[2]Export!$A:$I,9,0)</f>
        <v>Comprou Marcas</v>
      </c>
      <c r="S178" s="17" t="s">
        <v>1022</v>
      </c>
      <c r="T178" s="20"/>
      <c r="U178" s="17"/>
    </row>
    <row r="179" spans="1:21" x14ac:dyDescent="0.35">
      <c r="A179" s="5">
        <v>7796647000110</v>
      </c>
      <c r="B179" s="7" t="s">
        <v>1003</v>
      </c>
      <c r="C179" s="4"/>
      <c r="D179" s="6" t="s">
        <v>268</v>
      </c>
      <c r="E179" s="6" t="s">
        <v>146</v>
      </c>
      <c r="F179" s="6" t="s">
        <v>8</v>
      </c>
      <c r="G179" s="11" t="s">
        <v>36</v>
      </c>
      <c r="H179" s="6" t="s">
        <v>17</v>
      </c>
      <c r="I179" s="21" t="s">
        <v>1074</v>
      </c>
      <c r="J179" s="18">
        <v>7863.0767675222314</v>
      </c>
      <c r="K179" s="18">
        <f>VLOOKUP(A179,[1]Export!$A:$C,3,0)</f>
        <v>751.49000000000012</v>
      </c>
      <c r="L179" s="19">
        <f t="shared" si="6"/>
        <v>9.5572003455945589E-2</v>
      </c>
      <c r="M179" s="18">
        <f>VLOOKUP(A179,[1]Export!$A:$G,7,0)</f>
        <v>137.85</v>
      </c>
      <c r="N179" s="19">
        <f t="shared" si="7"/>
        <v>1.753130537519075E-2</v>
      </c>
      <c r="O179" s="17" t="s">
        <v>1025</v>
      </c>
      <c r="P179" s="17" t="s">
        <v>1026</v>
      </c>
      <c r="Q179" s="17" t="s">
        <v>1023</v>
      </c>
      <c r="R179" s="17" t="str">
        <f>VLOOKUP(A179,[2]Export!$A:$I,9,0)</f>
        <v>Comprou Marcas</v>
      </c>
      <c r="S179" s="17" t="s">
        <v>1022</v>
      </c>
      <c r="T179" s="20"/>
      <c r="U179" s="17"/>
    </row>
    <row r="180" spans="1:21" x14ac:dyDescent="0.35">
      <c r="A180" s="4">
        <v>9039622000360</v>
      </c>
      <c r="B180" s="7" t="s">
        <v>1004</v>
      </c>
      <c r="C180" s="4"/>
      <c r="D180" s="1" t="s">
        <v>165</v>
      </c>
      <c r="E180" s="1" t="s">
        <v>40</v>
      </c>
      <c r="F180" s="1" t="s">
        <v>8</v>
      </c>
      <c r="G180" s="10" t="s">
        <v>36</v>
      </c>
      <c r="H180" s="1" t="s">
        <v>17</v>
      </c>
      <c r="I180" s="21" t="s">
        <v>1072</v>
      </c>
      <c r="J180" s="18">
        <v>12744.097746034091</v>
      </c>
      <c r="K180" s="18">
        <f>VLOOKUP(A180,[1]Export!$A:$C,3,0)</f>
        <v>7216.2399999999989</v>
      </c>
      <c r="L180" s="19">
        <f t="shared" si="6"/>
        <v>0.566241733530776</v>
      </c>
      <c r="M180" s="18">
        <f>VLOOKUP(A180,[1]Export!$A:$G,7,0)</f>
        <v>11961.059999999996</v>
      </c>
      <c r="N180" s="19">
        <f t="shared" si="7"/>
        <v>0.93855683143376911</v>
      </c>
      <c r="O180" s="17" t="s">
        <v>1025</v>
      </c>
      <c r="P180" s="17" t="s">
        <v>1026</v>
      </c>
      <c r="Q180" s="17" t="s">
        <v>1022</v>
      </c>
      <c r="R180" s="17" t="str">
        <f>VLOOKUP(A180,[2]Export!$A:$I,9,0)</f>
        <v>Comprou Marcas e SG</v>
      </c>
      <c r="S180" s="17" t="s">
        <v>1022</v>
      </c>
      <c r="T180" s="20">
        <v>4</v>
      </c>
      <c r="U180" s="17"/>
    </row>
    <row r="181" spans="1:21" x14ac:dyDescent="0.35">
      <c r="A181" s="5">
        <v>53889242000144</v>
      </c>
      <c r="B181" s="7"/>
      <c r="C181" s="4"/>
      <c r="D181" s="6" t="s">
        <v>269</v>
      </c>
      <c r="E181" s="6" t="s">
        <v>270</v>
      </c>
      <c r="F181" s="6" t="s">
        <v>48</v>
      </c>
      <c r="G181" s="11" t="s">
        <v>80</v>
      </c>
      <c r="H181" s="6" t="s">
        <v>17</v>
      </c>
      <c r="I181" s="21" t="s">
        <v>1075</v>
      </c>
      <c r="J181" s="18">
        <v>8815.6539094857562</v>
      </c>
      <c r="K181" s="18">
        <f>VLOOKUP(A181,[1]Export!$A:$C,3,0)</f>
        <v>2373.89</v>
      </c>
      <c r="L181" s="19">
        <f t="shared" si="6"/>
        <v>0.26928121548030193</v>
      </c>
      <c r="M181" s="18">
        <f>VLOOKUP(A181,[1]Export!$A:$G,7,0)</f>
        <v>0</v>
      </c>
      <c r="N181" s="19">
        <f t="shared" si="7"/>
        <v>0</v>
      </c>
      <c r="O181" s="17" t="s">
        <v>1029</v>
      </c>
      <c r="P181" s="17" t="s">
        <v>1026</v>
      </c>
      <c r="Q181" s="17" t="s">
        <v>1023</v>
      </c>
      <c r="R181" s="17" t="str">
        <f>VLOOKUP(A181,[2]Export!$A:$I,9,0)</f>
        <v>Não Comprou</v>
      </c>
      <c r="S181" s="17" t="s">
        <v>1022</v>
      </c>
      <c r="T181" s="20"/>
      <c r="U181" s="17"/>
    </row>
    <row r="182" spans="1:21" x14ac:dyDescent="0.35">
      <c r="A182" s="4">
        <v>58750720000154</v>
      </c>
      <c r="B182" s="7"/>
      <c r="C182" s="4">
        <v>1488</v>
      </c>
      <c r="D182" s="1" t="s">
        <v>271</v>
      </c>
      <c r="E182" s="1" t="s">
        <v>272</v>
      </c>
      <c r="F182" s="1" t="s">
        <v>48</v>
      </c>
      <c r="G182" s="10" t="s">
        <v>20</v>
      </c>
      <c r="H182" s="1" t="s">
        <v>17</v>
      </c>
      <c r="I182" s="21" t="s">
        <v>1073</v>
      </c>
      <c r="J182" s="18">
        <v>5673.4816686489103</v>
      </c>
      <c r="K182" s="18">
        <f>VLOOKUP(A182,[1]Export!$A:$C,3,0)</f>
        <v>1469.3200000000002</v>
      </c>
      <c r="L182" s="19">
        <f t="shared" si="6"/>
        <v>0.25898030271593453</v>
      </c>
      <c r="M182" s="18">
        <f>VLOOKUP(A182,[1]Export!$A:$G,7,0)</f>
        <v>861.5100000000001</v>
      </c>
      <c r="N182" s="19">
        <f t="shared" si="7"/>
        <v>0.15184855619797236</v>
      </c>
      <c r="O182" s="17" t="s">
        <v>1029</v>
      </c>
      <c r="P182" s="17" t="s">
        <v>1026</v>
      </c>
      <c r="Q182" s="17" t="s">
        <v>1023</v>
      </c>
      <c r="R182" s="17" t="str">
        <f>VLOOKUP(A182,[2]Export!$A:$I,9,0)</f>
        <v>Comprou Marcas</v>
      </c>
      <c r="S182" s="17" t="s">
        <v>1022</v>
      </c>
      <c r="T182" s="20"/>
      <c r="U182" s="17"/>
    </row>
    <row r="183" spans="1:21" x14ac:dyDescent="0.35">
      <c r="A183" s="5">
        <v>60919809000143</v>
      </c>
      <c r="B183" s="7"/>
      <c r="C183" s="4"/>
      <c r="D183" s="6" t="s">
        <v>273</v>
      </c>
      <c r="E183" s="6" t="s">
        <v>94</v>
      </c>
      <c r="F183" s="6" t="s">
        <v>15</v>
      </c>
      <c r="G183" s="11" t="s">
        <v>36</v>
      </c>
      <c r="H183" s="6" t="s">
        <v>17</v>
      </c>
      <c r="I183" s="21" t="s">
        <v>1071</v>
      </c>
      <c r="J183" s="18">
        <v>4053.2231692512096</v>
      </c>
      <c r="K183" s="18">
        <f>VLOOKUP(A183,[1]Export!$A:$C,3,0)</f>
        <v>739.7</v>
      </c>
      <c r="L183" s="19">
        <f t="shared" si="6"/>
        <v>0.18249673632864677</v>
      </c>
      <c r="M183" s="18">
        <f>VLOOKUP(A183,[1]Export!$A:$G,7,0)</f>
        <v>0</v>
      </c>
      <c r="N183" s="19">
        <f t="shared" si="7"/>
        <v>0</v>
      </c>
      <c r="O183" s="17" t="s">
        <v>1029</v>
      </c>
      <c r="P183" s="17" t="s">
        <v>1026</v>
      </c>
      <c r="Q183" s="17" t="s">
        <v>1022</v>
      </c>
      <c r="R183" s="17" t="str">
        <f>VLOOKUP(A183,[2]Export!$A:$I,9,0)</f>
        <v>Não Comprou</v>
      </c>
      <c r="S183" s="17" t="s">
        <v>1023</v>
      </c>
      <c r="T183" s="20"/>
      <c r="U183" s="17"/>
    </row>
    <row r="184" spans="1:21" x14ac:dyDescent="0.35">
      <c r="A184" s="4">
        <v>47468096000180</v>
      </c>
      <c r="B184" s="7"/>
      <c r="C184" s="4"/>
      <c r="D184" s="1" t="s">
        <v>274</v>
      </c>
      <c r="E184" s="1" t="s">
        <v>275</v>
      </c>
      <c r="F184" s="1" t="s">
        <v>15</v>
      </c>
      <c r="G184" s="10" t="s">
        <v>33</v>
      </c>
      <c r="H184" s="1" t="s">
        <v>17</v>
      </c>
      <c r="I184" s="21" t="s">
        <v>1075</v>
      </c>
      <c r="J184" s="18">
        <v>4446.8679660960051</v>
      </c>
      <c r="K184" s="18">
        <f>VLOOKUP(A184,[1]Export!$A:$C,3,0)</f>
        <v>1192.48</v>
      </c>
      <c r="L184" s="19">
        <f t="shared" si="6"/>
        <v>0.26816177343059328</v>
      </c>
      <c r="M184" s="18">
        <f>VLOOKUP(A184,[1]Export!$A:$G,7,0)</f>
        <v>226.8</v>
      </c>
      <c r="N184" s="19">
        <f t="shared" si="7"/>
        <v>5.1002188895460349E-2</v>
      </c>
      <c r="O184" s="17" t="s">
        <v>1027</v>
      </c>
      <c r="P184" s="17" t="s">
        <v>1028</v>
      </c>
      <c r="Q184" s="17" t="s">
        <v>1023</v>
      </c>
      <c r="R184" s="17" t="str">
        <f>VLOOKUP(A184,[2]Export!$A:$I,9,0)</f>
        <v>Comprou Marcas</v>
      </c>
      <c r="S184" s="17" t="s">
        <v>1022</v>
      </c>
      <c r="T184" s="20"/>
      <c r="U184" s="17"/>
    </row>
    <row r="185" spans="1:21" x14ac:dyDescent="0.35">
      <c r="A185" s="5">
        <v>49182677000187</v>
      </c>
      <c r="B185" s="7"/>
      <c r="C185" s="4"/>
      <c r="D185" s="6" t="s">
        <v>230</v>
      </c>
      <c r="E185" s="6" t="s">
        <v>50</v>
      </c>
      <c r="F185" s="6" t="s">
        <v>48</v>
      </c>
      <c r="G185" s="11" t="s">
        <v>276</v>
      </c>
      <c r="H185" s="6" t="s">
        <v>17</v>
      </c>
      <c r="I185" s="21" t="s">
        <v>1073</v>
      </c>
      <c r="J185" s="18">
        <v>2109.3872524554699</v>
      </c>
      <c r="K185" s="18">
        <f>VLOOKUP(A185,[1]Export!$A:$C,3,0)</f>
        <v>158.99</v>
      </c>
      <c r="L185" s="19">
        <f t="shared" si="6"/>
        <v>7.5372599229906634E-2</v>
      </c>
      <c r="M185" s="18">
        <f>VLOOKUP(A185,[1]Export!$A:$G,7,0)</f>
        <v>0</v>
      </c>
      <c r="N185" s="19">
        <f t="shared" si="7"/>
        <v>0</v>
      </c>
      <c r="O185" s="17" t="s">
        <v>1029</v>
      </c>
      <c r="P185" s="17" t="s">
        <v>1026</v>
      </c>
      <c r="Q185" s="17" t="s">
        <v>1022</v>
      </c>
      <c r="R185" s="17" t="str">
        <f>VLOOKUP(A185,[2]Export!$A:$I,9,0)</f>
        <v>Não Comprou</v>
      </c>
      <c r="S185" s="17" t="s">
        <v>1023</v>
      </c>
      <c r="T185" s="20"/>
      <c r="U185" s="17"/>
    </row>
    <row r="186" spans="1:21" x14ac:dyDescent="0.35">
      <c r="A186" s="4">
        <v>52479223000187</v>
      </c>
      <c r="B186" s="7"/>
      <c r="C186" s="4"/>
      <c r="D186" s="1" t="s">
        <v>277</v>
      </c>
      <c r="E186" s="1" t="s">
        <v>182</v>
      </c>
      <c r="F186" s="1" t="s">
        <v>8</v>
      </c>
      <c r="G186" s="10" t="s">
        <v>74</v>
      </c>
      <c r="H186" s="1" t="s">
        <v>17</v>
      </c>
      <c r="I186" s="21" t="s">
        <v>1074</v>
      </c>
      <c r="J186" s="18">
        <v>2143.6029904611223</v>
      </c>
      <c r="K186" s="18">
        <f>VLOOKUP(A186,[1]Export!$A:$C,3,0)</f>
        <v>227.63</v>
      </c>
      <c r="L186" s="19">
        <f t="shared" si="6"/>
        <v>0.10619037247705707</v>
      </c>
      <c r="M186" s="18">
        <f>VLOOKUP(A186,[1]Export!$A:$G,7,0)</f>
        <v>0</v>
      </c>
      <c r="N186" s="19">
        <f t="shared" si="7"/>
        <v>0</v>
      </c>
      <c r="O186" s="17" t="s">
        <v>1029</v>
      </c>
      <c r="P186" s="17" t="s">
        <v>1026</v>
      </c>
      <c r="Q186" s="17" t="s">
        <v>1022</v>
      </c>
      <c r="R186" s="17" t="str">
        <f>VLOOKUP(A186,[2]Export!$A:$I,9,0)</f>
        <v>Não Comprou</v>
      </c>
      <c r="S186" s="17" t="s">
        <v>1023</v>
      </c>
      <c r="T186" s="20"/>
      <c r="U186" s="17"/>
    </row>
    <row r="187" spans="1:21" x14ac:dyDescent="0.35">
      <c r="A187" s="5">
        <v>53284997000115</v>
      </c>
      <c r="B187" s="7"/>
      <c r="C187" s="4"/>
      <c r="D187" s="6" t="s">
        <v>278</v>
      </c>
      <c r="E187" s="6" t="s">
        <v>35</v>
      </c>
      <c r="F187" s="6" t="s">
        <v>8</v>
      </c>
      <c r="G187" s="11" t="s">
        <v>279</v>
      </c>
      <c r="H187" s="6" t="s">
        <v>17</v>
      </c>
      <c r="I187" s="21" t="s">
        <v>1072</v>
      </c>
      <c r="J187" s="18">
        <v>3368.4664161046585</v>
      </c>
      <c r="K187" s="18">
        <f>VLOOKUP(A187,[1]Export!$A:$C,3,0)</f>
        <v>519.7399999999999</v>
      </c>
      <c r="L187" s="19">
        <f t="shared" si="6"/>
        <v>0.15429573455597473</v>
      </c>
      <c r="M187" s="18">
        <f>VLOOKUP(A187,[1]Export!$A:$G,7,0)</f>
        <v>0</v>
      </c>
      <c r="N187" s="19">
        <f t="shared" si="7"/>
        <v>0</v>
      </c>
      <c r="O187" s="17" t="s">
        <v>1027</v>
      </c>
      <c r="P187" s="17" t="s">
        <v>1028</v>
      </c>
      <c r="Q187" s="17" t="s">
        <v>1023</v>
      </c>
      <c r="R187" s="17" t="str">
        <f>VLOOKUP(A187,[2]Export!$A:$I,9,0)</f>
        <v>Não Comprou</v>
      </c>
      <c r="S187" s="17" t="s">
        <v>1022</v>
      </c>
      <c r="T187" s="20"/>
      <c r="U187" s="17"/>
    </row>
    <row r="188" spans="1:21" x14ac:dyDescent="0.35">
      <c r="A188" s="4">
        <v>53548149000176</v>
      </c>
      <c r="B188" s="7"/>
      <c r="C188" s="4"/>
      <c r="D188" s="1" t="s">
        <v>280</v>
      </c>
      <c r="E188" s="1" t="s">
        <v>43</v>
      </c>
      <c r="F188" s="1" t="s">
        <v>8</v>
      </c>
      <c r="G188" s="10" t="s">
        <v>20</v>
      </c>
      <c r="H188" s="1" t="s">
        <v>17</v>
      </c>
      <c r="I188" s="21" t="s">
        <v>1070</v>
      </c>
      <c r="J188" s="18">
        <v>1977.4674903859116</v>
      </c>
      <c r="K188" s="18">
        <f>VLOOKUP(A188,[1]Export!$A:$C,3,0)</f>
        <v>461.94000000000005</v>
      </c>
      <c r="L188" s="19">
        <f t="shared" si="6"/>
        <v>0.23360181760047566</v>
      </c>
      <c r="M188" s="18">
        <f>VLOOKUP(A188,[1]Export!$A:$G,7,0)</f>
        <v>0</v>
      </c>
      <c r="N188" s="19">
        <f t="shared" si="7"/>
        <v>0</v>
      </c>
      <c r="O188" s="17" t="s">
        <v>1025</v>
      </c>
      <c r="P188" s="17" t="s">
        <v>1026</v>
      </c>
      <c r="Q188" s="17" t="s">
        <v>1022</v>
      </c>
      <c r="R188" s="17" t="str">
        <f>VLOOKUP(A188,[2]Export!$A:$I,9,0)</f>
        <v>Não Comprou</v>
      </c>
      <c r="S188" s="17" t="s">
        <v>1023</v>
      </c>
      <c r="T188" s="20"/>
      <c r="U188" s="17"/>
    </row>
    <row r="189" spans="1:21" x14ac:dyDescent="0.35">
      <c r="A189" s="5">
        <v>40190327000198</v>
      </c>
      <c r="B189" s="7"/>
      <c r="C189" s="4"/>
      <c r="D189" s="6" t="s">
        <v>281</v>
      </c>
      <c r="E189" s="6" t="s">
        <v>193</v>
      </c>
      <c r="F189" s="6" t="s">
        <v>194</v>
      </c>
      <c r="G189" s="11" t="s">
        <v>20</v>
      </c>
      <c r="H189" s="6" t="s">
        <v>17</v>
      </c>
      <c r="I189" s="21" t="s">
        <v>1070</v>
      </c>
      <c r="J189" s="18">
        <v>1300.8904896566462</v>
      </c>
      <c r="K189" s="18">
        <f>VLOOKUP(A189,[1]Export!$A:$C,3,0)</f>
        <v>257.27</v>
      </c>
      <c r="L189" s="19">
        <f t="shared" si="6"/>
        <v>0.19776453286848394</v>
      </c>
      <c r="M189" s="18">
        <f>VLOOKUP(A189,[1]Export!$A:$G,7,0)</f>
        <v>0</v>
      </c>
      <c r="N189" s="19">
        <f t="shared" si="7"/>
        <v>0</v>
      </c>
      <c r="O189" s="17" t="s">
        <v>1025</v>
      </c>
      <c r="P189" s="17" t="s">
        <v>1026</v>
      </c>
      <c r="Q189" s="17" t="s">
        <v>1023</v>
      </c>
      <c r="R189" s="17" t="str">
        <f>VLOOKUP(A189,[2]Export!$A:$I,9,0)</f>
        <v>Não Comprou</v>
      </c>
      <c r="S189" s="17" t="s">
        <v>1023</v>
      </c>
      <c r="T189" s="20"/>
      <c r="U189" s="17"/>
    </row>
    <row r="190" spans="1:21" x14ac:dyDescent="0.35">
      <c r="A190" s="4">
        <v>40584253000174</v>
      </c>
      <c r="B190" s="7"/>
      <c r="C190" s="4"/>
      <c r="D190" s="1" t="s">
        <v>282</v>
      </c>
      <c r="E190" s="1" t="s">
        <v>208</v>
      </c>
      <c r="F190" s="1" t="s">
        <v>15</v>
      </c>
      <c r="G190" s="10" t="s">
        <v>20</v>
      </c>
      <c r="H190" s="1" t="s">
        <v>17</v>
      </c>
      <c r="I190" s="21" t="s">
        <v>1069</v>
      </c>
      <c r="J190" s="18">
        <v>3412.3832869686516</v>
      </c>
      <c r="K190" s="18">
        <f>VLOOKUP(A190,[1]Export!$A:$C,3,0)</f>
        <v>236.2</v>
      </c>
      <c r="L190" s="19">
        <f t="shared" si="6"/>
        <v>6.9218484600487337E-2</v>
      </c>
      <c r="M190" s="18">
        <f>VLOOKUP(A190,[1]Export!$A:$G,7,0)</f>
        <v>1186.9000000000001</v>
      </c>
      <c r="N190" s="19">
        <f t="shared" si="7"/>
        <v>0.34782141986586973</v>
      </c>
      <c r="O190" s="17" t="s">
        <v>1025</v>
      </c>
      <c r="P190" s="17" t="s">
        <v>1026</v>
      </c>
      <c r="Q190" s="17" t="s">
        <v>1022</v>
      </c>
      <c r="R190" s="17" t="str">
        <f>VLOOKUP(A190,[2]Export!$A:$I,9,0)</f>
        <v>Não Comprou</v>
      </c>
      <c r="S190" s="17" t="s">
        <v>1023</v>
      </c>
      <c r="T190" s="20"/>
      <c r="U190" s="17"/>
    </row>
    <row r="191" spans="1:21" x14ac:dyDescent="0.35">
      <c r="A191" s="5">
        <v>42070773000275</v>
      </c>
      <c r="B191" s="7"/>
      <c r="C191" s="4"/>
      <c r="D191" s="6" t="s">
        <v>283</v>
      </c>
      <c r="E191" s="6" t="s">
        <v>100</v>
      </c>
      <c r="F191" s="6" t="s">
        <v>15</v>
      </c>
      <c r="G191" s="11" t="s">
        <v>190</v>
      </c>
      <c r="H191" s="6" t="s">
        <v>17</v>
      </c>
      <c r="I191" s="21" t="s">
        <v>1075</v>
      </c>
      <c r="J191" s="18">
        <v>12793.213878944351</v>
      </c>
      <c r="K191" s="18">
        <f>VLOOKUP(A191,[1]Export!$A:$C,3,0)</f>
        <v>6313.67</v>
      </c>
      <c r="L191" s="19">
        <f t="shared" si="6"/>
        <v>0.49351711460021186</v>
      </c>
      <c r="M191" s="18">
        <f>VLOOKUP(A191,[1]Export!$A:$G,7,0)</f>
        <v>2999.42</v>
      </c>
      <c r="N191" s="19">
        <f t="shared" si="7"/>
        <v>0.23445398696386849</v>
      </c>
      <c r="O191" s="17" t="s">
        <v>1027</v>
      </c>
      <c r="P191" s="17" t="s">
        <v>1028</v>
      </c>
      <c r="Q191" s="17" t="s">
        <v>1023</v>
      </c>
      <c r="R191" s="17" t="str">
        <f>VLOOKUP(A191,[2]Export!$A:$I,9,0)</f>
        <v>Comprou Marcas</v>
      </c>
      <c r="S191" s="17" t="s">
        <v>1022</v>
      </c>
      <c r="T191" s="20"/>
      <c r="U191" s="17"/>
    </row>
    <row r="192" spans="1:21" x14ac:dyDescent="0.35">
      <c r="A192" s="4">
        <v>52837594000193</v>
      </c>
      <c r="B192" s="7"/>
      <c r="C192" s="4"/>
      <c r="D192" s="1" t="s">
        <v>284</v>
      </c>
      <c r="E192" s="1" t="s">
        <v>285</v>
      </c>
      <c r="F192" s="1" t="s">
        <v>8</v>
      </c>
      <c r="G192" s="10" t="s">
        <v>20</v>
      </c>
      <c r="H192" s="1" t="s">
        <v>17</v>
      </c>
      <c r="I192" s="21" t="s">
        <v>1068</v>
      </c>
      <c r="J192" s="18">
        <v>5123.3965920924556</v>
      </c>
      <c r="K192" s="18">
        <f>VLOOKUP(A192,[1]Export!$A:$C,3,0)</f>
        <v>2291.7600000000002</v>
      </c>
      <c r="L192" s="19">
        <f t="shared" si="6"/>
        <v>0.44731262919156889</v>
      </c>
      <c r="M192" s="18">
        <f>VLOOKUP(A192,[1]Export!$A:$G,7,0)</f>
        <v>0</v>
      </c>
      <c r="N192" s="19">
        <f t="shared" si="7"/>
        <v>0</v>
      </c>
      <c r="O192" s="17" t="s">
        <v>1025</v>
      </c>
      <c r="P192" s="17" t="s">
        <v>1026</v>
      </c>
      <c r="Q192" s="17" t="s">
        <v>1023</v>
      </c>
      <c r="R192" s="17" t="str">
        <f>VLOOKUP(A192,[2]Export!$A:$I,9,0)</f>
        <v>Não Comprou</v>
      </c>
      <c r="S192" s="17" t="s">
        <v>1023</v>
      </c>
      <c r="T192" s="20"/>
      <c r="U192" s="17"/>
    </row>
    <row r="193" spans="1:21" x14ac:dyDescent="0.35">
      <c r="A193" s="5">
        <v>53446228000176</v>
      </c>
      <c r="B193" s="7"/>
      <c r="C193" s="4"/>
      <c r="D193" s="6" t="s">
        <v>286</v>
      </c>
      <c r="E193" s="6" t="s">
        <v>152</v>
      </c>
      <c r="F193" s="6" t="s">
        <v>8</v>
      </c>
      <c r="G193" s="11" t="s">
        <v>74</v>
      </c>
      <c r="H193" s="6" t="s">
        <v>17</v>
      </c>
      <c r="I193" s="21" t="s">
        <v>1070</v>
      </c>
      <c r="J193" s="18">
        <v>1804.183301814257</v>
      </c>
      <c r="K193" s="18">
        <f>VLOOKUP(A193,[1]Export!$A:$C,3,0)</f>
        <v>348.28</v>
      </c>
      <c r="L193" s="19">
        <f t="shared" si="6"/>
        <v>0.19304025242322959</v>
      </c>
      <c r="M193" s="18">
        <f>VLOOKUP(A193,[1]Export!$A:$G,7,0)</f>
        <v>0</v>
      </c>
      <c r="N193" s="19">
        <f t="shared" si="7"/>
        <v>0</v>
      </c>
      <c r="O193" s="17" t="s">
        <v>1029</v>
      </c>
      <c r="P193" s="17" t="s">
        <v>1026</v>
      </c>
      <c r="Q193" s="17" t="s">
        <v>1022</v>
      </c>
      <c r="R193" s="17" t="str">
        <f>VLOOKUP(A193,[2]Export!$A:$I,9,0)</f>
        <v>Não Comprou</v>
      </c>
      <c r="S193" s="17" t="s">
        <v>1023</v>
      </c>
      <c r="T193" s="20"/>
      <c r="U193" s="17"/>
    </row>
    <row r="194" spans="1:21" x14ac:dyDescent="0.35">
      <c r="A194" s="4">
        <v>33540619000148</v>
      </c>
      <c r="B194" s="7"/>
      <c r="C194" s="4"/>
      <c r="D194" s="1" t="s">
        <v>887</v>
      </c>
      <c r="E194" s="1" t="s">
        <v>52</v>
      </c>
      <c r="F194" s="1" t="s">
        <v>8</v>
      </c>
      <c r="G194" s="10" t="s">
        <v>38</v>
      </c>
      <c r="H194" s="1" t="s">
        <v>17</v>
      </c>
      <c r="I194" s="21" t="s">
        <v>1074</v>
      </c>
      <c r="J194" s="18">
        <v>12791.99905464847</v>
      </c>
      <c r="K194" s="18">
        <f>VLOOKUP(A194,[1]Export!$A:$C,3,0)</f>
        <v>3317.2999999999997</v>
      </c>
      <c r="L194" s="19">
        <f t="shared" si="6"/>
        <v>0.2593261605030005</v>
      </c>
      <c r="M194" s="18">
        <f>VLOOKUP(A194,[1]Export!$A:$G,7,0)</f>
        <v>0</v>
      </c>
      <c r="N194" s="19">
        <f t="shared" si="7"/>
        <v>0</v>
      </c>
      <c r="O194" s="17" t="s">
        <v>1025</v>
      </c>
      <c r="P194" s="17" t="s">
        <v>1026</v>
      </c>
      <c r="Q194" s="17" t="s">
        <v>1023</v>
      </c>
      <c r="R194" s="17" t="str">
        <f>VLOOKUP(A194,[2]Export!$A:$I,9,0)</f>
        <v>Não Comprou</v>
      </c>
      <c r="S194" s="17" t="s">
        <v>1022</v>
      </c>
      <c r="T194" s="20"/>
      <c r="U194" s="17"/>
    </row>
    <row r="195" spans="1:21" x14ac:dyDescent="0.35">
      <c r="A195" s="5">
        <v>42569761000109</v>
      </c>
      <c r="B195" s="7"/>
      <c r="C195" s="4"/>
      <c r="D195" s="6" t="s">
        <v>287</v>
      </c>
      <c r="E195" s="6" t="s">
        <v>98</v>
      </c>
      <c r="F195" s="6" t="s">
        <v>15</v>
      </c>
      <c r="G195" s="11" t="s">
        <v>197</v>
      </c>
      <c r="H195" s="6" t="s">
        <v>17</v>
      </c>
      <c r="I195" s="21" t="s">
        <v>1075</v>
      </c>
      <c r="J195" s="18">
        <v>6673.5765250154564</v>
      </c>
      <c r="K195" s="18">
        <f>VLOOKUP(A195,[1]Export!$A:$C,3,0)</f>
        <v>831.49</v>
      </c>
      <c r="L195" s="19">
        <f t="shared" si="6"/>
        <v>0.12459436059258708</v>
      </c>
      <c r="M195" s="18">
        <f>VLOOKUP(A195,[1]Export!$A:$G,7,0)</f>
        <v>2210.5</v>
      </c>
      <c r="N195" s="19">
        <f t="shared" si="7"/>
        <v>0.3312316853959924</v>
      </c>
      <c r="O195" s="17" t="s">
        <v>1027</v>
      </c>
      <c r="P195" s="17" t="s">
        <v>1026</v>
      </c>
      <c r="Q195" s="17" t="s">
        <v>1023</v>
      </c>
      <c r="R195" s="17" t="str">
        <f>VLOOKUP(A195,[2]Export!$A:$I,9,0)</f>
        <v>Comprou Marcas</v>
      </c>
      <c r="S195" s="17" t="s">
        <v>1022</v>
      </c>
      <c r="T195" s="20"/>
      <c r="U195" s="17"/>
    </row>
    <row r="196" spans="1:21" x14ac:dyDescent="0.35">
      <c r="A196" s="4">
        <v>43002849000107</v>
      </c>
      <c r="B196" s="7"/>
      <c r="C196" s="4"/>
      <c r="D196" s="1" t="s">
        <v>288</v>
      </c>
      <c r="E196" s="1" t="s">
        <v>272</v>
      </c>
      <c r="F196" s="1" t="s">
        <v>48</v>
      </c>
      <c r="G196" s="10" t="s">
        <v>20</v>
      </c>
      <c r="H196" s="1" t="s">
        <v>17</v>
      </c>
      <c r="I196" s="21" t="s">
        <v>1073</v>
      </c>
      <c r="J196" s="18">
        <v>5315.7437625572375</v>
      </c>
      <c r="K196" s="18">
        <f>VLOOKUP(A196,[1]Export!$A:$C,3,0)</f>
        <v>2120.11</v>
      </c>
      <c r="L196" s="19">
        <f t="shared" si="6"/>
        <v>0.39883600389723861</v>
      </c>
      <c r="M196" s="18">
        <f>VLOOKUP(A196,[1]Export!$A:$G,7,0)</f>
        <v>1123.27</v>
      </c>
      <c r="N196" s="19">
        <f t="shared" si="7"/>
        <v>0.21131003490274144</v>
      </c>
      <c r="O196" s="17" t="s">
        <v>1025</v>
      </c>
      <c r="P196" s="17" t="s">
        <v>1026</v>
      </c>
      <c r="Q196" s="17" t="s">
        <v>1023</v>
      </c>
      <c r="R196" s="17" t="str">
        <f>VLOOKUP(A196,[2]Export!$A:$I,9,0)</f>
        <v>Comprou Marcas</v>
      </c>
      <c r="S196" s="17" t="s">
        <v>1022</v>
      </c>
      <c r="T196" s="20"/>
      <c r="U196" s="17"/>
    </row>
    <row r="197" spans="1:21" x14ac:dyDescent="0.35">
      <c r="A197" s="5">
        <v>8986750000277</v>
      </c>
      <c r="B197" s="7"/>
      <c r="C197" s="4"/>
      <c r="D197" s="6" t="s">
        <v>289</v>
      </c>
      <c r="E197" s="6" t="s">
        <v>14</v>
      </c>
      <c r="F197" s="6" t="s">
        <v>15</v>
      </c>
      <c r="G197" s="11" t="s">
        <v>36</v>
      </c>
      <c r="H197" s="6" t="s">
        <v>17</v>
      </c>
      <c r="I197" s="21" t="s">
        <v>1069</v>
      </c>
      <c r="J197" s="18">
        <v>2549.3682453426709</v>
      </c>
      <c r="K197" s="18">
        <f>VLOOKUP(A197,[1]Export!$A:$C,3,0)</f>
        <v>340.53999999999996</v>
      </c>
      <c r="L197" s="19">
        <f t="shared" si="6"/>
        <v>0.1335781916253635</v>
      </c>
      <c r="M197" s="18">
        <f>VLOOKUP(A197,[1]Export!$A:$G,7,0)</f>
        <v>1737.1800000000003</v>
      </c>
      <c r="N197" s="19">
        <f t="shared" si="7"/>
        <v>0.6814158775114495</v>
      </c>
      <c r="O197" s="17" t="s">
        <v>1027</v>
      </c>
      <c r="P197" s="17" t="s">
        <v>1026</v>
      </c>
      <c r="Q197" s="17" t="s">
        <v>1023</v>
      </c>
      <c r="R197" s="17" t="str">
        <f>VLOOKUP(A197,[2]Export!$A:$I,9,0)</f>
        <v>Comprou Marcas</v>
      </c>
      <c r="S197" s="17" t="s">
        <v>1023</v>
      </c>
      <c r="T197" s="20"/>
      <c r="U197" s="17"/>
    </row>
    <row r="198" spans="1:21" x14ac:dyDescent="0.35">
      <c r="A198" s="5">
        <v>10341045000698</v>
      </c>
      <c r="B198" s="7" t="s">
        <v>995</v>
      </c>
      <c r="C198" s="4"/>
      <c r="D198" s="6" t="s">
        <v>25</v>
      </c>
      <c r="E198" s="6" t="s">
        <v>115</v>
      </c>
      <c r="F198" s="6" t="s">
        <v>8</v>
      </c>
      <c r="G198" s="11" t="s">
        <v>9</v>
      </c>
      <c r="H198" s="6" t="s">
        <v>10</v>
      </c>
      <c r="I198" s="21" t="s">
        <v>1068</v>
      </c>
      <c r="J198" s="18">
        <v>4421.2678533289554</v>
      </c>
      <c r="K198" s="18">
        <f>VLOOKUP(A198,[1]Export!$A:$C,3,0)</f>
        <v>2411.67</v>
      </c>
      <c r="L198" s="19">
        <f t="shared" si="6"/>
        <v>0.54547023161787267</v>
      </c>
      <c r="M198" s="18">
        <f>VLOOKUP(A198,[1]Export!$A:$G,7,0)</f>
        <v>1329.78</v>
      </c>
      <c r="N198" s="19">
        <f t="shared" si="7"/>
        <v>0.30076892966318558</v>
      </c>
      <c r="O198" s="17" t="s">
        <v>1027</v>
      </c>
      <c r="P198" s="17" t="s">
        <v>1028</v>
      </c>
      <c r="Q198" s="17" t="s">
        <v>1023</v>
      </c>
      <c r="R198" s="17" t="str">
        <f>VLOOKUP(A198,[2]Export!$A:$I,9,0)</f>
        <v>Comprou Marcas e SG</v>
      </c>
      <c r="S198" s="17" t="s">
        <v>1022</v>
      </c>
      <c r="T198" s="20"/>
      <c r="U198" s="17"/>
    </row>
    <row r="199" spans="1:21" x14ac:dyDescent="0.35">
      <c r="A199" s="4">
        <v>10341045000930</v>
      </c>
      <c r="B199" s="7" t="s">
        <v>995</v>
      </c>
      <c r="C199" s="4"/>
      <c r="D199" s="1" t="s">
        <v>25</v>
      </c>
      <c r="E199" s="1" t="s">
        <v>182</v>
      </c>
      <c r="F199" s="1" t="s">
        <v>8</v>
      </c>
      <c r="G199" s="10" t="s">
        <v>9</v>
      </c>
      <c r="H199" s="1" t="s">
        <v>10</v>
      </c>
      <c r="I199" s="21" t="s">
        <v>1074</v>
      </c>
      <c r="J199" s="18">
        <v>4386.8997287881839</v>
      </c>
      <c r="K199" s="18">
        <f>VLOOKUP(A199,[1]Export!$A:$C,3,0)</f>
        <v>1935.9899999999996</v>
      </c>
      <c r="L199" s="19">
        <f t="shared" si="6"/>
        <v>0.44131165964324154</v>
      </c>
      <c r="M199" s="18">
        <f>VLOOKUP(A199,[1]Export!$A:$G,7,0)</f>
        <v>1795.6799999999998</v>
      </c>
      <c r="N199" s="19">
        <f t="shared" si="7"/>
        <v>0.40932779662507351</v>
      </c>
      <c r="O199" s="17" t="s">
        <v>1027</v>
      </c>
      <c r="P199" s="17" t="s">
        <v>1028</v>
      </c>
      <c r="Q199" s="17" t="s">
        <v>1023</v>
      </c>
      <c r="R199" s="17" t="str">
        <f>VLOOKUP(A199,[2]Export!$A:$I,9,0)</f>
        <v>Comprou Marcas e SG</v>
      </c>
      <c r="S199" s="17" t="s">
        <v>1022</v>
      </c>
      <c r="T199" s="20"/>
      <c r="U199" s="17"/>
    </row>
    <row r="200" spans="1:21" x14ac:dyDescent="0.35">
      <c r="A200" s="5">
        <v>10341045001317</v>
      </c>
      <c r="B200" s="7" t="s">
        <v>995</v>
      </c>
      <c r="C200" s="4"/>
      <c r="D200" s="6" t="s">
        <v>25</v>
      </c>
      <c r="E200" s="6" t="s">
        <v>52</v>
      </c>
      <c r="F200" s="6" t="s">
        <v>8</v>
      </c>
      <c r="G200" s="11" t="s">
        <v>9</v>
      </c>
      <c r="H200" s="6" t="s">
        <v>10</v>
      </c>
      <c r="I200" s="21" t="s">
        <v>1074</v>
      </c>
      <c r="J200" s="18">
        <v>32536.03340632204</v>
      </c>
      <c r="K200" s="18">
        <f>VLOOKUP(A200,[1]Export!$A:$C,3,0)</f>
        <v>15198.470000000001</v>
      </c>
      <c r="L200" s="19">
        <f t="shared" si="6"/>
        <v>0.46712731727914947</v>
      </c>
      <c r="M200" s="18">
        <f>VLOOKUP(A200,[1]Export!$A:$G,7,0)</f>
        <v>11350.300000000007</v>
      </c>
      <c r="N200" s="19">
        <f t="shared" si="7"/>
        <v>0.34885321939073688</v>
      </c>
      <c r="O200" s="17" t="s">
        <v>1027</v>
      </c>
      <c r="P200" s="17" t="s">
        <v>1028</v>
      </c>
      <c r="Q200" s="17" t="s">
        <v>1023</v>
      </c>
      <c r="R200" s="17" t="str">
        <f>VLOOKUP(A200,[2]Export!$A:$I,9,0)</f>
        <v>Comprou Marcas e SG</v>
      </c>
      <c r="S200" s="17" t="s">
        <v>1022</v>
      </c>
      <c r="T200" s="20"/>
      <c r="U200" s="17"/>
    </row>
    <row r="201" spans="1:21" x14ac:dyDescent="0.35">
      <c r="A201" s="5">
        <v>4427375000193</v>
      </c>
      <c r="B201" s="7"/>
      <c r="C201" s="4">
        <v>155485</v>
      </c>
      <c r="D201" s="6" t="s">
        <v>292</v>
      </c>
      <c r="E201" s="6" t="s">
        <v>293</v>
      </c>
      <c r="F201" s="6" t="s">
        <v>15</v>
      </c>
      <c r="G201" s="11" t="s">
        <v>36</v>
      </c>
      <c r="H201" s="6" t="s">
        <v>17</v>
      </c>
      <c r="I201" s="21" t="s">
        <v>1069</v>
      </c>
      <c r="J201" s="18">
        <v>10914.819766878139</v>
      </c>
      <c r="K201" s="18">
        <f>VLOOKUP(A201,[1]Export!$A:$C,3,0)</f>
        <v>987.42000000000019</v>
      </c>
      <c r="L201" s="19">
        <f t="shared" si="6"/>
        <v>9.0465992209637955E-2</v>
      </c>
      <c r="M201" s="18">
        <f>VLOOKUP(A201,[1]Export!$A:$G,7,0)</f>
        <v>7364.9499999999989</v>
      </c>
      <c r="N201" s="19">
        <f t="shared" si="7"/>
        <v>0.67476606644019044</v>
      </c>
      <c r="O201" s="17" t="s">
        <v>1029</v>
      </c>
      <c r="P201" s="17" t="s">
        <v>1026</v>
      </c>
      <c r="Q201" s="17" t="s">
        <v>1022</v>
      </c>
      <c r="R201" s="17" t="str">
        <f>VLOOKUP(A201,[2]Export!$A:$I,9,0)</f>
        <v>Comprou Marcas e SG</v>
      </c>
      <c r="S201" s="17" t="s">
        <v>1022</v>
      </c>
      <c r="T201" s="20">
        <v>1</v>
      </c>
      <c r="U201" s="17"/>
    </row>
    <row r="202" spans="1:21" x14ac:dyDescent="0.35">
      <c r="A202" s="4">
        <v>4437649000125</v>
      </c>
      <c r="B202" s="7"/>
      <c r="C202" s="4"/>
      <c r="D202" s="1" t="s">
        <v>294</v>
      </c>
      <c r="E202" s="1" t="s">
        <v>295</v>
      </c>
      <c r="F202" s="1" t="s">
        <v>48</v>
      </c>
      <c r="G202" s="10" t="s">
        <v>80</v>
      </c>
      <c r="H202" s="1" t="s">
        <v>17</v>
      </c>
      <c r="I202" s="21" t="s">
        <v>1073</v>
      </c>
      <c r="J202" s="18">
        <v>5256.4156992222797</v>
      </c>
      <c r="K202" s="18">
        <f>VLOOKUP(A202,[1]Export!$A:$C,3,0)</f>
        <v>2601.04</v>
      </c>
      <c r="L202" s="19">
        <f t="shared" si="6"/>
        <v>0.49483148762089735</v>
      </c>
      <c r="M202" s="18">
        <f>VLOOKUP(A202,[1]Export!$A:$G,7,0)</f>
        <v>275.42</v>
      </c>
      <c r="N202" s="19">
        <f t="shared" si="7"/>
        <v>5.2396921354745621E-2</v>
      </c>
      <c r="O202" s="17"/>
      <c r="P202" s="17"/>
      <c r="Q202" s="17"/>
      <c r="R202" s="17" t="str">
        <f>VLOOKUP(A202,[2]Export!$A:$I,9,0)</f>
        <v>Comprou Marcas e SG</v>
      </c>
      <c r="S202" s="17"/>
      <c r="T202" s="20"/>
      <c r="U202" s="17"/>
    </row>
    <row r="203" spans="1:21" x14ac:dyDescent="0.35">
      <c r="A203" s="5">
        <v>7217112000300</v>
      </c>
      <c r="B203" s="7" t="s">
        <v>1002</v>
      </c>
      <c r="C203" s="4"/>
      <c r="D203" s="6" t="s">
        <v>195</v>
      </c>
      <c r="E203" s="6" t="s">
        <v>296</v>
      </c>
      <c r="F203" s="6" t="s">
        <v>8</v>
      </c>
      <c r="G203" s="11" t="s">
        <v>20</v>
      </c>
      <c r="H203" s="6" t="s">
        <v>17</v>
      </c>
      <c r="I203" s="21" t="s">
        <v>1068</v>
      </c>
      <c r="J203" s="18">
        <v>4604.4758975242648</v>
      </c>
      <c r="K203" s="18">
        <f>VLOOKUP(A203,[1]Export!$A:$C,3,0)</f>
        <v>1845.3500000000001</v>
      </c>
      <c r="L203" s="19">
        <f t="shared" si="6"/>
        <v>0.40077308277196283</v>
      </c>
      <c r="M203" s="18">
        <f>VLOOKUP(A203,[1]Export!$A:$G,7,0)</f>
        <v>1791.95</v>
      </c>
      <c r="N203" s="19">
        <f t="shared" si="7"/>
        <v>0.3891756716466897</v>
      </c>
      <c r="O203" s="17" t="s">
        <v>1027</v>
      </c>
      <c r="P203" s="17" t="s">
        <v>1028</v>
      </c>
      <c r="Q203" s="17" t="s">
        <v>1023</v>
      </c>
      <c r="R203" s="17" t="str">
        <f>VLOOKUP(A203,[2]Export!$A:$I,9,0)</f>
        <v>Comprou Marcas</v>
      </c>
      <c r="S203" s="17" t="s">
        <v>1022</v>
      </c>
      <c r="T203" s="20"/>
      <c r="U203" s="17"/>
    </row>
    <row r="204" spans="1:21" x14ac:dyDescent="0.35">
      <c r="A204" s="4">
        <v>7236140000374</v>
      </c>
      <c r="B204" s="7"/>
      <c r="C204" s="4"/>
      <c r="D204" s="1" t="s">
        <v>297</v>
      </c>
      <c r="E204" s="1" t="s">
        <v>171</v>
      </c>
      <c r="F204" s="1" t="s">
        <v>8</v>
      </c>
      <c r="G204" s="10" t="s">
        <v>190</v>
      </c>
      <c r="H204" s="1" t="s">
        <v>17</v>
      </c>
      <c r="I204" s="21" t="s">
        <v>1072</v>
      </c>
      <c r="J204" s="18">
        <v>5572.5400692475059</v>
      </c>
      <c r="K204" s="18">
        <f>VLOOKUP(A204,[1]Export!$A:$C,3,0)</f>
        <v>6418.48</v>
      </c>
      <c r="L204" s="19">
        <f t="shared" si="6"/>
        <v>1.15180508713089</v>
      </c>
      <c r="M204" s="18">
        <f>VLOOKUP(A204,[1]Export!$A:$G,7,0)</f>
        <v>5529.72</v>
      </c>
      <c r="N204" s="19">
        <f t="shared" si="7"/>
        <v>0.9923158795243463</v>
      </c>
      <c r="O204" s="17" t="s">
        <v>1027</v>
      </c>
      <c r="P204" s="17" t="s">
        <v>1028</v>
      </c>
      <c r="Q204" s="17" t="s">
        <v>1023</v>
      </c>
      <c r="R204" s="17" t="str">
        <f>VLOOKUP(A204,[2]Export!$A:$I,9,0)</f>
        <v>Comprou Marcas</v>
      </c>
      <c r="S204" s="17" t="s">
        <v>1022</v>
      </c>
      <c r="T204" s="20">
        <v>1</v>
      </c>
      <c r="U204" s="17"/>
    </row>
    <row r="205" spans="1:21" x14ac:dyDescent="0.35">
      <c r="A205" s="5">
        <v>7284256000117</v>
      </c>
      <c r="B205" s="7"/>
      <c r="C205" s="4"/>
      <c r="D205" s="6" t="s">
        <v>298</v>
      </c>
      <c r="E205" s="6" t="s">
        <v>94</v>
      </c>
      <c r="F205" s="6" t="s">
        <v>15</v>
      </c>
      <c r="G205" s="11" t="s">
        <v>16</v>
      </c>
      <c r="H205" s="6" t="s">
        <v>17</v>
      </c>
      <c r="I205" s="21" t="s">
        <v>1071</v>
      </c>
      <c r="J205" s="18">
        <v>1566.6339110433407</v>
      </c>
      <c r="K205" s="18">
        <f>VLOOKUP(A205,[1]Export!$A:$C,3,0)</f>
        <v>1509.99</v>
      </c>
      <c r="L205" s="19">
        <f t="shared" ref="L205:L268" si="8">K205/J205</f>
        <v>0.96384355614668316</v>
      </c>
      <c r="M205" s="18">
        <f>VLOOKUP(A205,[1]Export!$A:$G,7,0)</f>
        <v>1406.6399999999999</v>
      </c>
      <c r="N205" s="19">
        <f t="shared" ref="N205:N268" si="9">M205/J205</f>
        <v>0.89787409176098532</v>
      </c>
      <c r="O205" s="17" t="s">
        <v>1029</v>
      </c>
      <c r="P205" s="17" t="s">
        <v>1026</v>
      </c>
      <c r="Q205" s="17" t="s">
        <v>1023</v>
      </c>
      <c r="R205" s="17" t="str">
        <f>VLOOKUP(A205,[2]Export!$A:$I,9,0)</f>
        <v>Comprou Marcas</v>
      </c>
      <c r="S205" s="17" t="s">
        <v>1023</v>
      </c>
      <c r="T205" s="20"/>
      <c r="U205" s="17"/>
    </row>
    <row r="206" spans="1:21" x14ac:dyDescent="0.35">
      <c r="A206" s="4">
        <v>8087667000185</v>
      </c>
      <c r="B206" s="7" t="s">
        <v>1001</v>
      </c>
      <c r="C206" s="4">
        <v>591</v>
      </c>
      <c r="D206" s="1" t="s">
        <v>218</v>
      </c>
      <c r="E206" s="1" t="s">
        <v>171</v>
      </c>
      <c r="F206" s="1" t="s">
        <v>8</v>
      </c>
      <c r="G206" s="10" t="s">
        <v>36</v>
      </c>
      <c r="H206" s="1" t="s">
        <v>17</v>
      </c>
      <c r="I206" s="21" t="s">
        <v>1072</v>
      </c>
      <c r="J206" s="18">
        <v>9228.1168122835825</v>
      </c>
      <c r="K206" s="18">
        <f>VLOOKUP(A206,[1]Export!$A:$C,3,0)</f>
        <v>3953.0899999999997</v>
      </c>
      <c r="L206" s="19">
        <f t="shared" si="8"/>
        <v>0.42837450808360228</v>
      </c>
      <c r="M206" s="18">
        <f>VLOOKUP(A206,[1]Export!$A:$G,7,0)</f>
        <v>3665.2500000000005</v>
      </c>
      <c r="N206" s="19">
        <f t="shared" si="9"/>
        <v>0.39718287864769675</v>
      </c>
      <c r="O206" s="17" t="s">
        <v>1025</v>
      </c>
      <c r="P206" s="17" t="s">
        <v>1026</v>
      </c>
      <c r="Q206" s="17" t="s">
        <v>1023</v>
      </c>
      <c r="R206" s="17" t="str">
        <f>VLOOKUP(A206,[2]Export!$A:$I,9,0)</f>
        <v>Comprou Marcas</v>
      </c>
      <c r="S206" s="17" t="s">
        <v>1022</v>
      </c>
      <c r="T206" s="20">
        <v>4</v>
      </c>
      <c r="U206" s="17"/>
    </row>
    <row r="207" spans="1:21" x14ac:dyDescent="0.35">
      <c r="A207" s="5">
        <v>23288222000157</v>
      </c>
      <c r="B207" s="7"/>
      <c r="C207" s="4"/>
      <c r="D207" s="6" t="s">
        <v>299</v>
      </c>
      <c r="E207" s="6" t="s">
        <v>182</v>
      </c>
      <c r="F207" s="6" t="s">
        <v>8</v>
      </c>
      <c r="G207" s="11" t="s">
        <v>36</v>
      </c>
      <c r="H207" s="6" t="s">
        <v>17</v>
      </c>
      <c r="I207" s="21" t="s">
        <v>1074</v>
      </c>
      <c r="J207" s="18">
        <v>3192.4791422022736</v>
      </c>
      <c r="K207" s="18">
        <f>VLOOKUP(A207,[1]Export!$A:$C,3,0)</f>
        <v>693.62</v>
      </c>
      <c r="L207" s="19">
        <f t="shared" si="8"/>
        <v>0.21726688542169109</v>
      </c>
      <c r="M207" s="18">
        <f>VLOOKUP(A207,[1]Export!$A:$G,7,0)</f>
        <v>0</v>
      </c>
      <c r="N207" s="19">
        <f t="shared" si="9"/>
        <v>0</v>
      </c>
      <c r="O207" s="17" t="s">
        <v>1029</v>
      </c>
      <c r="P207" s="17" t="s">
        <v>1026</v>
      </c>
      <c r="Q207" s="17" t="s">
        <v>1023</v>
      </c>
      <c r="R207" s="17" t="str">
        <f>VLOOKUP(A207,[2]Export!$A:$I,9,0)</f>
        <v>Não Comprou</v>
      </c>
      <c r="S207" s="17" t="s">
        <v>1023</v>
      </c>
      <c r="T207" s="20"/>
      <c r="U207" s="17"/>
    </row>
    <row r="208" spans="1:21" x14ac:dyDescent="0.35">
      <c r="A208" s="4">
        <v>7272090000119</v>
      </c>
      <c r="B208" s="7"/>
      <c r="C208" s="4"/>
      <c r="D208" s="1" t="s">
        <v>300</v>
      </c>
      <c r="E208" s="1" t="s">
        <v>160</v>
      </c>
      <c r="F208" s="1" t="s">
        <v>8</v>
      </c>
      <c r="G208" s="10" t="s">
        <v>20</v>
      </c>
      <c r="H208" s="1" t="s">
        <v>17</v>
      </c>
      <c r="I208" s="21" t="s">
        <v>1070</v>
      </c>
      <c r="J208" s="18">
        <v>1783.5504166971753</v>
      </c>
      <c r="K208" s="18">
        <f>VLOOKUP(A208,[1]Export!$A:$C,3,0)</f>
        <v>581.09</v>
      </c>
      <c r="L208" s="19">
        <f t="shared" si="8"/>
        <v>0.32580519987546946</v>
      </c>
      <c r="M208" s="18">
        <f>VLOOKUP(A208,[1]Export!$A:$G,7,0)</f>
        <v>0</v>
      </c>
      <c r="N208" s="19">
        <f t="shared" si="9"/>
        <v>0</v>
      </c>
      <c r="O208" s="17" t="s">
        <v>1025</v>
      </c>
      <c r="P208" s="17" t="s">
        <v>1026</v>
      </c>
      <c r="Q208" s="17" t="s">
        <v>1023</v>
      </c>
      <c r="R208" s="17" t="str">
        <f>VLOOKUP(A208,[2]Export!$A:$I,9,0)</f>
        <v>Não Comprou</v>
      </c>
      <c r="S208" s="17" t="s">
        <v>1023</v>
      </c>
      <c r="T208" s="20"/>
      <c r="U208" s="17"/>
    </row>
    <row r="209" spans="1:21" x14ac:dyDescent="0.35">
      <c r="A209" s="5">
        <v>7496421000102</v>
      </c>
      <c r="B209" s="7"/>
      <c r="C209" s="4"/>
      <c r="D209" s="6" t="s">
        <v>301</v>
      </c>
      <c r="E209" s="6" t="s">
        <v>149</v>
      </c>
      <c r="F209" s="6" t="s">
        <v>8</v>
      </c>
      <c r="G209" s="11" t="s">
        <v>20</v>
      </c>
      <c r="H209" s="6" t="s">
        <v>17</v>
      </c>
      <c r="I209" s="21" t="s">
        <v>1074</v>
      </c>
      <c r="J209" s="18">
        <v>2071.4568664137196</v>
      </c>
      <c r="K209" s="18">
        <f>VLOOKUP(A209,[1]Export!$A:$C,3,0)</f>
        <v>320.20999999999998</v>
      </c>
      <c r="L209" s="19">
        <f t="shared" si="8"/>
        <v>0.1545820263949664</v>
      </c>
      <c r="M209" s="18">
        <f>VLOOKUP(A209,[1]Export!$A:$G,7,0)</f>
        <v>0</v>
      </c>
      <c r="N209" s="19">
        <f t="shared" si="9"/>
        <v>0</v>
      </c>
      <c r="O209" s="17" t="s">
        <v>1025</v>
      </c>
      <c r="P209" s="17" t="s">
        <v>1026</v>
      </c>
      <c r="Q209" s="17" t="s">
        <v>1023</v>
      </c>
      <c r="R209" s="17" t="str">
        <f>VLOOKUP(A209,[2]Export!$A:$I,9,0)</f>
        <v>Não Comprou</v>
      </c>
      <c r="S209" s="17" t="s">
        <v>1023</v>
      </c>
      <c r="T209" s="20"/>
      <c r="U209" s="17"/>
    </row>
    <row r="210" spans="1:21" x14ac:dyDescent="0.35">
      <c r="A210" s="4">
        <v>8685407000101</v>
      </c>
      <c r="B210" s="7"/>
      <c r="C210" s="4"/>
      <c r="D210" s="1" t="s">
        <v>302</v>
      </c>
      <c r="E210" s="1" t="s">
        <v>303</v>
      </c>
      <c r="F210" s="1" t="s">
        <v>48</v>
      </c>
      <c r="G210" s="10" t="s">
        <v>16</v>
      </c>
      <c r="H210" s="1" t="s">
        <v>17</v>
      </c>
      <c r="I210" s="21" t="s">
        <v>1073</v>
      </c>
      <c r="J210" s="18">
        <v>7637.1919838081694</v>
      </c>
      <c r="K210" s="18">
        <f>VLOOKUP(A210,[1]Export!$A:$C,3,0)</f>
        <v>2990.4400000000005</v>
      </c>
      <c r="L210" s="19">
        <f t="shared" si="8"/>
        <v>0.39156276368855442</v>
      </c>
      <c r="M210" s="18">
        <f>VLOOKUP(A210,[1]Export!$A:$G,7,0)</f>
        <v>1412.66</v>
      </c>
      <c r="N210" s="19">
        <f t="shared" si="9"/>
        <v>0.18497112590530934</v>
      </c>
      <c r="O210" s="17" t="s">
        <v>1027</v>
      </c>
      <c r="P210" s="17" t="s">
        <v>1028</v>
      </c>
      <c r="Q210" s="17" t="s">
        <v>1023</v>
      </c>
      <c r="R210" s="17" t="str">
        <f>VLOOKUP(A210,[2]Export!$A:$I,9,0)</f>
        <v>Comprou Marcas</v>
      </c>
      <c r="S210" s="17" t="s">
        <v>1022</v>
      </c>
      <c r="T210" s="20"/>
      <c r="U210" s="17"/>
    </row>
    <row r="211" spans="1:21" x14ac:dyDescent="0.35">
      <c r="A211" s="5">
        <v>9165147000106</v>
      </c>
      <c r="B211" s="7"/>
      <c r="C211" s="4"/>
      <c r="D211" s="6" t="s">
        <v>304</v>
      </c>
      <c r="E211" s="6" t="s">
        <v>305</v>
      </c>
      <c r="F211" s="6" t="s">
        <v>15</v>
      </c>
      <c r="G211" s="11" t="s">
        <v>20</v>
      </c>
      <c r="H211" s="6" t="s">
        <v>17</v>
      </c>
      <c r="I211" s="21" t="s">
        <v>1071</v>
      </c>
      <c r="J211" s="18">
        <v>5314.3480111306899</v>
      </c>
      <c r="K211" s="18">
        <f>VLOOKUP(A211,[1]Export!$A:$C,3,0)</f>
        <v>1326.7099999999998</v>
      </c>
      <c r="L211" s="19">
        <f t="shared" si="8"/>
        <v>0.2496468046919883</v>
      </c>
      <c r="M211" s="18">
        <f>VLOOKUP(A211,[1]Export!$A:$G,7,0)</f>
        <v>0</v>
      </c>
      <c r="N211" s="19">
        <f t="shared" si="9"/>
        <v>0</v>
      </c>
      <c r="O211" s="17" t="s">
        <v>1025</v>
      </c>
      <c r="P211" s="17" t="s">
        <v>1026</v>
      </c>
      <c r="Q211" s="17" t="s">
        <v>1023</v>
      </c>
      <c r="R211" s="17" t="str">
        <f>VLOOKUP(A211,[2]Export!$A:$I,9,0)</f>
        <v>Não Comprou</v>
      </c>
      <c r="S211" s="17" t="s">
        <v>1022</v>
      </c>
      <c r="T211" s="20"/>
      <c r="U211" s="17"/>
    </row>
    <row r="212" spans="1:21" x14ac:dyDescent="0.35">
      <c r="A212" s="4">
        <v>9364347000198</v>
      </c>
      <c r="B212" s="7"/>
      <c r="C212" s="4"/>
      <c r="D212" s="1" t="s">
        <v>306</v>
      </c>
      <c r="E212" s="1" t="s">
        <v>307</v>
      </c>
      <c r="F212" s="1" t="s">
        <v>8</v>
      </c>
      <c r="G212" s="10" t="s">
        <v>20</v>
      </c>
      <c r="H212" s="1" t="s">
        <v>17</v>
      </c>
      <c r="I212" s="21" t="s">
        <v>1070</v>
      </c>
      <c r="J212" s="18">
        <v>1790.5959823099984</v>
      </c>
      <c r="K212" s="18">
        <f>VLOOKUP(A212,[1]Export!$A:$C,3,0)</f>
        <v>768.79</v>
      </c>
      <c r="L212" s="19">
        <f t="shared" si="8"/>
        <v>0.42934866803856292</v>
      </c>
      <c r="M212" s="18">
        <f>VLOOKUP(A212,[1]Export!$A:$G,7,0)</f>
        <v>0</v>
      </c>
      <c r="N212" s="19">
        <f t="shared" si="9"/>
        <v>0</v>
      </c>
      <c r="O212" s="17" t="s">
        <v>1025</v>
      </c>
      <c r="P212" s="17" t="s">
        <v>1026</v>
      </c>
      <c r="Q212" s="17" t="s">
        <v>1023</v>
      </c>
      <c r="R212" s="17" t="str">
        <f>VLOOKUP(A212,[2]Export!$A:$I,9,0)</f>
        <v>Não Comprou</v>
      </c>
      <c r="S212" s="17" t="s">
        <v>1023</v>
      </c>
      <c r="T212" s="20"/>
      <c r="U212" s="17"/>
    </row>
    <row r="213" spans="1:21" x14ac:dyDescent="0.35">
      <c r="A213" s="5">
        <v>38872460000506</v>
      </c>
      <c r="B213" s="7" t="s">
        <v>308</v>
      </c>
      <c r="C213" s="4"/>
      <c r="D213" s="6" t="s">
        <v>308</v>
      </c>
      <c r="E213" s="6" t="s">
        <v>307</v>
      </c>
      <c r="F213" s="6" t="s">
        <v>8</v>
      </c>
      <c r="G213" s="11" t="s">
        <v>74</v>
      </c>
      <c r="H213" s="6" t="s">
        <v>17</v>
      </c>
      <c r="I213" s="21" t="s">
        <v>1070</v>
      </c>
      <c r="J213" s="18">
        <v>1609.7694292658316</v>
      </c>
      <c r="K213" s="18">
        <f>VLOOKUP(A213,[1]Export!$A:$C,3,0)</f>
        <v>1633.98</v>
      </c>
      <c r="L213" s="19">
        <f t="shared" si="8"/>
        <v>1.0150397754448661</v>
      </c>
      <c r="M213" s="18">
        <f>VLOOKUP(A213,[1]Export!$A:$G,7,0)</f>
        <v>1890.48</v>
      </c>
      <c r="N213" s="19">
        <f t="shared" si="9"/>
        <v>1.1743793649145098</v>
      </c>
      <c r="O213" s="17" t="s">
        <v>1029</v>
      </c>
      <c r="P213" s="17" t="s">
        <v>1026</v>
      </c>
      <c r="Q213" s="17" t="s">
        <v>1023</v>
      </c>
      <c r="R213" s="17" t="str">
        <f>VLOOKUP(A213,[2]Export!$A:$I,9,0)</f>
        <v>Comprou Marcas</v>
      </c>
      <c r="S213" s="17" t="s">
        <v>1022</v>
      </c>
      <c r="T213" s="20"/>
      <c r="U213" s="17"/>
    </row>
    <row r="214" spans="1:21" x14ac:dyDescent="0.35">
      <c r="A214" s="4">
        <v>7754019000172</v>
      </c>
      <c r="B214" s="7"/>
      <c r="C214" s="4"/>
      <c r="D214" s="1" t="s">
        <v>309</v>
      </c>
      <c r="E214" s="1" t="s">
        <v>43</v>
      </c>
      <c r="F214" s="1" t="s">
        <v>8</v>
      </c>
      <c r="G214" s="10" t="s">
        <v>20</v>
      </c>
      <c r="H214" s="1" t="s">
        <v>17</v>
      </c>
      <c r="I214" s="21" t="s">
        <v>1070</v>
      </c>
      <c r="J214" s="18">
        <v>1879.0845119968255</v>
      </c>
      <c r="K214" s="18">
        <f>VLOOKUP(A214,[1]Export!$A:$C,3,0)</f>
        <v>251.03000000000003</v>
      </c>
      <c r="L214" s="19">
        <f t="shared" si="8"/>
        <v>0.13359164976206461</v>
      </c>
      <c r="M214" s="18">
        <f>VLOOKUP(A214,[1]Export!$A:$G,7,0)</f>
        <v>0</v>
      </c>
      <c r="N214" s="19">
        <f t="shared" si="9"/>
        <v>0</v>
      </c>
      <c r="O214" s="17" t="s">
        <v>1029</v>
      </c>
      <c r="P214" s="17" t="s">
        <v>1026</v>
      </c>
      <c r="Q214" s="17" t="s">
        <v>1023</v>
      </c>
      <c r="R214" s="17" t="str">
        <f>VLOOKUP(A214,[2]Export!$A:$I,9,0)</f>
        <v>Não Comprou</v>
      </c>
      <c r="S214" s="17" t="s">
        <v>1023</v>
      </c>
      <c r="T214" s="20"/>
      <c r="U214" s="17"/>
    </row>
    <row r="215" spans="1:21" x14ac:dyDescent="0.35">
      <c r="A215" s="5">
        <v>8087667000932</v>
      </c>
      <c r="B215" s="7" t="s">
        <v>1001</v>
      </c>
      <c r="C215" s="4"/>
      <c r="D215" s="6" t="s">
        <v>218</v>
      </c>
      <c r="E215" s="6" t="s">
        <v>35</v>
      </c>
      <c r="F215" s="6" t="s">
        <v>8</v>
      </c>
      <c r="G215" s="11" t="s">
        <v>36</v>
      </c>
      <c r="H215" s="6" t="s">
        <v>17</v>
      </c>
      <c r="I215" s="21" t="s">
        <v>1072</v>
      </c>
      <c r="J215" s="18">
        <v>12662.594469881231</v>
      </c>
      <c r="K215" s="18">
        <f>VLOOKUP(A215,[1]Export!$A:$C,3,0)</f>
        <v>7862.1299999999992</v>
      </c>
      <c r="L215" s="19">
        <f t="shared" si="8"/>
        <v>0.62089408443905902</v>
      </c>
      <c r="M215" s="18">
        <f>VLOOKUP(A215,[1]Export!$A:$G,7,0)</f>
        <v>8280.3799999999992</v>
      </c>
      <c r="N215" s="19">
        <f t="shared" si="9"/>
        <v>0.65392444018446605</v>
      </c>
      <c r="O215" s="17" t="s">
        <v>1025</v>
      </c>
      <c r="P215" s="17" t="s">
        <v>1026</v>
      </c>
      <c r="Q215" s="17" t="s">
        <v>1023</v>
      </c>
      <c r="R215" s="17" t="str">
        <f>VLOOKUP(A215,[2]Export!$A:$I,9,0)</f>
        <v>Comprou Marcas</v>
      </c>
      <c r="S215" s="17" t="s">
        <v>1022</v>
      </c>
      <c r="T215" s="20">
        <v>4</v>
      </c>
      <c r="U215" s="17"/>
    </row>
    <row r="216" spans="1:21" x14ac:dyDescent="0.35">
      <c r="A216" s="4">
        <v>10280518000180</v>
      </c>
      <c r="B216" s="7"/>
      <c r="C216" s="4"/>
      <c r="D216" s="1" t="s">
        <v>310</v>
      </c>
      <c r="E216" s="1" t="s">
        <v>35</v>
      </c>
      <c r="F216" s="1" t="s">
        <v>8</v>
      </c>
      <c r="G216" s="10" t="s">
        <v>20</v>
      </c>
      <c r="H216" s="1" t="s">
        <v>17</v>
      </c>
      <c r="I216" s="21" t="s">
        <v>1072</v>
      </c>
      <c r="J216" s="18">
        <v>324.92938901659545</v>
      </c>
      <c r="K216" s="18">
        <f>VLOOKUP(A216,[1]Export!$A:$C,3,0)</f>
        <v>67.97</v>
      </c>
      <c r="L216" s="19">
        <f t="shared" si="8"/>
        <v>0.20918390978948506</v>
      </c>
      <c r="M216" s="18">
        <f>VLOOKUP(A216,[1]Export!$A:$G,7,0)</f>
        <v>0</v>
      </c>
      <c r="N216" s="19">
        <f t="shared" si="9"/>
        <v>0</v>
      </c>
      <c r="O216" s="17" t="s">
        <v>1025</v>
      </c>
      <c r="P216" s="17" t="s">
        <v>1026</v>
      </c>
      <c r="Q216" s="17" t="s">
        <v>1023</v>
      </c>
      <c r="R216" s="17" t="str">
        <f>VLOOKUP(A216,[2]Export!$A:$I,9,0)</f>
        <v>Não Comprou</v>
      </c>
      <c r="S216" s="17" t="s">
        <v>1023</v>
      </c>
      <c r="T216" s="20"/>
      <c r="U216" s="17"/>
    </row>
    <row r="217" spans="1:21" x14ac:dyDescent="0.35">
      <c r="A217" s="5">
        <v>10497520000105</v>
      </c>
      <c r="B217" s="7"/>
      <c r="C217" s="4"/>
      <c r="D217" s="6" t="s">
        <v>311</v>
      </c>
      <c r="E217" s="6" t="s">
        <v>312</v>
      </c>
      <c r="F217" s="6" t="s">
        <v>48</v>
      </c>
      <c r="G217" s="11" t="s">
        <v>80</v>
      </c>
      <c r="H217" s="6" t="s">
        <v>17</v>
      </c>
      <c r="I217" s="21" t="s">
        <v>1075</v>
      </c>
      <c r="J217" s="18">
        <v>11760.241795338337</v>
      </c>
      <c r="K217" s="18">
        <f>VLOOKUP(A217,[1]Export!$A:$C,3,0)</f>
        <v>4803.07</v>
      </c>
      <c r="L217" s="19">
        <f t="shared" si="8"/>
        <v>0.40841592235832236</v>
      </c>
      <c r="M217" s="18">
        <f>VLOOKUP(A217,[1]Export!$A:$G,7,0)</f>
        <v>0</v>
      </c>
      <c r="N217" s="19">
        <f t="shared" si="9"/>
        <v>0</v>
      </c>
      <c r="O217" s="17" t="s">
        <v>1029</v>
      </c>
      <c r="P217" s="17" t="s">
        <v>1026</v>
      </c>
      <c r="Q217" s="17" t="s">
        <v>1022</v>
      </c>
      <c r="R217" s="17" t="str">
        <f>VLOOKUP(A217,[2]Export!$A:$I,9,0)</f>
        <v>Não Comprou</v>
      </c>
      <c r="S217" s="17" t="s">
        <v>1022</v>
      </c>
      <c r="T217" s="20"/>
      <c r="U217" s="17"/>
    </row>
    <row r="218" spans="1:21" x14ac:dyDescent="0.35">
      <c r="A218" s="4">
        <v>18332251000139</v>
      </c>
      <c r="B218" s="7" t="s">
        <v>998</v>
      </c>
      <c r="C218" s="4"/>
      <c r="D218" s="1" t="s">
        <v>25</v>
      </c>
      <c r="E218" s="1" t="s">
        <v>275</v>
      </c>
      <c r="F218" s="1" t="s">
        <v>15</v>
      </c>
      <c r="G218" s="10" t="s">
        <v>9</v>
      </c>
      <c r="H218" s="1" t="s">
        <v>10</v>
      </c>
      <c r="I218" s="21" t="s">
        <v>1075</v>
      </c>
      <c r="J218" s="18">
        <v>18316.582778702988</v>
      </c>
      <c r="K218" s="18">
        <f>VLOOKUP(A218,[1]Export!$A:$C,3,0)</f>
        <v>7513.19</v>
      </c>
      <c r="L218" s="19">
        <f t="shared" si="8"/>
        <v>0.41018513610168145</v>
      </c>
      <c r="M218" s="18">
        <f>VLOOKUP(A218,[1]Export!$A:$G,7,0)</f>
        <v>7935.7199999999975</v>
      </c>
      <c r="N218" s="19">
        <f t="shared" si="9"/>
        <v>0.43325330362533554</v>
      </c>
      <c r="O218" s="17" t="s">
        <v>1027</v>
      </c>
      <c r="P218" s="17" t="s">
        <v>1028</v>
      </c>
      <c r="Q218" s="17" t="s">
        <v>1023</v>
      </c>
      <c r="R218" s="17" t="str">
        <f>VLOOKUP(A218,[2]Export!$A:$I,9,0)</f>
        <v>Comprou Marcas</v>
      </c>
      <c r="S218" s="17" t="s">
        <v>1022</v>
      </c>
      <c r="T218" s="20"/>
      <c r="U218" s="17"/>
    </row>
    <row r="219" spans="1:21" x14ac:dyDescent="0.35">
      <c r="A219" s="4">
        <v>10341045001902</v>
      </c>
      <c r="B219" s="7" t="s">
        <v>995</v>
      </c>
      <c r="C219" s="4"/>
      <c r="D219" s="1" t="s">
        <v>25</v>
      </c>
      <c r="E219" s="1" t="s">
        <v>260</v>
      </c>
      <c r="F219" s="1" t="s">
        <v>8</v>
      </c>
      <c r="G219" s="10" t="s">
        <v>9</v>
      </c>
      <c r="H219" s="1" t="s">
        <v>10</v>
      </c>
      <c r="I219" s="21" t="s">
        <v>1068</v>
      </c>
      <c r="J219" s="18">
        <v>23881.360988403321</v>
      </c>
      <c r="K219" s="18">
        <f>VLOOKUP(A219,[1]Export!$A:$C,3,0)</f>
        <v>10434.19</v>
      </c>
      <c r="L219" s="19">
        <f t="shared" si="8"/>
        <v>0.43691772864481193</v>
      </c>
      <c r="M219" s="18">
        <f>VLOOKUP(A219,[1]Export!$A:$G,7,0)</f>
        <v>8979.32</v>
      </c>
      <c r="N219" s="19">
        <f t="shared" si="9"/>
        <v>0.37599699633368117</v>
      </c>
      <c r="O219" s="17" t="s">
        <v>1027</v>
      </c>
      <c r="P219" s="17" t="s">
        <v>1028</v>
      </c>
      <c r="Q219" s="17" t="s">
        <v>1023</v>
      </c>
      <c r="R219" s="17" t="str">
        <f>VLOOKUP(A219,[2]Export!$A:$I,9,0)</f>
        <v>Comprou Marcas e SG</v>
      </c>
      <c r="S219" s="17" t="s">
        <v>1022</v>
      </c>
      <c r="T219" s="20">
        <v>3</v>
      </c>
      <c r="U219" s="17">
        <v>4</v>
      </c>
    </row>
    <row r="220" spans="1:21" x14ac:dyDescent="0.35">
      <c r="A220" s="4">
        <v>7688383000181</v>
      </c>
      <c r="B220" s="7"/>
      <c r="C220" s="4"/>
      <c r="D220" s="1" t="s">
        <v>929</v>
      </c>
      <c r="E220" s="1" t="s">
        <v>146</v>
      </c>
      <c r="F220" s="1" t="s">
        <v>8</v>
      </c>
      <c r="G220" s="10" t="s">
        <v>38</v>
      </c>
      <c r="H220" s="1" t="s">
        <v>17</v>
      </c>
      <c r="I220" s="21" t="s">
        <v>1074</v>
      </c>
      <c r="J220" s="18">
        <v>6143.069123253943</v>
      </c>
      <c r="K220" s="18">
        <f>VLOOKUP(A220,[1]Export!$A:$C,3,0)</f>
        <v>3821.6000000000004</v>
      </c>
      <c r="L220" s="19">
        <f t="shared" si="8"/>
        <v>0.62209946255264081</v>
      </c>
      <c r="M220" s="18">
        <f>VLOOKUP(A220,[1]Export!$A:$G,7,0)</f>
        <v>3002.4500000000003</v>
      </c>
      <c r="N220" s="19">
        <f t="shared" si="9"/>
        <v>0.48875406409388122</v>
      </c>
      <c r="O220" s="17" t="s">
        <v>1029</v>
      </c>
      <c r="P220" s="17" t="s">
        <v>1026</v>
      </c>
      <c r="Q220" s="17" t="s">
        <v>1022</v>
      </c>
      <c r="R220" s="17" t="str">
        <f>VLOOKUP(A220,[2]Export!$A:$I,9,0)</f>
        <v>Comprou Marcas</v>
      </c>
      <c r="S220" s="17" t="s">
        <v>1022</v>
      </c>
      <c r="T220" s="20"/>
      <c r="U220" s="17">
        <v>1</v>
      </c>
    </row>
    <row r="221" spans="1:21" x14ac:dyDescent="0.35">
      <c r="A221" s="5">
        <v>4834843000900</v>
      </c>
      <c r="B221" s="7" t="s">
        <v>994</v>
      </c>
      <c r="C221" s="4"/>
      <c r="D221" s="6" t="s">
        <v>91</v>
      </c>
      <c r="E221" s="6" t="s">
        <v>50</v>
      </c>
      <c r="F221" s="6" t="s">
        <v>48</v>
      </c>
      <c r="G221" s="11" t="s">
        <v>92</v>
      </c>
      <c r="H221" s="6" t="s">
        <v>17</v>
      </c>
      <c r="I221" s="21" t="s">
        <v>1073</v>
      </c>
      <c r="J221" s="18">
        <v>8982.6240795125159</v>
      </c>
      <c r="K221" s="18">
        <f>VLOOKUP(A221,[1]Export!$A:$C,3,0)</f>
        <v>4181.8900000000012</v>
      </c>
      <c r="L221" s="19">
        <f t="shared" si="8"/>
        <v>0.465553268508477</v>
      </c>
      <c r="M221" s="18">
        <f>VLOOKUP(A221,[1]Export!$A:$G,7,0)</f>
        <v>4821.8399999999983</v>
      </c>
      <c r="N221" s="19">
        <f t="shared" si="9"/>
        <v>0.53679637011612291</v>
      </c>
      <c r="O221" s="17" t="s">
        <v>1027</v>
      </c>
      <c r="P221" s="17" t="s">
        <v>1028</v>
      </c>
      <c r="Q221" s="17" t="s">
        <v>1023</v>
      </c>
      <c r="R221" s="17" t="str">
        <f>VLOOKUP(A221,[2]Export!$A:$I,9,0)</f>
        <v>Comprou Marcas</v>
      </c>
      <c r="S221" s="17" t="s">
        <v>1022</v>
      </c>
      <c r="T221" s="20">
        <v>3</v>
      </c>
      <c r="U221" s="17">
        <v>4</v>
      </c>
    </row>
    <row r="222" spans="1:21" x14ac:dyDescent="0.35">
      <c r="A222" s="4">
        <v>4972853000146</v>
      </c>
      <c r="B222" s="7" t="s">
        <v>135</v>
      </c>
      <c r="C222" s="4">
        <v>46829</v>
      </c>
      <c r="D222" s="1" t="s">
        <v>134</v>
      </c>
      <c r="E222" s="1" t="s">
        <v>35</v>
      </c>
      <c r="F222" s="1" t="s">
        <v>8</v>
      </c>
      <c r="G222" s="10" t="s">
        <v>135</v>
      </c>
      <c r="H222" s="1" t="s">
        <v>17</v>
      </c>
      <c r="I222" s="21" t="s">
        <v>1072</v>
      </c>
      <c r="J222" s="18">
        <v>11873.430065890467</v>
      </c>
      <c r="K222" s="18">
        <f>VLOOKUP(A222,[1]Export!$A:$C,3,0)</f>
        <v>6755.0200000000013</v>
      </c>
      <c r="L222" s="19">
        <f t="shared" si="8"/>
        <v>0.56891900339781032</v>
      </c>
      <c r="M222" s="18">
        <f>VLOOKUP(A222,[1]Export!$A:$G,7,0)</f>
        <v>15893.729999999996</v>
      </c>
      <c r="N222" s="19">
        <f t="shared" si="9"/>
        <v>1.3385963375199297</v>
      </c>
      <c r="O222" s="17" t="s">
        <v>1025</v>
      </c>
      <c r="P222" s="17" t="s">
        <v>1026</v>
      </c>
      <c r="Q222" s="17" t="s">
        <v>1022</v>
      </c>
      <c r="R222" s="17" t="str">
        <f>VLOOKUP(A222,[2]Export!$A:$I,9,0)</f>
        <v>Comprou Marcas e SG</v>
      </c>
      <c r="S222" s="17" t="s">
        <v>1022</v>
      </c>
      <c r="T222" s="20">
        <v>4</v>
      </c>
      <c r="U222" s="17"/>
    </row>
    <row r="223" spans="1:21" x14ac:dyDescent="0.35">
      <c r="A223" s="5">
        <v>5113547000117</v>
      </c>
      <c r="B223" s="7"/>
      <c r="C223" s="4"/>
      <c r="D223" s="6" t="s">
        <v>315</v>
      </c>
      <c r="E223" s="6" t="s">
        <v>316</v>
      </c>
      <c r="F223" s="6" t="s">
        <v>48</v>
      </c>
      <c r="G223" s="11" t="s">
        <v>20</v>
      </c>
      <c r="H223" s="6" t="s">
        <v>17</v>
      </c>
      <c r="I223" s="21" t="s">
        <v>1073</v>
      </c>
      <c r="J223" s="18">
        <v>9656.8574937672583</v>
      </c>
      <c r="K223" s="18">
        <f>VLOOKUP(A223,[1]Export!$A:$C,3,0)</f>
        <v>3691.0699999999997</v>
      </c>
      <c r="L223" s="19">
        <f t="shared" si="8"/>
        <v>0.38222268500723916</v>
      </c>
      <c r="M223" s="18">
        <f>VLOOKUP(A223,[1]Export!$A:$G,7,0)</f>
        <v>3625.9999999999995</v>
      </c>
      <c r="N223" s="19">
        <f t="shared" si="9"/>
        <v>0.37548446814507691</v>
      </c>
      <c r="O223" s="17" t="s">
        <v>1027</v>
      </c>
      <c r="P223" s="17" t="s">
        <v>1026</v>
      </c>
      <c r="Q223" s="17" t="s">
        <v>1023</v>
      </c>
      <c r="R223" s="17" t="str">
        <f>VLOOKUP(A223,[2]Export!$A:$I,9,0)</f>
        <v>Comprou Marcas</v>
      </c>
      <c r="S223" s="17" t="s">
        <v>1022</v>
      </c>
      <c r="T223" s="20"/>
      <c r="U223" s="17"/>
    </row>
    <row r="224" spans="1:21" x14ac:dyDescent="0.35">
      <c r="A224" s="4">
        <v>6368293000140</v>
      </c>
      <c r="B224" s="7"/>
      <c r="C224" s="4"/>
      <c r="D224" s="1" t="s">
        <v>317</v>
      </c>
      <c r="E224" s="1" t="s">
        <v>35</v>
      </c>
      <c r="F224" s="1" t="s">
        <v>8</v>
      </c>
      <c r="G224" s="10" t="s">
        <v>20</v>
      </c>
      <c r="H224" s="1" t="s">
        <v>17</v>
      </c>
      <c r="I224" s="21" t="s">
        <v>1072</v>
      </c>
      <c r="J224" s="18">
        <v>11331.053713827965</v>
      </c>
      <c r="K224" s="18">
        <f>VLOOKUP(A224,[1]Export!$A:$C,3,0)</f>
        <v>2545.6700000000005</v>
      </c>
      <c r="L224" s="19">
        <f t="shared" si="8"/>
        <v>0.22466313056952211</v>
      </c>
      <c r="M224" s="18">
        <f>VLOOKUP(A224,[1]Export!$A:$G,7,0)</f>
        <v>0</v>
      </c>
      <c r="N224" s="19">
        <f t="shared" si="9"/>
        <v>0</v>
      </c>
      <c r="O224" s="17" t="s">
        <v>1025</v>
      </c>
      <c r="P224" s="17" t="s">
        <v>1026</v>
      </c>
      <c r="Q224" s="17" t="s">
        <v>1023</v>
      </c>
      <c r="R224" s="17" t="str">
        <f>VLOOKUP(A224,[2]Export!$A:$I,9,0)</f>
        <v>Não Comprou</v>
      </c>
      <c r="S224" s="17" t="s">
        <v>1022</v>
      </c>
      <c r="T224" s="20"/>
      <c r="U224" s="17"/>
    </row>
    <row r="225" spans="1:21" x14ac:dyDescent="0.35">
      <c r="A225" s="5">
        <v>7234960000165</v>
      </c>
      <c r="B225" s="7"/>
      <c r="C225" s="4"/>
      <c r="D225" s="6" t="s">
        <v>318</v>
      </c>
      <c r="E225" s="6" t="s">
        <v>203</v>
      </c>
      <c r="F225" s="6" t="s">
        <v>8</v>
      </c>
      <c r="G225" s="11" t="s">
        <v>16</v>
      </c>
      <c r="H225" s="6" t="s">
        <v>17</v>
      </c>
      <c r="I225" s="21" t="s">
        <v>1074</v>
      </c>
      <c r="J225" s="18">
        <v>11592.584261847442</v>
      </c>
      <c r="K225" s="18">
        <f>VLOOKUP(A225,[1]Export!$A:$C,3,0)</f>
        <v>3526.5200000000004</v>
      </c>
      <c r="L225" s="19">
        <f t="shared" si="8"/>
        <v>0.30420481924864612</v>
      </c>
      <c r="M225" s="18">
        <f>VLOOKUP(A225,[1]Export!$A:$G,7,0)</f>
        <v>2239.92</v>
      </c>
      <c r="N225" s="19">
        <f t="shared" si="9"/>
        <v>0.19322007495531779</v>
      </c>
      <c r="O225" s="17" t="s">
        <v>1029</v>
      </c>
      <c r="P225" s="17" t="s">
        <v>1026</v>
      </c>
      <c r="Q225" s="17" t="s">
        <v>1022</v>
      </c>
      <c r="R225" s="17" t="str">
        <f>VLOOKUP(A225,[2]Export!$A:$I,9,0)</f>
        <v>Comprou Marcas</v>
      </c>
      <c r="S225" s="17" t="s">
        <v>1023</v>
      </c>
      <c r="T225" s="20">
        <v>4</v>
      </c>
      <c r="U225" s="17"/>
    </row>
    <row r="226" spans="1:21" x14ac:dyDescent="0.35">
      <c r="A226" s="4">
        <v>12104635000118</v>
      </c>
      <c r="B226" s="7" t="s">
        <v>319</v>
      </c>
      <c r="C226" s="4"/>
      <c r="D226" s="1" t="s">
        <v>319</v>
      </c>
      <c r="E226" s="1" t="s">
        <v>155</v>
      </c>
      <c r="F226" s="1" t="s">
        <v>15</v>
      </c>
      <c r="G226" s="10" t="s">
        <v>36</v>
      </c>
      <c r="H226" s="1" t="s">
        <v>17</v>
      </c>
      <c r="I226" s="21" t="s">
        <v>1071</v>
      </c>
      <c r="J226" s="18">
        <v>1482.8325909295763</v>
      </c>
      <c r="K226" s="18">
        <f>VLOOKUP(A226,[1]Export!$A:$C,3,0)</f>
        <v>559.31999999999994</v>
      </c>
      <c r="L226" s="19">
        <f t="shared" si="8"/>
        <v>0.3771969967623699</v>
      </c>
      <c r="M226" s="18">
        <f>VLOOKUP(A226,[1]Export!$A:$G,7,0)</f>
        <v>0</v>
      </c>
      <c r="N226" s="19">
        <f t="shared" si="9"/>
        <v>0</v>
      </c>
      <c r="O226" s="17" t="s">
        <v>1025</v>
      </c>
      <c r="P226" s="17" t="s">
        <v>1026</v>
      </c>
      <c r="Q226" s="17" t="s">
        <v>1022</v>
      </c>
      <c r="R226" s="17" t="str">
        <f>VLOOKUP(A226,[2]Export!$A:$I,9,0)</f>
        <v>Não Comprou</v>
      </c>
      <c r="S226" s="17" t="s">
        <v>1023</v>
      </c>
      <c r="T226" s="20"/>
      <c r="U226" s="17"/>
    </row>
    <row r="227" spans="1:21" x14ac:dyDescent="0.35">
      <c r="A227" s="5">
        <v>1189590000105</v>
      </c>
      <c r="B227" s="7"/>
      <c r="C227" s="4"/>
      <c r="D227" s="6" t="s">
        <v>320</v>
      </c>
      <c r="E227" s="6" t="s">
        <v>14</v>
      </c>
      <c r="F227" s="6" t="s">
        <v>15</v>
      </c>
      <c r="G227" s="11" t="s">
        <v>20</v>
      </c>
      <c r="H227" s="6" t="s">
        <v>17</v>
      </c>
      <c r="I227" s="21" t="s">
        <v>1069</v>
      </c>
      <c r="J227" s="18">
        <v>6105.1419757076246</v>
      </c>
      <c r="K227" s="18">
        <f>VLOOKUP(A227,[1]Export!$A:$C,3,0)</f>
        <v>4229.8700000000008</v>
      </c>
      <c r="L227" s="19">
        <f t="shared" si="8"/>
        <v>0.69283728647600074</v>
      </c>
      <c r="M227" s="18">
        <f>VLOOKUP(A227,[1]Export!$A:$G,7,0)</f>
        <v>2034.6100000000001</v>
      </c>
      <c r="N227" s="19">
        <f t="shared" si="9"/>
        <v>0.33326170105391789</v>
      </c>
      <c r="O227" s="17"/>
      <c r="P227" s="17"/>
      <c r="Q227" s="17"/>
      <c r="R227" s="17" t="str">
        <f>VLOOKUP(A227,[2]Export!$A:$I,9,0)</f>
        <v>Comprou Marcas</v>
      </c>
      <c r="S227" s="17"/>
      <c r="T227" s="20"/>
      <c r="U227" s="17"/>
    </row>
    <row r="228" spans="1:21" x14ac:dyDescent="0.35">
      <c r="A228" s="4">
        <v>1282599000166</v>
      </c>
      <c r="B228" s="7"/>
      <c r="C228" s="4"/>
      <c r="D228" s="1" t="s">
        <v>321</v>
      </c>
      <c r="E228" s="1" t="s">
        <v>322</v>
      </c>
      <c r="F228" s="1" t="s">
        <v>8</v>
      </c>
      <c r="G228" s="10" t="s">
        <v>36</v>
      </c>
      <c r="H228" s="1" t="s">
        <v>17</v>
      </c>
      <c r="I228" s="21" t="s">
        <v>1068</v>
      </c>
      <c r="J228" s="18">
        <v>5564.3590814763456</v>
      </c>
      <c r="K228" s="18">
        <f>VLOOKUP(A228,[1]Export!$A:$C,3,0)</f>
        <v>2988.6000000000004</v>
      </c>
      <c r="L228" s="19">
        <f t="shared" si="8"/>
        <v>0.53709689763714163</v>
      </c>
      <c r="M228" s="18">
        <f>VLOOKUP(A228,[1]Export!$A:$G,7,0)</f>
        <v>2325.91</v>
      </c>
      <c r="N228" s="19">
        <f t="shared" si="9"/>
        <v>0.41800142045881145</v>
      </c>
      <c r="O228" s="17" t="s">
        <v>1031</v>
      </c>
      <c r="P228" s="17" t="s">
        <v>1026</v>
      </c>
      <c r="Q228" s="17" t="s">
        <v>1023</v>
      </c>
      <c r="R228" s="17" t="str">
        <f>VLOOKUP(A228,[2]Export!$A:$I,9,0)</f>
        <v>Comprou Marcas</v>
      </c>
      <c r="S228" s="17" t="s">
        <v>1023</v>
      </c>
      <c r="T228" s="20"/>
      <c r="U228" s="17"/>
    </row>
    <row r="229" spans="1:21" x14ac:dyDescent="0.35">
      <c r="A229" s="5">
        <v>1719283000199</v>
      </c>
      <c r="B229" s="7"/>
      <c r="C229" s="4"/>
      <c r="D229" s="6" t="s">
        <v>323</v>
      </c>
      <c r="E229" s="6" t="s">
        <v>324</v>
      </c>
      <c r="F229" s="6" t="s">
        <v>15</v>
      </c>
      <c r="G229" s="11" t="s">
        <v>20</v>
      </c>
      <c r="H229" s="6" t="s">
        <v>17</v>
      </c>
      <c r="I229" s="21" t="s">
        <v>1069</v>
      </c>
      <c r="J229" s="18">
        <v>3787.5702169322599</v>
      </c>
      <c r="K229" s="18">
        <f>VLOOKUP(A229,[1]Export!$A:$C,3,0)</f>
        <v>551.67999999999995</v>
      </c>
      <c r="L229" s="19">
        <f t="shared" si="8"/>
        <v>0.14565538548532384</v>
      </c>
      <c r="M229" s="18">
        <f>VLOOKUP(A229,[1]Export!$A:$G,7,0)</f>
        <v>0</v>
      </c>
      <c r="N229" s="19">
        <f t="shared" si="9"/>
        <v>0</v>
      </c>
      <c r="O229" s="17"/>
      <c r="P229" s="17"/>
      <c r="Q229" s="17"/>
      <c r="R229" s="17" t="str">
        <f>VLOOKUP(A229,[2]Export!$A:$I,9,0)</f>
        <v>Não Comprou</v>
      </c>
      <c r="S229" s="17"/>
      <c r="T229" s="20"/>
      <c r="U229" s="17"/>
    </row>
    <row r="230" spans="1:21" x14ac:dyDescent="0.35">
      <c r="A230" s="4">
        <v>1738769000174</v>
      </c>
      <c r="B230" s="7"/>
      <c r="C230" s="4"/>
      <c r="D230" s="1" t="s">
        <v>325</v>
      </c>
      <c r="E230" s="1" t="s">
        <v>122</v>
      </c>
      <c r="F230" s="1" t="s">
        <v>8</v>
      </c>
      <c r="G230" s="10" t="s">
        <v>20</v>
      </c>
      <c r="H230" s="1" t="s">
        <v>17</v>
      </c>
      <c r="I230" s="21" t="s">
        <v>1068</v>
      </c>
      <c r="J230" s="18">
        <v>3350.5870385202738</v>
      </c>
      <c r="K230" s="18">
        <f>VLOOKUP(A230,[1]Export!$A:$C,3,0)</f>
        <v>1772.49</v>
      </c>
      <c r="L230" s="19">
        <f t="shared" si="8"/>
        <v>0.52900879148114544</v>
      </c>
      <c r="M230" s="18">
        <f>VLOOKUP(A230,[1]Export!$A:$G,7,0)</f>
        <v>1896.24</v>
      </c>
      <c r="N230" s="19">
        <f t="shared" si="9"/>
        <v>0.56594261787553501</v>
      </c>
      <c r="O230" s="17" t="s">
        <v>1025</v>
      </c>
      <c r="P230" s="17" t="s">
        <v>1026</v>
      </c>
      <c r="Q230" s="17" t="s">
        <v>1023</v>
      </c>
      <c r="R230" s="17" t="str">
        <f>VLOOKUP(A230,[2]Export!$A:$I,9,0)</f>
        <v>Comprou Marcas</v>
      </c>
      <c r="S230" s="17" t="s">
        <v>1022</v>
      </c>
      <c r="T230" s="20"/>
      <c r="U230" s="17"/>
    </row>
    <row r="231" spans="1:21" x14ac:dyDescent="0.35">
      <c r="A231" s="5">
        <v>14782944000253</v>
      </c>
      <c r="B231" s="7"/>
      <c r="C231" s="4"/>
      <c r="D231" s="6" t="s">
        <v>195</v>
      </c>
      <c r="E231" s="6" t="s">
        <v>61</v>
      </c>
      <c r="F231" s="6" t="s">
        <v>8</v>
      </c>
      <c r="G231" s="11" t="s">
        <v>20</v>
      </c>
      <c r="H231" s="6" t="s">
        <v>17</v>
      </c>
      <c r="I231" s="21" t="s">
        <v>1068</v>
      </c>
      <c r="J231" s="18">
        <v>1802.2785272391004</v>
      </c>
      <c r="K231" s="18">
        <f>VLOOKUP(A231,[1]Export!$A:$C,3,0)</f>
        <v>1196.0100000000002</v>
      </c>
      <c r="L231" s="19">
        <f t="shared" si="8"/>
        <v>0.66360997033691604</v>
      </c>
      <c r="M231" s="18">
        <f>VLOOKUP(A231,[1]Export!$A:$G,7,0)</f>
        <v>1115.7099999999998</v>
      </c>
      <c r="N231" s="19">
        <f t="shared" si="9"/>
        <v>0.61905525873914125</v>
      </c>
      <c r="O231" s="17" t="s">
        <v>1025</v>
      </c>
      <c r="P231" s="17" t="s">
        <v>1026</v>
      </c>
      <c r="Q231" s="17" t="s">
        <v>1023</v>
      </c>
      <c r="R231" s="17" t="str">
        <f>VLOOKUP(A231,[2]Export!$A:$I,9,0)</f>
        <v>Comprou Marcas</v>
      </c>
      <c r="S231" s="17" t="s">
        <v>1022</v>
      </c>
      <c r="T231" s="20"/>
      <c r="U231" s="17"/>
    </row>
    <row r="232" spans="1:21" x14ac:dyDescent="0.35">
      <c r="A232" s="4">
        <v>15900640000125</v>
      </c>
      <c r="B232" s="7"/>
      <c r="C232" s="4"/>
      <c r="D232" s="1" t="s">
        <v>326</v>
      </c>
      <c r="E232" s="1" t="s">
        <v>327</v>
      </c>
      <c r="F232" s="1" t="s">
        <v>15</v>
      </c>
      <c r="G232" s="10" t="s">
        <v>20</v>
      </c>
      <c r="H232" s="1" t="s">
        <v>17</v>
      </c>
      <c r="I232" s="21" t="s">
        <v>1071</v>
      </c>
      <c r="J232" s="18">
        <v>3947.020759737567</v>
      </c>
      <c r="K232" s="18">
        <f>VLOOKUP(A232,[1]Export!$A:$C,3,0)</f>
        <v>1405.2700000000002</v>
      </c>
      <c r="L232" s="19">
        <f t="shared" si="8"/>
        <v>0.35603309066290167</v>
      </c>
      <c r="M232" s="18">
        <f>VLOOKUP(A232,[1]Export!$A:$G,7,0)</f>
        <v>0</v>
      </c>
      <c r="N232" s="19">
        <f t="shared" si="9"/>
        <v>0</v>
      </c>
      <c r="O232" s="17" t="s">
        <v>1025</v>
      </c>
      <c r="P232" s="17" t="s">
        <v>1026</v>
      </c>
      <c r="Q232" s="17" t="s">
        <v>1023</v>
      </c>
      <c r="R232" s="17" t="str">
        <f>VLOOKUP(A232,[2]Export!$A:$I,9,0)</f>
        <v>Não Comprou</v>
      </c>
      <c r="S232" s="17" t="s">
        <v>1022</v>
      </c>
      <c r="T232" s="20"/>
      <c r="U232" s="17"/>
    </row>
    <row r="233" spans="1:21" x14ac:dyDescent="0.35">
      <c r="A233" s="5">
        <v>15946916000106</v>
      </c>
      <c r="B233" s="7"/>
      <c r="C233" s="4"/>
      <c r="D233" s="6" t="s">
        <v>328</v>
      </c>
      <c r="E233" s="6" t="s">
        <v>329</v>
      </c>
      <c r="F233" s="6" t="s">
        <v>8</v>
      </c>
      <c r="G233" s="11" t="s">
        <v>33</v>
      </c>
      <c r="H233" s="6" t="s">
        <v>17</v>
      </c>
      <c r="I233" s="21" t="s">
        <v>1072</v>
      </c>
      <c r="J233" s="18">
        <v>10154.157994877116</v>
      </c>
      <c r="K233" s="18">
        <f>VLOOKUP(A233,[1]Export!$A:$C,3,0)</f>
        <v>4589.3000000000011</v>
      </c>
      <c r="L233" s="19">
        <f t="shared" si="8"/>
        <v>0.4519626346483237</v>
      </c>
      <c r="M233" s="18">
        <f>VLOOKUP(A233,[1]Export!$A:$G,7,0)</f>
        <v>3433.2200000000007</v>
      </c>
      <c r="N233" s="19">
        <f t="shared" si="9"/>
        <v>0.33810976761757083</v>
      </c>
      <c r="O233" s="17" t="s">
        <v>1027</v>
      </c>
      <c r="P233" s="17" t="s">
        <v>1026</v>
      </c>
      <c r="Q233" s="17" t="s">
        <v>1023</v>
      </c>
      <c r="R233" s="17" t="str">
        <f>VLOOKUP(A233,[2]Export!$A:$I,9,0)</f>
        <v>Comprou Marcas</v>
      </c>
      <c r="S233" s="17" t="s">
        <v>1022</v>
      </c>
      <c r="T233" s="20">
        <v>13</v>
      </c>
      <c r="U233" s="17"/>
    </row>
    <row r="234" spans="1:21" x14ac:dyDescent="0.35">
      <c r="A234" s="4">
        <v>19436791000125</v>
      </c>
      <c r="B234" s="7" t="s">
        <v>996</v>
      </c>
      <c r="C234" s="4"/>
      <c r="D234" s="1" t="s">
        <v>59</v>
      </c>
      <c r="E234" s="1" t="s">
        <v>330</v>
      </c>
      <c r="F234" s="1" t="s">
        <v>15</v>
      </c>
      <c r="G234" s="10" t="s">
        <v>9</v>
      </c>
      <c r="H234" s="1" t="s">
        <v>10</v>
      </c>
      <c r="I234" s="21" t="s">
        <v>1071</v>
      </c>
      <c r="J234" s="18">
        <v>11632.447979371753</v>
      </c>
      <c r="K234" s="18">
        <f>VLOOKUP(A234,[1]Export!$A:$C,3,0)</f>
        <v>4644.2699999999986</v>
      </c>
      <c r="L234" s="19">
        <f t="shared" si="8"/>
        <v>0.39925130189585661</v>
      </c>
      <c r="M234" s="18">
        <f>VLOOKUP(A234,[1]Export!$A:$G,7,0)</f>
        <v>1125.47</v>
      </c>
      <c r="N234" s="19">
        <f t="shared" si="9"/>
        <v>9.6752635558382663E-2</v>
      </c>
      <c r="O234" s="17" t="s">
        <v>1027</v>
      </c>
      <c r="P234" s="17" t="s">
        <v>1028</v>
      </c>
      <c r="Q234" s="17" t="s">
        <v>1023</v>
      </c>
      <c r="R234" s="17" t="str">
        <f>VLOOKUP(A234,[2]Export!$A:$I,9,0)</f>
        <v>Comprou Marcas e SG</v>
      </c>
      <c r="S234" s="17" t="s">
        <v>1022</v>
      </c>
      <c r="T234" s="20"/>
      <c r="U234" s="17"/>
    </row>
    <row r="235" spans="1:21" x14ac:dyDescent="0.35">
      <c r="A235" s="5">
        <v>20397408000156</v>
      </c>
      <c r="B235" s="7"/>
      <c r="C235" s="4"/>
      <c r="D235" s="6" t="s">
        <v>331</v>
      </c>
      <c r="E235" s="6" t="s">
        <v>332</v>
      </c>
      <c r="F235" s="6" t="s">
        <v>8</v>
      </c>
      <c r="G235" s="11" t="s">
        <v>20</v>
      </c>
      <c r="H235" s="6" t="s">
        <v>17</v>
      </c>
      <c r="I235" s="21" t="s">
        <v>1074</v>
      </c>
      <c r="J235" s="18">
        <v>2419.2426333230123</v>
      </c>
      <c r="K235" s="18">
        <f>VLOOKUP(A235,[1]Export!$A:$C,3,0)</f>
        <v>122.57999999999998</v>
      </c>
      <c r="L235" s="19">
        <f t="shared" si="8"/>
        <v>5.0668749926759973E-2</v>
      </c>
      <c r="M235" s="18">
        <f>VLOOKUP(A235,[1]Export!$A:$G,7,0)</f>
        <v>0</v>
      </c>
      <c r="N235" s="19">
        <f t="shared" si="9"/>
        <v>0</v>
      </c>
      <c r="O235" s="17" t="s">
        <v>1027</v>
      </c>
      <c r="P235" s="17" t="s">
        <v>1028</v>
      </c>
      <c r="Q235" s="17" t="s">
        <v>1023</v>
      </c>
      <c r="R235" s="17" t="str">
        <f>VLOOKUP(A235,[2]Export!$A:$I,9,0)</f>
        <v>Não Comprou</v>
      </c>
      <c r="S235" s="17" t="s">
        <v>1022</v>
      </c>
      <c r="T235" s="20"/>
      <c r="U235" s="17"/>
    </row>
    <row r="236" spans="1:21" x14ac:dyDescent="0.35">
      <c r="A236" s="4">
        <v>30878190000105</v>
      </c>
      <c r="B236" s="7"/>
      <c r="C236" s="4"/>
      <c r="D236" s="1" t="s">
        <v>333</v>
      </c>
      <c r="E236" s="1" t="s">
        <v>334</v>
      </c>
      <c r="F236" s="1" t="s">
        <v>15</v>
      </c>
      <c r="G236" s="10" t="s">
        <v>16</v>
      </c>
      <c r="H236" s="1" t="s">
        <v>17</v>
      </c>
      <c r="I236" s="21" t="s">
        <v>1069</v>
      </c>
      <c r="J236" s="18">
        <v>9900.4632620860248</v>
      </c>
      <c r="K236" s="18">
        <f>VLOOKUP(A236,[1]Export!$A:$C,3,0)</f>
        <v>5658.29</v>
      </c>
      <c r="L236" s="19">
        <f t="shared" si="8"/>
        <v>0.57151770075936825</v>
      </c>
      <c r="M236" s="18">
        <f>VLOOKUP(A236,[1]Export!$A:$G,7,0)</f>
        <v>4317.4599999999991</v>
      </c>
      <c r="N236" s="19">
        <f t="shared" si="9"/>
        <v>0.43608666440223842</v>
      </c>
      <c r="O236" s="17" t="s">
        <v>1029</v>
      </c>
      <c r="P236" s="17" t="s">
        <v>1026</v>
      </c>
      <c r="Q236" s="17" t="s">
        <v>1022</v>
      </c>
      <c r="R236" s="17" t="str">
        <f>VLOOKUP(A236,[2]Export!$A:$I,9,0)</f>
        <v>Comprou Marcas</v>
      </c>
      <c r="S236" s="17" t="s">
        <v>1022</v>
      </c>
      <c r="T236" s="20"/>
      <c r="U236" s="17"/>
    </row>
    <row r="237" spans="1:21" x14ac:dyDescent="0.35">
      <c r="A237" s="5">
        <v>16789469000191</v>
      </c>
      <c r="B237" s="7"/>
      <c r="C237" s="4"/>
      <c r="D237" s="6" t="s">
        <v>335</v>
      </c>
      <c r="E237" s="6" t="s">
        <v>52</v>
      </c>
      <c r="F237" s="6" t="s">
        <v>8</v>
      </c>
      <c r="G237" s="11" t="s">
        <v>336</v>
      </c>
      <c r="H237" s="6" t="s">
        <v>17</v>
      </c>
      <c r="I237" s="21" t="s">
        <v>1074</v>
      </c>
      <c r="J237" s="18">
        <v>1540.9093389653437</v>
      </c>
      <c r="K237" s="18">
        <f>VLOOKUP(A237,[1]Export!$A:$C,3,0)</f>
        <v>0</v>
      </c>
      <c r="L237" s="19">
        <f t="shared" si="8"/>
        <v>0</v>
      </c>
      <c r="M237" s="18">
        <f>VLOOKUP(A237,[1]Export!$A:$G,7,0)</f>
        <v>0</v>
      </c>
      <c r="N237" s="19">
        <f t="shared" si="9"/>
        <v>0</v>
      </c>
      <c r="O237" s="17" t="s">
        <v>1029</v>
      </c>
      <c r="P237" s="17" t="s">
        <v>1026</v>
      </c>
      <c r="Q237" s="17" t="s">
        <v>1022</v>
      </c>
      <c r="R237" s="17" t="str">
        <f>VLOOKUP(A237,[2]Export!$A:$I,9,0)</f>
        <v>Não Comprou</v>
      </c>
      <c r="S237" s="17" t="s">
        <v>1023</v>
      </c>
      <c r="T237" s="20"/>
      <c r="U237" s="17"/>
    </row>
    <row r="238" spans="1:21" x14ac:dyDescent="0.35">
      <c r="A238" s="4">
        <v>20412740000142</v>
      </c>
      <c r="B238" s="7"/>
      <c r="C238" s="4"/>
      <c r="D238" s="1" t="s">
        <v>337</v>
      </c>
      <c r="E238" s="1" t="s">
        <v>24</v>
      </c>
      <c r="F238" s="1" t="s">
        <v>15</v>
      </c>
      <c r="G238" s="10" t="s">
        <v>20</v>
      </c>
      <c r="H238" s="1" t="s">
        <v>17</v>
      </c>
      <c r="I238" s="21" t="s">
        <v>1071</v>
      </c>
      <c r="J238" s="18">
        <v>1356.8254755727653</v>
      </c>
      <c r="K238" s="18">
        <f>VLOOKUP(A238,[1]Export!$A:$C,3,0)</f>
        <v>129.12</v>
      </c>
      <c r="L238" s="19">
        <f t="shared" si="8"/>
        <v>9.5163307532601979E-2</v>
      </c>
      <c r="M238" s="18">
        <f>VLOOKUP(A238,[1]Export!$A:$G,7,0)</f>
        <v>0</v>
      </c>
      <c r="N238" s="19">
        <f t="shared" si="9"/>
        <v>0</v>
      </c>
      <c r="O238" s="17" t="s">
        <v>1025</v>
      </c>
      <c r="P238" s="17" t="s">
        <v>1026</v>
      </c>
      <c r="Q238" s="17" t="s">
        <v>1023</v>
      </c>
      <c r="R238" s="17" t="str">
        <f>VLOOKUP(A238,[2]Export!$A:$I,9,0)</f>
        <v>Não Comprou</v>
      </c>
      <c r="S238" s="17" t="s">
        <v>1023</v>
      </c>
      <c r="T238" s="20"/>
      <c r="U238" s="17"/>
    </row>
    <row r="239" spans="1:21" x14ac:dyDescent="0.35">
      <c r="A239" s="4">
        <v>10341045002127</v>
      </c>
      <c r="B239" s="7" t="s">
        <v>995</v>
      </c>
      <c r="C239" s="4"/>
      <c r="D239" s="1" t="s">
        <v>25</v>
      </c>
      <c r="E239" s="1" t="s">
        <v>260</v>
      </c>
      <c r="F239" s="1" t="s">
        <v>8</v>
      </c>
      <c r="G239" s="10" t="s">
        <v>9</v>
      </c>
      <c r="H239" s="1" t="s">
        <v>10</v>
      </c>
      <c r="I239" s="21" t="s">
        <v>1068</v>
      </c>
      <c r="J239" s="18">
        <v>14049.710908441326</v>
      </c>
      <c r="K239" s="18">
        <f>VLOOKUP(A239,[1]Export!$A:$C,3,0)</f>
        <v>5122.42</v>
      </c>
      <c r="L239" s="19">
        <f t="shared" si="8"/>
        <v>0.36459255520498685</v>
      </c>
      <c r="M239" s="18">
        <f>VLOOKUP(A239,[1]Export!$A:$G,7,0)</f>
        <v>4187.04</v>
      </c>
      <c r="N239" s="19">
        <f t="shared" si="9"/>
        <v>0.29801609636568033</v>
      </c>
      <c r="O239" s="17" t="s">
        <v>1027</v>
      </c>
      <c r="P239" s="17" t="s">
        <v>1028</v>
      </c>
      <c r="Q239" s="17" t="s">
        <v>1023</v>
      </c>
      <c r="R239" s="17" t="str">
        <f>VLOOKUP(A239,[2]Export!$A:$I,9,0)</f>
        <v>Comprou Marcas e SG</v>
      </c>
      <c r="S239" s="17"/>
      <c r="T239" s="20"/>
      <c r="U239" s="17"/>
    </row>
    <row r="240" spans="1:21" x14ac:dyDescent="0.35">
      <c r="A240" s="4">
        <v>22315443000104</v>
      </c>
      <c r="B240" s="7"/>
      <c r="C240" s="4"/>
      <c r="D240" s="1" t="s">
        <v>338</v>
      </c>
      <c r="E240" s="1" t="s">
        <v>339</v>
      </c>
      <c r="F240" s="1" t="s">
        <v>8</v>
      </c>
      <c r="G240" s="10" t="s">
        <v>33</v>
      </c>
      <c r="H240" s="1" t="s">
        <v>17</v>
      </c>
      <c r="I240" s="21" t="s">
        <v>1074</v>
      </c>
      <c r="J240" s="18">
        <v>6571.617744086062</v>
      </c>
      <c r="K240" s="18">
        <f>VLOOKUP(A240,[1]Export!$A:$C,3,0)</f>
        <v>2664.3399999999997</v>
      </c>
      <c r="L240" s="19">
        <f t="shared" si="8"/>
        <v>0.40543137226715531</v>
      </c>
      <c r="M240" s="18">
        <f>VLOOKUP(A240,[1]Export!$A:$G,7,0)</f>
        <v>1669.95</v>
      </c>
      <c r="N240" s="19">
        <f t="shared" si="9"/>
        <v>0.25411551082727285</v>
      </c>
      <c r="O240" s="17" t="s">
        <v>1027</v>
      </c>
      <c r="P240" s="17" t="s">
        <v>1028</v>
      </c>
      <c r="Q240" s="17" t="s">
        <v>1023</v>
      </c>
      <c r="R240" s="17" t="str">
        <f>VLOOKUP(A240,[2]Export!$A:$I,9,0)</f>
        <v>Comprou Marcas</v>
      </c>
      <c r="S240" s="17" t="s">
        <v>1022</v>
      </c>
      <c r="T240" s="20"/>
      <c r="U240" s="17"/>
    </row>
    <row r="241" spans="1:21" x14ac:dyDescent="0.35">
      <c r="A241" s="5">
        <v>9556154000139</v>
      </c>
      <c r="B241" s="7"/>
      <c r="C241" s="4"/>
      <c r="D241" s="6" t="s">
        <v>223</v>
      </c>
      <c r="E241" s="6" t="s">
        <v>12</v>
      </c>
      <c r="F241" s="6" t="s">
        <v>8</v>
      </c>
      <c r="G241" s="11" t="s">
        <v>38</v>
      </c>
      <c r="H241" s="6" t="s">
        <v>17</v>
      </c>
      <c r="I241" s="21" t="s">
        <v>1068</v>
      </c>
      <c r="J241" s="18">
        <v>2582.0700025792644</v>
      </c>
      <c r="K241" s="18">
        <f>VLOOKUP(A241,[1]Export!$A:$C,3,0)</f>
        <v>3604.7299999999996</v>
      </c>
      <c r="L241" s="19">
        <f t="shared" si="8"/>
        <v>1.396062072832722</v>
      </c>
      <c r="M241" s="18">
        <f>VLOOKUP(A241,[1]Export!$A:$G,7,0)</f>
        <v>5479.34</v>
      </c>
      <c r="N241" s="19">
        <f t="shared" si="9"/>
        <v>2.122072598545591</v>
      </c>
      <c r="O241" s="17" t="s">
        <v>1027</v>
      </c>
      <c r="P241" s="17" t="s">
        <v>1028</v>
      </c>
      <c r="Q241" s="17" t="s">
        <v>1023</v>
      </c>
      <c r="R241" s="17" t="str">
        <f>VLOOKUP(A241,[2]Export!$A:$I,9,0)</f>
        <v>Comprou Marcas</v>
      </c>
      <c r="S241" s="17" t="s">
        <v>1023</v>
      </c>
      <c r="T241" s="20"/>
      <c r="U241" s="17">
        <v>8</v>
      </c>
    </row>
    <row r="242" spans="1:21" x14ac:dyDescent="0.35">
      <c r="A242" s="4">
        <v>7217112000148</v>
      </c>
      <c r="B242" s="7" t="s">
        <v>1002</v>
      </c>
      <c r="C242" s="4">
        <v>155487</v>
      </c>
      <c r="D242" s="1" t="s">
        <v>195</v>
      </c>
      <c r="E242" s="1" t="s">
        <v>12</v>
      </c>
      <c r="F242" s="1" t="s">
        <v>8</v>
      </c>
      <c r="G242" s="10" t="s">
        <v>20</v>
      </c>
      <c r="H242" s="1" t="s">
        <v>17</v>
      </c>
      <c r="I242" s="21" t="s">
        <v>1068</v>
      </c>
      <c r="J242" s="18">
        <v>8811.4823298924912</v>
      </c>
      <c r="K242" s="18">
        <f>VLOOKUP(A242,[1]Export!$A:$C,3,0)</f>
        <v>2840.9999999999991</v>
      </c>
      <c r="L242" s="19">
        <f t="shared" si="8"/>
        <v>0.32242021190487502</v>
      </c>
      <c r="M242" s="18">
        <f>VLOOKUP(A242,[1]Export!$A:$G,7,0)</f>
        <v>2739.5399999999995</v>
      </c>
      <c r="N242" s="19">
        <f t="shared" si="9"/>
        <v>0.31090569071519941</v>
      </c>
      <c r="O242" s="17" t="s">
        <v>1027</v>
      </c>
      <c r="P242" s="17" t="s">
        <v>1028</v>
      </c>
      <c r="Q242" s="17" t="s">
        <v>1023</v>
      </c>
      <c r="R242" s="17" t="str">
        <f>VLOOKUP(A242,[2]Export!$A:$I,9,0)</f>
        <v>Comprou Marcas</v>
      </c>
      <c r="S242" s="17" t="s">
        <v>1022</v>
      </c>
      <c r="T242" s="20"/>
      <c r="U242" s="17"/>
    </row>
    <row r="243" spans="1:21" x14ac:dyDescent="0.35">
      <c r="A243" s="5">
        <v>33689225000156</v>
      </c>
      <c r="B243" s="7"/>
      <c r="C243" s="4"/>
      <c r="D243" s="6" t="s">
        <v>341</v>
      </c>
      <c r="E243" s="6" t="s">
        <v>52</v>
      </c>
      <c r="F243" s="6" t="s">
        <v>8</v>
      </c>
      <c r="G243" s="11" t="s">
        <v>20</v>
      </c>
      <c r="H243" s="6" t="s">
        <v>17</v>
      </c>
      <c r="I243" s="21" t="s">
        <v>1074</v>
      </c>
      <c r="J243" s="18">
        <v>6653.1504888866593</v>
      </c>
      <c r="K243" s="18">
        <f>VLOOKUP(A243,[1]Export!$A:$C,3,0)</f>
        <v>909.82</v>
      </c>
      <c r="L243" s="19">
        <f t="shared" si="8"/>
        <v>0.13675025110581102</v>
      </c>
      <c r="M243" s="18">
        <f>VLOOKUP(A243,[1]Export!$A:$G,7,0)</f>
        <v>137.85</v>
      </c>
      <c r="N243" s="19">
        <f t="shared" si="9"/>
        <v>2.0719507281589819E-2</v>
      </c>
      <c r="O243" s="17" t="s">
        <v>1025</v>
      </c>
      <c r="P243" s="17" t="s">
        <v>1026</v>
      </c>
      <c r="Q243" s="17" t="s">
        <v>1023</v>
      </c>
      <c r="R243" s="17" t="str">
        <f>VLOOKUP(A243,[2]Export!$A:$I,9,0)</f>
        <v>Comprou Marcas</v>
      </c>
      <c r="S243" s="17" t="s">
        <v>1023</v>
      </c>
      <c r="T243" s="20"/>
      <c r="U243" s="17"/>
    </row>
    <row r="244" spans="1:21" x14ac:dyDescent="0.35">
      <c r="A244" s="4">
        <v>33675901000132</v>
      </c>
      <c r="B244" s="7"/>
      <c r="C244" s="4"/>
      <c r="D244" s="1" t="s">
        <v>342</v>
      </c>
      <c r="E244" s="1" t="s">
        <v>343</v>
      </c>
      <c r="F244" s="1" t="s">
        <v>8</v>
      </c>
      <c r="G244" s="10" t="s">
        <v>16</v>
      </c>
      <c r="H244" s="1" t="s">
        <v>17</v>
      </c>
      <c r="I244" s="21" t="s">
        <v>1070</v>
      </c>
      <c r="J244" s="18">
        <v>4427.4224002714291</v>
      </c>
      <c r="K244" s="18">
        <f>VLOOKUP(A244,[1]Export!$A:$C,3,0)</f>
        <v>1148.1299999999999</v>
      </c>
      <c r="L244" s="19">
        <f t="shared" si="8"/>
        <v>0.25932244457398335</v>
      </c>
      <c r="M244" s="18">
        <f>VLOOKUP(A244,[1]Export!$A:$G,7,0)</f>
        <v>0</v>
      </c>
      <c r="N244" s="19">
        <f t="shared" si="9"/>
        <v>0</v>
      </c>
      <c r="O244" s="17" t="s">
        <v>1031</v>
      </c>
      <c r="P244" s="17" t="s">
        <v>1026</v>
      </c>
      <c r="Q244" s="17" t="s">
        <v>1023</v>
      </c>
      <c r="R244" s="17" t="str">
        <f>VLOOKUP(A244,[2]Export!$A:$I,9,0)</f>
        <v>Não Comprou</v>
      </c>
      <c r="S244" s="17" t="s">
        <v>1023</v>
      </c>
      <c r="T244" s="20"/>
      <c r="U244" s="17"/>
    </row>
    <row r="245" spans="1:21" x14ac:dyDescent="0.35">
      <c r="A245" s="4">
        <v>10341045000426</v>
      </c>
      <c r="B245" s="7" t="s">
        <v>995</v>
      </c>
      <c r="C245" s="4"/>
      <c r="D245" s="1" t="s">
        <v>25</v>
      </c>
      <c r="E245" s="1" t="s">
        <v>115</v>
      </c>
      <c r="F245" s="1" t="s">
        <v>8</v>
      </c>
      <c r="G245" s="10" t="s">
        <v>9</v>
      </c>
      <c r="H245" s="1" t="s">
        <v>10</v>
      </c>
      <c r="I245" s="21" t="s">
        <v>1068</v>
      </c>
      <c r="J245" s="18">
        <v>12101.626402963089</v>
      </c>
      <c r="K245" s="18">
        <f>VLOOKUP(A245,[1]Export!$A:$C,3,0)</f>
        <v>4538.2400000000007</v>
      </c>
      <c r="L245" s="19">
        <f t="shared" si="8"/>
        <v>0.37501075052926858</v>
      </c>
      <c r="M245" s="18">
        <f>VLOOKUP(A245,[1]Export!$A:$G,7,0)</f>
        <v>2975.8700000000003</v>
      </c>
      <c r="N245" s="19">
        <f t="shared" si="9"/>
        <v>0.24590661626038604</v>
      </c>
      <c r="O245" s="17" t="s">
        <v>1027</v>
      </c>
      <c r="P245" s="17" t="s">
        <v>1028</v>
      </c>
      <c r="Q245" s="17" t="s">
        <v>1023</v>
      </c>
      <c r="R245" s="17" t="str">
        <f>VLOOKUP(A245,[2]Export!$A:$I,9,0)</f>
        <v>Comprou Marcas e SG</v>
      </c>
      <c r="S245" s="17" t="s">
        <v>1022</v>
      </c>
      <c r="T245" s="20"/>
      <c r="U245" s="17"/>
    </row>
    <row r="246" spans="1:21" x14ac:dyDescent="0.35">
      <c r="A246" s="4">
        <v>36630262000187</v>
      </c>
      <c r="B246" s="7"/>
      <c r="C246" s="4"/>
      <c r="D246" s="1" t="s">
        <v>345</v>
      </c>
      <c r="E246" s="1" t="s">
        <v>52</v>
      </c>
      <c r="F246" s="1" t="s">
        <v>8</v>
      </c>
      <c r="G246" s="10" t="s">
        <v>33</v>
      </c>
      <c r="H246" s="1" t="s">
        <v>17</v>
      </c>
      <c r="I246" s="21" t="s">
        <v>1074</v>
      </c>
      <c r="J246" s="18">
        <v>6532.0276467028334</v>
      </c>
      <c r="K246" s="18">
        <f>VLOOKUP(A246,[1]Export!$A:$C,3,0)</f>
        <v>1434.68</v>
      </c>
      <c r="L246" s="19">
        <f t="shared" si="8"/>
        <v>0.21963777215857044</v>
      </c>
      <c r="M246" s="18">
        <f>VLOOKUP(A246,[1]Export!$A:$G,7,0)</f>
        <v>137.85</v>
      </c>
      <c r="N246" s="19">
        <f t="shared" si="9"/>
        <v>2.1103707371719779E-2</v>
      </c>
      <c r="O246" s="17" t="s">
        <v>1029</v>
      </c>
      <c r="P246" s="17" t="s">
        <v>1026</v>
      </c>
      <c r="Q246" s="17" t="s">
        <v>1022</v>
      </c>
      <c r="R246" s="17" t="str">
        <f>VLOOKUP(A246,[2]Export!$A:$I,9,0)</f>
        <v>Comprou Marcas</v>
      </c>
      <c r="S246" s="17" t="s">
        <v>1022</v>
      </c>
      <c r="T246" s="20"/>
      <c r="U246" s="17"/>
    </row>
    <row r="247" spans="1:21" x14ac:dyDescent="0.35">
      <c r="A247" s="5">
        <v>97528758000139</v>
      </c>
      <c r="B247" s="7" t="s">
        <v>346</v>
      </c>
      <c r="C247" s="4">
        <v>116286</v>
      </c>
      <c r="D247" s="6" t="s">
        <v>346</v>
      </c>
      <c r="E247" s="6" t="s">
        <v>182</v>
      </c>
      <c r="F247" s="6" t="s">
        <v>8</v>
      </c>
      <c r="G247" s="11" t="s">
        <v>36</v>
      </c>
      <c r="H247" s="6" t="s">
        <v>17</v>
      </c>
      <c r="I247" s="21" t="s">
        <v>1074</v>
      </c>
      <c r="J247" s="18">
        <v>2536.1303154805732</v>
      </c>
      <c r="K247" s="18">
        <f>VLOOKUP(A247,[1]Export!$A:$C,3,0)</f>
        <v>749.82</v>
      </c>
      <c r="L247" s="19">
        <f t="shared" si="8"/>
        <v>0.29565515439923917</v>
      </c>
      <c r="M247" s="18">
        <f>VLOOKUP(A247,[1]Export!$A:$G,7,0)</f>
        <v>137.85</v>
      </c>
      <c r="N247" s="19">
        <f t="shared" si="9"/>
        <v>5.4354462449568049E-2</v>
      </c>
      <c r="O247" s="17" t="s">
        <v>1025</v>
      </c>
      <c r="P247" s="17" t="s">
        <v>1026</v>
      </c>
      <c r="Q247" s="17" t="s">
        <v>1023</v>
      </c>
      <c r="R247" s="17" t="str">
        <f>VLOOKUP(A247,[2]Export!$A:$I,9,0)</f>
        <v>Comprou Marcas</v>
      </c>
      <c r="S247" s="17" t="s">
        <v>1023</v>
      </c>
      <c r="T247" s="20"/>
      <c r="U247" s="17"/>
    </row>
    <row r="248" spans="1:21" x14ac:dyDescent="0.35">
      <c r="A248" s="4">
        <v>64799330000171</v>
      </c>
      <c r="B248" s="7"/>
      <c r="C248" s="4"/>
      <c r="D248" s="1" t="s">
        <v>347</v>
      </c>
      <c r="E248" s="1" t="s">
        <v>14</v>
      </c>
      <c r="F248" s="1" t="s">
        <v>15</v>
      </c>
      <c r="G248" s="10" t="s">
        <v>20</v>
      </c>
      <c r="H248" s="1" t="s">
        <v>17</v>
      </c>
      <c r="I248" s="21" t="s">
        <v>1069</v>
      </c>
      <c r="J248" s="18">
        <v>2978.9462490748756</v>
      </c>
      <c r="K248" s="18">
        <f>VLOOKUP(A248,[1]Export!$A:$C,3,0)</f>
        <v>2521.8900000000008</v>
      </c>
      <c r="L248" s="19">
        <f t="shared" si="8"/>
        <v>0.84657116615755801</v>
      </c>
      <c r="M248" s="18">
        <f>VLOOKUP(A248,[1]Export!$A:$G,7,0)</f>
        <v>589.79999999999995</v>
      </c>
      <c r="N248" s="19">
        <f t="shared" si="9"/>
        <v>0.19798947368827646</v>
      </c>
      <c r="O248" s="17" t="s">
        <v>1025</v>
      </c>
      <c r="P248" s="17" t="s">
        <v>1026</v>
      </c>
      <c r="Q248" s="17" t="s">
        <v>1023</v>
      </c>
      <c r="R248" s="17" t="str">
        <f>VLOOKUP(A248,[2]Export!$A:$I,9,0)</f>
        <v>Comprou Marcas</v>
      </c>
      <c r="S248" s="17" t="s">
        <v>1023</v>
      </c>
      <c r="T248" s="20"/>
      <c r="U248" s="17"/>
    </row>
    <row r="249" spans="1:21" x14ac:dyDescent="0.35">
      <c r="A249" s="5">
        <v>48130762000139</v>
      </c>
      <c r="B249" s="7"/>
      <c r="C249" s="4"/>
      <c r="D249" s="6" t="s">
        <v>348</v>
      </c>
      <c r="E249" s="6" t="s">
        <v>160</v>
      </c>
      <c r="F249" s="6" t="s">
        <v>8</v>
      </c>
      <c r="G249" s="11" t="s">
        <v>33</v>
      </c>
      <c r="H249" s="6" t="s">
        <v>17</v>
      </c>
      <c r="I249" s="21" t="s">
        <v>1070</v>
      </c>
      <c r="J249" s="18">
        <v>1020.1518610696065</v>
      </c>
      <c r="K249" s="18">
        <f>VLOOKUP(A249,[1]Export!$A:$C,3,0)</f>
        <v>0</v>
      </c>
      <c r="L249" s="19">
        <f t="shared" si="8"/>
        <v>0</v>
      </c>
      <c r="M249" s="18">
        <f>VLOOKUP(A249,[1]Export!$A:$G,7,0)</f>
        <v>0</v>
      </c>
      <c r="N249" s="19">
        <f t="shared" si="9"/>
        <v>0</v>
      </c>
      <c r="O249" s="17" t="s">
        <v>1030</v>
      </c>
      <c r="P249" s="17" t="s">
        <v>1026</v>
      </c>
      <c r="Q249" s="17" t="s">
        <v>1023</v>
      </c>
      <c r="R249" s="17" t="str">
        <f>VLOOKUP(A249,[2]Export!$A:$I,9,0)</f>
        <v>Não Comprou</v>
      </c>
      <c r="S249" s="17" t="s">
        <v>1023</v>
      </c>
      <c r="T249" s="20"/>
      <c r="U249" s="17"/>
    </row>
    <row r="250" spans="1:21" x14ac:dyDescent="0.35">
      <c r="A250" s="4">
        <v>56129324000260</v>
      </c>
      <c r="B250" s="7"/>
      <c r="C250" s="4"/>
      <c r="D250" s="1" t="s">
        <v>349</v>
      </c>
      <c r="E250" s="1" t="s">
        <v>14</v>
      </c>
      <c r="F250" s="1" t="s">
        <v>15</v>
      </c>
      <c r="G250" s="10" t="s">
        <v>20</v>
      </c>
      <c r="H250" s="1" t="s">
        <v>17</v>
      </c>
      <c r="I250" s="21" t="s">
        <v>1069</v>
      </c>
      <c r="J250" s="18">
        <v>1819.3548563943523</v>
      </c>
      <c r="K250" s="18">
        <f>VLOOKUP(A250,[1]Export!$A:$C,3,0)</f>
        <v>2018.0700000000006</v>
      </c>
      <c r="L250" s="19">
        <f t="shared" si="8"/>
        <v>1.109222861558447</v>
      </c>
      <c r="M250" s="18">
        <f>VLOOKUP(A250,[1]Export!$A:$G,7,0)</f>
        <v>0</v>
      </c>
      <c r="N250" s="19">
        <f t="shared" si="9"/>
        <v>0</v>
      </c>
      <c r="O250" s="17" t="s">
        <v>1025</v>
      </c>
      <c r="P250" s="17" t="s">
        <v>1026</v>
      </c>
      <c r="Q250" s="17" t="s">
        <v>1023</v>
      </c>
      <c r="R250" s="17" t="str">
        <f>VLOOKUP(A250,[2]Export!$A:$I,9,0)</f>
        <v>Não Comprou</v>
      </c>
      <c r="S250" s="17" t="s">
        <v>1023</v>
      </c>
      <c r="T250" s="20"/>
      <c r="U250" s="17"/>
    </row>
    <row r="251" spans="1:21" x14ac:dyDescent="0.35">
      <c r="A251" s="5">
        <v>2923540000172</v>
      </c>
      <c r="B251" s="7"/>
      <c r="C251" s="4"/>
      <c r="D251" s="6" t="s">
        <v>350</v>
      </c>
      <c r="E251" s="6" t="s">
        <v>206</v>
      </c>
      <c r="F251" s="6" t="s">
        <v>48</v>
      </c>
      <c r="G251" s="11" t="s">
        <v>80</v>
      </c>
      <c r="H251" s="6" t="s">
        <v>17</v>
      </c>
      <c r="I251" s="21" t="s">
        <v>1075</v>
      </c>
      <c r="J251" s="18">
        <v>3732.8556001813245</v>
      </c>
      <c r="K251" s="18">
        <f>VLOOKUP(A251,[1]Export!$A:$C,3,0)</f>
        <v>1604.2299999999998</v>
      </c>
      <c r="L251" s="19">
        <f t="shared" si="8"/>
        <v>0.42975945812692939</v>
      </c>
      <c r="M251" s="18">
        <f>VLOOKUP(A251,[1]Export!$A:$G,7,0)</f>
        <v>1188.7600000000002</v>
      </c>
      <c r="N251" s="19">
        <f t="shared" si="9"/>
        <v>0.31845860845575058</v>
      </c>
      <c r="O251" s="17" t="s">
        <v>1027</v>
      </c>
      <c r="P251" s="17" t="s">
        <v>1028</v>
      </c>
      <c r="Q251" s="17" t="s">
        <v>1023</v>
      </c>
      <c r="R251" s="17" t="str">
        <f>VLOOKUP(A251,[2]Export!$A:$I,9,0)</f>
        <v>Comprou Marcas e SG</v>
      </c>
      <c r="S251" s="17" t="s">
        <v>1022</v>
      </c>
      <c r="T251" s="20"/>
      <c r="U251" s="17">
        <v>1</v>
      </c>
    </row>
    <row r="252" spans="1:21" x14ac:dyDescent="0.35">
      <c r="A252" s="4">
        <v>3521179000110</v>
      </c>
      <c r="B252" s="7"/>
      <c r="C252" s="4">
        <v>14627</v>
      </c>
      <c r="D252" s="1" t="s">
        <v>351</v>
      </c>
      <c r="E252" s="1" t="s">
        <v>316</v>
      </c>
      <c r="F252" s="1" t="s">
        <v>48</v>
      </c>
      <c r="G252" s="10" t="s">
        <v>352</v>
      </c>
      <c r="H252" s="1" t="s">
        <v>17</v>
      </c>
      <c r="I252" s="21" t="s">
        <v>1073</v>
      </c>
      <c r="J252" s="18">
        <v>4712.880684821841</v>
      </c>
      <c r="K252" s="18">
        <f>VLOOKUP(A252,[1]Export!$A:$C,3,0)</f>
        <v>2005.38</v>
      </c>
      <c r="L252" s="19">
        <f t="shared" si="8"/>
        <v>0.42551045403259741</v>
      </c>
      <c r="M252" s="18">
        <f>VLOOKUP(A252,[1]Export!$A:$G,7,0)</f>
        <v>1574.7000000000003</v>
      </c>
      <c r="N252" s="19">
        <f t="shared" si="9"/>
        <v>0.33412685474330611</v>
      </c>
      <c r="O252" s="17" t="s">
        <v>1025</v>
      </c>
      <c r="P252" s="17" t="s">
        <v>1026</v>
      </c>
      <c r="Q252" s="17" t="s">
        <v>1023</v>
      </c>
      <c r="R252" s="17" t="str">
        <f>VLOOKUP(A252,[2]Export!$A:$I,9,0)</f>
        <v>Comprou Marcas e SG</v>
      </c>
      <c r="S252" s="17" t="s">
        <v>1022</v>
      </c>
      <c r="T252" s="20"/>
      <c r="U252" s="17"/>
    </row>
    <row r="253" spans="1:21" x14ac:dyDescent="0.35">
      <c r="A253" s="5">
        <v>4007182000183</v>
      </c>
      <c r="B253" s="7"/>
      <c r="C253" s="4"/>
      <c r="D253" s="6" t="s">
        <v>353</v>
      </c>
      <c r="E253" s="6" t="s">
        <v>354</v>
      </c>
      <c r="F253" s="6" t="s">
        <v>48</v>
      </c>
      <c r="G253" s="11" t="s">
        <v>80</v>
      </c>
      <c r="H253" s="6" t="s">
        <v>17</v>
      </c>
      <c r="I253" s="21" t="s">
        <v>1075</v>
      </c>
      <c r="J253" s="18">
        <v>5770.9857733713288</v>
      </c>
      <c r="K253" s="18">
        <f>VLOOKUP(A253,[1]Export!$A:$C,3,0)</f>
        <v>1371.7200000000003</v>
      </c>
      <c r="L253" s="19">
        <f t="shared" si="8"/>
        <v>0.23769249377280316</v>
      </c>
      <c r="M253" s="18">
        <f>VLOOKUP(A253,[1]Export!$A:$G,7,0)</f>
        <v>0</v>
      </c>
      <c r="N253" s="19">
        <f t="shared" si="9"/>
        <v>0</v>
      </c>
      <c r="O253" s="17" t="s">
        <v>1025</v>
      </c>
      <c r="P253" s="17" t="s">
        <v>1026</v>
      </c>
      <c r="Q253" s="17" t="s">
        <v>1022</v>
      </c>
      <c r="R253" s="17" t="str">
        <f>VLOOKUP(A253,[2]Export!$A:$I,9,0)</f>
        <v>Não Comprou</v>
      </c>
      <c r="S253" s="17" t="s">
        <v>1022</v>
      </c>
      <c r="T253" s="20"/>
      <c r="U253" s="17"/>
    </row>
    <row r="254" spans="1:21" x14ac:dyDescent="0.35">
      <c r="A254" s="5">
        <v>13507152000127</v>
      </c>
      <c r="B254" s="7"/>
      <c r="C254" s="4"/>
      <c r="D254" s="6" t="s">
        <v>37</v>
      </c>
      <c r="E254" s="6" t="s">
        <v>35</v>
      </c>
      <c r="F254" s="6" t="s">
        <v>8</v>
      </c>
      <c r="G254" s="11" t="s">
        <v>38</v>
      </c>
      <c r="H254" s="6" t="s">
        <v>17</v>
      </c>
      <c r="I254" s="21" t="s">
        <v>1072</v>
      </c>
      <c r="J254" s="18">
        <v>2978.459288489506</v>
      </c>
      <c r="K254" s="18">
        <f>VLOOKUP(A254,[1]Export!$A:$C,3,0)</f>
        <v>2602.65</v>
      </c>
      <c r="L254" s="19">
        <f t="shared" si="8"/>
        <v>0.87382426547112768</v>
      </c>
      <c r="M254" s="18">
        <f>VLOOKUP(A254,[1]Export!$A:$G,7,0)</f>
        <v>4436.4000000000005</v>
      </c>
      <c r="N254" s="19">
        <f t="shared" si="9"/>
        <v>1.4894949268384574</v>
      </c>
      <c r="O254" s="17" t="s">
        <v>1027</v>
      </c>
      <c r="P254" s="17" t="s">
        <v>1028</v>
      </c>
      <c r="Q254" s="17" t="s">
        <v>1022</v>
      </c>
      <c r="R254" s="17" t="str">
        <f>VLOOKUP(A254,[2]Export!$A:$I,9,0)</f>
        <v>Comprou Marcas</v>
      </c>
      <c r="S254" s="17" t="s">
        <v>1022</v>
      </c>
      <c r="T254" s="20"/>
      <c r="U254" s="17">
        <v>2</v>
      </c>
    </row>
    <row r="255" spans="1:21" x14ac:dyDescent="0.35">
      <c r="A255" s="5">
        <v>3477379000113</v>
      </c>
      <c r="B255" s="7"/>
      <c r="C255" s="4"/>
      <c r="D255" s="6" t="s">
        <v>357</v>
      </c>
      <c r="E255" s="6" t="s">
        <v>358</v>
      </c>
      <c r="F255" s="6" t="s">
        <v>15</v>
      </c>
      <c r="G255" s="11" t="s">
        <v>20</v>
      </c>
      <c r="H255" s="6" t="s">
        <v>17</v>
      </c>
      <c r="I255" s="21" t="s">
        <v>1071</v>
      </c>
      <c r="J255" s="18">
        <v>7145.7810969192315</v>
      </c>
      <c r="K255" s="18">
        <f>VLOOKUP(A255,[1]Export!$A:$C,3,0)</f>
        <v>1640.13</v>
      </c>
      <c r="L255" s="19">
        <f t="shared" si="8"/>
        <v>0.22952424343184977</v>
      </c>
      <c r="M255" s="18">
        <f>VLOOKUP(A255,[1]Export!$A:$G,7,0)</f>
        <v>944.11000000000013</v>
      </c>
      <c r="N255" s="19">
        <f t="shared" si="9"/>
        <v>0.13212131566793101</v>
      </c>
      <c r="O255" s="17" t="s">
        <v>1025</v>
      </c>
      <c r="P255" s="17" t="s">
        <v>1026</v>
      </c>
      <c r="Q255" s="17" t="s">
        <v>1023</v>
      </c>
      <c r="R255" s="17" t="str">
        <f>VLOOKUP(A255,[2]Export!$A:$I,9,0)</f>
        <v>Comprou Marcas</v>
      </c>
      <c r="S255" s="17" t="s">
        <v>1022</v>
      </c>
      <c r="T255" s="20"/>
      <c r="U255" s="17"/>
    </row>
    <row r="256" spans="1:21" x14ac:dyDescent="0.35">
      <c r="A256" s="4">
        <v>4213573000154</v>
      </c>
      <c r="B256" s="7"/>
      <c r="C256" s="4"/>
      <c r="D256" s="1" t="s">
        <v>359</v>
      </c>
      <c r="E256" s="1" t="s">
        <v>360</v>
      </c>
      <c r="F256" s="1" t="s">
        <v>48</v>
      </c>
      <c r="G256" s="10" t="s">
        <v>80</v>
      </c>
      <c r="H256" s="1" t="s">
        <v>17</v>
      </c>
      <c r="I256" s="21" t="s">
        <v>1075</v>
      </c>
      <c r="J256" s="18">
        <v>23234.648147861219</v>
      </c>
      <c r="K256" s="18">
        <f>VLOOKUP(A256,[1]Export!$A:$C,3,0)</f>
        <v>6132.1600000000008</v>
      </c>
      <c r="L256" s="19">
        <f t="shared" si="8"/>
        <v>0.26392308422215011</v>
      </c>
      <c r="M256" s="18">
        <f>VLOOKUP(A256,[1]Export!$A:$G,7,0)</f>
        <v>2446.0600000000004</v>
      </c>
      <c r="N256" s="19">
        <f t="shared" si="9"/>
        <v>0.10527639516784176</v>
      </c>
      <c r="O256" s="17" t="s">
        <v>1025</v>
      </c>
      <c r="P256" s="17" t="s">
        <v>1026</v>
      </c>
      <c r="Q256" s="17" t="s">
        <v>1022</v>
      </c>
      <c r="R256" s="17" t="str">
        <f>VLOOKUP(A256,[2]Export!$A:$I,9,0)</f>
        <v>Comprou Marcas</v>
      </c>
      <c r="S256" s="17" t="s">
        <v>1022</v>
      </c>
      <c r="T256" s="20"/>
      <c r="U256" s="17"/>
    </row>
    <row r="257" spans="1:21" x14ac:dyDescent="0.35">
      <c r="A257" s="5">
        <v>4834843001035</v>
      </c>
      <c r="B257" s="7" t="s">
        <v>994</v>
      </c>
      <c r="C257" s="4"/>
      <c r="D257" s="6" t="s">
        <v>91</v>
      </c>
      <c r="E257" s="6" t="s">
        <v>361</v>
      </c>
      <c r="F257" s="6" t="s">
        <v>48</v>
      </c>
      <c r="G257" s="11" t="s">
        <v>92</v>
      </c>
      <c r="H257" s="6" t="s">
        <v>17</v>
      </c>
      <c r="I257" s="21" t="s">
        <v>1073</v>
      </c>
      <c r="J257" s="18">
        <v>17788.738593008409</v>
      </c>
      <c r="K257" s="18">
        <f>VLOOKUP(A257,[1]Export!$A:$C,3,0)</f>
        <v>6012.590000000002</v>
      </c>
      <c r="L257" s="19">
        <f t="shared" si="8"/>
        <v>0.3379997951267415</v>
      </c>
      <c r="M257" s="18">
        <f>VLOOKUP(A257,[1]Export!$A:$G,7,0)</f>
        <v>7283.7100000000009</v>
      </c>
      <c r="N257" s="19">
        <f t="shared" si="9"/>
        <v>0.4094562389523646</v>
      </c>
      <c r="O257" s="17" t="s">
        <v>1027</v>
      </c>
      <c r="P257" s="17" t="s">
        <v>1028</v>
      </c>
      <c r="Q257" s="17" t="s">
        <v>1023</v>
      </c>
      <c r="R257" s="17" t="str">
        <f>VLOOKUP(A257,[2]Export!$A:$I,9,0)</f>
        <v>Comprou Marcas</v>
      </c>
      <c r="S257" s="17" t="s">
        <v>1022</v>
      </c>
      <c r="T257" s="20">
        <v>4</v>
      </c>
      <c r="U257" s="17"/>
    </row>
    <row r="258" spans="1:21" x14ac:dyDescent="0.35">
      <c r="A258" s="4">
        <v>5215960000192</v>
      </c>
      <c r="B258" s="7"/>
      <c r="C258" s="4"/>
      <c r="D258" s="1" t="s">
        <v>362</v>
      </c>
      <c r="E258" s="1" t="s">
        <v>100</v>
      </c>
      <c r="F258" s="1" t="s">
        <v>15</v>
      </c>
      <c r="G258" s="10" t="s">
        <v>16</v>
      </c>
      <c r="H258" s="1" t="s">
        <v>17</v>
      </c>
      <c r="I258" s="21" t="s">
        <v>1075</v>
      </c>
      <c r="J258" s="18">
        <v>10582.039315843209</v>
      </c>
      <c r="K258" s="18">
        <f>VLOOKUP(A258,[1]Export!$A:$C,3,0)</f>
        <v>2680.61</v>
      </c>
      <c r="L258" s="19">
        <f t="shared" si="8"/>
        <v>0.25331695715651392</v>
      </c>
      <c r="M258" s="18">
        <f>VLOOKUP(A258,[1]Export!$A:$G,7,0)</f>
        <v>813.88000000000011</v>
      </c>
      <c r="N258" s="19">
        <f t="shared" si="9"/>
        <v>7.6911451158707747E-2</v>
      </c>
      <c r="O258" s="17" t="s">
        <v>1025</v>
      </c>
      <c r="P258" s="17" t="s">
        <v>1026</v>
      </c>
      <c r="Q258" s="17" t="s">
        <v>1023</v>
      </c>
      <c r="R258" s="17" t="str">
        <f>VLOOKUP(A258,[2]Export!$A:$I,9,0)</f>
        <v>Comprou Marcas</v>
      </c>
      <c r="S258" s="17" t="s">
        <v>1022</v>
      </c>
      <c r="T258" s="20"/>
      <c r="U258" s="17"/>
    </row>
    <row r="259" spans="1:21" x14ac:dyDescent="0.35">
      <c r="A259" s="5">
        <v>8954076000400</v>
      </c>
      <c r="B259" s="7"/>
      <c r="C259" s="4"/>
      <c r="D259" s="6" t="s">
        <v>363</v>
      </c>
      <c r="E259" s="6" t="s">
        <v>127</v>
      </c>
      <c r="F259" s="6" t="s">
        <v>8</v>
      </c>
      <c r="G259" s="11" t="s">
        <v>64</v>
      </c>
      <c r="H259" s="6" t="s">
        <v>17</v>
      </c>
      <c r="I259" s="21" t="s">
        <v>1070</v>
      </c>
      <c r="J259" s="18">
        <v>2321.2291816762681</v>
      </c>
      <c r="K259" s="18">
        <f>VLOOKUP(A259,[1]Export!$A:$C,3,0)</f>
        <v>472.63000000000005</v>
      </c>
      <c r="L259" s="19">
        <f t="shared" si="8"/>
        <v>0.20361194996639317</v>
      </c>
      <c r="M259" s="18">
        <f>VLOOKUP(A259,[1]Export!$A:$G,7,0)</f>
        <v>0</v>
      </c>
      <c r="N259" s="19">
        <f t="shared" si="9"/>
        <v>0</v>
      </c>
      <c r="O259" s="17" t="s">
        <v>1025</v>
      </c>
      <c r="P259" s="17" t="s">
        <v>1026</v>
      </c>
      <c r="Q259" s="17" t="s">
        <v>1023</v>
      </c>
      <c r="R259" s="17" t="str">
        <f>VLOOKUP(A259,[2]Export!$A:$I,9,0)</f>
        <v>Não Comprou</v>
      </c>
      <c r="S259" s="17" t="s">
        <v>1022</v>
      </c>
      <c r="T259" s="20"/>
      <c r="U259" s="17"/>
    </row>
    <row r="260" spans="1:21" x14ac:dyDescent="0.35">
      <c r="A260" s="5">
        <v>10341045000183</v>
      </c>
      <c r="B260" s="7" t="s">
        <v>995</v>
      </c>
      <c r="C260" s="4">
        <v>134711</v>
      </c>
      <c r="D260" s="6" t="s">
        <v>25</v>
      </c>
      <c r="E260" s="6" t="s">
        <v>115</v>
      </c>
      <c r="F260" s="6" t="s">
        <v>8</v>
      </c>
      <c r="G260" s="11" t="s">
        <v>9</v>
      </c>
      <c r="H260" s="6" t="s">
        <v>10</v>
      </c>
      <c r="I260" s="21" t="s">
        <v>1068</v>
      </c>
      <c r="J260" s="18">
        <v>60669.360601323737</v>
      </c>
      <c r="K260" s="18">
        <f>VLOOKUP(A260,[1]Export!$A:$C,3,0)</f>
        <v>25699.179999999989</v>
      </c>
      <c r="L260" s="19">
        <f t="shared" si="8"/>
        <v>0.42359404723047739</v>
      </c>
      <c r="M260" s="18">
        <f>VLOOKUP(A260,[1]Export!$A:$G,7,0)</f>
        <v>15704.829999999994</v>
      </c>
      <c r="N260" s="19">
        <f t="shared" si="9"/>
        <v>0.25885932939364675</v>
      </c>
      <c r="O260" s="17" t="s">
        <v>1027</v>
      </c>
      <c r="P260" s="17" t="s">
        <v>1028</v>
      </c>
      <c r="Q260" s="17" t="s">
        <v>1023</v>
      </c>
      <c r="R260" s="17" t="str">
        <f>VLOOKUP(A260,[2]Export!$A:$I,9,0)</f>
        <v>Comprou Marcas e SG</v>
      </c>
      <c r="S260" s="17" t="s">
        <v>1022</v>
      </c>
      <c r="T260" s="20"/>
      <c r="U260" s="17"/>
    </row>
    <row r="261" spans="1:21" x14ac:dyDescent="0.35">
      <c r="A261" s="5">
        <v>7217112000571</v>
      </c>
      <c r="B261" s="7" t="s">
        <v>1002</v>
      </c>
      <c r="C261" s="4"/>
      <c r="D261" s="6" t="s">
        <v>90</v>
      </c>
      <c r="E261" s="6" t="s">
        <v>364</v>
      </c>
      <c r="F261" s="6" t="s">
        <v>8</v>
      </c>
      <c r="G261" s="11" t="s">
        <v>64</v>
      </c>
      <c r="H261" s="6" t="s">
        <v>17</v>
      </c>
      <c r="I261" s="21" t="s">
        <v>1068</v>
      </c>
      <c r="J261" s="18">
        <v>6583.0018023470911</v>
      </c>
      <c r="K261" s="18">
        <f>VLOOKUP(A261,[1]Export!$A:$C,3,0)</f>
        <v>2516.4700000000003</v>
      </c>
      <c r="L261" s="19">
        <f t="shared" si="8"/>
        <v>0.38226785827443988</v>
      </c>
      <c r="M261" s="18">
        <f>VLOOKUP(A261,[1]Export!$A:$G,7,0)</f>
        <v>2348.0100000000007</v>
      </c>
      <c r="N261" s="19">
        <f t="shared" si="9"/>
        <v>0.35667770881710004</v>
      </c>
      <c r="O261" s="17" t="s">
        <v>1027</v>
      </c>
      <c r="P261" s="17" t="s">
        <v>1028</v>
      </c>
      <c r="Q261" s="17" t="s">
        <v>1023</v>
      </c>
      <c r="R261" s="17" t="str">
        <f>VLOOKUP(A261,[2]Export!$A:$I,9,0)</f>
        <v>Comprou Marcas</v>
      </c>
      <c r="S261" s="17" t="s">
        <v>1022</v>
      </c>
      <c r="T261" s="20"/>
      <c r="U261" s="17"/>
    </row>
    <row r="262" spans="1:21" x14ac:dyDescent="0.35">
      <c r="A262" s="4">
        <v>9559619000105</v>
      </c>
      <c r="B262" s="7"/>
      <c r="C262" s="4"/>
      <c r="D262" s="1" t="s">
        <v>365</v>
      </c>
      <c r="E262" s="1" t="s">
        <v>152</v>
      </c>
      <c r="F262" s="1" t="s">
        <v>8</v>
      </c>
      <c r="G262" s="10" t="s">
        <v>36</v>
      </c>
      <c r="H262" s="1" t="s">
        <v>17</v>
      </c>
      <c r="I262" s="21" t="s">
        <v>1070</v>
      </c>
      <c r="J262" s="18">
        <v>4804.823158255258</v>
      </c>
      <c r="K262" s="18">
        <f>VLOOKUP(A262,[1]Export!$A:$C,3,0)</f>
        <v>1062.8600000000001</v>
      </c>
      <c r="L262" s="19">
        <f t="shared" si="8"/>
        <v>0.22120689253128498</v>
      </c>
      <c r="M262" s="18">
        <f>VLOOKUP(A262,[1]Export!$A:$G,7,0)</f>
        <v>0</v>
      </c>
      <c r="N262" s="19">
        <f t="shared" si="9"/>
        <v>0</v>
      </c>
      <c r="O262" s="17" t="s">
        <v>1025</v>
      </c>
      <c r="P262" s="17" t="s">
        <v>1026</v>
      </c>
      <c r="Q262" s="17" t="s">
        <v>1023</v>
      </c>
      <c r="R262" s="17" t="str">
        <f>VLOOKUP(A262,[2]Export!$A:$I,9,0)</f>
        <v>Não Comprou</v>
      </c>
      <c r="S262" s="17" t="s">
        <v>1022</v>
      </c>
      <c r="T262" s="20"/>
      <c r="U262" s="17"/>
    </row>
    <row r="263" spans="1:21" x14ac:dyDescent="0.35">
      <c r="A263" s="4">
        <v>10341045002550</v>
      </c>
      <c r="B263" s="7" t="s">
        <v>995</v>
      </c>
      <c r="C263" s="4"/>
      <c r="D263" s="1" t="s">
        <v>366</v>
      </c>
      <c r="E263" s="1" t="s">
        <v>162</v>
      </c>
      <c r="F263" s="1" t="s">
        <v>8</v>
      </c>
      <c r="G263" s="10" t="s">
        <v>9</v>
      </c>
      <c r="H263" s="1" t="s">
        <v>10</v>
      </c>
      <c r="I263" s="21" t="s">
        <v>1074</v>
      </c>
      <c r="J263" s="18">
        <v>26938.162310394815</v>
      </c>
      <c r="K263" s="18">
        <f>VLOOKUP(A263,[1]Export!$A:$C,3,0)</f>
        <v>13285.540000000006</v>
      </c>
      <c r="L263" s="19">
        <f t="shared" si="8"/>
        <v>0.49318657475285249</v>
      </c>
      <c r="M263" s="18">
        <f>VLOOKUP(A263,[1]Export!$A:$G,7,0)</f>
        <v>9544.4300000000021</v>
      </c>
      <c r="N263" s="19">
        <f t="shared" si="9"/>
        <v>0.35430887563985858</v>
      </c>
      <c r="O263" s="17" t="s">
        <v>1027</v>
      </c>
      <c r="P263" s="17" t="s">
        <v>1028</v>
      </c>
      <c r="Q263" s="17" t="s">
        <v>1023</v>
      </c>
      <c r="R263" s="17" t="str">
        <f>VLOOKUP(A263,[2]Export!$A:$I,9,0)</f>
        <v>Comprou Marcas e SG</v>
      </c>
      <c r="S263" s="17" t="s">
        <v>1022</v>
      </c>
      <c r="T263" s="20">
        <v>1</v>
      </c>
      <c r="U263" s="17"/>
    </row>
    <row r="264" spans="1:21" x14ac:dyDescent="0.35">
      <c r="A264" s="4">
        <v>10341045001821</v>
      </c>
      <c r="B264" s="7" t="s">
        <v>995</v>
      </c>
      <c r="C264" s="4"/>
      <c r="D264" s="1" t="s">
        <v>25</v>
      </c>
      <c r="E264" s="1" t="s">
        <v>40</v>
      </c>
      <c r="F264" s="1" t="s">
        <v>8</v>
      </c>
      <c r="G264" s="10" t="s">
        <v>9</v>
      </c>
      <c r="H264" s="1" t="s">
        <v>10</v>
      </c>
      <c r="I264" s="21" t="s">
        <v>1072</v>
      </c>
      <c r="J264" s="18">
        <v>21364.517009646792</v>
      </c>
      <c r="K264" s="18">
        <f>VLOOKUP(A264,[1]Export!$A:$C,3,0)</f>
        <v>6604.98</v>
      </c>
      <c r="L264" s="19">
        <f t="shared" si="8"/>
        <v>0.30915653262920151</v>
      </c>
      <c r="M264" s="18">
        <f>VLOOKUP(A264,[1]Export!$A:$G,7,0)</f>
        <v>5263.97</v>
      </c>
      <c r="N264" s="19">
        <f t="shared" si="9"/>
        <v>0.24638843918742195</v>
      </c>
      <c r="O264" s="17" t="s">
        <v>1027</v>
      </c>
      <c r="P264" s="17" t="s">
        <v>1028</v>
      </c>
      <c r="Q264" s="17" t="s">
        <v>1023</v>
      </c>
      <c r="R264" s="17" t="str">
        <f>VLOOKUP(A264,[2]Export!$A:$I,9,0)</f>
        <v>Comprou Marcas e SG</v>
      </c>
      <c r="S264" s="17" t="s">
        <v>1022</v>
      </c>
      <c r="T264" s="20"/>
      <c r="U264" s="17"/>
    </row>
    <row r="265" spans="1:21" x14ac:dyDescent="0.35">
      <c r="A265" s="5">
        <v>10737685000379</v>
      </c>
      <c r="B265" s="7" t="s">
        <v>999</v>
      </c>
      <c r="C265" s="4"/>
      <c r="D265" s="6" t="s">
        <v>90</v>
      </c>
      <c r="E265" s="6" t="s">
        <v>113</v>
      </c>
      <c r="F265" s="6" t="s">
        <v>8</v>
      </c>
      <c r="G265" s="11" t="s">
        <v>64</v>
      </c>
      <c r="H265" s="6" t="s">
        <v>17</v>
      </c>
      <c r="I265" s="21" t="s">
        <v>1074</v>
      </c>
      <c r="J265" s="18">
        <v>27938.853784778643</v>
      </c>
      <c r="K265" s="18">
        <f>VLOOKUP(A265,[1]Export!$A:$C,3,0)</f>
        <v>10576.429999999997</v>
      </c>
      <c r="L265" s="19">
        <f t="shared" si="8"/>
        <v>0.37855633167607389</v>
      </c>
      <c r="M265" s="18">
        <f>VLOOKUP(A265,[1]Export!$A:$G,7,0)</f>
        <v>11907.4</v>
      </c>
      <c r="N265" s="19">
        <f t="shared" si="9"/>
        <v>0.42619500755923156</v>
      </c>
      <c r="O265" s="17"/>
      <c r="P265" s="17"/>
      <c r="Q265" s="17"/>
      <c r="R265" s="17" t="str">
        <f>VLOOKUP(A265,[2]Export!$A:$I,9,0)</f>
        <v>Comprou Marcas</v>
      </c>
      <c r="S265" s="17"/>
      <c r="T265" s="20"/>
      <c r="U265" s="17"/>
    </row>
    <row r="266" spans="1:21" x14ac:dyDescent="0.35">
      <c r="A266" s="4">
        <v>23622022000199</v>
      </c>
      <c r="B266" s="7"/>
      <c r="C266" s="4"/>
      <c r="D266" s="1" t="s">
        <v>367</v>
      </c>
      <c r="E266" s="1" t="s">
        <v>14</v>
      </c>
      <c r="F266" s="1" t="s">
        <v>15</v>
      </c>
      <c r="G266" s="10" t="s">
        <v>36</v>
      </c>
      <c r="H266" s="1" t="s">
        <v>17</v>
      </c>
      <c r="I266" s="21" t="s">
        <v>1069</v>
      </c>
      <c r="J266" s="18">
        <v>2626.5145244982814</v>
      </c>
      <c r="K266" s="18">
        <f>VLOOKUP(A266,[1]Export!$A:$C,3,0)</f>
        <v>631.53</v>
      </c>
      <c r="L266" s="19">
        <f t="shared" si="8"/>
        <v>0.24044413008553048</v>
      </c>
      <c r="M266" s="18">
        <f>VLOOKUP(A266,[1]Export!$A:$G,7,0)</f>
        <v>763.36</v>
      </c>
      <c r="N266" s="19">
        <f t="shared" si="9"/>
        <v>0.29063612360788965</v>
      </c>
      <c r="O266" s="17" t="s">
        <v>1025</v>
      </c>
      <c r="P266" s="17" t="s">
        <v>1026</v>
      </c>
      <c r="Q266" s="17" t="s">
        <v>1022</v>
      </c>
      <c r="R266" s="17" t="str">
        <f>VLOOKUP(A266,[2]Export!$A:$I,9,0)</f>
        <v>Comprou Marcas</v>
      </c>
      <c r="S266" s="17" t="s">
        <v>1022</v>
      </c>
      <c r="T266" s="20"/>
      <c r="U266" s="17"/>
    </row>
    <row r="267" spans="1:21" x14ac:dyDescent="0.35">
      <c r="A267" s="5">
        <v>30049938000167</v>
      </c>
      <c r="B267" s="7"/>
      <c r="C267" s="4"/>
      <c r="D267" s="6" t="s">
        <v>368</v>
      </c>
      <c r="E267" s="6" t="s">
        <v>182</v>
      </c>
      <c r="F267" s="6" t="s">
        <v>8</v>
      </c>
      <c r="G267" s="11" t="s">
        <v>36</v>
      </c>
      <c r="H267" s="6" t="s">
        <v>17</v>
      </c>
      <c r="I267" s="21" t="s">
        <v>1074</v>
      </c>
      <c r="J267" s="18">
        <v>6385.4593918910532</v>
      </c>
      <c r="K267" s="18">
        <f>VLOOKUP(A267,[1]Export!$A:$C,3,0)</f>
        <v>771.7600000000001</v>
      </c>
      <c r="L267" s="19">
        <f t="shared" si="8"/>
        <v>0.12086209505616219</v>
      </c>
      <c r="M267" s="18">
        <f>VLOOKUP(A267,[1]Export!$A:$G,7,0)</f>
        <v>0</v>
      </c>
      <c r="N267" s="19">
        <f t="shared" si="9"/>
        <v>0</v>
      </c>
      <c r="O267" s="17" t="s">
        <v>1025</v>
      </c>
      <c r="P267" s="17" t="s">
        <v>1026</v>
      </c>
      <c r="Q267" s="17" t="s">
        <v>1023</v>
      </c>
      <c r="R267" s="17" t="str">
        <f>VLOOKUP(A267,[2]Export!$A:$I,9,0)</f>
        <v>Não Comprou</v>
      </c>
      <c r="S267" s="17" t="s">
        <v>1023</v>
      </c>
      <c r="T267" s="20">
        <v>1</v>
      </c>
      <c r="U267" s="17"/>
    </row>
    <row r="268" spans="1:21" x14ac:dyDescent="0.35">
      <c r="A268" s="4">
        <v>12050037000103</v>
      </c>
      <c r="B268" s="7"/>
      <c r="C268" s="4"/>
      <c r="D268" s="1" t="s">
        <v>220</v>
      </c>
      <c r="E268" s="1" t="s">
        <v>61</v>
      </c>
      <c r="F268" s="1" t="s">
        <v>8</v>
      </c>
      <c r="G268" s="10" t="s">
        <v>16</v>
      </c>
      <c r="H268" s="1" t="s">
        <v>17</v>
      </c>
      <c r="I268" s="21" t="s">
        <v>1068</v>
      </c>
      <c r="J268" s="18">
        <v>2095.1614534055107</v>
      </c>
      <c r="K268" s="18">
        <f>VLOOKUP(A268,[1]Export!$A:$C,3,0)</f>
        <v>283.56</v>
      </c>
      <c r="L268" s="19">
        <f t="shared" si="8"/>
        <v>0.13534040516977669</v>
      </c>
      <c r="M268" s="18">
        <f>VLOOKUP(A268,[1]Export!$A:$G,7,0)</f>
        <v>586.76</v>
      </c>
      <c r="N268" s="19">
        <f t="shared" si="9"/>
        <v>0.28005478959450614</v>
      </c>
      <c r="O268" s="17" t="s">
        <v>1029</v>
      </c>
      <c r="P268" s="17" t="s">
        <v>1026</v>
      </c>
      <c r="Q268" s="17" t="s">
        <v>1022</v>
      </c>
      <c r="R268" s="17" t="str">
        <f>VLOOKUP(A268,[2]Export!$A:$I,9,0)</f>
        <v>Comprou Marcas</v>
      </c>
      <c r="S268" s="17" t="s">
        <v>1023</v>
      </c>
      <c r="T268" s="20"/>
      <c r="U268" s="17"/>
    </row>
    <row r="269" spans="1:21" x14ac:dyDescent="0.35">
      <c r="A269" s="5">
        <v>13874468000157</v>
      </c>
      <c r="B269" s="7"/>
      <c r="C269" s="4"/>
      <c r="D269" s="6" t="s">
        <v>278</v>
      </c>
      <c r="E269" s="6" t="s">
        <v>35</v>
      </c>
      <c r="F269" s="6" t="s">
        <v>8</v>
      </c>
      <c r="G269" s="11" t="s">
        <v>279</v>
      </c>
      <c r="H269" s="6" t="s">
        <v>17</v>
      </c>
      <c r="I269" s="21" t="s">
        <v>1072</v>
      </c>
      <c r="J269" s="18">
        <v>9653.3507872678292</v>
      </c>
      <c r="K269" s="18">
        <f>VLOOKUP(A269,[1]Export!$A:$C,3,0)</f>
        <v>2662.51</v>
      </c>
      <c r="L269" s="19">
        <f t="shared" ref="L269:L332" si="10">K269/J269</f>
        <v>0.27581200131167777</v>
      </c>
      <c r="M269" s="18">
        <f>VLOOKUP(A269,[1]Export!$A:$G,7,0)</f>
        <v>1951.0899999999997</v>
      </c>
      <c r="N269" s="19">
        <f t="shared" ref="N269:N332" si="11">M269/J269</f>
        <v>0.20211531135627708</v>
      </c>
      <c r="O269" s="17" t="s">
        <v>1027</v>
      </c>
      <c r="P269" s="17" t="s">
        <v>1028</v>
      </c>
      <c r="Q269" s="17" t="s">
        <v>1023</v>
      </c>
      <c r="R269" s="17" t="str">
        <f>VLOOKUP(A269,[2]Export!$A:$I,9,0)</f>
        <v>Comprou Marcas</v>
      </c>
      <c r="S269" s="17" t="s">
        <v>1022</v>
      </c>
      <c r="T269" s="20"/>
      <c r="U269" s="17"/>
    </row>
    <row r="270" spans="1:21" x14ac:dyDescent="0.35">
      <c r="A270" s="4">
        <v>14931934000151</v>
      </c>
      <c r="B270" s="7"/>
      <c r="C270" s="4"/>
      <c r="D270" s="1" t="s">
        <v>369</v>
      </c>
      <c r="E270" s="1" t="s">
        <v>370</v>
      </c>
      <c r="F270" s="1" t="s">
        <v>48</v>
      </c>
      <c r="G270" s="10" t="s">
        <v>80</v>
      </c>
      <c r="H270" s="1" t="s">
        <v>17</v>
      </c>
      <c r="I270" s="21" t="s">
        <v>1073</v>
      </c>
      <c r="J270" s="18">
        <v>17272.605592150281</v>
      </c>
      <c r="K270" s="18">
        <f>VLOOKUP(A270,[1]Export!$A:$C,3,0)</f>
        <v>4580.8200000000024</v>
      </c>
      <c r="L270" s="19">
        <f t="shared" si="10"/>
        <v>0.26520723671718671</v>
      </c>
      <c r="M270" s="18">
        <f>VLOOKUP(A270,[1]Export!$A:$G,7,0)</f>
        <v>0</v>
      </c>
      <c r="N270" s="19">
        <f t="shared" si="11"/>
        <v>0</v>
      </c>
      <c r="O270" s="17" t="s">
        <v>1027</v>
      </c>
      <c r="P270" s="17" t="s">
        <v>1028</v>
      </c>
      <c r="Q270" s="17" t="s">
        <v>1023</v>
      </c>
      <c r="R270" s="17" t="str">
        <f>VLOOKUP(A270,[2]Export!$A:$I,9,0)</f>
        <v>Comprou SG</v>
      </c>
      <c r="S270" s="17" t="s">
        <v>1023</v>
      </c>
      <c r="T270" s="20"/>
      <c r="U270" s="17"/>
    </row>
    <row r="271" spans="1:21" x14ac:dyDescent="0.35">
      <c r="A271" s="5">
        <v>15290994000103</v>
      </c>
      <c r="B271" s="7"/>
      <c r="C271" s="4"/>
      <c r="D271" s="6" t="s">
        <v>371</v>
      </c>
      <c r="E271" s="6" t="s">
        <v>196</v>
      </c>
      <c r="F271" s="6" t="s">
        <v>48</v>
      </c>
      <c r="G271" s="11" t="s">
        <v>80</v>
      </c>
      <c r="H271" s="6" t="s">
        <v>17</v>
      </c>
      <c r="I271" s="21" t="s">
        <v>1073</v>
      </c>
      <c r="J271" s="18">
        <v>4927.3421179744873</v>
      </c>
      <c r="K271" s="18">
        <f>VLOOKUP(A271,[1]Export!$A:$C,3,0)</f>
        <v>1763.76</v>
      </c>
      <c r="L271" s="19">
        <f t="shared" si="10"/>
        <v>0.3579536305315531</v>
      </c>
      <c r="M271" s="18">
        <f>VLOOKUP(A271,[1]Export!$A:$G,7,0)</f>
        <v>0</v>
      </c>
      <c r="N271" s="19">
        <f t="shared" si="11"/>
        <v>0</v>
      </c>
      <c r="O271" s="17" t="s">
        <v>1030</v>
      </c>
      <c r="P271" s="17" t="s">
        <v>1026</v>
      </c>
      <c r="Q271" s="17" t="s">
        <v>1022</v>
      </c>
      <c r="R271" s="17" t="str">
        <f>VLOOKUP(A271,[2]Export!$A:$I,9,0)</f>
        <v>Não Comprou</v>
      </c>
      <c r="S271" s="17" t="s">
        <v>1023</v>
      </c>
      <c r="T271" s="20"/>
      <c r="U271" s="17"/>
    </row>
    <row r="272" spans="1:21" x14ac:dyDescent="0.35">
      <c r="A272" s="4">
        <v>15433090000181</v>
      </c>
      <c r="B272" s="7"/>
      <c r="C272" s="4"/>
      <c r="D272" s="1" t="s">
        <v>372</v>
      </c>
      <c r="E272" s="1" t="s">
        <v>14</v>
      </c>
      <c r="F272" s="1" t="s">
        <v>15</v>
      </c>
      <c r="G272" s="10" t="s">
        <v>20</v>
      </c>
      <c r="H272" s="1" t="s">
        <v>17</v>
      </c>
      <c r="I272" s="21" t="s">
        <v>1069</v>
      </c>
      <c r="J272" s="18">
        <v>967.85688234480301</v>
      </c>
      <c r="K272" s="18">
        <f>VLOOKUP(A272,[1]Export!$A:$C,3,0)</f>
        <v>95.47</v>
      </c>
      <c r="L272" s="19">
        <f t="shared" si="10"/>
        <v>9.8640616956411145E-2</v>
      </c>
      <c r="M272" s="18">
        <f>VLOOKUP(A272,[1]Export!$A:$G,7,0)</f>
        <v>0</v>
      </c>
      <c r="N272" s="19">
        <f t="shared" si="11"/>
        <v>0</v>
      </c>
      <c r="O272" s="17" t="s">
        <v>1025</v>
      </c>
      <c r="P272" s="17" t="s">
        <v>1026</v>
      </c>
      <c r="Q272" s="17" t="s">
        <v>1023</v>
      </c>
      <c r="R272" s="17" t="str">
        <f>VLOOKUP(A272,[2]Export!$A:$I,9,0)</f>
        <v>Não Comprou</v>
      </c>
      <c r="S272" s="17" t="s">
        <v>1023</v>
      </c>
      <c r="T272" s="20"/>
      <c r="U272" s="17"/>
    </row>
    <row r="273" spans="1:21" x14ac:dyDescent="0.35">
      <c r="A273" s="5">
        <v>68204486000202</v>
      </c>
      <c r="B273" s="7"/>
      <c r="C273" s="4"/>
      <c r="D273" s="6" t="s">
        <v>373</v>
      </c>
      <c r="E273" s="6" t="s">
        <v>374</v>
      </c>
      <c r="F273" s="6" t="s">
        <v>48</v>
      </c>
      <c r="G273" s="11" t="s">
        <v>375</v>
      </c>
      <c r="H273" s="6" t="s">
        <v>17</v>
      </c>
      <c r="I273" s="21" t="s">
        <v>1073</v>
      </c>
      <c r="J273" s="18">
        <v>9861.2796559612325</v>
      </c>
      <c r="K273" s="18">
        <f>VLOOKUP(A273,[1]Export!$A:$C,3,0)</f>
        <v>2708.6800000000003</v>
      </c>
      <c r="L273" s="19">
        <f t="shared" si="10"/>
        <v>0.27467834748633041</v>
      </c>
      <c r="M273" s="18">
        <f>VLOOKUP(A273,[1]Export!$A:$G,7,0)</f>
        <v>842.06999999999994</v>
      </c>
      <c r="N273" s="19">
        <f t="shared" si="11"/>
        <v>8.5391554582975551E-2</v>
      </c>
      <c r="O273" s="17" t="s">
        <v>1025</v>
      </c>
      <c r="P273" s="17" t="s">
        <v>1026</v>
      </c>
      <c r="Q273" s="17" t="s">
        <v>1023</v>
      </c>
      <c r="R273" s="17" t="str">
        <f>VLOOKUP(A273,[2]Export!$A:$I,9,0)</f>
        <v>Comprou Marcas</v>
      </c>
      <c r="S273" s="17" t="s">
        <v>1022</v>
      </c>
      <c r="T273" s="20"/>
      <c r="U273" s="17"/>
    </row>
    <row r="274" spans="1:21" x14ac:dyDescent="0.35">
      <c r="A274" s="4">
        <v>59106417000186</v>
      </c>
      <c r="B274" s="7"/>
      <c r="C274" s="4"/>
      <c r="D274" s="1" t="s">
        <v>376</v>
      </c>
      <c r="E274" s="1" t="s">
        <v>14</v>
      </c>
      <c r="F274" s="1" t="s">
        <v>15</v>
      </c>
      <c r="G274" s="10" t="s">
        <v>36</v>
      </c>
      <c r="H274" s="1" t="s">
        <v>17</v>
      </c>
      <c r="I274" s="21" t="s">
        <v>1069</v>
      </c>
      <c r="J274" s="18">
        <v>997.83757258175069</v>
      </c>
      <c r="K274" s="18">
        <f>VLOOKUP(A274,[1]Export!$A:$C,3,0)</f>
        <v>200.88</v>
      </c>
      <c r="L274" s="19">
        <f t="shared" si="10"/>
        <v>0.20131532978884931</v>
      </c>
      <c r="M274" s="18">
        <f>VLOOKUP(A274,[1]Export!$A:$G,7,0)</f>
        <v>196.87000000000003</v>
      </c>
      <c r="N274" s="19">
        <f t="shared" si="11"/>
        <v>0.19729663966313604</v>
      </c>
      <c r="O274" s="17" t="s">
        <v>1030</v>
      </c>
      <c r="P274" s="17" t="s">
        <v>1026</v>
      </c>
      <c r="Q274" s="17" t="s">
        <v>1022</v>
      </c>
      <c r="R274" s="17" t="str">
        <f>VLOOKUP(A274,[2]Export!$A:$I,9,0)</f>
        <v>Comprou Marcas</v>
      </c>
      <c r="S274" s="17" t="s">
        <v>1023</v>
      </c>
      <c r="T274" s="20"/>
      <c r="U274" s="17"/>
    </row>
    <row r="275" spans="1:21" x14ac:dyDescent="0.35">
      <c r="A275" s="5">
        <v>59412809000173</v>
      </c>
      <c r="B275" s="7"/>
      <c r="C275" s="4"/>
      <c r="D275" s="6" t="s">
        <v>337</v>
      </c>
      <c r="E275" s="6" t="s">
        <v>377</v>
      </c>
      <c r="F275" s="6" t="s">
        <v>48</v>
      </c>
      <c r="G275" s="11" t="s">
        <v>20</v>
      </c>
      <c r="H275" s="6" t="s">
        <v>17</v>
      </c>
      <c r="I275" s="21" t="s">
        <v>1073</v>
      </c>
      <c r="J275" s="18">
        <v>2465.1166670508492</v>
      </c>
      <c r="K275" s="18">
        <f>VLOOKUP(A275,[1]Export!$A:$C,3,0)</f>
        <v>756.2600000000001</v>
      </c>
      <c r="L275" s="19">
        <f t="shared" si="10"/>
        <v>0.30678466869673732</v>
      </c>
      <c r="M275" s="18">
        <f>VLOOKUP(A275,[1]Export!$A:$G,7,0)</f>
        <v>0</v>
      </c>
      <c r="N275" s="19">
        <f t="shared" si="11"/>
        <v>0</v>
      </c>
      <c r="O275" s="17" t="s">
        <v>1025</v>
      </c>
      <c r="P275" s="17" t="s">
        <v>1026</v>
      </c>
      <c r="Q275" s="17" t="s">
        <v>1023</v>
      </c>
      <c r="R275" s="17" t="str">
        <f>VLOOKUP(A275,[2]Export!$A:$I,9,0)</f>
        <v>Não Comprou</v>
      </c>
      <c r="S275" s="17" t="s">
        <v>1023</v>
      </c>
      <c r="T275" s="20"/>
      <c r="U275" s="17"/>
    </row>
    <row r="276" spans="1:21" x14ac:dyDescent="0.35">
      <c r="A276" s="4">
        <v>61416946000128</v>
      </c>
      <c r="B276" s="7" t="s">
        <v>1006</v>
      </c>
      <c r="C276" s="4"/>
      <c r="D276" s="1" t="s">
        <v>378</v>
      </c>
      <c r="E276" s="1" t="s">
        <v>379</v>
      </c>
      <c r="F276" s="1" t="s">
        <v>15</v>
      </c>
      <c r="G276" s="10" t="s">
        <v>36</v>
      </c>
      <c r="H276" s="1" t="s">
        <v>17</v>
      </c>
      <c r="I276" s="21" t="s">
        <v>1075</v>
      </c>
      <c r="J276" s="18">
        <v>10485.399079011022</v>
      </c>
      <c r="K276" s="18">
        <f>VLOOKUP(A276,[1]Export!$A:$C,3,0)</f>
        <v>3400.889999999999</v>
      </c>
      <c r="L276" s="19">
        <f t="shared" si="10"/>
        <v>0.32434530859275307</v>
      </c>
      <c r="M276" s="18">
        <f>VLOOKUP(A276,[1]Export!$A:$G,7,0)</f>
        <v>1787.8000000000002</v>
      </c>
      <c r="N276" s="19">
        <f t="shared" si="11"/>
        <v>0.17050376304500417</v>
      </c>
      <c r="O276" s="17" t="s">
        <v>1027</v>
      </c>
      <c r="P276" s="17" t="s">
        <v>1028</v>
      </c>
      <c r="Q276" s="17" t="s">
        <v>1023</v>
      </c>
      <c r="R276" s="17" t="str">
        <f>VLOOKUP(A276,[2]Export!$A:$I,9,0)</f>
        <v>Comprou Marcas e SG</v>
      </c>
      <c r="S276" s="17" t="s">
        <v>1022</v>
      </c>
      <c r="T276" s="20">
        <v>2</v>
      </c>
      <c r="U276" s="17"/>
    </row>
    <row r="277" spans="1:21" x14ac:dyDescent="0.35">
      <c r="A277" s="5">
        <v>65675078000313</v>
      </c>
      <c r="B277" s="7"/>
      <c r="C277" s="4"/>
      <c r="D277" s="6" t="s">
        <v>380</v>
      </c>
      <c r="E277" s="6" t="s">
        <v>14</v>
      </c>
      <c r="F277" s="6" t="s">
        <v>15</v>
      </c>
      <c r="G277" s="11" t="s">
        <v>20</v>
      </c>
      <c r="H277" s="6" t="s">
        <v>17</v>
      </c>
      <c r="I277" s="21" t="s">
        <v>1069</v>
      </c>
      <c r="J277" s="18">
        <v>516.46810507702764</v>
      </c>
      <c r="K277" s="18">
        <f>VLOOKUP(A277,[1]Export!$A:$C,3,0)</f>
        <v>931.23000000000013</v>
      </c>
      <c r="L277" s="19">
        <f t="shared" si="10"/>
        <v>1.8030735893383263</v>
      </c>
      <c r="M277" s="18">
        <f>VLOOKUP(A277,[1]Export!$A:$G,7,0)</f>
        <v>1136.0499999999997</v>
      </c>
      <c r="N277" s="19">
        <f t="shared" si="11"/>
        <v>2.1996518058565604</v>
      </c>
      <c r="O277" s="17"/>
      <c r="P277" s="17"/>
      <c r="Q277" s="17"/>
      <c r="R277" s="17" t="str">
        <f>VLOOKUP(A277,[2]Export!$A:$I,9,0)</f>
        <v>Comprou Marcas</v>
      </c>
      <c r="S277" s="17"/>
      <c r="T277" s="20"/>
      <c r="U277" s="17"/>
    </row>
    <row r="278" spans="1:21" x14ac:dyDescent="0.35">
      <c r="A278" s="4">
        <v>65937282000101</v>
      </c>
      <c r="B278" s="7"/>
      <c r="C278" s="4"/>
      <c r="D278" s="1" t="s">
        <v>381</v>
      </c>
      <c r="E278" s="1" t="s">
        <v>86</v>
      </c>
      <c r="F278" s="1" t="s">
        <v>48</v>
      </c>
      <c r="G278" s="10" t="s">
        <v>20</v>
      </c>
      <c r="H278" s="1" t="s">
        <v>17</v>
      </c>
      <c r="I278" s="21" t="s">
        <v>1075</v>
      </c>
      <c r="J278" s="18">
        <v>483.41102469567363</v>
      </c>
      <c r="K278" s="18">
        <f>VLOOKUP(A278,[1]Export!$A:$C,3,0)</f>
        <v>336.69</v>
      </c>
      <c r="L278" s="19">
        <f t="shared" si="10"/>
        <v>0.69648804598935177</v>
      </c>
      <c r="M278" s="18">
        <f>VLOOKUP(A278,[1]Export!$A:$G,7,0)</f>
        <v>128.1</v>
      </c>
      <c r="N278" s="19">
        <f t="shared" si="11"/>
        <v>0.26499188776392513</v>
      </c>
      <c r="O278" s="17"/>
      <c r="P278" s="17"/>
      <c r="Q278" s="17"/>
      <c r="R278" s="17" t="str">
        <f>VLOOKUP(A278,[2]Export!$A:$I,9,0)</f>
        <v>Comprou Marcas</v>
      </c>
      <c r="S278" s="17"/>
      <c r="T278" s="20"/>
      <c r="U278" s="17"/>
    </row>
    <row r="279" spans="1:21" x14ac:dyDescent="0.35">
      <c r="A279" s="5">
        <v>68389238000194</v>
      </c>
      <c r="B279" s="7"/>
      <c r="C279" s="4"/>
      <c r="D279" s="6" t="s">
        <v>382</v>
      </c>
      <c r="E279" s="6" t="s">
        <v>383</v>
      </c>
      <c r="F279" s="6" t="s">
        <v>48</v>
      </c>
      <c r="G279" s="11" t="s">
        <v>87</v>
      </c>
      <c r="H279" s="6" t="s">
        <v>17</v>
      </c>
      <c r="I279" s="21" t="s">
        <v>1073</v>
      </c>
      <c r="J279" s="18">
        <v>5116.6267992599551</v>
      </c>
      <c r="K279" s="18">
        <f>VLOOKUP(A279,[1]Export!$A:$C,3,0)</f>
        <v>1673.0900000000001</v>
      </c>
      <c r="L279" s="19">
        <f t="shared" si="10"/>
        <v>0.32699082142203295</v>
      </c>
      <c r="M279" s="18">
        <f>VLOOKUP(A279,[1]Export!$A:$G,7,0)</f>
        <v>0</v>
      </c>
      <c r="N279" s="19">
        <f t="shared" si="11"/>
        <v>0</v>
      </c>
      <c r="O279" s="17" t="s">
        <v>1025</v>
      </c>
      <c r="P279" s="17" t="s">
        <v>1026</v>
      </c>
      <c r="Q279" s="17" t="s">
        <v>1023</v>
      </c>
      <c r="R279" s="17" t="str">
        <f>VLOOKUP(A279,[2]Export!$A:$I,9,0)</f>
        <v>Comprou Marcas e SG</v>
      </c>
      <c r="S279" s="17" t="s">
        <v>1022</v>
      </c>
      <c r="T279" s="20"/>
      <c r="U279" s="17"/>
    </row>
    <row r="280" spans="1:21" x14ac:dyDescent="0.35">
      <c r="A280" s="4">
        <v>72855430000104</v>
      </c>
      <c r="B280" s="7"/>
      <c r="C280" s="4"/>
      <c r="D280" s="1" t="s">
        <v>103</v>
      </c>
      <c r="E280" s="1" t="s">
        <v>384</v>
      </c>
      <c r="F280" s="1" t="s">
        <v>48</v>
      </c>
      <c r="G280" s="10" t="s">
        <v>103</v>
      </c>
      <c r="H280" s="1" t="s">
        <v>17</v>
      </c>
      <c r="I280" s="21" t="s">
        <v>1073</v>
      </c>
      <c r="J280" s="18">
        <v>7218.8274810005014</v>
      </c>
      <c r="K280" s="18">
        <f>VLOOKUP(A280,[1]Export!$A:$C,3,0)</f>
        <v>1595.9600000000003</v>
      </c>
      <c r="L280" s="19">
        <f t="shared" si="10"/>
        <v>0.22108299501552936</v>
      </c>
      <c r="M280" s="18">
        <f>VLOOKUP(A280,[1]Export!$A:$G,7,0)</f>
        <v>724.04</v>
      </c>
      <c r="N280" s="19">
        <f t="shared" si="11"/>
        <v>0.1002988368825308</v>
      </c>
      <c r="O280" s="17" t="s">
        <v>1025</v>
      </c>
      <c r="P280" s="17" t="s">
        <v>1026</v>
      </c>
      <c r="Q280" s="17" t="s">
        <v>1023</v>
      </c>
      <c r="R280" s="17" t="str">
        <f>VLOOKUP(A280,[2]Export!$A:$I,9,0)</f>
        <v>Comprou Marcas e SG</v>
      </c>
      <c r="S280" s="17" t="s">
        <v>1023</v>
      </c>
      <c r="T280" s="20"/>
      <c r="U280" s="17"/>
    </row>
    <row r="281" spans="1:21" x14ac:dyDescent="0.35">
      <c r="A281" s="5">
        <v>388531000101</v>
      </c>
      <c r="B281" s="7"/>
      <c r="C281" s="4"/>
      <c r="D281" s="6" t="s">
        <v>385</v>
      </c>
      <c r="E281" s="6" t="s">
        <v>120</v>
      </c>
      <c r="F281" s="6" t="s">
        <v>15</v>
      </c>
      <c r="G281" s="11" t="s">
        <v>20</v>
      </c>
      <c r="H281" s="6" t="s">
        <v>17</v>
      </c>
      <c r="I281" s="21" t="s">
        <v>1071</v>
      </c>
      <c r="J281" s="18">
        <v>3373.5947992864831</v>
      </c>
      <c r="K281" s="18">
        <f>VLOOKUP(A281,[1]Export!$A:$C,3,0)</f>
        <v>1266.23</v>
      </c>
      <c r="L281" s="19">
        <f t="shared" si="10"/>
        <v>0.37533553237271067</v>
      </c>
      <c r="M281" s="18">
        <f>VLOOKUP(A281,[1]Export!$A:$G,7,0)</f>
        <v>0</v>
      </c>
      <c r="N281" s="19">
        <f t="shared" si="11"/>
        <v>0</v>
      </c>
      <c r="O281" s="17"/>
      <c r="P281" s="17"/>
      <c r="Q281" s="17"/>
      <c r="R281" s="17" t="str">
        <f>VLOOKUP(A281,[2]Export!$A:$I,9,0)</f>
        <v>Não Comprou</v>
      </c>
      <c r="S281" s="17"/>
      <c r="T281" s="20"/>
      <c r="U281" s="17"/>
    </row>
    <row r="282" spans="1:21" x14ac:dyDescent="0.35">
      <c r="A282" s="5">
        <v>10341045002631</v>
      </c>
      <c r="B282" s="7" t="s">
        <v>995</v>
      </c>
      <c r="C282" s="4"/>
      <c r="D282" s="6" t="s">
        <v>366</v>
      </c>
      <c r="E282" s="6" t="s">
        <v>386</v>
      </c>
      <c r="F282" s="6" t="s">
        <v>8</v>
      </c>
      <c r="G282" s="11" t="s">
        <v>9</v>
      </c>
      <c r="H282" s="6" t="s">
        <v>10</v>
      </c>
      <c r="I282" s="21" t="s">
        <v>1074</v>
      </c>
      <c r="J282" s="18">
        <v>16432.303520948662</v>
      </c>
      <c r="K282" s="18">
        <f>VLOOKUP(A282,[1]Export!$A:$C,3,0)</f>
        <v>7920.5299999999979</v>
      </c>
      <c r="L282" s="19">
        <f t="shared" si="10"/>
        <v>0.4820097188384172</v>
      </c>
      <c r="M282" s="18">
        <f>VLOOKUP(A282,[1]Export!$A:$G,7,0)</f>
        <v>7099.3500000000022</v>
      </c>
      <c r="N282" s="19">
        <f t="shared" si="11"/>
        <v>0.43203620179906133</v>
      </c>
      <c r="O282" s="17" t="s">
        <v>1027</v>
      </c>
      <c r="P282" s="17" t="s">
        <v>1028</v>
      </c>
      <c r="Q282" s="17" t="s">
        <v>1023</v>
      </c>
      <c r="R282" s="17" t="str">
        <f>VLOOKUP(A282,[2]Export!$A:$I,9,0)</f>
        <v>Comprou Marcas e SG</v>
      </c>
      <c r="S282" s="17" t="s">
        <v>1022</v>
      </c>
      <c r="T282" s="20"/>
      <c r="U282" s="17"/>
    </row>
    <row r="283" spans="1:21" x14ac:dyDescent="0.35">
      <c r="A283" s="4">
        <v>10341045001660</v>
      </c>
      <c r="B283" s="7" t="s">
        <v>995</v>
      </c>
      <c r="C283" s="4"/>
      <c r="D283" s="1" t="s">
        <v>25</v>
      </c>
      <c r="E283" s="1" t="s">
        <v>40</v>
      </c>
      <c r="F283" s="1" t="s">
        <v>8</v>
      </c>
      <c r="G283" s="10" t="s">
        <v>9</v>
      </c>
      <c r="H283" s="1" t="s">
        <v>10</v>
      </c>
      <c r="I283" s="21" t="s">
        <v>1072</v>
      </c>
      <c r="J283" s="18">
        <v>9939.4349731348429</v>
      </c>
      <c r="K283" s="18">
        <f>VLOOKUP(A283,[1]Export!$A:$C,3,0)</f>
        <v>3087.9400000000005</v>
      </c>
      <c r="L283" s="19">
        <f t="shared" si="10"/>
        <v>0.31067560765238161</v>
      </c>
      <c r="M283" s="18">
        <f>VLOOKUP(A283,[1]Export!$A:$G,7,0)</f>
        <v>2141.0200000000004</v>
      </c>
      <c r="N283" s="19">
        <f t="shared" si="11"/>
        <v>0.21540661071649775</v>
      </c>
      <c r="O283" s="17" t="s">
        <v>1027</v>
      </c>
      <c r="P283" s="17" t="s">
        <v>1028</v>
      </c>
      <c r="Q283" s="17" t="s">
        <v>1023</v>
      </c>
      <c r="R283" s="17" t="str">
        <f>VLOOKUP(A283,[2]Export!$A:$I,9,0)</f>
        <v>Comprou Marcas e SG</v>
      </c>
      <c r="S283" s="17" t="s">
        <v>1022</v>
      </c>
      <c r="T283" s="20"/>
      <c r="U283" s="17"/>
    </row>
    <row r="284" spans="1:21" x14ac:dyDescent="0.35">
      <c r="A284" s="4">
        <v>1894476000186</v>
      </c>
      <c r="B284" s="7"/>
      <c r="C284" s="4"/>
      <c r="D284" s="1" t="s">
        <v>387</v>
      </c>
      <c r="E284" s="1" t="s">
        <v>388</v>
      </c>
      <c r="F284" s="1" t="s">
        <v>8</v>
      </c>
      <c r="G284" s="10" t="s">
        <v>36</v>
      </c>
      <c r="H284" s="1" t="s">
        <v>17</v>
      </c>
      <c r="I284" s="21" t="s">
        <v>1072</v>
      </c>
      <c r="J284" s="18">
        <v>8291.7393723795594</v>
      </c>
      <c r="K284" s="18">
        <f>VLOOKUP(A284,[1]Export!$A:$C,3,0)</f>
        <v>859.49</v>
      </c>
      <c r="L284" s="19">
        <f t="shared" si="10"/>
        <v>0.10365617651503004</v>
      </c>
      <c r="M284" s="18">
        <f>VLOOKUP(A284,[1]Export!$A:$G,7,0)</f>
        <v>1112.24</v>
      </c>
      <c r="N284" s="19">
        <f t="shared" si="11"/>
        <v>0.13413832129178585</v>
      </c>
      <c r="O284" s="17" t="s">
        <v>1025</v>
      </c>
      <c r="P284" s="17" t="s">
        <v>1026</v>
      </c>
      <c r="Q284" s="17" t="s">
        <v>1023</v>
      </c>
      <c r="R284" s="17" t="str">
        <f>VLOOKUP(A284,[2]Export!$A:$I,9,0)</f>
        <v>Comprou Marcas</v>
      </c>
      <c r="S284" s="17" t="s">
        <v>1022</v>
      </c>
      <c r="T284" s="20">
        <v>1</v>
      </c>
      <c r="U284" s="17"/>
    </row>
    <row r="285" spans="1:21" x14ac:dyDescent="0.35">
      <c r="A285" s="5">
        <v>4834843002279</v>
      </c>
      <c r="B285" s="7" t="s">
        <v>994</v>
      </c>
      <c r="C285" s="4"/>
      <c r="D285" s="6" t="s">
        <v>91</v>
      </c>
      <c r="E285" s="6" t="s">
        <v>50</v>
      </c>
      <c r="F285" s="6" t="s">
        <v>48</v>
      </c>
      <c r="G285" s="11" t="s">
        <v>92</v>
      </c>
      <c r="H285" s="6" t="s">
        <v>17</v>
      </c>
      <c r="I285" s="21" t="s">
        <v>1073</v>
      </c>
      <c r="J285" s="18">
        <v>19825.793681531541</v>
      </c>
      <c r="K285" s="18">
        <f>VLOOKUP(A285,[1]Export!$A:$C,3,0)</f>
        <v>5495.2000000000007</v>
      </c>
      <c r="L285" s="19">
        <f t="shared" si="10"/>
        <v>0.27717427550549883</v>
      </c>
      <c r="M285" s="18">
        <f>VLOOKUP(A285,[1]Export!$A:$G,7,0)</f>
        <v>6581.5400000000018</v>
      </c>
      <c r="N285" s="19">
        <f t="shared" si="11"/>
        <v>0.33196855095546313</v>
      </c>
      <c r="O285" s="17" t="s">
        <v>1027</v>
      </c>
      <c r="P285" s="17" t="s">
        <v>1028</v>
      </c>
      <c r="Q285" s="17" t="s">
        <v>1023</v>
      </c>
      <c r="R285" s="17" t="str">
        <f>VLOOKUP(A285,[2]Export!$A:$I,9,0)</f>
        <v>Comprou Marcas</v>
      </c>
      <c r="S285" s="17" t="s">
        <v>1022</v>
      </c>
      <c r="T285" s="20">
        <v>4</v>
      </c>
      <c r="U285" s="17"/>
    </row>
    <row r="286" spans="1:21" x14ac:dyDescent="0.35">
      <c r="A286" s="4">
        <v>4972853000570</v>
      </c>
      <c r="B286" s="7" t="s">
        <v>135</v>
      </c>
      <c r="C286" s="4"/>
      <c r="D286" s="1" t="s">
        <v>134</v>
      </c>
      <c r="E286" s="1" t="s">
        <v>40</v>
      </c>
      <c r="F286" s="1" t="s">
        <v>8</v>
      </c>
      <c r="G286" s="10" t="s">
        <v>135</v>
      </c>
      <c r="H286" s="1" t="s">
        <v>17</v>
      </c>
      <c r="I286" s="21" t="s">
        <v>1072</v>
      </c>
      <c r="J286" s="18">
        <v>13423.754819641863</v>
      </c>
      <c r="K286" s="18">
        <f>VLOOKUP(A286,[1]Export!$A:$C,3,0)</f>
        <v>4345.08</v>
      </c>
      <c r="L286" s="19">
        <f t="shared" si="10"/>
        <v>0.32368588806778609</v>
      </c>
      <c r="M286" s="18">
        <f>VLOOKUP(A286,[1]Export!$A:$G,7,0)</f>
        <v>9071.86</v>
      </c>
      <c r="N286" s="19">
        <f t="shared" si="11"/>
        <v>0.67580644327069372</v>
      </c>
      <c r="O286" s="17" t="s">
        <v>1025</v>
      </c>
      <c r="P286" s="17" t="s">
        <v>1026</v>
      </c>
      <c r="Q286" s="17" t="s">
        <v>1022</v>
      </c>
      <c r="R286" s="17" t="str">
        <f>VLOOKUP(A286,[2]Export!$A:$I,9,0)</f>
        <v>Comprou Marcas e SG</v>
      </c>
      <c r="S286" s="17" t="s">
        <v>1022</v>
      </c>
      <c r="T286" s="20">
        <v>4</v>
      </c>
      <c r="U286" s="17"/>
    </row>
    <row r="287" spans="1:21" x14ac:dyDescent="0.35">
      <c r="A287" s="4">
        <v>33909525000101</v>
      </c>
      <c r="B287" s="7"/>
      <c r="C287" s="4"/>
      <c r="D287" s="1" t="s">
        <v>65</v>
      </c>
      <c r="E287" s="1" t="s">
        <v>35</v>
      </c>
      <c r="F287" s="1" t="s">
        <v>8</v>
      </c>
      <c r="G287" s="10" t="s">
        <v>38</v>
      </c>
      <c r="H287" s="1" t="s">
        <v>17</v>
      </c>
      <c r="I287" s="21" t="s">
        <v>1072</v>
      </c>
      <c r="J287" s="18">
        <v>2018.2027044538811</v>
      </c>
      <c r="K287" s="18">
        <f>VLOOKUP(A287,[1]Export!$A:$C,3,0)</f>
        <v>1369.9900000000002</v>
      </c>
      <c r="L287" s="19">
        <f t="shared" si="10"/>
        <v>0.67881684876183679</v>
      </c>
      <c r="M287" s="18">
        <f>VLOOKUP(A287,[1]Export!$A:$G,7,0)</f>
        <v>500.28</v>
      </c>
      <c r="N287" s="19">
        <f t="shared" si="11"/>
        <v>0.24788392112246924</v>
      </c>
      <c r="O287" s="17" t="s">
        <v>1027</v>
      </c>
      <c r="P287" s="17" t="s">
        <v>1028</v>
      </c>
      <c r="Q287" s="17" t="s">
        <v>1023</v>
      </c>
      <c r="R287" s="17" t="str">
        <f>VLOOKUP(A287,[2]Export!$A:$I,9,0)</f>
        <v>Comprou Marcas</v>
      </c>
      <c r="S287" s="17" t="s">
        <v>1023</v>
      </c>
      <c r="T287" s="20"/>
      <c r="U287" s="17"/>
    </row>
    <row r="288" spans="1:21" x14ac:dyDescent="0.35">
      <c r="A288" s="4">
        <v>8252612000183</v>
      </c>
      <c r="B288" s="7"/>
      <c r="C288" s="4"/>
      <c r="D288" s="1" t="s">
        <v>90</v>
      </c>
      <c r="E288" s="1" t="s">
        <v>391</v>
      </c>
      <c r="F288" s="1" t="s">
        <v>8</v>
      </c>
      <c r="G288" s="10" t="s">
        <v>64</v>
      </c>
      <c r="H288" s="1" t="s">
        <v>17</v>
      </c>
      <c r="I288" s="21" t="s">
        <v>1074</v>
      </c>
      <c r="J288" s="18">
        <v>9850.7159583565444</v>
      </c>
      <c r="K288" s="18">
        <f>VLOOKUP(A288,[1]Export!$A:$C,3,0)</f>
        <v>3245.0400000000004</v>
      </c>
      <c r="L288" s="19">
        <f t="shared" si="10"/>
        <v>0.32942174088850595</v>
      </c>
      <c r="M288" s="18">
        <f>VLOOKUP(A288,[1]Export!$A:$G,7,0)</f>
        <v>0</v>
      </c>
      <c r="N288" s="19">
        <f t="shared" si="11"/>
        <v>0</v>
      </c>
      <c r="O288" s="17" t="s">
        <v>1029</v>
      </c>
      <c r="P288" s="17" t="s">
        <v>1026</v>
      </c>
      <c r="Q288" s="17" t="s">
        <v>1022</v>
      </c>
      <c r="R288" s="17" t="str">
        <f>VLOOKUP(A288,[2]Export!$A:$I,9,0)</f>
        <v>Não Comprou</v>
      </c>
      <c r="S288" s="17" t="s">
        <v>1022</v>
      </c>
      <c r="T288" s="20"/>
      <c r="U288" s="17"/>
    </row>
    <row r="289" spans="1:21" x14ac:dyDescent="0.35">
      <c r="A289" s="5">
        <v>23585337000103</v>
      </c>
      <c r="B289" s="7"/>
      <c r="C289" s="4"/>
      <c r="D289" s="6" t="s">
        <v>392</v>
      </c>
      <c r="E289" s="6" t="s">
        <v>52</v>
      </c>
      <c r="F289" s="6" t="s">
        <v>8</v>
      </c>
      <c r="G289" s="11" t="s">
        <v>36</v>
      </c>
      <c r="H289" s="6" t="s">
        <v>17</v>
      </c>
      <c r="I289" s="21" t="s">
        <v>1074</v>
      </c>
      <c r="J289" s="18">
        <v>5280.8004955206343</v>
      </c>
      <c r="K289" s="18">
        <f>VLOOKUP(A289,[1]Export!$A:$C,3,0)</f>
        <v>779.09000000000015</v>
      </c>
      <c r="L289" s="19">
        <f t="shared" si="10"/>
        <v>0.14753255697897552</v>
      </c>
      <c r="M289" s="18">
        <f>VLOOKUP(A289,[1]Export!$A:$G,7,0)</f>
        <v>6430.329999999999</v>
      </c>
      <c r="N289" s="19">
        <f t="shared" si="11"/>
        <v>1.2176809189164479</v>
      </c>
      <c r="O289" s="17" t="s">
        <v>1025</v>
      </c>
      <c r="P289" s="17" t="s">
        <v>1026</v>
      </c>
      <c r="Q289" s="17" t="s">
        <v>1022</v>
      </c>
      <c r="R289" s="17" t="str">
        <f>VLOOKUP(A289,[2]Export!$A:$I,9,0)</f>
        <v>Comprou Marcas</v>
      </c>
      <c r="S289" s="17" t="s">
        <v>1022</v>
      </c>
      <c r="T289" s="20">
        <v>2</v>
      </c>
      <c r="U289" s="17"/>
    </row>
    <row r="290" spans="1:21" x14ac:dyDescent="0.35">
      <c r="A290" s="4">
        <v>7832402000100</v>
      </c>
      <c r="B290" s="7"/>
      <c r="C290" s="4"/>
      <c r="D290" s="1" t="s">
        <v>393</v>
      </c>
      <c r="E290" s="1" t="s">
        <v>157</v>
      </c>
      <c r="F290" s="1" t="s">
        <v>48</v>
      </c>
      <c r="G290" s="10" t="s">
        <v>276</v>
      </c>
      <c r="H290" s="1" t="s">
        <v>17</v>
      </c>
      <c r="I290" s="21" t="s">
        <v>1073</v>
      </c>
      <c r="J290" s="18">
        <v>2680.8963606454436</v>
      </c>
      <c r="K290" s="18">
        <f>VLOOKUP(A290,[1]Export!$A:$C,3,0)</f>
        <v>1283.2199999999998</v>
      </c>
      <c r="L290" s="19">
        <f t="shared" si="10"/>
        <v>0.47865334103816531</v>
      </c>
      <c r="M290" s="18">
        <f>VLOOKUP(A290,[1]Export!$A:$G,7,0)</f>
        <v>1212.5800000000002</v>
      </c>
      <c r="N290" s="19">
        <f t="shared" si="11"/>
        <v>0.45230394497908283</v>
      </c>
      <c r="O290" s="17" t="s">
        <v>1025</v>
      </c>
      <c r="P290" s="17" t="s">
        <v>1026</v>
      </c>
      <c r="Q290" s="17" t="s">
        <v>1022</v>
      </c>
      <c r="R290" s="17" t="str">
        <f>VLOOKUP(A290,[2]Export!$A:$I,9,0)</f>
        <v>Comprou Marcas</v>
      </c>
      <c r="S290" s="17" t="s">
        <v>1022</v>
      </c>
      <c r="T290" s="20"/>
      <c r="U290" s="17"/>
    </row>
    <row r="291" spans="1:21" x14ac:dyDescent="0.35">
      <c r="A291" s="5">
        <v>10341045000507</v>
      </c>
      <c r="B291" s="7" t="s">
        <v>995</v>
      </c>
      <c r="C291" s="4"/>
      <c r="D291" s="6" t="s">
        <v>25</v>
      </c>
      <c r="E291" s="6" t="s">
        <v>115</v>
      </c>
      <c r="F291" s="6" t="s">
        <v>8</v>
      </c>
      <c r="G291" s="11" t="s">
        <v>9</v>
      </c>
      <c r="H291" s="6" t="s">
        <v>10</v>
      </c>
      <c r="I291" s="21" t="s">
        <v>1068</v>
      </c>
      <c r="J291" s="18">
        <v>14454.475745074491</v>
      </c>
      <c r="K291" s="18">
        <f>VLOOKUP(A291,[1]Export!$A:$C,3,0)</f>
        <v>5513.6100000000015</v>
      </c>
      <c r="L291" s="19">
        <f t="shared" si="10"/>
        <v>0.38144655657115895</v>
      </c>
      <c r="M291" s="18">
        <f>VLOOKUP(A291,[1]Export!$A:$G,7,0)</f>
        <v>3569.6999999999994</v>
      </c>
      <c r="N291" s="19">
        <f t="shared" si="11"/>
        <v>0.24696156837209476</v>
      </c>
      <c r="O291" s="17" t="s">
        <v>1027</v>
      </c>
      <c r="P291" s="17" t="s">
        <v>1028</v>
      </c>
      <c r="Q291" s="17" t="s">
        <v>1023</v>
      </c>
      <c r="R291" s="17" t="str">
        <f>VLOOKUP(A291,[2]Export!$A:$I,9,0)</f>
        <v>Comprou Marcas e SG</v>
      </c>
      <c r="S291" s="17"/>
      <c r="T291" s="20"/>
      <c r="U291" s="17"/>
    </row>
    <row r="292" spans="1:21" x14ac:dyDescent="0.35">
      <c r="A292" s="4">
        <v>24724080000196</v>
      </c>
      <c r="B292" s="7"/>
      <c r="C292" s="4"/>
      <c r="D292" s="1" t="s">
        <v>395</v>
      </c>
      <c r="E292" s="1" t="s">
        <v>127</v>
      </c>
      <c r="F292" s="1" t="s">
        <v>8</v>
      </c>
      <c r="G292" s="10" t="s">
        <v>20</v>
      </c>
      <c r="H292" s="1" t="s">
        <v>17</v>
      </c>
      <c r="I292" s="21" t="s">
        <v>1070</v>
      </c>
      <c r="J292" s="18">
        <v>1577.0543787302031</v>
      </c>
      <c r="K292" s="18">
        <f>VLOOKUP(A292,[1]Export!$A:$C,3,0)</f>
        <v>1190.6200000000003</v>
      </c>
      <c r="L292" s="19">
        <f t="shared" si="10"/>
        <v>0.75496445528952016</v>
      </c>
      <c r="M292" s="18">
        <f>VLOOKUP(A292,[1]Export!$A:$G,7,0)</f>
        <v>0</v>
      </c>
      <c r="N292" s="19">
        <f t="shared" si="11"/>
        <v>0</v>
      </c>
      <c r="O292" s="17" t="s">
        <v>1025</v>
      </c>
      <c r="P292" s="17" t="s">
        <v>1026</v>
      </c>
      <c r="Q292" s="17" t="s">
        <v>1023</v>
      </c>
      <c r="R292" s="17" t="str">
        <f>VLOOKUP(A292,[2]Export!$A:$I,9,0)</f>
        <v>Não Comprou</v>
      </c>
      <c r="S292" s="17" t="s">
        <v>1022</v>
      </c>
      <c r="T292" s="20"/>
      <c r="U292" s="17"/>
    </row>
    <row r="293" spans="1:21" x14ac:dyDescent="0.35">
      <c r="A293" s="5">
        <v>26829291000119</v>
      </c>
      <c r="B293" s="7"/>
      <c r="C293" s="4"/>
      <c r="D293" s="6" t="s">
        <v>396</v>
      </c>
      <c r="E293" s="6" t="s">
        <v>305</v>
      </c>
      <c r="F293" s="6" t="s">
        <v>15</v>
      </c>
      <c r="G293" s="11" t="s">
        <v>36</v>
      </c>
      <c r="H293" s="6" t="s">
        <v>17</v>
      </c>
      <c r="I293" s="21" t="s">
        <v>1071</v>
      </c>
      <c r="J293" s="18">
        <v>2915.913603734808</v>
      </c>
      <c r="K293" s="18">
        <f>VLOOKUP(A293,[1]Export!$A:$C,3,0)</f>
        <v>371.6</v>
      </c>
      <c r="L293" s="19">
        <f t="shared" si="10"/>
        <v>0.12743861804548709</v>
      </c>
      <c r="M293" s="18">
        <f>VLOOKUP(A293,[1]Export!$A:$G,7,0)</f>
        <v>1393.11</v>
      </c>
      <c r="N293" s="19">
        <f t="shared" si="11"/>
        <v>0.47776106885185282</v>
      </c>
      <c r="O293" s="17" t="s">
        <v>1025</v>
      </c>
      <c r="P293" s="17" t="s">
        <v>1026</v>
      </c>
      <c r="Q293" s="17" t="s">
        <v>1023</v>
      </c>
      <c r="R293" s="17" t="str">
        <f>VLOOKUP(A293,[2]Export!$A:$I,9,0)</f>
        <v>Comprou Marcas</v>
      </c>
      <c r="S293" s="17" t="s">
        <v>1023</v>
      </c>
      <c r="T293" s="20"/>
      <c r="U293" s="17"/>
    </row>
    <row r="294" spans="1:21" x14ac:dyDescent="0.35">
      <c r="A294" s="4">
        <v>35652065000104</v>
      </c>
      <c r="B294" s="7"/>
      <c r="C294" s="4"/>
      <c r="D294" s="1" t="s">
        <v>397</v>
      </c>
      <c r="E294" s="1" t="s">
        <v>398</v>
      </c>
      <c r="F294" s="1" t="s">
        <v>8</v>
      </c>
      <c r="G294" s="10" t="s">
        <v>20</v>
      </c>
      <c r="H294" s="1" t="s">
        <v>17</v>
      </c>
      <c r="I294" s="21" t="s">
        <v>1070</v>
      </c>
      <c r="J294" s="18">
        <v>294.21825439516203</v>
      </c>
      <c r="K294" s="18">
        <f>VLOOKUP(A294,[1]Export!$A:$C,3,0)</f>
        <v>0</v>
      </c>
      <c r="L294" s="19">
        <f t="shared" si="10"/>
        <v>0</v>
      </c>
      <c r="M294" s="18">
        <f>VLOOKUP(A294,[1]Export!$A:$G,7,0)</f>
        <v>0</v>
      </c>
      <c r="N294" s="19">
        <f t="shared" si="11"/>
        <v>0</v>
      </c>
      <c r="O294" s="17" t="s">
        <v>1025</v>
      </c>
      <c r="P294" s="17" t="s">
        <v>1026</v>
      </c>
      <c r="Q294" s="17" t="s">
        <v>1023</v>
      </c>
      <c r="R294" s="17" t="str">
        <f>VLOOKUP(A294,[2]Export!$A:$I,9,0)</f>
        <v>Não Comprou</v>
      </c>
      <c r="S294" s="17" t="s">
        <v>1023</v>
      </c>
      <c r="T294" s="20"/>
      <c r="U294" s="17"/>
    </row>
    <row r="295" spans="1:21" x14ac:dyDescent="0.35">
      <c r="A295" s="5">
        <v>37515566000166</v>
      </c>
      <c r="B295" s="7"/>
      <c r="C295" s="4"/>
      <c r="D295" s="6" t="s">
        <v>399</v>
      </c>
      <c r="E295" s="6" t="s">
        <v>400</v>
      </c>
      <c r="F295" s="6" t="s">
        <v>8</v>
      </c>
      <c r="G295" s="11" t="s">
        <v>36</v>
      </c>
      <c r="H295" s="6" t="s">
        <v>17</v>
      </c>
      <c r="I295" s="21" t="s">
        <v>1074</v>
      </c>
      <c r="J295" s="18">
        <v>3452.6163212742103</v>
      </c>
      <c r="K295" s="18">
        <f>VLOOKUP(A295,[1]Export!$A:$C,3,0)</f>
        <v>947.95</v>
      </c>
      <c r="L295" s="19">
        <f t="shared" si="10"/>
        <v>0.27455990234389932</v>
      </c>
      <c r="M295" s="18">
        <f>VLOOKUP(A295,[1]Export!$A:$G,7,0)</f>
        <v>137.85</v>
      </c>
      <c r="N295" s="19">
        <f t="shared" si="11"/>
        <v>3.9926243512955865E-2</v>
      </c>
      <c r="O295" s="17" t="s">
        <v>1025</v>
      </c>
      <c r="P295" s="17" t="s">
        <v>1026</v>
      </c>
      <c r="Q295" s="17" t="s">
        <v>1023</v>
      </c>
      <c r="R295" s="17" t="str">
        <f>VLOOKUP(A295,[2]Export!$A:$I,9,0)</f>
        <v>Comprou Marcas</v>
      </c>
      <c r="S295" s="17" t="s">
        <v>1022</v>
      </c>
      <c r="T295" s="20"/>
      <c r="U295" s="17"/>
    </row>
    <row r="296" spans="1:21" x14ac:dyDescent="0.35">
      <c r="A296" s="4">
        <v>67943415000170</v>
      </c>
      <c r="B296" s="7"/>
      <c r="C296" s="4"/>
      <c r="D296" s="1" t="s">
        <v>401</v>
      </c>
      <c r="E296" s="1" t="s">
        <v>50</v>
      </c>
      <c r="F296" s="1" t="s">
        <v>48</v>
      </c>
      <c r="G296" s="10" t="s">
        <v>20</v>
      </c>
      <c r="H296" s="1" t="s">
        <v>17</v>
      </c>
      <c r="I296" s="21" t="s">
        <v>1073</v>
      </c>
      <c r="J296" s="18">
        <v>1821.0399323943179</v>
      </c>
      <c r="K296" s="18">
        <f>VLOOKUP(A296,[1]Export!$A:$C,3,0)</f>
        <v>564.46</v>
      </c>
      <c r="L296" s="19">
        <f t="shared" si="10"/>
        <v>0.30996574537376753</v>
      </c>
      <c r="M296" s="18">
        <f>VLOOKUP(A296,[1]Export!$A:$G,7,0)</f>
        <v>0</v>
      </c>
      <c r="N296" s="19">
        <f t="shared" si="11"/>
        <v>0</v>
      </c>
      <c r="O296" s="17"/>
      <c r="P296" s="17"/>
      <c r="Q296" s="17"/>
      <c r="R296" s="17" t="str">
        <f>VLOOKUP(A296,[2]Export!$A:$I,9,0)</f>
        <v>Não Comprou</v>
      </c>
      <c r="S296" s="17"/>
      <c r="T296" s="20"/>
      <c r="U296" s="17"/>
    </row>
    <row r="297" spans="1:21" x14ac:dyDescent="0.35">
      <c r="A297" s="5">
        <v>57331628000197</v>
      </c>
      <c r="B297" s="7"/>
      <c r="C297" s="4"/>
      <c r="D297" s="6" t="s">
        <v>402</v>
      </c>
      <c r="E297" s="6" t="s">
        <v>182</v>
      </c>
      <c r="F297" s="6" t="s">
        <v>8</v>
      </c>
      <c r="G297" s="11" t="s">
        <v>36</v>
      </c>
      <c r="H297" s="6" t="s">
        <v>17</v>
      </c>
      <c r="I297" s="21" t="s">
        <v>1074</v>
      </c>
      <c r="J297" s="18">
        <v>2042.06381890374</v>
      </c>
      <c r="K297" s="18">
        <f>VLOOKUP(A297,[1]Export!$A:$C,3,0)</f>
        <v>540.52</v>
      </c>
      <c r="L297" s="19">
        <f t="shared" si="10"/>
        <v>0.26469300077515323</v>
      </c>
      <c r="M297" s="18">
        <f>VLOOKUP(A297,[1]Export!$A:$G,7,0)</f>
        <v>1014.78</v>
      </c>
      <c r="N297" s="19">
        <f t="shared" si="11"/>
        <v>0.49693843581478941</v>
      </c>
      <c r="O297" s="17" t="s">
        <v>1025</v>
      </c>
      <c r="P297" s="17" t="s">
        <v>1026</v>
      </c>
      <c r="Q297" s="17" t="s">
        <v>1023</v>
      </c>
      <c r="R297" s="17" t="str">
        <f>VLOOKUP(A297,[2]Export!$A:$I,9,0)</f>
        <v>Comprou Marcas</v>
      </c>
      <c r="S297" s="17" t="s">
        <v>1023</v>
      </c>
      <c r="T297" s="20"/>
      <c r="U297" s="17"/>
    </row>
    <row r="298" spans="1:21" x14ac:dyDescent="0.35">
      <c r="A298" s="4">
        <v>58219068000146</v>
      </c>
      <c r="B298" s="7"/>
      <c r="C298" s="4"/>
      <c r="D298" s="1" t="s">
        <v>403</v>
      </c>
      <c r="E298" s="1" t="s">
        <v>379</v>
      </c>
      <c r="F298" s="1" t="s">
        <v>15</v>
      </c>
      <c r="G298" s="10" t="s">
        <v>20</v>
      </c>
      <c r="H298" s="1" t="s">
        <v>17</v>
      </c>
      <c r="I298" s="21" t="s">
        <v>1075</v>
      </c>
      <c r="J298" s="18">
        <v>2737.8356541816602</v>
      </c>
      <c r="K298" s="18">
        <f>VLOOKUP(A298,[1]Export!$A:$C,3,0)</f>
        <v>316.59999999999997</v>
      </c>
      <c r="L298" s="19">
        <f t="shared" si="10"/>
        <v>0.11563878917145295</v>
      </c>
      <c r="M298" s="18">
        <f>VLOOKUP(A298,[1]Export!$A:$G,7,0)</f>
        <v>0</v>
      </c>
      <c r="N298" s="19">
        <f t="shared" si="11"/>
        <v>0</v>
      </c>
      <c r="O298" s="17" t="s">
        <v>1025</v>
      </c>
      <c r="P298" s="17" t="s">
        <v>1026</v>
      </c>
      <c r="Q298" s="17" t="s">
        <v>1023</v>
      </c>
      <c r="R298" s="17" t="str">
        <f>VLOOKUP(A298,[2]Export!$A:$I,9,0)</f>
        <v>Não Comprou</v>
      </c>
      <c r="S298" s="17" t="s">
        <v>1023</v>
      </c>
      <c r="T298" s="20"/>
      <c r="U298" s="17"/>
    </row>
    <row r="299" spans="1:21" x14ac:dyDescent="0.35">
      <c r="A299" s="5">
        <v>4268705000145</v>
      </c>
      <c r="B299" s="7"/>
      <c r="C299" s="4"/>
      <c r="D299" s="6" t="s">
        <v>268</v>
      </c>
      <c r="E299" s="6" t="s">
        <v>24</v>
      </c>
      <c r="F299" s="6" t="s">
        <v>15</v>
      </c>
      <c r="G299" s="11" t="s">
        <v>36</v>
      </c>
      <c r="H299" s="6" t="s">
        <v>17</v>
      </c>
      <c r="I299" s="21" t="s">
        <v>1071</v>
      </c>
      <c r="J299" s="18">
        <v>1862.4611170570824</v>
      </c>
      <c r="K299" s="18">
        <f>VLOOKUP(A299,[1]Export!$A:$C,3,0)</f>
        <v>300.02999999999997</v>
      </c>
      <c r="L299" s="19">
        <f t="shared" si="10"/>
        <v>0.1610932959900308</v>
      </c>
      <c r="M299" s="18">
        <f>VLOOKUP(A299,[1]Export!$A:$G,7,0)</f>
        <v>195.37</v>
      </c>
      <c r="N299" s="19">
        <f t="shared" si="11"/>
        <v>0.10489883424181688</v>
      </c>
      <c r="O299" s="17" t="s">
        <v>1025</v>
      </c>
      <c r="P299" s="17" t="s">
        <v>1026</v>
      </c>
      <c r="Q299" s="17" t="s">
        <v>1023</v>
      </c>
      <c r="R299" s="17" t="str">
        <f>VLOOKUP(A299,[2]Export!$A:$I,9,0)</f>
        <v>Comprou Marcas</v>
      </c>
      <c r="S299" s="17" t="s">
        <v>1022</v>
      </c>
      <c r="T299" s="20"/>
      <c r="U299" s="17"/>
    </row>
    <row r="300" spans="1:21" x14ac:dyDescent="0.35">
      <c r="A300" s="4">
        <v>40735109000191</v>
      </c>
      <c r="B300" s="7"/>
      <c r="C300" s="4"/>
      <c r="D300" s="1" t="s">
        <v>185</v>
      </c>
      <c r="E300" s="1" t="s">
        <v>35</v>
      </c>
      <c r="F300" s="1" t="s">
        <v>8</v>
      </c>
      <c r="G300" s="10" t="s">
        <v>38</v>
      </c>
      <c r="H300" s="1" t="s">
        <v>17</v>
      </c>
      <c r="I300" s="21" t="s">
        <v>1072</v>
      </c>
      <c r="J300" s="18">
        <v>1139.9686563609407</v>
      </c>
      <c r="K300" s="18">
        <f>VLOOKUP(A300,[1]Export!$A:$C,3,0)</f>
        <v>60.88</v>
      </c>
      <c r="L300" s="19">
        <f t="shared" si="10"/>
        <v>5.3404977110812747E-2</v>
      </c>
      <c r="M300" s="18">
        <f>VLOOKUP(A300,[1]Export!$A:$G,7,0)</f>
        <v>0</v>
      </c>
      <c r="N300" s="19">
        <f t="shared" si="11"/>
        <v>0</v>
      </c>
      <c r="O300" s="17" t="s">
        <v>1027</v>
      </c>
      <c r="P300" s="17" t="s">
        <v>1028</v>
      </c>
      <c r="Q300" s="17" t="s">
        <v>1023</v>
      </c>
      <c r="R300" s="17" t="str">
        <f>VLOOKUP(A300,[2]Export!$A:$I,9,0)</f>
        <v>Não Comprou</v>
      </c>
      <c r="S300" s="17" t="s">
        <v>1023</v>
      </c>
      <c r="T300" s="20"/>
      <c r="U300" s="17"/>
    </row>
    <row r="301" spans="1:21" x14ac:dyDescent="0.35">
      <c r="A301" s="5">
        <v>4834843001388</v>
      </c>
      <c r="B301" s="7" t="s">
        <v>994</v>
      </c>
      <c r="C301" s="4"/>
      <c r="D301" s="6" t="s">
        <v>91</v>
      </c>
      <c r="E301" s="6" t="s">
        <v>405</v>
      </c>
      <c r="F301" s="6" t="s">
        <v>48</v>
      </c>
      <c r="G301" s="11" t="s">
        <v>92</v>
      </c>
      <c r="H301" s="6" t="s">
        <v>17</v>
      </c>
      <c r="I301" s="21" t="s">
        <v>1073</v>
      </c>
      <c r="J301" s="18">
        <v>5752.698258233163</v>
      </c>
      <c r="K301" s="18">
        <f>VLOOKUP(A301,[1]Export!$A:$C,3,0)</f>
        <v>1442.08</v>
      </c>
      <c r="L301" s="19">
        <f t="shared" si="10"/>
        <v>0.25067888758742385</v>
      </c>
      <c r="M301" s="18">
        <f>VLOOKUP(A301,[1]Export!$A:$G,7,0)</f>
        <v>1994.3600000000004</v>
      </c>
      <c r="N301" s="19">
        <f t="shared" si="11"/>
        <v>0.34668253234831264</v>
      </c>
      <c r="O301" s="17" t="s">
        <v>1027</v>
      </c>
      <c r="P301" s="17" t="s">
        <v>1028</v>
      </c>
      <c r="Q301" s="17" t="s">
        <v>1023</v>
      </c>
      <c r="R301" s="17" t="str">
        <f>VLOOKUP(A301,[2]Export!$A:$I,9,0)</f>
        <v>Comprou Marcas</v>
      </c>
      <c r="S301" s="17" t="s">
        <v>1022</v>
      </c>
      <c r="T301" s="20"/>
      <c r="U301" s="17"/>
    </row>
    <row r="302" spans="1:21" x14ac:dyDescent="0.35">
      <c r="A302" s="4">
        <v>4834843002945</v>
      </c>
      <c r="B302" s="7" t="s">
        <v>994</v>
      </c>
      <c r="C302" s="4"/>
      <c r="D302" s="1" t="s">
        <v>91</v>
      </c>
      <c r="E302" s="1" t="s">
        <v>406</v>
      </c>
      <c r="F302" s="1" t="s">
        <v>48</v>
      </c>
      <c r="G302" s="10" t="s">
        <v>92</v>
      </c>
      <c r="H302" s="1" t="s">
        <v>17</v>
      </c>
      <c r="I302" s="21" t="s">
        <v>1073</v>
      </c>
      <c r="J302" s="18">
        <v>4551.4157960586226</v>
      </c>
      <c r="K302" s="18">
        <f>VLOOKUP(A302,[1]Export!$A:$C,3,0)</f>
        <v>2035.2799999999997</v>
      </c>
      <c r="L302" s="19">
        <f t="shared" si="10"/>
        <v>0.44717514092263022</v>
      </c>
      <c r="M302" s="18">
        <f>VLOOKUP(A302,[1]Export!$A:$G,7,0)</f>
        <v>1752.1999999999998</v>
      </c>
      <c r="N302" s="19">
        <f t="shared" si="11"/>
        <v>0.38497910947124359</v>
      </c>
      <c r="O302" s="17" t="s">
        <v>1027</v>
      </c>
      <c r="P302" s="17" t="s">
        <v>1028</v>
      </c>
      <c r="Q302" s="17" t="s">
        <v>1023</v>
      </c>
      <c r="R302" s="17" t="str">
        <f>VLOOKUP(A302,[2]Export!$A:$I,9,0)</f>
        <v>Comprou Marcas</v>
      </c>
      <c r="S302" s="17" t="s">
        <v>1022</v>
      </c>
      <c r="T302" s="20"/>
      <c r="U302" s="17"/>
    </row>
    <row r="303" spans="1:21" x14ac:dyDescent="0.35">
      <c r="A303" s="5">
        <v>5088829000101</v>
      </c>
      <c r="B303" s="7"/>
      <c r="C303" s="4"/>
      <c r="D303" s="6" t="s">
        <v>407</v>
      </c>
      <c r="E303" s="6" t="s">
        <v>388</v>
      </c>
      <c r="F303" s="6" t="s">
        <v>8</v>
      </c>
      <c r="G303" s="11" t="s">
        <v>20</v>
      </c>
      <c r="H303" s="6" t="s">
        <v>17</v>
      </c>
      <c r="I303" s="21" t="s">
        <v>1072</v>
      </c>
      <c r="J303" s="18">
        <v>12966.050160922172</v>
      </c>
      <c r="K303" s="18">
        <f>VLOOKUP(A303,[1]Export!$A:$C,3,0)</f>
        <v>2824.51</v>
      </c>
      <c r="L303" s="19">
        <f t="shared" si="10"/>
        <v>0.21783889194819492</v>
      </c>
      <c r="M303" s="18">
        <f>VLOOKUP(A303,[1]Export!$A:$G,7,0)</f>
        <v>2026.11</v>
      </c>
      <c r="N303" s="19">
        <f t="shared" si="11"/>
        <v>0.1562626995001459</v>
      </c>
      <c r="O303" s="17" t="s">
        <v>1027</v>
      </c>
      <c r="P303" s="17" t="s">
        <v>1028</v>
      </c>
      <c r="Q303" s="17" t="s">
        <v>1023</v>
      </c>
      <c r="R303" s="17" t="str">
        <f>VLOOKUP(A303,[2]Export!$A:$I,9,0)</f>
        <v>Comprou Marcas</v>
      </c>
      <c r="S303" s="17" t="s">
        <v>1022</v>
      </c>
      <c r="T303" s="20">
        <v>4</v>
      </c>
      <c r="U303" s="17"/>
    </row>
    <row r="304" spans="1:21" x14ac:dyDescent="0.35">
      <c r="A304" s="4">
        <v>5235693000115</v>
      </c>
      <c r="B304" s="7"/>
      <c r="C304" s="4"/>
      <c r="D304" s="1" t="s">
        <v>408</v>
      </c>
      <c r="E304" s="1" t="s">
        <v>94</v>
      </c>
      <c r="F304" s="1" t="s">
        <v>15</v>
      </c>
      <c r="G304" s="10" t="s">
        <v>36</v>
      </c>
      <c r="H304" s="1" t="s">
        <v>17</v>
      </c>
      <c r="I304" s="21" t="s">
        <v>1071</v>
      </c>
      <c r="J304" s="18">
        <v>6210.4684904646856</v>
      </c>
      <c r="K304" s="18">
        <f>VLOOKUP(A304,[1]Export!$A:$C,3,0)</f>
        <v>1144.3</v>
      </c>
      <c r="L304" s="19">
        <f t="shared" si="10"/>
        <v>0.18425341047248112</v>
      </c>
      <c r="M304" s="18">
        <f>VLOOKUP(A304,[1]Export!$A:$G,7,0)</f>
        <v>2266.7700000000004</v>
      </c>
      <c r="N304" s="19">
        <f t="shared" si="11"/>
        <v>0.36499178821699391</v>
      </c>
      <c r="O304" s="17" t="s">
        <v>1025</v>
      </c>
      <c r="P304" s="17" t="s">
        <v>1026</v>
      </c>
      <c r="Q304" s="17" t="s">
        <v>1022</v>
      </c>
      <c r="R304" s="17" t="str">
        <f>VLOOKUP(A304,[2]Export!$A:$I,9,0)</f>
        <v>Comprou Marcas e SG</v>
      </c>
      <c r="S304" s="17" t="s">
        <v>1022</v>
      </c>
      <c r="T304" s="20"/>
      <c r="U304" s="17"/>
    </row>
    <row r="305" spans="1:21" x14ac:dyDescent="0.35">
      <c r="A305" s="5">
        <v>1090014000106</v>
      </c>
      <c r="B305" s="7"/>
      <c r="C305" s="4"/>
      <c r="D305" s="6" t="s">
        <v>409</v>
      </c>
      <c r="E305" s="6" t="s">
        <v>94</v>
      </c>
      <c r="F305" s="6" t="s">
        <v>15</v>
      </c>
      <c r="G305" s="11" t="s">
        <v>36</v>
      </c>
      <c r="H305" s="6" t="s">
        <v>17</v>
      </c>
      <c r="I305" s="21" t="s">
        <v>1071</v>
      </c>
      <c r="J305" s="18">
        <v>1005.0131079415307</v>
      </c>
      <c r="K305" s="18">
        <f>VLOOKUP(A305,[1]Export!$A:$C,3,0)</f>
        <v>254.95000000000002</v>
      </c>
      <c r="L305" s="19">
        <f t="shared" si="10"/>
        <v>0.25367828338297893</v>
      </c>
      <c r="M305" s="18">
        <f>VLOOKUP(A305,[1]Export!$A:$G,7,0)</f>
        <v>0</v>
      </c>
      <c r="N305" s="19">
        <f t="shared" si="11"/>
        <v>0</v>
      </c>
      <c r="O305" s="17" t="s">
        <v>1025</v>
      </c>
      <c r="P305" s="17" t="s">
        <v>1026</v>
      </c>
      <c r="Q305" s="17" t="s">
        <v>1022</v>
      </c>
      <c r="R305" s="17" t="str">
        <f>VLOOKUP(A305,[2]Export!$A:$I,9,0)</f>
        <v>Não Comprou</v>
      </c>
      <c r="S305" s="17" t="s">
        <v>1023</v>
      </c>
      <c r="T305" s="20"/>
      <c r="U305" s="17"/>
    </row>
    <row r="306" spans="1:21" x14ac:dyDescent="0.35">
      <c r="A306" s="4">
        <v>2330544000147</v>
      </c>
      <c r="B306" s="7"/>
      <c r="C306" s="4"/>
      <c r="D306" s="1" t="s">
        <v>410</v>
      </c>
      <c r="E306" s="1" t="s">
        <v>7</v>
      </c>
      <c r="F306" s="1" t="s">
        <v>8</v>
      </c>
      <c r="G306" s="10" t="s">
        <v>16</v>
      </c>
      <c r="H306" s="1" t="s">
        <v>17</v>
      </c>
      <c r="I306" s="21" t="s">
        <v>1068</v>
      </c>
      <c r="J306" s="18">
        <v>3629.4108994481639</v>
      </c>
      <c r="K306" s="18">
        <f>VLOOKUP(A306,[1]Export!$A:$C,3,0)</f>
        <v>1778.14</v>
      </c>
      <c r="L306" s="19">
        <f t="shared" si="10"/>
        <v>0.48992523835489626</v>
      </c>
      <c r="M306" s="18">
        <f>VLOOKUP(A306,[1]Export!$A:$G,7,0)</f>
        <v>1195.33</v>
      </c>
      <c r="N306" s="19">
        <f t="shared" si="11"/>
        <v>0.32934545939170035</v>
      </c>
      <c r="O306" s="17" t="s">
        <v>1027</v>
      </c>
      <c r="P306" s="17" t="s">
        <v>1028</v>
      </c>
      <c r="Q306" s="17" t="s">
        <v>1023</v>
      </c>
      <c r="R306" s="17" t="str">
        <f>VLOOKUP(A306,[2]Export!$A:$I,9,0)</f>
        <v>Comprou Marcas</v>
      </c>
      <c r="S306" s="17" t="s">
        <v>1023</v>
      </c>
      <c r="T306" s="20"/>
      <c r="U306" s="17"/>
    </row>
    <row r="307" spans="1:21" x14ac:dyDescent="0.35">
      <c r="A307" s="5">
        <v>3300964000143</v>
      </c>
      <c r="B307" s="7"/>
      <c r="C307" s="4"/>
      <c r="D307" s="6" t="s">
        <v>411</v>
      </c>
      <c r="E307" s="6" t="s">
        <v>221</v>
      </c>
      <c r="F307" s="6" t="s">
        <v>15</v>
      </c>
      <c r="G307" s="11" t="s">
        <v>36</v>
      </c>
      <c r="H307" s="6" t="s">
        <v>17</v>
      </c>
      <c r="I307" s="21" t="s">
        <v>1075</v>
      </c>
      <c r="J307" s="18">
        <v>3344.509621414365</v>
      </c>
      <c r="K307" s="18">
        <f>VLOOKUP(A307,[1]Export!$A:$C,3,0)</f>
        <v>313</v>
      </c>
      <c r="L307" s="19">
        <f t="shared" si="10"/>
        <v>9.3586216046714479E-2</v>
      </c>
      <c r="M307" s="18">
        <f>VLOOKUP(A307,[1]Export!$A:$G,7,0)</f>
        <v>155.66000000000003</v>
      </c>
      <c r="N307" s="19">
        <f t="shared" si="11"/>
        <v>4.6541950127257439E-2</v>
      </c>
      <c r="O307" s="17" t="s">
        <v>1025</v>
      </c>
      <c r="P307" s="17" t="s">
        <v>1026</v>
      </c>
      <c r="Q307" s="17" t="s">
        <v>1023</v>
      </c>
      <c r="R307" s="17" t="str">
        <f>VLOOKUP(A307,[2]Export!$A:$I,9,0)</f>
        <v>Comprou Marcas</v>
      </c>
      <c r="S307" s="17" t="s">
        <v>1023</v>
      </c>
      <c r="T307" s="20"/>
      <c r="U307" s="17"/>
    </row>
    <row r="308" spans="1:21" x14ac:dyDescent="0.35">
      <c r="A308" s="4">
        <v>4252211000172</v>
      </c>
      <c r="B308" s="7"/>
      <c r="C308" s="4"/>
      <c r="D308" s="1" t="s">
        <v>412</v>
      </c>
      <c r="E308" s="1" t="s">
        <v>22</v>
      </c>
      <c r="F308" s="1" t="s">
        <v>8</v>
      </c>
      <c r="G308" s="10" t="s">
        <v>16</v>
      </c>
      <c r="H308" s="1" t="s">
        <v>17</v>
      </c>
      <c r="I308" s="21" t="s">
        <v>1070</v>
      </c>
      <c r="J308" s="18">
        <v>10129.468617793853</v>
      </c>
      <c r="K308" s="18">
        <f>VLOOKUP(A308,[1]Export!$A:$C,3,0)</f>
        <v>2507.0399999999995</v>
      </c>
      <c r="L308" s="19">
        <f t="shared" si="10"/>
        <v>0.24749965616123507</v>
      </c>
      <c r="M308" s="18">
        <f>VLOOKUP(A308,[1]Export!$A:$G,7,0)</f>
        <v>1579.8799999999999</v>
      </c>
      <c r="N308" s="19">
        <f t="shared" si="11"/>
        <v>0.15596869486566312</v>
      </c>
      <c r="O308" s="17" t="s">
        <v>1029</v>
      </c>
      <c r="P308" s="17" t="s">
        <v>1026</v>
      </c>
      <c r="Q308" s="17" t="s">
        <v>1022</v>
      </c>
      <c r="R308" s="17" t="str">
        <f>VLOOKUP(A308,[2]Export!$A:$I,9,0)</f>
        <v>Comprou Marcas</v>
      </c>
      <c r="S308" s="17" t="s">
        <v>1022</v>
      </c>
      <c r="T308" s="20">
        <v>4</v>
      </c>
      <c r="U308" s="17"/>
    </row>
    <row r="309" spans="1:21" x14ac:dyDescent="0.35">
      <c r="A309" s="5">
        <v>13874468000238</v>
      </c>
      <c r="B309" s="7"/>
      <c r="C309" s="4"/>
      <c r="D309" s="6" t="s">
        <v>413</v>
      </c>
      <c r="E309" s="6" t="s">
        <v>35</v>
      </c>
      <c r="F309" s="6" t="s">
        <v>8</v>
      </c>
      <c r="G309" s="11" t="s">
        <v>279</v>
      </c>
      <c r="H309" s="6" t="s">
        <v>17</v>
      </c>
      <c r="I309" s="21" t="s">
        <v>1072</v>
      </c>
      <c r="J309" s="18">
        <v>6396.0297213456533</v>
      </c>
      <c r="K309" s="18">
        <f>VLOOKUP(A309,[1]Export!$A:$C,3,0)</f>
        <v>1397.3400000000001</v>
      </c>
      <c r="L309" s="19">
        <f t="shared" si="10"/>
        <v>0.21846990412452547</v>
      </c>
      <c r="M309" s="18">
        <f>VLOOKUP(A309,[1]Export!$A:$G,7,0)</f>
        <v>335.28999999999996</v>
      </c>
      <c r="N309" s="19">
        <f t="shared" si="11"/>
        <v>5.2421582545344812E-2</v>
      </c>
      <c r="O309" s="17" t="s">
        <v>1027</v>
      </c>
      <c r="P309" s="17" t="s">
        <v>1028</v>
      </c>
      <c r="Q309" s="17" t="s">
        <v>1023</v>
      </c>
      <c r="R309" s="17" t="str">
        <f>VLOOKUP(A309,[2]Export!$A:$I,9,0)</f>
        <v>Comprou Marcas</v>
      </c>
      <c r="S309" s="17" t="s">
        <v>1022</v>
      </c>
      <c r="T309" s="20"/>
      <c r="U309" s="17"/>
    </row>
    <row r="310" spans="1:21" x14ac:dyDescent="0.35">
      <c r="A310" s="5">
        <v>7056130000195</v>
      </c>
      <c r="B310" s="7"/>
      <c r="C310" s="4"/>
      <c r="D310" s="6" t="s">
        <v>870</v>
      </c>
      <c r="E310" s="6" t="s">
        <v>35</v>
      </c>
      <c r="F310" s="6" t="s">
        <v>8</v>
      </c>
      <c r="G310" s="11" t="s">
        <v>38</v>
      </c>
      <c r="H310" s="6" t="s">
        <v>17</v>
      </c>
      <c r="I310" s="21" t="s">
        <v>1072</v>
      </c>
      <c r="J310" s="18">
        <v>1329.3951391450578</v>
      </c>
      <c r="K310" s="18">
        <f>VLOOKUP(A310,[1]Export!$A:$C,3,0)</f>
        <v>295.87</v>
      </c>
      <c r="L310" s="19">
        <f t="shared" si="10"/>
        <v>0.22255986296916644</v>
      </c>
      <c r="M310" s="18">
        <f>VLOOKUP(A310,[1]Export!$A:$G,7,0)</f>
        <v>0</v>
      </c>
      <c r="N310" s="19">
        <f t="shared" si="11"/>
        <v>0</v>
      </c>
      <c r="O310" s="17" t="s">
        <v>1027</v>
      </c>
      <c r="P310" s="17" t="s">
        <v>1028</v>
      </c>
      <c r="Q310" s="17" t="s">
        <v>1023</v>
      </c>
      <c r="R310" s="17" t="str">
        <f>VLOOKUP(A310,[2]Export!$A:$I,9,0)</f>
        <v>Não Comprou</v>
      </c>
      <c r="S310" s="17" t="s">
        <v>1022</v>
      </c>
      <c r="T310" s="20"/>
      <c r="U310" s="17"/>
    </row>
    <row r="311" spans="1:21" x14ac:dyDescent="0.35">
      <c r="A311" s="5">
        <v>15558177000185</v>
      </c>
      <c r="B311" s="7"/>
      <c r="C311" s="4"/>
      <c r="D311" s="6" t="s">
        <v>415</v>
      </c>
      <c r="E311" s="6" t="s">
        <v>388</v>
      </c>
      <c r="F311" s="6" t="s">
        <v>8</v>
      </c>
      <c r="G311" s="11" t="s">
        <v>279</v>
      </c>
      <c r="H311" s="6" t="s">
        <v>17</v>
      </c>
      <c r="I311" s="21" t="s">
        <v>1072</v>
      </c>
      <c r="J311" s="18">
        <v>3233.4815706667932</v>
      </c>
      <c r="K311" s="18">
        <f>VLOOKUP(A311,[1]Export!$A:$C,3,0)</f>
        <v>231.43</v>
      </c>
      <c r="L311" s="19">
        <f t="shared" si="10"/>
        <v>7.1573007280902989E-2</v>
      </c>
      <c r="M311" s="18">
        <f>VLOOKUP(A311,[1]Export!$A:$G,7,0)</f>
        <v>0</v>
      </c>
      <c r="N311" s="19">
        <f t="shared" si="11"/>
        <v>0</v>
      </c>
      <c r="O311" s="17" t="s">
        <v>1029</v>
      </c>
      <c r="P311" s="17" t="s">
        <v>1026</v>
      </c>
      <c r="Q311" s="17" t="s">
        <v>1023</v>
      </c>
      <c r="R311" s="17" t="str">
        <f>VLOOKUP(A311,[2]Export!$A:$I,9,0)</f>
        <v>Não Comprou</v>
      </c>
      <c r="S311" s="17" t="s">
        <v>1022</v>
      </c>
      <c r="T311" s="20">
        <v>2</v>
      </c>
      <c r="U311" s="17"/>
    </row>
    <row r="312" spans="1:21" x14ac:dyDescent="0.35">
      <c r="A312" s="4">
        <v>15722053000193</v>
      </c>
      <c r="B312" s="7"/>
      <c r="C312" s="4"/>
      <c r="D312" s="1" t="s">
        <v>416</v>
      </c>
      <c r="E312" s="1" t="s">
        <v>94</v>
      </c>
      <c r="F312" s="1" t="s">
        <v>15</v>
      </c>
      <c r="G312" s="10" t="s">
        <v>36</v>
      </c>
      <c r="H312" s="1" t="s">
        <v>17</v>
      </c>
      <c r="I312" s="21" t="s">
        <v>1071</v>
      </c>
      <c r="J312" s="18">
        <v>3547.6078415884872</v>
      </c>
      <c r="K312" s="18">
        <f>VLOOKUP(A312,[1]Export!$A:$C,3,0)</f>
        <v>1115.97</v>
      </c>
      <c r="L312" s="19">
        <f t="shared" si="10"/>
        <v>0.31456971847832821</v>
      </c>
      <c r="M312" s="18">
        <f>VLOOKUP(A312,[1]Export!$A:$G,7,0)</f>
        <v>1658.6600000000003</v>
      </c>
      <c r="N312" s="19">
        <f t="shared" si="11"/>
        <v>0.46754322181713126</v>
      </c>
      <c r="O312" s="17" t="s">
        <v>1025</v>
      </c>
      <c r="P312" s="17" t="s">
        <v>1026</v>
      </c>
      <c r="Q312" s="17" t="s">
        <v>1023</v>
      </c>
      <c r="R312" s="17" t="str">
        <f>VLOOKUP(A312,[2]Export!$A:$I,9,0)</f>
        <v>Comprou Marcas</v>
      </c>
      <c r="S312" s="17" t="s">
        <v>1023</v>
      </c>
      <c r="T312" s="20">
        <v>1</v>
      </c>
      <c r="U312" s="17"/>
    </row>
    <row r="313" spans="1:21" x14ac:dyDescent="0.35">
      <c r="A313" s="4">
        <v>10341045000779</v>
      </c>
      <c r="B313" s="7" t="s">
        <v>995</v>
      </c>
      <c r="C313" s="4"/>
      <c r="D313" s="1" t="s">
        <v>25</v>
      </c>
      <c r="E313" s="1" t="s">
        <v>52</v>
      </c>
      <c r="F313" s="1" t="s">
        <v>8</v>
      </c>
      <c r="G313" s="10" t="s">
        <v>9</v>
      </c>
      <c r="H313" s="1" t="s">
        <v>10</v>
      </c>
      <c r="I313" s="21" t="s">
        <v>1074</v>
      </c>
      <c r="J313" s="18">
        <v>54207.929590797277</v>
      </c>
      <c r="K313" s="18">
        <f>VLOOKUP(A313,[1]Export!$A:$C,3,0)</f>
        <v>26226.979999999996</v>
      </c>
      <c r="L313" s="19">
        <f t="shared" si="10"/>
        <v>0.48382183562407211</v>
      </c>
      <c r="M313" s="18">
        <f>VLOOKUP(A313,[1]Export!$A:$G,7,0)</f>
        <v>20441.210000000003</v>
      </c>
      <c r="N313" s="19">
        <f t="shared" si="11"/>
        <v>0.37708892692094714</v>
      </c>
      <c r="O313" s="17" t="s">
        <v>1027</v>
      </c>
      <c r="P313" s="17" t="s">
        <v>1028</v>
      </c>
      <c r="Q313" s="17" t="s">
        <v>1023</v>
      </c>
      <c r="R313" s="17" t="str">
        <f>VLOOKUP(A313,[2]Export!$A:$I,9,0)</f>
        <v>Comprou Marcas e SG</v>
      </c>
      <c r="S313" s="17" t="s">
        <v>1022</v>
      </c>
      <c r="T313" s="20">
        <v>1</v>
      </c>
      <c r="U313" s="17">
        <v>5</v>
      </c>
    </row>
    <row r="314" spans="1:21" x14ac:dyDescent="0.35">
      <c r="A314" s="4">
        <v>18876606000231</v>
      </c>
      <c r="B314" s="7"/>
      <c r="C314" s="4"/>
      <c r="D314" s="1" t="s">
        <v>417</v>
      </c>
      <c r="E314" s="1" t="s">
        <v>52</v>
      </c>
      <c r="F314" s="1" t="s">
        <v>8</v>
      </c>
      <c r="G314" s="10" t="s">
        <v>20</v>
      </c>
      <c r="H314" s="1" t="s">
        <v>17</v>
      </c>
      <c r="I314" s="21" t="s">
        <v>1074</v>
      </c>
      <c r="J314" s="18">
        <v>3183.4078122459123</v>
      </c>
      <c r="K314" s="18">
        <f>VLOOKUP(A314,[1]Export!$A:$C,3,0)</f>
        <v>0</v>
      </c>
      <c r="L314" s="19">
        <f t="shared" si="10"/>
        <v>0</v>
      </c>
      <c r="M314" s="18">
        <f>VLOOKUP(A314,[1]Export!$A:$G,7,0)</f>
        <v>0</v>
      </c>
      <c r="N314" s="19">
        <f t="shared" si="11"/>
        <v>0</v>
      </c>
      <c r="O314" s="17" t="s">
        <v>1025</v>
      </c>
      <c r="P314" s="17" t="s">
        <v>1026</v>
      </c>
      <c r="Q314" s="17" t="s">
        <v>1023</v>
      </c>
      <c r="R314" s="17" t="str">
        <f>VLOOKUP(A314,[2]Export!$A:$I,9,0)</f>
        <v>Não Comprou</v>
      </c>
      <c r="S314" s="17" t="s">
        <v>1023</v>
      </c>
      <c r="T314" s="20"/>
      <c r="U314" s="17"/>
    </row>
    <row r="315" spans="1:21" x14ac:dyDescent="0.35">
      <c r="A315" s="5">
        <v>20759443000178</v>
      </c>
      <c r="B315" s="7"/>
      <c r="C315" s="4"/>
      <c r="D315" s="6" t="s">
        <v>418</v>
      </c>
      <c r="E315" s="6" t="s">
        <v>45</v>
      </c>
      <c r="F315" s="6" t="s">
        <v>8</v>
      </c>
      <c r="G315" s="11" t="s">
        <v>36</v>
      </c>
      <c r="H315" s="6" t="s">
        <v>17</v>
      </c>
      <c r="I315" s="21" t="s">
        <v>1070</v>
      </c>
      <c r="J315" s="18">
        <v>431.30149027023344</v>
      </c>
      <c r="K315" s="18">
        <f>VLOOKUP(A315,[1]Export!$A:$C,3,0)</f>
        <v>828.69</v>
      </c>
      <c r="L315" s="19">
        <f t="shared" si="10"/>
        <v>1.9213705927164348</v>
      </c>
      <c r="M315" s="18">
        <f>VLOOKUP(A315,[1]Export!$A:$G,7,0)</f>
        <v>0</v>
      </c>
      <c r="N315" s="19">
        <f t="shared" si="11"/>
        <v>0</v>
      </c>
      <c r="O315" s="17" t="s">
        <v>1025</v>
      </c>
      <c r="P315" s="17" t="s">
        <v>1026</v>
      </c>
      <c r="Q315" s="17" t="s">
        <v>1023</v>
      </c>
      <c r="R315" s="17" t="str">
        <f>VLOOKUP(A315,[2]Export!$A:$I,9,0)</f>
        <v>Não Comprou</v>
      </c>
      <c r="S315" s="17" t="s">
        <v>1023</v>
      </c>
      <c r="T315" s="20"/>
      <c r="U315" s="17"/>
    </row>
    <row r="316" spans="1:21" x14ac:dyDescent="0.35">
      <c r="A316" s="4">
        <v>21303831000102</v>
      </c>
      <c r="B316" s="7"/>
      <c r="C316" s="4"/>
      <c r="D316" s="1" t="s">
        <v>419</v>
      </c>
      <c r="E316" s="1" t="s">
        <v>52</v>
      </c>
      <c r="F316" s="1" t="s">
        <v>8</v>
      </c>
      <c r="G316" s="10" t="s">
        <v>33</v>
      </c>
      <c r="H316" s="1" t="s">
        <v>17</v>
      </c>
      <c r="I316" s="21" t="s">
        <v>1074</v>
      </c>
      <c r="J316" s="18">
        <v>8916.391527733269</v>
      </c>
      <c r="K316" s="18">
        <f>VLOOKUP(A316,[1]Export!$A:$C,3,0)</f>
        <v>2557.62</v>
      </c>
      <c r="L316" s="19">
        <f t="shared" si="10"/>
        <v>0.28684473893332946</v>
      </c>
      <c r="M316" s="18">
        <f>VLOOKUP(A316,[1]Export!$A:$G,7,0)</f>
        <v>776.94</v>
      </c>
      <c r="N316" s="19">
        <f t="shared" si="11"/>
        <v>8.7136146678107373E-2</v>
      </c>
      <c r="O316" s="17" t="s">
        <v>1025</v>
      </c>
      <c r="P316" s="17" t="s">
        <v>1026</v>
      </c>
      <c r="Q316" s="17" t="s">
        <v>1023</v>
      </c>
      <c r="R316" s="17" t="str">
        <f>VLOOKUP(A316,[2]Export!$A:$I,9,0)</f>
        <v>Comprou Marcas</v>
      </c>
      <c r="S316" s="17" t="s">
        <v>1022</v>
      </c>
      <c r="T316" s="20"/>
      <c r="U316" s="17"/>
    </row>
    <row r="317" spans="1:21" x14ac:dyDescent="0.35">
      <c r="A317" s="5">
        <v>7220741000127</v>
      </c>
      <c r="B317" s="7"/>
      <c r="C317" s="4"/>
      <c r="D317" s="6" t="s">
        <v>420</v>
      </c>
      <c r="E317" s="6" t="s">
        <v>193</v>
      </c>
      <c r="F317" s="6" t="s">
        <v>194</v>
      </c>
      <c r="G317" s="11" t="s">
        <v>36</v>
      </c>
      <c r="H317" s="6" t="s">
        <v>17</v>
      </c>
      <c r="I317" s="21" t="s">
        <v>1070</v>
      </c>
      <c r="J317" s="18">
        <v>4983.3295977568196</v>
      </c>
      <c r="K317" s="18">
        <f>VLOOKUP(A317,[1]Export!$A:$C,3,0)</f>
        <v>3158.9599999999996</v>
      </c>
      <c r="L317" s="19">
        <f t="shared" si="10"/>
        <v>0.63390549190684964</v>
      </c>
      <c r="M317" s="18">
        <f>VLOOKUP(A317,[1]Export!$A:$G,7,0)</f>
        <v>618.16</v>
      </c>
      <c r="N317" s="19">
        <f t="shared" si="11"/>
        <v>0.12404557793613663</v>
      </c>
      <c r="O317" s="17" t="s">
        <v>1025</v>
      </c>
      <c r="P317" s="17" t="s">
        <v>1026</v>
      </c>
      <c r="Q317" s="17" t="s">
        <v>1023</v>
      </c>
      <c r="R317" s="17" t="str">
        <f>VLOOKUP(A317,[2]Export!$A:$I,9,0)</f>
        <v>Comprou Marcas</v>
      </c>
      <c r="S317" s="17" t="s">
        <v>1022</v>
      </c>
      <c r="T317" s="20">
        <v>5</v>
      </c>
      <c r="U317" s="17"/>
    </row>
    <row r="318" spans="1:21" x14ac:dyDescent="0.35">
      <c r="A318" s="4">
        <v>8087667000851</v>
      </c>
      <c r="B318" s="7" t="s">
        <v>1001</v>
      </c>
      <c r="C318" s="4"/>
      <c r="D318" s="1" t="s">
        <v>218</v>
      </c>
      <c r="E318" s="1" t="s">
        <v>388</v>
      </c>
      <c r="F318" s="1" t="s">
        <v>8</v>
      </c>
      <c r="G318" s="10" t="s">
        <v>36</v>
      </c>
      <c r="H318" s="1" t="s">
        <v>17</v>
      </c>
      <c r="I318" s="21" t="s">
        <v>1072</v>
      </c>
      <c r="J318" s="18">
        <v>7586.3901705853159</v>
      </c>
      <c r="K318" s="18">
        <f>VLOOKUP(A318,[1]Export!$A:$C,3,0)</f>
        <v>1070.6100000000001</v>
      </c>
      <c r="L318" s="19">
        <f t="shared" si="10"/>
        <v>0.14112245428017564</v>
      </c>
      <c r="M318" s="18">
        <f>VLOOKUP(A318,[1]Export!$A:$G,7,0)</f>
        <v>2809.67</v>
      </c>
      <c r="N318" s="19">
        <f t="shared" si="11"/>
        <v>0.37035664351853714</v>
      </c>
      <c r="O318" s="17" t="s">
        <v>1025</v>
      </c>
      <c r="P318" s="17" t="s">
        <v>1026</v>
      </c>
      <c r="Q318" s="17" t="s">
        <v>1023</v>
      </c>
      <c r="R318" s="17" t="str">
        <f>VLOOKUP(A318,[2]Export!$A:$I,9,0)</f>
        <v>Comprou Marcas</v>
      </c>
      <c r="S318" s="17" t="s">
        <v>1022</v>
      </c>
      <c r="T318" s="20">
        <v>4</v>
      </c>
      <c r="U318" s="17"/>
    </row>
    <row r="319" spans="1:21" x14ac:dyDescent="0.35">
      <c r="A319" s="5">
        <v>8604819000170</v>
      </c>
      <c r="B319" s="7"/>
      <c r="C319" s="4"/>
      <c r="D319" s="6" t="s">
        <v>421</v>
      </c>
      <c r="E319" s="6" t="s">
        <v>178</v>
      </c>
      <c r="F319" s="6" t="s">
        <v>15</v>
      </c>
      <c r="G319" s="11" t="s">
        <v>16</v>
      </c>
      <c r="H319" s="6" t="s">
        <v>17</v>
      </c>
      <c r="I319" s="21" t="s">
        <v>1075</v>
      </c>
      <c r="J319" s="18">
        <v>13724.584958360765</v>
      </c>
      <c r="K319" s="18">
        <f>VLOOKUP(A319,[1]Export!$A:$C,3,0)</f>
        <v>5875.2699999999986</v>
      </c>
      <c r="L319" s="19">
        <f t="shared" si="10"/>
        <v>0.42808361912765108</v>
      </c>
      <c r="M319" s="18">
        <f>VLOOKUP(A319,[1]Export!$A:$G,7,0)</f>
        <v>2426.6099999999992</v>
      </c>
      <c r="N319" s="19">
        <f t="shared" si="11"/>
        <v>0.17680753242171837</v>
      </c>
      <c r="O319" s="17" t="s">
        <v>1027</v>
      </c>
      <c r="P319" s="17" t="s">
        <v>1028</v>
      </c>
      <c r="Q319" s="17" t="s">
        <v>1023</v>
      </c>
      <c r="R319" s="17" t="str">
        <f>VLOOKUP(A319,[2]Export!$A:$I,9,0)</f>
        <v>Comprou Marcas</v>
      </c>
      <c r="S319" s="17" t="s">
        <v>1022</v>
      </c>
      <c r="T319" s="20">
        <v>1</v>
      </c>
      <c r="U319" s="17"/>
    </row>
    <row r="320" spans="1:21" x14ac:dyDescent="0.35">
      <c r="A320" s="4">
        <v>8966998000195</v>
      </c>
      <c r="B320" s="7"/>
      <c r="C320" s="4"/>
      <c r="D320" s="1" t="s">
        <v>409</v>
      </c>
      <c r="E320" s="1" t="s">
        <v>422</v>
      </c>
      <c r="F320" s="1" t="s">
        <v>48</v>
      </c>
      <c r="G320" s="10" t="s">
        <v>20</v>
      </c>
      <c r="H320" s="1" t="s">
        <v>17</v>
      </c>
      <c r="I320" s="21" t="s">
        <v>1073</v>
      </c>
      <c r="J320" s="18">
        <v>5783.2657441709771</v>
      </c>
      <c r="K320" s="18">
        <f>VLOOKUP(A320,[1]Export!$A:$C,3,0)</f>
        <v>4688.84</v>
      </c>
      <c r="L320" s="19">
        <f t="shared" si="10"/>
        <v>0.81075990753596927</v>
      </c>
      <c r="M320" s="18">
        <f>VLOOKUP(A320,[1]Export!$A:$G,7,0)</f>
        <v>3225.96</v>
      </c>
      <c r="N320" s="19">
        <f t="shared" si="11"/>
        <v>0.55780940089973974</v>
      </c>
      <c r="O320" s="17" t="s">
        <v>1025</v>
      </c>
      <c r="P320" s="17" t="s">
        <v>1026</v>
      </c>
      <c r="Q320" s="17" t="s">
        <v>1023</v>
      </c>
      <c r="R320" s="17" t="str">
        <f>VLOOKUP(A320,[2]Export!$A:$I,9,0)</f>
        <v>Comprou Marcas</v>
      </c>
      <c r="S320" s="17" t="s">
        <v>1022</v>
      </c>
      <c r="T320" s="20"/>
      <c r="U320" s="17"/>
    </row>
    <row r="321" spans="1:21" x14ac:dyDescent="0.35">
      <c r="A321" s="5">
        <v>9465779000195</v>
      </c>
      <c r="B321" s="7"/>
      <c r="C321" s="4"/>
      <c r="D321" s="6" t="s">
        <v>423</v>
      </c>
      <c r="E321" s="6" t="s">
        <v>26</v>
      </c>
      <c r="F321" s="6" t="s">
        <v>8</v>
      </c>
      <c r="G321" s="11" t="s">
        <v>20</v>
      </c>
      <c r="H321" s="6" t="s">
        <v>17</v>
      </c>
      <c r="I321" s="21" t="s">
        <v>1068</v>
      </c>
      <c r="J321" s="18">
        <v>3294.2681733390059</v>
      </c>
      <c r="K321" s="18">
        <f>VLOOKUP(A321,[1]Export!$A:$C,3,0)</f>
        <v>87.92</v>
      </c>
      <c r="L321" s="19">
        <f t="shared" si="10"/>
        <v>2.6688780443422735E-2</v>
      </c>
      <c r="M321" s="18">
        <f>VLOOKUP(A321,[1]Export!$A:$G,7,0)</f>
        <v>0</v>
      </c>
      <c r="N321" s="19">
        <f t="shared" si="11"/>
        <v>0</v>
      </c>
      <c r="O321" s="17" t="s">
        <v>1025</v>
      </c>
      <c r="P321" s="17" t="s">
        <v>1026</v>
      </c>
      <c r="Q321" s="17" t="s">
        <v>1023</v>
      </c>
      <c r="R321" s="17" t="str">
        <f>VLOOKUP(A321,[2]Export!$A:$I,9,0)</f>
        <v>Não Comprou</v>
      </c>
      <c r="S321" s="17" t="s">
        <v>1023</v>
      </c>
      <c r="T321" s="20"/>
      <c r="U321" s="17"/>
    </row>
    <row r="322" spans="1:21" x14ac:dyDescent="0.35">
      <c r="A322" s="4">
        <v>61723222000127</v>
      </c>
      <c r="B322" s="7"/>
      <c r="C322" s="4"/>
      <c r="D322" s="1" t="s">
        <v>424</v>
      </c>
      <c r="E322" s="1" t="s">
        <v>182</v>
      </c>
      <c r="F322" s="1" t="s">
        <v>8</v>
      </c>
      <c r="G322" s="10" t="s">
        <v>20</v>
      </c>
      <c r="H322" s="1" t="s">
        <v>17</v>
      </c>
      <c r="I322" s="21" t="s">
        <v>1074</v>
      </c>
      <c r="J322" s="18">
        <v>2764.2710194372507</v>
      </c>
      <c r="K322" s="18">
        <f>VLOOKUP(A322,[1]Export!$A:$C,3,0)</f>
        <v>7731.2599999999975</v>
      </c>
      <c r="L322" s="19">
        <f t="shared" si="10"/>
        <v>2.7968531108696877</v>
      </c>
      <c r="M322" s="18">
        <f>VLOOKUP(A322,[1]Export!$A:$G,7,0)</f>
        <v>6942.73</v>
      </c>
      <c r="N322" s="19">
        <f t="shared" si="11"/>
        <v>2.5115952636993595</v>
      </c>
      <c r="O322" s="17" t="s">
        <v>1025</v>
      </c>
      <c r="P322" s="17" t="s">
        <v>1026</v>
      </c>
      <c r="Q322" s="17" t="s">
        <v>1023</v>
      </c>
      <c r="R322" s="17" t="str">
        <f>VLOOKUP(A322,[2]Export!$A:$I,9,0)</f>
        <v>Comprou Marcas</v>
      </c>
      <c r="S322" s="17" t="s">
        <v>1023</v>
      </c>
      <c r="T322" s="20"/>
      <c r="U322" s="17">
        <v>1</v>
      </c>
    </row>
    <row r="323" spans="1:21" x14ac:dyDescent="0.35">
      <c r="A323" s="5">
        <v>61723222000208</v>
      </c>
      <c r="B323" s="7"/>
      <c r="C323" s="4"/>
      <c r="D323" s="6" t="s">
        <v>425</v>
      </c>
      <c r="E323" s="6" t="s">
        <v>182</v>
      </c>
      <c r="F323" s="6" t="s">
        <v>8</v>
      </c>
      <c r="G323" s="11" t="s">
        <v>20</v>
      </c>
      <c r="H323" s="6" t="s">
        <v>17</v>
      </c>
      <c r="I323" s="21" t="s">
        <v>1074</v>
      </c>
      <c r="J323" s="18">
        <v>5249.1754299870809</v>
      </c>
      <c r="K323" s="18">
        <f>VLOOKUP(A323,[1]Export!$A:$C,3,0)</f>
        <v>435.48</v>
      </c>
      <c r="L323" s="19">
        <f t="shared" si="10"/>
        <v>8.2961601456911449E-2</v>
      </c>
      <c r="M323" s="18">
        <f>VLOOKUP(A323,[1]Export!$A:$G,7,0)</f>
        <v>0</v>
      </c>
      <c r="N323" s="19">
        <f t="shared" si="11"/>
        <v>0</v>
      </c>
      <c r="O323" s="17" t="s">
        <v>1025</v>
      </c>
      <c r="P323" s="17" t="s">
        <v>1026</v>
      </c>
      <c r="Q323" s="17" t="s">
        <v>1023</v>
      </c>
      <c r="R323" s="17" t="str">
        <f>VLOOKUP(A323,[2]Export!$A:$I,9,0)</f>
        <v>Não Comprou</v>
      </c>
      <c r="S323" s="17" t="s">
        <v>1023</v>
      </c>
      <c r="T323" s="20"/>
      <c r="U323" s="17"/>
    </row>
    <row r="324" spans="1:21" x14ac:dyDescent="0.35">
      <c r="A324" s="4">
        <v>67759241000190</v>
      </c>
      <c r="B324" s="7"/>
      <c r="C324" s="4"/>
      <c r="D324" s="1" t="s">
        <v>426</v>
      </c>
      <c r="E324" s="1" t="s">
        <v>427</v>
      </c>
      <c r="F324" s="1" t="s">
        <v>48</v>
      </c>
      <c r="G324" s="10" t="s">
        <v>103</v>
      </c>
      <c r="H324" s="1" t="s">
        <v>17</v>
      </c>
      <c r="I324" s="21" t="s">
        <v>1075</v>
      </c>
      <c r="J324" s="18">
        <v>3022.4781270512467</v>
      </c>
      <c r="K324" s="18">
        <f>VLOOKUP(A324,[1]Export!$A:$C,3,0)</f>
        <v>485.53</v>
      </c>
      <c r="L324" s="19">
        <f t="shared" si="10"/>
        <v>0.16063970675403591</v>
      </c>
      <c r="M324" s="18">
        <f>VLOOKUP(A324,[1]Export!$A:$G,7,0)</f>
        <v>862.37</v>
      </c>
      <c r="N324" s="19">
        <f t="shared" si="11"/>
        <v>0.28531885550527869</v>
      </c>
      <c r="O324" s="17" t="s">
        <v>1027</v>
      </c>
      <c r="P324" s="17" t="s">
        <v>1026</v>
      </c>
      <c r="Q324" s="17" t="s">
        <v>1023</v>
      </c>
      <c r="R324" s="17" t="str">
        <f>VLOOKUP(A324,[2]Export!$A:$I,9,0)</f>
        <v>Comprou Marcas</v>
      </c>
      <c r="S324" s="17" t="s">
        <v>1023</v>
      </c>
      <c r="T324" s="20"/>
      <c r="U324" s="17"/>
    </row>
    <row r="325" spans="1:21" x14ac:dyDescent="0.35">
      <c r="A325" s="5">
        <v>72834344000107</v>
      </c>
      <c r="B325" s="7"/>
      <c r="C325" s="4"/>
      <c r="D325" s="6" t="s">
        <v>428</v>
      </c>
      <c r="E325" s="6" t="s">
        <v>86</v>
      </c>
      <c r="F325" s="6" t="s">
        <v>48</v>
      </c>
      <c r="G325" s="11" t="s">
        <v>20</v>
      </c>
      <c r="H325" s="6" t="s">
        <v>17</v>
      </c>
      <c r="I325" s="21" t="s">
        <v>1075</v>
      </c>
      <c r="J325" s="18">
        <v>3170.8069448376486</v>
      </c>
      <c r="K325" s="18">
        <f>VLOOKUP(A325,[1]Export!$A:$C,3,0)</f>
        <v>1026.55</v>
      </c>
      <c r="L325" s="19">
        <f t="shared" si="10"/>
        <v>0.32375039472879713</v>
      </c>
      <c r="M325" s="18">
        <f>VLOOKUP(A325,[1]Export!$A:$G,7,0)</f>
        <v>304.49</v>
      </c>
      <c r="N325" s="19">
        <f t="shared" si="11"/>
        <v>9.6029182885364994E-2</v>
      </c>
      <c r="O325" s="17" t="s">
        <v>1025</v>
      </c>
      <c r="P325" s="17" t="s">
        <v>1026</v>
      </c>
      <c r="Q325" s="17" t="s">
        <v>1023</v>
      </c>
      <c r="R325" s="17" t="str">
        <f>VLOOKUP(A325,[2]Export!$A:$I,9,0)</f>
        <v>Comprou Marcas</v>
      </c>
      <c r="S325" s="17" t="s">
        <v>1023</v>
      </c>
      <c r="T325" s="20"/>
      <c r="U325" s="17"/>
    </row>
    <row r="326" spans="1:21" x14ac:dyDescent="0.35">
      <c r="A326" s="4">
        <v>57862460000146</v>
      </c>
      <c r="B326" s="7"/>
      <c r="C326" s="4"/>
      <c r="D326" s="1" t="s">
        <v>150</v>
      </c>
      <c r="E326" s="1" t="s">
        <v>94</v>
      </c>
      <c r="F326" s="1" t="s">
        <v>15</v>
      </c>
      <c r="G326" s="10" t="s">
        <v>33</v>
      </c>
      <c r="H326" s="1" t="s">
        <v>17</v>
      </c>
      <c r="I326" s="21" t="s">
        <v>1071</v>
      </c>
      <c r="J326" s="18">
        <v>6465.260433336648</v>
      </c>
      <c r="K326" s="18">
        <f>VLOOKUP(A326,[1]Export!$A:$C,3,0)</f>
        <v>1192.02</v>
      </c>
      <c r="L326" s="19">
        <f t="shared" si="10"/>
        <v>0.18437308323321663</v>
      </c>
      <c r="M326" s="18">
        <f>VLOOKUP(A326,[1]Export!$A:$G,7,0)</f>
        <v>0</v>
      </c>
      <c r="N326" s="19">
        <f t="shared" si="11"/>
        <v>0</v>
      </c>
      <c r="O326" s="17" t="s">
        <v>1025</v>
      </c>
      <c r="P326" s="17" t="s">
        <v>1026</v>
      </c>
      <c r="Q326" s="17" t="s">
        <v>1023</v>
      </c>
      <c r="R326" s="17" t="str">
        <f>VLOOKUP(A326,[2]Export!$A:$I,9,0)</f>
        <v>Não Comprou</v>
      </c>
      <c r="S326" s="17" t="s">
        <v>1022</v>
      </c>
      <c r="T326" s="20"/>
      <c r="U326" s="17"/>
    </row>
    <row r="327" spans="1:21" x14ac:dyDescent="0.35">
      <c r="A327" s="5">
        <v>2369415000162</v>
      </c>
      <c r="B327" s="7"/>
      <c r="C327" s="4"/>
      <c r="D327" s="6" t="s">
        <v>69</v>
      </c>
      <c r="E327" s="6" t="s">
        <v>146</v>
      </c>
      <c r="F327" s="6" t="s">
        <v>8</v>
      </c>
      <c r="G327" s="11" t="s">
        <v>64</v>
      </c>
      <c r="H327" s="6" t="s">
        <v>17</v>
      </c>
      <c r="I327" s="21" t="s">
        <v>1074</v>
      </c>
      <c r="J327" s="18">
        <v>5761.9640715957294</v>
      </c>
      <c r="K327" s="18">
        <f>VLOOKUP(A327,[1]Export!$A:$C,3,0)</f>
        <v>1402.1000000000004</v>
      </c>
      <c r="L327" s="19">
        <f t="shared" si="10"/>
        <v>0.24333716465047309</v>
      </c>
      <c r="M327" s="18">
        <f>VLOOKUP(A327,[1]Export!$A:$G,7,0)</f>
        <v>1078.27</v>
      </c>
      <c r="N327" s="19">
        <f t="shared" si="11"/>
        <v>0.18713584232769814</v>
      </c>
      <c r="O327" s="17" t="s">
        <v>1030</v>
      </c>
      <c r="P327" s="17" t="s">
        <v>1026</v>
      </c>
      <c r="Q327" s="17" t="s">
        <v>1022</v>
      </c>
      <c r="R327" s="17" t="str">
        <f>VLOOKUP(A327,[2]Export!$A:$I,9,0)</f>
        <v>Comprou Marcas</v>
      </c>
      <c r="S327" s="17" t="s">
        <v>1022</v>
      </c>
      <c r="T327" s="20">
        <v>4</v>
      </c>
      <c r="U327" s="17"/>
    </row>
    <row r="328" spans="1:21" x14ac:dyDescent="0.35">
      <c r="A328" s="4">
        <v>2462665000142</v>
      </c>
      <c r="B328" s="7"/>
      <c r="C328" s="4"/>
      <c r="D328" s="1" t="s">
        <v>429</v>
      </c>
      <c r="E328" s="1" t="s">
        <v>19</v>
      </c>
      <c r="F328" s="1" t="s">
        <v>15</v>
      </c>
      <c r="G328" s="10" t="s">
        <v>20</v>
      </c>
      <c r="H328" s="1" t="s">
        <v>17</v>
      </c>
      <c r="I328" s="21" t="s">
        <v>1069</v>
      </c>
      <c r="J328" s="18">
        <v>9490.1425523551879</v>
      </c>
      <c r="K328" s="18">
        <f>VLOOKUP(A328,[1]Export!$A:$C,3,0)</f>
        <v>1984.6700000000003</v>
      </c>
      <c r="L328" s="19">
        <f t="shared" si="10"/>
        <v>0.20912962993453252</v>
      </c>
      <c r="M328" s="18">
        <f>VLOOKUP(A328,[1]Export!$A:$G,7,0)</f>
        <v>0</v>
      </c>
      <c r="N328" s="19">
        <f t="shared" si="11"/>
        <v>0</v>
      </c>
      <c r="O328" s="17" t="s">
        <v>1025</v>
      </c>
      <c r="P328" s="17" t="s">
        <v>1026</v>
      </c>
      <c r="Q328" s="17" t="s">
        <v>1022</v>
      </c>
      <c r="R328" s="17" t="str">
        <f>VLOOKUP(A328,[2]Export!$A:$I,9,0)</f>
        <v>Comprou SG</v>
      </c>
      <c r="S328" s="17" t="s">
        <v>1022</v>
      </c>
      <c r="T328" s="20"/>
      <c r="U328" s="17"/>
    </row>
    <row r="329" spans="1:21" x14ac:dyDescent="0.35">
      <c r="A329" s="5">
        <v>2489904000158</v>
      </c>
      <c r="B329" s="7"/>
      <c r="C329" s="4"/>
      <c r="D329" s="6" t="s">
        <v>44</v>
      </c>
      <c r="E329" s="6" t="s">
        <v>430</v>
      </c>
      <c r="F329" s="6" t="s">
        <v>8</v>
      </c>
      <c r="G329" s="11" t="s">
        <v>16</v>
      </c>
      <c r="H329" s="6" t="s">
        <v>17</v>
      </c>
      <c r="I329" s="21" t="s">
        <v>1074</v>
      </c>
      <c r="J329" s="18">
        <v>6644.799065838467</v>
      </c>
      <c r="K329" s="18">
        <f>VLOOKUP(A329,[1]Export!$A:$C,3,0)</f>
        <v>946.45</v>
      </c>
      <c r="L329" s="19">
        <f t="shared" si="10"/>
        <v>0.14243470579355633</v>
      </c>
      <c r="M329" s="18">
        <f>VLOOKUP(A329,[1]Export!$A:$G,7,0)</f>
        <v>778.7399999999999</v>
      </c>
      <c r="N329" s="19">
        <f t="shared" si="11"/>
        <v>0.11719541739095996</v>
      </c>
      <c r="O329" s="17" t="s">
        <v>1027</v>
      </c>
      <c r="P329" s="17" t="s">
        <v>1028</v>
      </c>
      <c r="Q329" s="17" t="s">
        <v>1023</v>
      </c>
      <c r="R329" s="17" t="str">
        <f>VLOOKUP(A329,[2]Export!$A:$I,9,0)</f>
        <v>Comprou Marcas</v>
      </c>
      <c r="S329" s="17" t="s">
        <v>1022</v>
      </c>
      <c r="T329" s="20"/>
      <c r="U329" s="17"/>
    </row>
    <row r="330" spans="1:21" x14ac:dyDescent="0.35">
      <c r="A330" s="4">
        <v>3100938000171</v>
      </c>
      <c r="B330" s="7"/>
      <c r="C330" s="4"/>
      <c r="D330" s="1" t="s">
        <v>431</v>
      </c>
      <c r="E330" s="1" t="s">
        <v>71</v>
      </c>
      <c r="F330" s="1" t="s">
        <v>15</v>
      </c>
      <c r="G330" s="10" t="s">
        <v>20</v>
      </c>
      <c r="H330" s="1" t="s">
        <v>17</v>
      </c>
      <c r="I330" s="21" t="s">
        <v>1071</v>
      </c>
      <c r="J330" s="18">
        <v>7143.1799403834721</v>
      </c>
      <c r="K330" s="18">
        <f>VLOOKUP(A330,[1]Export!$A:$C,3,0)</f>
        <v>3812.57</v>
      </c>
      <c r="L330" s="19">
        <f t="shared" si="10"/>
        <v>0.53373567960200752</v>
      </c>
      <c r="M330" s="18">
        <f>VLOOKUP(A330,[1]Export!$A:$G,7,0)</f>
        <v>2428.3099999999995</v>
      </c>
      <c r="N330" s="19">
        <f t="shared" si="11"/>
        <v>0.33994803718603217</v>
      </c>
      <c r="O330" s="17" t="s">
        <v>1025</v>
      </c>
      <c r="P330" s="17" t="s">
        <v>1026</v>
      </c>
      <c r="Q330" s="17" t="s">
        <v>1023</v>
      </c>
      <c r="R330" s="17" t="str">
        <f>VLOOKUP(A330,[2]Export!$A:$I,9,0)</f>
        <v>Comprou Marcas</v>
      </c>
      <c r="S330" s="17" t="s">
        <v>1022</v>
      </c>
      <c r="T330" s="20"/>
      <c r="U330" s="17"/>
    </row>
    <row r="331" spans="1:21" x14ac:dyDescent="0.35">
      <c r="A331" s="5">
        <v>3110652000177</v>
      </c>
      <c r="B331" s="7"/>
      <c r="C331" s="4"/>
      <c r="D331" s="6" t="s">
        <v>432</v>
      </c>
      <c r="E331" s="6" t="s">
        <v>22</v>
      </c>
      <c r="F331" s="6" t="s">
        <v>8</v>
      </c>
      <c r="G331" s="11" t="s">
        <v>33</v>
      </c>
      <c r="H331" s="6" t="s">
        <v>17</v>
      </c>
      <c r="I331" s="21" t="s">
        <v>1070</v>
      </c>
      <c r="J331" s="18">
        <v>1995.5724780841999</v>
      </c>
      <c r="K331" s="18">
        <f>VLOOKUP(A331,[1]Export!$A:$C,3,0)</f>
        <v>1124.83</v>
      </c>
      <c r="L331" s="19">
        <f t="shared" si="10"/>
        <v>0.56366281473267521</v>
      </c>
      <c r="M331" s="18">
        <f>VLOOKUP(A331,[1]Export!$A:$G,7,0)</f>
        <v>0</v>
      </c>
      <c r="N331" s="19">
        <f t="shared" si="11"/>
        <v>0</v>
      </c>
      <c r="O331" s="17" t="s">
        <v>1027</v>
      </c>
      <c r="P331" s="17" t="s">
        <v>1026</v>
      </c>
      <c r="Q331" s="17" t="s">
        <v>1023</v>
      </c>
      <c r="R331" s="17" t="str">
        <f>VLOOKUP(A331,[2]Export!$A:$I,9,0)</f>
        <v>Não Comprou</v>
      </c>
      <c r="S331" s="17" t="s">
        <v>1022</v>
      </c>
      <c r="T331" s="20"/>
      <c r="U331" s="17"/>
    </row>
    <row r="332" spans="1:21" x14ac:dyDescent="0.35">
      <c r="A332" s="4">
        <v>3511815000123</v>
      </c>
      <c r="B332" s="7"/>
      <c r="C332" s="4"/>
      <c r="D332" s="1" t="s">
        <v>433</v>
      </c>
      <c r="E332" s="1" t="s">
        <v>14</v>
      </c>
      <c r="F332" s="1" t="s">
        <v>15</v>
      </c>
      <c r="G332" s="10" t="s">
        <v>20</v>
      </c>
      <c r="H332" s="1" t="s">
        <v>17</v>
      </c>
      <c r="I332" s="21" t="s">
        <v>1069</v>
      </c>
      <c r="J332" s="18">
        <v>834.1567865463727</v>
      </c>
      <c r="K332" s="18">
        <f>VLOOKUP(A332,[1]Export!$A:$C,3,0)</f>
        <v>3086.3300000000004</v>
      </c>
      <c r="L332" s="19">
        <f t="shared" si="10"/>
        <v>3.6999399270947779</v>
      </c>
      <c r="M332" s="18">
        <f>VLOOKUP(A332,[1]Export!$A:$G,7,0)</f>
        <v>2900.1</v>
      </c>
      <c r="N332" s="19">
        <f t="shared" si="11"/>
        <v>3.4766845355381841</v>
      </c>
      <c r="O332" s="17" t="s">
        <v>1025</v>
      </c>
      <c r="P332" s="17" t="s">
        <v>1026</v>
      </c>
      <c r="Q332" s="17" t="s">
        <v>1023</v>
      </c>
      <c r="R332" s="17" t="str">
        <f>VLOOKUP(A332,[2]Export!$A:$I,9,0)</f>
        <v>Comprou Marcas</v>
      </c>
      <c r="S332" s="17" t="s">
        <v>1023</v>
      </c>
      <c r="T332" s="20"/>
      <c r="U332" s="17"/>
    </row>
    <row r="333" spans="1:21" x14ac:dyDescent="0.35">
      <c r="A333" s="5">
        <v>3940865000126</v>
      </c>
      <c r="B333" s="7"/>
      <c r="C333" s="4"/>
      <c r="D333" s="6" t="s">
        <v>434</v>
      </c>
      <c r="E333" s="6" t="s">
        <v>155</v>
      </c>
      <c r="F333" s="6" t="s">
        <v>15</v>
      </c>
      <c r="G333" s="11" t="s">
        <v>74</v>
      </c>
      <c r="H333" s="6" t="s">
        <v>17</v>
      </c>
      <c r="I333" s="21" t="s">
        <v>1071</v>
      </c>
      <c r="J333" s="18">
        <v>4670.9085428565031</v>
      </c>
      <c r="K333" s="18">
        <f>VLOOKUP(A333,[1]Export!$A:$C,3,0)</f>
        <v>1264.56</v>
      </c>
      <c r="L333" s="19">
        <f t="shared" ref="L333:L396" si="12">K333/J333</f>
        <v>0.27073105551038168</v>
      </c>
      <c r="M333" s="18">
        <f>VLOOKUP(A333,[1]Export!$A:$G,7,0)</f>
        <v>0</v>
      </c>
      <c r="N333" s="19">
        <f t="shared" ref="N333:N396" si="13">M333/J333</f>
        <v>0</v>
      </c>
      <c r="O333" s="17" t="s">
        <v>1029</v>
      </c>
      <c r="P333" s="17" t="s">
        <v>1026</v>
      </c>
      <c r="Q333" s="17" t="s">
        <v>1022</v>
      </c>
      <c r="R333" s="17" t="str">
        <f>VLOOKUP(A333,[2]Export!$A:$I,9,0)</f>
        <v>Não Comprou</v>
      </c>
      <c r="S333" s="17" t="s">
        <v>1023</v>
      </c>
      <c r="T333" s="20"/>
      <c r="U333" s="17"/>
    </row>
    <row r="334" spans="1:21" x14ac:dyDescent="0.35">
      <c r="A334" s="4">
        <v>14876562000108</v>
      </c>
      <c r="B334" s="7"/>
      <c r="C334" s="4"/>
      <c r="D334" s="1" t="s">
        <v>435</v>
      </c>
      <c r="E334" s="1" t="s">
        <v>436</v>
      </c>
      <c r="F334" s="1" t="s">
        <v>8</v>
      </c>
      <c r="G334" s="10" t="s">
        <v>16</v>
      </c>
      <c r="H334" s="1" t="s">
        <v>17</v>
      </c>
      <c r="I334" s="21" t="s">
        <v>1072</v>
      </c>
      <c r="J334" s="18">
        <v>10129.94322951639</v>
      </c>
      <c r="K334" s="18">
        <f>VLOOKUP(A334,[1]Export!$A:$C,3,0)</f>
        <v>3287.2500000000005</v>
      </c>
      <c r="L334" s="19">
        <f t="shared" si="12"/>
        <v>0.32450823519145583</v>
      </c>
      <c r="M334" s="18">
        <f>VLOOKUP(A334,[1]Export!$A:$G,7,0)</f>
        <v>3001.3699999999994</v>
      </c>
      <c r="N334" s="19">
        <f t="shared" si="13"/>
        <v>0.29628695166372487</v>
      </c>
      <c r="O334" s="17" t="s">
        <v>1027</v>
      </c>
      <c r="P334" s="17" t="s">
        <v>1028</v>
      </c>
      <c r="Q334" s="17" t="s">
        <v>1023</v>
      </c>
      <c r="R334" s="17" t="str">
        <f>VLOOKUP(A334,[2]Export!$A:$I,9,0)</f>
        <v>Comprou Marcas</v>
      </c>
      <c r="S334" s="17" t="s">
        <v>1023</v>
      </c>
      <c r="T334" s="20">
        <v>1</v>
      </c>
      <c r="U334" s="17"/>
    </row>
    <row r="335" spans="1:21" x14ac:dyDescent="0.35">
      <c r="A335" s="5">
        <v>17967556000154</v>
      </c>
      <c r="B335" s="7"/>
      <c r="C335" s="4">
        <v>13687</v>
      </c>
      <c r="D335" s="6" t="s">
        <v>437</v>
      </c>
      <c r="E335" s="6" t="s">
        <v>32</v>
      </c>
      <c r="F335" s="6" t="s">
        <v>15</v>
      </c>
      <c r="G335" s="11" t="s">
        <v>36</v>
      </c>
      <c r="H335" s="6" t="s">
        <v>17</v>
      </c>
      <c r="I335" s="21" t="s">
        <v>1069</v>
      </c>
      <c r="J335" s="18">
        <v>13916.267096017596</v>
      </c>
      <c r="K335" s="18">
        <f>VLOOKUP(A335,[1]Export!$A:$C,3,0)</f>
        <v>2642.99</v>
      </c>
      <c r="L335" s="19">
        <f t="shared" si="12"/>
        <v>0.18992090204680978</v>
      </c>
      <c r="M335" s="18">
        <f>VLOOKUP(A335,[1]Export!$A:$G,7,0)</f>
        <v>32073.669999999995</v>
      </c>
      <c r="N335" s="19">
        <f t="shared" si="13"/>
        <v>2.3047610238221488</v>
      </c>
      <c r="O335" s="17" t="s">
        <v>1027</v>
      </c>
      <c r="P335" s="17" t="s">
        <v>1028</v>
      </c>
      <c r="Q335" s="17" t="s">
        <v>1023</v>
      </c>
      <c r="R335" s="17" t="str">
        <f>VLOOKUP(A335,[2]Export!$A:$I,9,0)</f>
        <v>Comprou Marcas</v>
      </c>
      <c r="S335" s="17" t="s">
        <v>1022</v>
      </c>
      <c r="T335" s="20">
        <v>1</v>
      </c>
      <c r="U335" s="17">
        <v>1</v>
      </c>
    </row>
    <row r="336" spans="1:21" x14ac:dyDescent="0.35">
      <c r="A336" s="4">
        <v>17967556000235</v>
      </c>
      <c r="B336" s="7"/>
      <c r="C336" s="4"/>
      <c r="D336" s="1" t="s">
        <v>438</v>
      </c>
      <c r="E336" s="1" t="s">
        <v>324</v>
      </c>
      <c r="F336" s="1" t="s">
        <v>15</v>
      </c>
      <c r="G336" s="10" t="s">
        <v>36</v>
      </c>
      <c r="H336" s="1" t="s">
        <v>17</v>
      </c>
      <c r="I336" s="21" t="s">
        <v>1069</v>
      </c>
      <c r="J336" s="18">
        <v>11463.870862312457</v>
      </c>
      <c r="K336" s="18">
        <f>VLOOKUP(A336,[1]Export!$A:$C,3,0)</f>
        <v>3212.2799999999997</v>
      </c>
      <c r="L336" s="19">
        <f t="shared" si="12"/>
        <v>0.28020901827849348</v>
      </c>
      <c r="M336" s="18">
        <f>VLOOKUP(A336,[1]Export!$A:$G,7,0)</f>
        <v>28923.770000000008</v>
      </c>
      <c r="N336" s="19">
        <f t="shared" si="13"/>
        <v>2.5230369695708168</v>
      </c>
      <c r="O336" s="17" t="s">
        <v>1027</v>
      </c>
      <c r="P336" s="17" t="s">
        <v>1028</v>
      </c>
      <c r="Q336" s="17" t="s">
        <v>1023</v>
      </c>
      <c r="R336" s="17" t="str">
        <f>VLOOKUP(A336,[2]Export!$A:$I,9,0)</f>
        <v>Comprou Marcas</v>
      </c>
      <c r="S336" s="17" t="s">
        <v>1022</v>
      </c>
      <c r="T336" s="20">
        <v>1</v>
      </c>
      <c r="U336" s="17">
        <v>1</v>
      </c>
    </row>
    <row r="337" spans="1:21" x14ac:dyDescent="0.35">
      <c r="A337" s="5">
        <v>20750641000170</v>
      </c>
      <c r="B337" s="7"/>
      <c r="C337" s="4"/>
      <c r="D337" s="6" t="s">
        <v>439</v>
      </c>
      <c r="E337" s="6" t="s">
        <v>24</v>
      </c>
      <c r="F337" s="6" t="s">
        <v>15</v>
      </c>
      <c r="G337" s="11" t="s">
        <v>20</v>
      </c>
      <c r="H337" s="6" t="s">
        <v>17</v>
      </c>
      <c r="I337" s="21" t="s">
        <v>1071</v>
      </c>
      <c r="J337" s="18">
        <v>5003.0707053113065</v>
      </c>
      <c r="K337" s="18">
        <f>VLOOKUP(A337,[1]Export!$A:$C,3,0)</f>
        <v>1019.5200000000001</v>
      </c>
      <c r="L337" s="19">
        <f t="shared" si="12"/>
        <v>0.20377885103995597</v>
      </c>
      <c r="M337" s="18">
        <f>VLOOKUP(A337,[1]Export!$A:$G,7,0)</f>
        <v>0</v>
      </c>
      <c r="N337" s="19">
        <f t="shared" si="13"/>
        <v>0</v>
      </c>
      <c r="O337" s="17" t="s">
        <v>1025</v>
      </c>
      <c r="P337" s="17" t="s">
        <v>1026</v>
      </c>
      <c r="Q337" s="17" t="s">
        <v>1023</v>
      </c>
      <c r="R337" s="17" t="str">
        <f>VLOOKUP(A337,[2]Export!$A:$I,9,0)</f>
        <v>Não Comprou</v>
      </c>
      <c r="S337" s="17" t="s">
        <v>1023</v>
      </c>
      <c r="T337" s="20"/>
      <c r="U337" s="17"/>
    </row>
    <row r="338" spans="1:21" x14ac:dyDescent="0.35">
      <c r="A338" s="4">
        <v>10341045001406</v>
      </c>
      <c r="B338" s="7" t="s">
        <v>995</v>
      </c>
      <c r="C338" s="4"/>
      <c r="D338" s="1" t="s">
        <v>25</v>
      </c>
      <c r="E338" s="1" t="s">
        <v>182</v>
      </c>
      <c r="F338" s="1" t="s">
        <v>8</v>
      </c>
      <c r="G338" s="10" t="s">
        <v>9</v>
      </c>
      <c r="H338" s="1" t="s">
        <v>10</v>
      </c>
      <c r="I338" s="21" t="s">
        <v>1074</v>
      </c>
      <c r="J338" s="18">
        <v>26695.248952063423</v>
      </c>
      <c r="K338" s="18">
        <f>VLOOKUP(A338,[1]Export!$A:$C,3,0)</f>
        <v>12166.400000000007</v>
      </c>
      <c r="L338" s="19">
        <f t="shared" si="12"/>
        <v>0.45575150926096153</v>
      </c>
      <c r="M338" s="18">
        <f>VLOOKUP(A338,[1]Export!$A:$G,7,0)</f>
        <v>10732.589999999995</v>
      </c>
      <c r="N338" s="19">
        <f t="shared" si="13"/>
        <v>0.40204120288492062</v>
      </c>
      <c r="O338" s="17" t="s">
        <v>1027</v>
      </c>
      <c r="P338" s="17" t="s">
        <v>1028</v>
      </c>
      <c r="Q338" s="17" t="s">
        <v>1023</v>
      </c>
      <c r="R338" s="17" t="str">
        <f>VLOOKUP(A338,[2]Export!$A:$I,9,0)</f>
        <v>Comprou Marcas e SG</v>
      </c>
      <c r="S338" s="17" t="s">
        <v>1022</v>
      </c>
      <c r="T338" s="20"/>
      <c r="U338" s="17"/>
    </row>
    <row r="339" spans="1:21" x14ac:dyDescent="0.35">
      <c r="A339" s="5">
        <v>23255059000126</v>
      </c>
      <c r="B339" s="7"/>
      <c r="C339" s="4"/>
      <c r="D339" s="6" t="s">
        <v>415</v>
      </c>
      <c r="E339" s="6" t="s">
        <v>240</v>
      </c>
      <c r="F339" s="6" t="s">
        <v>8</v>
      </c>
      <c r="G339" s="11" t="s">
        <v>64</v>
      </c>
      <c r="H339" s="6" t="s">
        <v>17</v>
      </c>
      <c r="I339" s="21" t="s">
        <v>1070</v>
      </c>
      <c r="J339" s="18">
        <v>3197.1648324058087</v>
      </c>
      <c r="K339" s="18">
        <f>VLOOKUP(A339,[1]Export!$A:$C,3,0)</f>
        <v>879.16</v>
      </c>
      <c r="L339" s="19">
        <f t="shared" si="12"/>
        <v>0.27498113049693718</v>
      </c>
      <c r="M339" s="18">
        <f>VLOOKUP(A339,[1]Export!$A:$G,7,0)</f>
        <v>0</v>
      </c>
      <c r="N339" s="19">
        <f t="shared" si="13"/>
        <v>0</v>
      </c>
      <c r="O339" s="17" t="s">
        <v>1029</v>
      </c>
      <c r="P339" s="17" t="s">
        <v>1026</v>
      </c>
      <c r="Q339" s="17" t="s">
        <v>1022</v>
      </c>
      <c r="R339" s="17" t="str">
        <f>VLOOKUP(A339,[2]Export!$A:$I,9,0)</f>
        <v>Não Comprou</v>
      </c>
      <c r="S339" s="17" t="s">
        <v>1022</v>
      </c>
      <c r="T339" s="20"/>
      <c r="U339" s="17"/>
    </row>
    <row r="340" spans="1:21" x14ac:dyDescent="0.35">
      <c r="A340" s="4">
        <v>8087667001157</v>
      </c>
      <c r="B340" s="7" t="s">
        <v>1001</v>
      </c>
      <c r="C340" s="4"/>
      <c r="D340" s="1" t="s">
        <v>218</v>
      </c>
      <c r="E340" s="1" t="s">
        <v>440</v>
      </c>
      <c r="F340" s="1" t="s">
        <v>8</v>
      </c>
      <c r="G340" s="10" t="s">
        <v>20</v>
      </c>
      <c r="H340" s="1" t="s">
        <v>17</v>
      </c>
      <c r="I340" s="21" t="s">
        <v>1072</v>
      </c>
      <c r="J340" s="18">
        <v>0</v>
      </c>
      <c r="K340" s="18">
        <f>VLOOKUP(A340,[1]Export!$A:$C,3,0)</f>
        <v>7525.92</v>
      </c>
      <c r="L340" s="19" t="e">
        <f t="shared" si="12"/>
        <v>#DIV/0!</v>
      </c>
      <c r="M340" s="18">
        <f>VLOOKUP(A340,[1]Export!$A:$G,7,0)</f>
        <v>4759.1400000000003</v>
      </c>
      <c r="N340" s="19" t="e">
        <f t="shared" si="13"/>
        <v>#DIV/0!</v>
      </c>
      <c r="O340" s="17"/>
      <c r="P340" s="17"/>
      <c r="Q340" s="17"/>
      <c r="R340" s="17" t="str">
        <f>VLOOKUP(A340,[2]Export!$A:$I,9,0)</f>
        <v>Comprou Marcas</v>
      </c>
      <c r="S340" s="17"/>
      <c r="T340" s="20"/>
      <c r="U340" s="17"/>
    </row>
    <row r="341" spans="1:21" x14ac:dyDescent="0.35">
      <c r="A341" s="5">
        <v>8366044000141</v>
      </c>
      <c r="B341" s="7"/>
      <c r="C341" s="4"/>
      <c r="D341" s="6" t="s">
        <v>441</v>
      </c>
      <c r="E341" s="6" t="s">
        <v>14</v>
      </c>
      <c r="F341" s="6" t="s">
        <v>15</v>
      </c>
      <c r="G341" s="11" t="s">
        <v>36</v>
      </c>
      <c r="H341" s="6" t="s">
        <v>17</v>
      </c>
      <c r="I341" s="21" t="s">
        <v>1069</v>
      </c>
      <c r="J341" s="18">
        <v>4800.7774457733058</v>
      </c>
      <c r="K341" s="18">
        <f>VLOOKUP(A341,[1]Export!$A:$C,3,0)</f>
        <v>2737.2799999999997</v>
      </c>
      <c r="L341" s="19">
        <f t="shared" si="12"/>
        <v>0.5701743167473744</v>
      </c>
      <c r="M341" s="18">
        <f>VLOOKUP(A341,[1]Export!$A:$G,7,0)</f>
        <v>1192.8499999999999</v>
      </c>
      <c r="N341" s="19">
        <f t="shared" si="13"/>
        <v>0.24847017248221065</v>
      </c>
      <c r="O341" s="17" t="s">
        <v>1029</v>
      </c>
      <c r="P341" s="17" t="s">
        <v>1026</v>
      </c>
      <c r="Q341" s="17" t="s">
        <v>1023</v>
      </c>
      <c r="R341" s="17" t="str">
        <f>VLOOKUP(A341,[2]Export!$A:$I,9,0)</f>
        <v>Comprou Marcas</v>
      </c>
      <c r="S341" s="17" t="s">
        <v>1023</v>
      </c>
      <c r="T341" s="20"/>
      <c r="U341" s="17"/>
    </row>
    <row r="342" spans="1:21" x14ac:dyDescent="0.35">
      <c r="A342" s="4">
        <v>10341045001074</v>
      </c>
      <c r="B342" s="7" t="s">
        <v>995</v>
      </c>
      <c r="C342" s="4"/>
      <c r="D342" s="1" t="s">
        <v>25</v>
      </c>
      <c r="E342" s="1" t="s">
        <v>182</v>
      </c>
      <c r="F342" s="1" t="s">
        <v>8</v>
      </c>
      <c r="G342" s="10" t="s">
        <v>9</v>
      </c>
      <c r="H342" s="1" t="s">
        <v>10</v>
      </c>
      <c r="I342" s="21" t="s">
        <v>1074</v>
      </c>
      <c r="J342" s="18">
        <v>16374.664267664069</v>
      </c>
      <c r="K342" s="18">
        <f>VLOOKUP(A342,[1]Export!$A:$C,3,0)</f>
        <v>7907.1200000000008</v>
      </c>
      <c r="L342" s="19">
        <f t="shared" si="12"/>
        <v>0.48288745776697334</v>
      </c>
      <c r="M342" s="18">
        <f>VLOOKUP(A342,[1]Export!$A:$G,7,0)</f>
        <v>6639.34</v>
      </c>
      <c r="N342" s="19">
        <f t="shared" si="13"/>
        <v>0.4054641909887009</v>
      </c>
      <c r="O342" s="17" t="s">
        <v>1027</v>
      </c>
      <c r="P342" s="17" t="s">
        <v>1028</v>
      </c>
      <c r="Q342" s="17" t="s">
        <v>1023</v>
      </c>
      <c r="R342" s="17" t="str">
        <f>VLOOKUP(A342,[2]Export!$A:$I,9,0)</f>
        <v>Comprou Marcas e SG</v>
      </c>
      <c r="S342" s="17" t="s">
        <v>1022</v>
      </c>
      <c r="T342" s="20"/>
      <c r="U342" s="17"/>
    </row>
    <row r="343" spans="1:21" x14ac:dyDescent="0.35">
      <c r="A343" s="5">
        <v>10488667000139</v>
      </c>
      <c r="B343" s="7"/>
      <c r="C343" s="4"/>
      <c r="D343" s="6" t="s">
        <v>442</v>
      </c>
      <c r="E343" s="6" t="s">
        <v>98</v>
      </c>
      <c r="F343" s="6" t="s">
        <v>15</v>
      </c>
      <c r="G343" s="11" t="s">
        <v>36</v>
      </c>
      <c r="H343" s="6" t="s">
        <v>17</v>
      </c>
      <c r="I343" s="21" t="s">
        <v>1075</v>
      </c>
      <c r="J343" s="18">
        <v>3872.6576022265654</v>
      </c>
      <c r="K343" s="18">
        <f>VLOOKUP(A343,[1]Export!$A:$C,3,0)</f>
        <v>1777.2800000000004</v>
      </c>
      <c r="L343" s="19">
        <f t="shared" si="12"/>
        <v>0.45893032190043398</v>
      </c>
      <c r="M343" s="18">
        <f>VLOOKUP(A343,[1]Export!$A:$G,7,0)</f>
        <v>0</v>
      </c>
      <c r="N343" s="19">
        <f t="shared" si="13"/>
        <v>0</v>
      </c>
      <c r="O343" s="17" t="s">
        <v>1025</v>
      </c>
      <c r="P343" s="17" t="s">
        <v>1026</v>
      </c>
      <c r="Q343" s="17" t="s">
        <v>1022</v>
      </c>
      <c r="R343" s="17" t="str">
        <f>VLOOKUP(A343,[2]Export!$A:$I,9,0)</f>
        <v>Comprou Marcas</v>
      </c>
      <c r="S343" s="17" t="s">
        <v>1022</v>
      </c>
      <c r="T343" s="20"/>
      <c r="U343" s="17"/>
    </row>
    <row r="344" spans="1:21" x14ac:dyDescent="0.35">
      <c r="A344" s="4">
        <v>11288508000153</v>
      </c>
      <c r="B344" s="7"/>
      <c r="C344" s="4"/>
      <c r="D344" s="1" t="s">
        <v>365</v>
      </c>
      <c r="E344" s="1" t="s">
        <v>443</v>
      </c>
      <c r="F344" s="1" t="s">
        <v>15</v>
      </c>
      <c r="G344" s="10" t="s">
        <v>16</v>
      </c>
      <c r="H344" s="1" t="s">
        <v>17</v>
      </c>
      <c r="I344" s="21" t="s">
        <v>1071</v>
      </c>
      <c r="J344" s="18">
        <v>8064.9442660038303</v>
      </c>
      <c r="K344" s="18">
        <f>VLOOKUP(A344,[1]Export!$A:$C,3,0)</f>
        <v>2205.0099999999998</v>
      </c>
      <c r="L344" s="19">
        <f t="shared" si="12"/>
        <v>0.273406725114615</v>
      </c>
      <c r="M344" s="18">
        <f>VLOOKUP(A344,[1]Export!$A:$G,7,0)</f>
        <v>0</v>
      </c>
      <c r="N344" s="19">
        <f t="shared" si="13"/>
        <v>0</v>
      </c>
      <c r="O344" s="17" t="s">
        <v>1029</v>
      </c>
      <c r="P344" s="17" t="s">
        <v>1026</v>
      </c>
      <c r="Q344" s="17" t="s">
        <v>1022</v>
      </c>
      <c r="R344" s="17" t="str">
        <f>VLOOKUP(A344,[2]Export!$A:$I,9,0)</f>
        <v>Não Comprou</v>
      </c>
      <c r="S344" s="17" t="s">
        <v>1022</v>
      </c>
      <c r="T344" s="20"/>
      <c r="U344" s="17"/>
    </row>
    <row r="345" spans="1:21" x14ac:dyDescent="0.35">
      <c r="A345" s="5">
        <v>12390379000172</v>
      </c>
      <c r="B345" s="7"/>
      <c r="C345" s="4"/>
      <c r="D345" s="6" t="s">
        <v>399</v>
      </c>
      <c r="E345" s="6" t="s">
        <v>24</v>
      </c>
      <c r="F345" s="6" t="s">
        <v>15</v>
      </c>
      <c r="G345" s="11" t="s">
        <v>33</v>
      </c>
      <c r="H345" s="6" t="s">
        <v>17</v>
      </c>
      <c r="I345" s="21" t="s">
        <v>1071</v>
      </c>
      <c r="J345" s="18">
        <v>2238.8653523032026</v>
      </c>
      <c r="K345" s="18">
        <f>VLOOKUP(A345,[1]Export!$A:$C,3,0)</f>
        <v>484.90999999999997</v>
      </c>
      <c r="L345" s="19">
        <f t="shared" si="12"/>
        <v>0.21658738856320919</v>
      </c>
      <c r="M345" s="18">
        <f>VLOOKUP(A345,[1]Export!$A:$G,7,0)</f>
        <v>0</v>
      </c>
      <c r="N345" s="19">
        <f t="shared" si="13"/>
        <v>0</v>
      </c>
      <c r="O345" s="17" t="s">
        <v>1027</v>
      </c>
      <c r="P345" s="17" t="s">
        <v>1026</v>
      </c>
      <c r="Q345" s="17" t="s">
        <v>1023</v>
      </c>
      <c r="R345" s="17" t="str">
        <f>VLOOKUP(A345,[2]Export!$A:$I,9,0)</f>
        <v>Não Comprou</v>
      </c>
      <c r="S345" s="17" t="s">
        <v>1022</v>
      </c>
      <c r="T345" s="20"/>
      <c r="U345" s="17"/>
    </row>
    <row r="346" spans="1:21" x14ac:dyDescent="0.35">
      <c r="A346" s="4">
        <v>13304645000160</v>
      </c>
      <c r="B346" s="7"/>
      <c r="C346" s="4"/>
      <c r="D346" s="1" t="s">
        <v>333</v>
      </c>
      <c r="E346" s="1" t="s">
        <v>89</v>
      </c>
      <c r="F346" s="1" t="s">
        <v>15</v>
      </c>
      <c r="G346" s="10" t="s">
        <v>20</v>
      </c>
      <c r="H346" s="1" t="s">
        <v>17</v>
      </c>
      <c r="I346" s="21" t="s">
        <v>1069</v>
      </c>
      <c r="J346" s="18">
        <v>729.9438830950271</v>
      </c>
      <c r="K346" s="18">
        <f>VLOOKUP(A346,[1]Export!$A:$C,3,0)</f>
        <v>460.12</v>
      </c>
      <c r="L346" s="19">
        <f t="shared" si="12"/>
        <v>0.63034982641275139</v>
      </c>
      <c r="M346" s="18">
        <f>VLOOKUP(A346,[1]Export!$A:$G,7,0)</f>
        <v>391.96</v>
      </c>
      <c r="N346" s="19">
        <f t="shared" si="13"/>
        <v>0.53697278527501957</v>
      </c>
      <c r="O346" s="17" t="s">
        <v>1025</v>
      </c>
      <c r="P346" s="17" t="s">
        <v>1026</v>
      </c>
      <c r="Q346" s="17" t="s">
        <v>1023</v>
      </c>
      <c r="R346" s="17" t="str">
        <f>VLOOKUP(A346,[2]Export!$A:$I,9,0)</f>
        <v>Comprou Marcas</v>
      </c>
      <c r="S346" s="17" t="s">
        <v>1023</v>
      </c>
      <c r="T346" s="20"/>
      <c r="U346" s="17"/>
    </row>
    <row r="347" spans="1:21" x14ac:dyDescent="0.35">
      <c r="A347" s="5">
        <v>13367286000190</v>
      </c>
      <c r="B347" s="7"/>
      <c r="C347" s="4"/>
      <c r="D347" s="6" t="s">
        <v>444</v>
      </c>
      <c r="E347" s="6" t="s">
        <v>232</v>
      </c>
      <c r="F347" s="6" t="s">
        <v>8</v>
      </c>
      <c r="G347" s="11" t="s">
        <v>33</v>
      </c>
      <c r="H347" s="6" t="s">
        <v>17</v>
      </c>
      <c r="I347" s="21" t="s">
        <v>1070</v>
      </c>
      <c r="J347" s="18">
        <v>1092.6690567190526</v>
      </c>
      <c r="K347" s="18">
        <f>VLOOKUP(A347,[1]Export!$A:$C,3,0)</f>
        <v>99.179999999999993</v>
      </c>
      <c r="L347" s="19">
        <f t="shared" si="12"/>
        <v>9.0768562896625687E-2</v>
      </c>
      <c r="M347" s="18">
        <f>VLOOKUP(A347,[1]Export!$A:$G,7,0)</f>
        <v>0</v>
      </c>
      <c r="N347" s="19">
        <f t="shared" si="13"/>
        <v>0</v>
      </c>
      <c r="O347" s="17" t="s">
        <v>1027</v>
      </c>
      <c r="P347" s="17" t="s">
        <v>1026</v>
      </c>
      <c r="Q347" s="17" t="s">
        <v>1023</v>
      </c>
      <c r="R347" s="17" t="str">
        <f>VLOOKUP(A347,[2]Export!$A:$I,9,0)</f>
        <v>Não Comprou</v>
      </c>
      <c r="S347" s="17" t="s">
        <v>1022</v>
      </c>
      <c r="T347" s="20"/>
      <c r="U347" s="17"/>
    </row>
    <row r="348" spans="1:21" x14ac:dyDescent="0.35">
      <c r="A348" s="4">
        <v>13445025000140</v>
      </c>
      <c r="B348" s="7"/>
      <c r="C348" s="4"/>
      <c r="D348" s="1" t="s">
        <v>445</v>
      </c>
      <c r="E348" s="1" t="s">
        <v>446</v>
      </c>
      <c r="F348" s="1" t="s">
        <v>15</v>
      </c>
      <c r="G348" s="10" t="s">
        <v>190</v>
      </c>
      <c r="H348" s="1" t="s">
        <v>17</v>
      </c>
      <c r="I348" s="21" t="s">
        <v>1069</v>
      </c>
      <c r="J348" s="18">
        <v>10442.752231427374</v>
      </c>
      <c r="K348" s="18">
        <f>VLOOKUP(A348,[1]Export!$A:$C,3,0)</f>
        <v>1275.9699999999998</v>
      </c>
      <c r="L348" s="19">
        <f t="shared" si="12"/>
        <v>0.12218713723380116</v>
      </c>
      <c r="M348" s="18">
        <f>VLOOKUP(A348,[1]Export!$A:$G,7,0)</f>
        <v>0</v>
      </c>
      <c r="N348" s="19">
        <f t="shared" si="13"/>
        <v>0</v>
      </c>
      <c r="O348" s="17" t="s">
        <v>1027</v>
      </c>
      <c r="P348" s="17" t="s">
        <v>1028</v>
      </c>
      <c r="Q348" s="17" t="s">
        <v>1023</v>
      </c>
      <c r="R348" s="17" t="str">
        <f>VLOOKUP(A348,[2]Export!$A:$I,9,0)</f>
        <v>Não Comprou</v>
      </c>
      <c r="S348" s="17" t="s">
        <v>1022</v>
      </c>
      <c r="T348" s="20"/>
      <c r="U348" s="17"/>
    </row>
    <row r="349" spans="1:21" x14ac:dyDescent="0.35">
      <c r="A349" s="5">
        <v>29301968000130</v>
      </c>
      <c r="B349" s="7"/>
      <c r="C349" s="4"/>
      <c r="D349" s="6" t="s">
        <v>447</v>
      </c>
      <c r="E349" s="6" t="s">
        <v>52</v>
      </c>
      <c r="F349" s="6" t="s">
        <v>8</v>
      </c>
      <c r="G349" s="11" t="s">
        <v>20</v>
      </c>
      <c r="H349" s="6" t="s">
        <v>17</v>
      </c>
      <c r="I349" s="21" t="s">
        <v>1074</v>
      </c>
      <c r="J349" s="18">
        <v>16740.418674275479</v>
      </c>
      <c r="K349" s="18">
        <f>VLOOKUP(A349,[1]Export!$A:$C,3,0)</f>
        <v>4322.1499999999987</v>
      </c>
      <c r="L349" s="19">
        <f t="shared" si="12"/>
        <v>0.25818649366528224</v>
      </c>
      <c r="M349" s="18">
        <f>VLOOKUP(A349,[1]Export!$A:$G,7,0)</f>
        <v>2940.67</v>
      </c>
      <c r="N349" s="19">
        <f t="shared" si="13"/>
        <v>0.1756628706376886</v>
      </c>
      <c r="O349" s="17" t="s">
        <v>1025</v>
      </c>
      <c r="P349" s="17" t="s">
        <v>1026</v>
      </c>
      <c r="Q349" s="17" t="s">
        <v>1023</v>
      </c>
      <c r="R349" s="17" t="str">
        <f>VLOOKUP(A349,[2]Export!$A:$I,9,0)</f>
        <v>Comprou Marcas</v>
      </c>
      <c r="S349" s="17" t="s">
        <v>1022</v>
      </c>
      <c r="T349" s="20"/>
      <c r="U349" s="17"/>
    </row>
    <row r="350" spans="1:21" x14ac:dyDescent="0.35">
      <c r="A350" s="4">
        <v>31525761000190</v>
      </c>
      <c r="B350" s="7"/>
      <c r="C350" s="4"/>
      <c r="D350" s="1" t="s">
        <v>445</v>
      </c>
      <c r="E350" s="1" t="s">
        <v>260</v>
      </c>
      <c r="F350" s="1" t="s">
        <v>8</v>
      </c>
      <c r="G350" s="10" t="s">
        <v>20</v>
      </c>
      <c r="H350" s="1" t="s">
        <v>17</v>
      </c>
      <c r="I350" s="21" t="s">
        <v>1068</v>
      </c>
      <c r="J350" s="18">
        <v>8814.1302693135731</v>
      </c>
      <c r="K350" s="18">
        <f>VLOOKUP(A350,[1]Export!$A:$C,3,0)</f>
        <v>7072.5599999999995</v>
      </c>
      <c r="L350" s="19">
        <f t="shared" si="12"/>
        <v>0.80241155779409601</v>
      </c>
      <c r="M350" s="18">
        <f>VLOOKUP(A350,[1]Export!$A:$G,7,0)</f>
        <v>3626.7200000000003</v>
      </c>
      <c r="N350" s="19">
        <f t="shared" si="13"/>
        <v>0.41146657573537793</v>
      </c>
      <c r="O350" s="17" t="s">
        <v>1025</v>
      </c>
      <c r="P350" s="17" t="s">
        <v>1026</v>
      </c>
      <c r="Q350" s="17" t="s">
        <v>1023</v>
      </c>
      <c r="R350" s="17" t="str">
        <f>VLOOKUP(A350,[2]Export!$A:$I,9,0)</f>
        <v>Comprou Marcas</v>
      </c>
      <c r="S350" s="17" t="s">
        <v>1022</v>
      </c>
      <c r="T350" s="20"/>
      <c r="U350" s="17">
        <v>8</v>
      </c>
    </row>
    <row r="351" spans="1:21" x14ac:dyDescent="0.35">
      <c r="A351" s="5">
        <v>16735647000100</v>
      </c>
      <c r="B351" s="7"/>
      <c r="C351" s="4"/>
      <c r="D351" s="6" t="s">
        <v>72</v>
      </c>
      <c r="E351" s="6" t="s">
        <v>61</v>
      </c>
      <c r="F351" s="6" t="s">
        <v>8</v>
      </c>
      <c r="G351" s="11" t="s">
        <v>20</v>
      </c>
      <c r="H351" s="6" t="s">
        <v>17</v>
      </c>
      <c r="I351" s="21" t="s">
        <v>1068</v>
      </c>
      <c r="J351" s="18">
        <v>1223.8693784934208</v>
      </c>
      <c r="K351" s="18">
        <f>VLOOKUP(A351,[1]Export!$A:$C,3,0)</f>
        <v>232.35999999999999</v>
      </c>
      <c r="L351" s="19">
        <f t="shared" si="12"/>
        <v>0.1898568622462263</v>
      </c>
      <c r="M351" s="18">
        <f>VLOOKUP(A351,[1]Export!$A:$G,7,0)</f>
        <v>0</v>
      </c>
      <c r="N351" s="19">
        <f t="shared" si="13"/>
        <v>0</v>
      </c>
      <c r="O351" s="17" t="s">
        <v>1027</v>
      </c>
      <c r="P351" s="17" t="s">
        <v>1026</v>
      </c>
      <c r="Q351" s="17" t="s">
        <v>1023</v>
      </c>
      <c r="R351" s="17" t="str">
        <f>VLOOKUP(A351,[2]Export!$A:$I,9,0)</f>
        <v>Não Comprou</v>
      </c>
      <c r="S351" s="17" t="s">
        <v>1023</v>
      </c>
      <c r="T351" s="20"/>
      <c r="U351" s="17"/>
    </row>
    <row r="352" spans="1:21" x14ac:dyDescent="0.35">
      <c r="A352" s="4">
        <v>8476603000176</v>
      </c>
      <c r="B352" s="7"/>
      <c r="C352" s="4"/>
      <c r="D352" s="1" t="s">
        <v>154</v>
      </c>
      <c r="E352" s="1" t="s">
        <v>379</v>
      </c>
      <c r="F352" s="1" t="s">
        <v>15</v>
      </c>
      <c r="G352" s="10" t="s">
        <v>20</v>
      </c>
      <c r="H352" s="1" t="s">
        <v>17</v>
      </c>
      <c r="I352" s="21" t="s">
        <v>1075</v>
      </c>
      <c r="J352" s="18">
        <v>11272.42259524146</v>
      </c>
      <c r="K352" s="18">
        <f>VLOOKUP(A352,[1]Export!$A:$C,3,0)</f>
        <v>4016.3900000000008</v>
      </c>
      <c r="L352" s="19">
        <f t="shared" si="12"/>
        <v>0.35630229137217401</v>
      </c>
      <c r="M352" s="18">
        <f>VLOOKUP(A352,[1]Export!$A:$G,7,0)</f>
        <v>2070.2999999999997</v>
      </c>
      <c r="N352" s="19">
        <f t="shared" si="13"/>
        <v>0.18366060911112009</v>
      </c>
      <c r="O352" s="17" t="s">
        <v>1027</v>
      </c>
      <c r="P352" s="17" t="s">
        <v>1028</v>
      </c>
      <c r="Q352" s="17" t="s">
        <v>1023</v>
      </c>
      <c r="R352" s="17" t="str">
        <f>VLOOKUP(A352,[2]Export!$A:$I,9,0)</f>
        <v>Comprou Marcas</v>
      </c>
      <c r="S352" s="17" t="s">
        <v>1023</v>
      </c>
      <c r="T352" s="20">
        <v>6</v>
      </c>
      <c r="U352" s="17"/>
    </row>
    <row r="353" spans="1:21" x14ac:dyDescent="0.35">
      <c r="A353" s="5">
        <v>8986750000196</v>
      </c>
      <c r="B353" s="7"/>
      <c r="C353" s="4"/>
      <c r="D353" s="6" t="s">
        <v>289</v>
      </c>
      <c r="E353" s="6" t="s">
        <v>14</v>
      </c>
      <c r="F353" s="6" t="s">
        <v>15</v>
      </c>
      <c r="G353" s="11" t="s">
        <v>36</v>
      </c>
      <c r="H353" s="6" t="s">
        <v>17</v>
      </c>
      <c r="I353" s="21" t="s">
        <v>1069</v>
      </c>
      <c r="J353" s="18">
        <v>1807.2592429206625</v>
      </c>
      <c r="K353" s="18">
        <f>VLOOKUP(A353,[1]Export!$A:$C,3,0)</f>
        <v>177.47</v>
      </c>
      <c r="L353" s="19">
        <f t="shared" si="12"/>
        <v>9.819841879087339E-2</v>
      </c>
      <c r="M353" s="18">
        <f>VLOOKUP(A353,[1]Export!$A:$G,7,0)</f>
        <v>0</v>
      </c>
      <c r="N353" s="19">
        <f t="shared" si="13"/>
        <v>0</v>
      </c>
      <c r="O353" s="17" t="s">
        <v>1025</v>
      </c>
      <c r="P353" s="17" t="s">
        <v>1026</v>
      </c>
      <c r="Q353" s="17" t="s">
        <v>1022</v>
      </c>
      <c r="R353" s="17" t="str">
        <f>VLOOKUP(A353,[2]Export!$A:$I,9,0)</f>
        <v>Não Comprou</v>
      </c>
      <c r="S353" s="17" t="s">
        <v>1023</v>
      </c>
      <c r="T353" s="20"/>
      <c r="U353" s="17"/>
    </row>
    <row r="354" spans="1:21" x14ac:dyDescent="0.35">
      <c r="A354" s="4">
        <v>9146590000130</v>
      </c>
      <c r="B354" s="7"/>
      <c r="C354" s="4"/>
      <c r="D354" s="1" t="s">
        <v>448</v>
      </c>
      <c r="E354" s="1" t="s">
        <v>52</v>
      </c>
      <c r="F354" s="1" t="s">
        <v>8</v>
      </c>
      <c r="G354" s="10" t="s">
        <v>64</v>
      </c>
      <c r="H354" s="1" t="s">
        <v>17</v>
      </c>
      <c r="I354" s="21" t="s">
        <v>1074</v>
      </c>
      <c r="J354" s="18">
        <v>4506.1936338502928</v>
      </c>
      <c r="K354" s="18">
        <f>VLOOKUP(A354,[1]Export!$A:$C,3,0)</f>
        <v>1347.1600000000003</v>
      </c>
      <c r="L354" s="19">
        <f t="shared" si="12"/>
        <v>0.29895741494111666</v>
      </c>
      <c r="M354" s="18">
        <f>VLOOKUP(A354,[1]Export!$A:$G,7,0)</f>
        <v>137.85</v>
      </c>
      <c r="N354" s="19">
        <f t="shared" si="13"/>
        <v>3.0591228695650792E-2</v>
      </c>
      <c r="O354" s="17" t="s">
        <v>1029</v>
      </c>
      <c r="P354" s="17" t="s">
        <v>1026</v>
      </c>
      <c r="Q354" s="17" t="s">
        <v>1022</v>
      </c>
      <c r="R354" s="17" t="str">
        <f>VLOOKUP(A354,[2]Export!$A:$I,9,0)</f>
        <v>Comprou Marcas</v>
      </c>
      <c r="S354" s="17" t="s">
        <v>1023</v>
      </c>
      <c r="T354" s="20"/>
      <c r="U354" s="17"/>
    </row>
    <row r="355" spans="1:21" x14ac:dyDescent="0.35">
      <c r="A355" s="5">
        <v>10341045001155</v>
      </c>
      <c r="B355" s="7" t="s">
        <v>995</v>
      </c>
      <c r="C355" s="4"/>
      <c r="D355" s="6" t="s">
        <v>25</v>
      </c>
      <c r="E355" s="6" t="s">
        <v>52</v>
      </c>
      <c r="F355" s="6" t="s">
        <v>8</v>
      </c>
      <c r="G355" s="11" t="s">
        <v>9</v>
      </c>
      <c r="H355" s="6" t="s">
        <v>10</v>
      </c>
      <c r="I355" s="21" t="s">
        <v>1074</v>
      </c>
      <c r="J355" s="18">
        <v>38445.230886293823</v>
      </c>
      <c r="K355" s="18">
        <f>VLOOKUP(A355,[1]Export!$A:$C,3,0)</f>
        <v>17296.61</v>
      </c>
      <c r="L355" s="19">
        <f t="shared" si="12"/>
        <v>0.44990261734041104</v>
      </c>
      <c r="M355" s="18">
        <f>VLOOKUP(A355,[1]Export!$A:$G,7,0)</f>
        <v>14898.769999999999</v>
      </c>
      <c r="N355" s="19">
        <f t="shared" si="13"/>
        <v>0.38753233252948377</v>
      </c>
      <c r="O355" s="17" t="s">
        <v>1027</v>
      </c>
      <c r="P355" s="17" t="s">
        <v>1028</v>
      </c>
      <c r="Q355" s="17" t="s">
        <v>1023</v>
      </c>
      <c r="R355" s="17" t="str">
        <f>VLOOKUP(A355,[2]Export!$A:$I,9,0)</f>
        <v>Comprou Marcas e SG</v>
      </c>
      <c r="S355" s="17" t="s">
        <v>1022</v>
      </c>
      <c r="T355" s="20">
        <v>1</v>
      </c>
      <c r="U355" s="17">
        <v>2</v>
      </c>
    </row>
    <row r="356" spans="1:21" x14ac:dyDescent="0.35">
      <c r="A356" s="4">
        <v>10341045000264</v>
      </c>
      <c r="B356" s="7" t="s">
        <v>995</v>
      </c>
      <c r="C356" s="4"/>
      <c r="D356" s="1" t="s">
        <v>25</v>
      </c>
      <c r="E356" s="1" t="s">
        <v>122</v>
      </c>
      <c r="F356" s="1" t="s">
        <v>8</v>
      </c>
      <c r="G356" s="10" t="s">
        <v>9</v>
      </c>
      <c r="H356" s="1" t="s">
        <v>10</v>
      </c>
      <c r="I356" s="21" t="s">
        <v>1068</v>
      </c>
      <c r="J356" s="18">
        <v>8215.0849210865781</v>
      </c>
      <c r="K356" s="18">
        <f>VLOOKUP(A356,[1]Export!$A:$C,3,0)</f>
        <v>2530.1399999999994</v>
      </c>
      <c r="L356" s="19">
        <f t="shared" si="12"/>
        <v>0.30798707795528757</v>
      </c>
      <c r="M356" s="18">
        <f>VLOOKUP(A356,[1]Export!$A:$G,7,0)</f>
        <v>1409.99</v>
      </c>
      <c r="N356" s="19">
        <f t="shared" si="13"/>
        <v>0.17163425741112193</v>
      </c>
      <c r="O356" s="17" t="s">
        <v>1027</v>
      </c>
      <c r="P356" s="17" t="s">
        <v>1028</v>
      </c>
      <c r="Q356" s="17" t="s">
        <v>1023</v>
      </c>
      <c r="R356" s="17" t="str">
        <f>VLOOKUP(A356,[2]Export!$A:$I,9,0)</f>
        <v>Comprou Marcas e SG</v>
      </c>
      <c r="S356" s="17" t="s">
        <v>1022</v>
      </c>
      <c r="T356" s="20"/>
      <c r="U356" s="17"/>
    </row>
    <row r="357" spans="1:21" x14ac:dyDescent="0.35">
      <c r="A357" s="5">
        <v>10588126000182</v>
      </c>
      <c r="B357" s="7"/>
      <c r="C357" s="4"/>
      <c r="D357" s="6" t="s">
        <v>449</v>
      </c>
      <c r="E357" s="6" t="s">
        <v>232</v>
      </c>
      <c r="F357" s="6" t="s">
        <v>8</v>
      </c>
      <c r="G357" s="11" t="s">
        <v>20</v>
      </c>
      <c r="H357" s="6" t="s">
        <v>17</v>
      </c>
      <c r="I357" s="21" t="s">
        <v>1070</v>
      </c>
      <c r="J357" s="18">
        <v>23026.989228323746</v>
      </c>
      <c r="K357" s="18">
        <f>VLOOKUP(A357,[1]Export!$A:$C,3,0)</f>
        <v>8268.74</v>
      </c>
      <c r="L357" s="19">
        <f t="shared" si="12"/>
        <v>0.35908906362058191</v>
      </c>
      <c r="M357" s="18">
        <f>VLOOKUP(A357,[1]Export!$A:$G,7,0)</f>
        <v>8468.7000000000007</v>
      </c>
      <c r="N357" s="19">
        <f t="shared" si="13"/>
        <v>0.36777278679504039</v>
      </c>
      <c r="O357" s="17" t="s">
        <v>1029</v>
      </c>
      <c r="P357" s="17" t="s">
        <v>1026</v>
      </c>
      <c r="Q357" s="17" t="s">
        <v>1022</v>
      </c>
      <c r="R357" s="17" t="str">
        <f>VLOOKUP(A357,[2]Export!$A:$I,9,0)</f>
        <v>Comprou Marcas</v>
      </c>
      <c r="S357" s="17" t="s">
        <v>1022</v>
      </c>
      <c r="T357" s="20"/>
      <c r="U357" s="17"/>
    </row>
    <row r="358" spans="1:21" x14ac:dyDescent="0.35">
      <c r="A358" s="4">
        <v>11453021000189</v>
      </c>
      <c r="B358" s="7"/>
      <c r="C358" s="4"/>
      <c r="D358" s="1" t="s">
        <v>450</v>
      </c>
      <c r="E358" s="1" t="s">
        <v>43</v>
      </c>
      <c r="F358" s="1" t="s">
        <v>8</v>
      </c>
      <c r="G358" s="10" t="s">
        <v>20</v>
      </c>
      <c r="H358" s="1" t="s">
        <v>17</v>
      </c>
      <c r="I358" s="21" t="s">
        <v>1070</v>
      </c>
      <c r="J358" s="18">
        <v>1911.6050004139458</v>
      </c>
      <c r="K358" s="18">
        <f>VLOOKUP(A358,[1]Export!$A:$C,3,0)</f>
        <v>406.57999999999993</v>
      </c>
      <c r="L358" s="19">
        <f t="shared" si="12"/>
        <v>0.21269038316595615</v>
      </c>
      <c r="M358" s="18">
        <f>VLOOKUP(A358,[1]Export!$A:$G,7,0)</f>
        <v>0</v>
      </c>
      <c r="N358" s="19">
        <f t="shared" si="13"/>
        <v>0</v>
      </c>
      <c r="O358" s="17" t="s">
        <v>1031</v>
      </c>
      <c r="P358" s="17" t="s">
        <v>1026</v>
      </c>
      <c r="Q358" s="17" t="s">
        <v>1023</v>
      </c>
      <c r="R358" s="17" t="str">
        <f>VLOOKUP(A358,[2]Export!$A:$I,9,0)</f>
        <v>Não Comprou</v>
      </c>
      <c r="S358" s="17" t="s">
        <v>1022</v>
      </c>
      <c r="T358" s="20"/>
      <c r="U358" s="17"/>
    </row>
    <row r="359" spans="1:21" x14ac:dyDescent="0.35">
      <c r="A359" s="5">
        <v>12090789000106</v>
      </c>
      <c r="B359" s="7"/>
      <c r="C359" s="4"/>
      <c r="D359" s="6" t="s">
        <v>451</v>
      </c>
      <c r="E359" s="6" t="s">
        <v>452</v>
      </c>
      <c r="F359" s="6" t="s">
        <v>15</v>
      </c>
      <c r="G359" s="11" t="s">
        <v>20</v>
      </c>
      <c r="H359" s="6" t="s">
        <v>17</v>
      </c>
      <c r="I359" s="21" t="s">
        <v>1071</v>
      </c>
      <c r="J359" s="18">
        <v>1161.5071475045229</v>
      </c>
      <c r="K359" s="18">
        <f>VLOOKUP(A359,[1]Export!$A:$C,3,0)</f>
        <v>171.01999999999998</v>
      </c>
      <c r="L359" s="19">
        <f t="shared" si="12"/>
        <v>0.1472397310403413</v>
      </c>
      <c r="M359" s="18">
        <f>VLOOKUP(A359,[1]Export!$A:$G,7,0)</f>
        <v>0</v>
      </c>
      <c r="N359" s="19">
        <f t="shared" si="13"/>
        <v>0</v>
      </c>
      <c r="O359" s="17" t="s">
        <v>1025</v>
      </c>
      <c r="P359" s="17" t="s">
        <v>1026</v>
      </c>
      <c r="Q359" s="17" t="s">
        <v>1023</v>
      </c>
      <c r="R359" s="17" t="str">
        <f>VLOOKUP(A359,[2]Export!$A:$I,9,0)</f>
        <v>Não Comprou</v>
      </c>
      <c r="S359" s="17" t="s">
        <v>1023</v>
      </c>
      <c r="T359" s="20"/>
      <c r="U359" s="17"/>
    </row>
    <row r="360" spans="1:21" x14ac:dyDescent="0.35">
      <c r="A360" s="4">
        <v>12625289000113</v>
      </c>
      <c r="B360" s="7"/>
      <c r="C360" s="4"/>
      <c r="D360" s="1" t="s">
        <v>453</v>
      </c>
      <c r="E360" s="1" t="s">
        <v>14</v>
      </c>
      <c r="F360" s="1" t="s">
        <v>15</v>
      </c>
      <c r="G360" s="10" t="s">
        <v>64</v>
      </c>
      <c r="H360" s="1" t="s">
        <v>17</v>
      </c>
      <c r="I360" s="21" t="s">
        <v>1069</v>
      </c>
      <c r="J360" s="18">
        <v>3975.2923578916884</v>
      </c>
      <c r="K360" s="18">
        <f>VLOOKUP(A360,[1]Export!$A:$C,3,0)</f>
        <v>941.61</v>
      </c>
      <c r="L360" s="19">
        <f t="shared" si="12"/>
        <v>0.23686559760333867</v>
      </c>
      <c r="M360" s="18">
        <f>VLOOKUP(A360,[1]Export!$A:$G,7,0)</f>
        <v>0</v>
      </c>
      <c r="N360" s="19">
        <f t="shared" si="13"/>
        <v>0</v>
      </c>
      <c r="O360" s="17" t="s">
        <v>1027</v>
      </c>
      <c r="P360" s="17" t="s">
        <v>1028</v>
      </c>
      <c r="Q360" s="17" t="s">
        <v>1023</v>
      </c>
      <c r="R360" s="17" t="str">
        <f>VLOOKUP(A360,[2]Export!$A:$I,9,0)</f>
        <v>Não Comprou</v>
      </c>
      <c r="S360" s="17" t="s">
        <v>1023</v>
      </c>
      <c r="T360" s="20"/>
      <c r="U360" s="17"/>
    </row>
    <row r="361" spans="1:21" x14ac:dyDescent="0.35">
      <c r="A361" s="5">
        <v>27377243000442</v>
      </c>
      <c r="B361" s="7" t="s">
        <v>147</v>
      </c>
      <c r="C361" s="4"/>
      <c r="D361" s="6" t="s">
        <v>454</v>
      </c>
      <c r="E361" s="6" t="s">
        <v>113</v>
      </c>
      <c r="F361" s="6" t="s">
        <v>8</v>
      </c>
      <c r="G361" s="11" t="s">
        <v>20</v>
      </c>
      <c r="H361" s="6" t="s">
        <v>17</v>
      </c>
      <c r="I361" s="21" t="s">
        <v>1074</v>
      </c>
      <c r="J361" s="18">
        <v>544.15783682372012</v>
      </c>
      <c r="K361" s="18">
        <f>VLOOKUP(A361,[1]Export!$A:$C,3,0)</f>
        <v>37.26</v>
      </c>
      <c r="L361" s="19">
        <f t="shared" si="12"/>
        <v>6.8472780282810425E-2</v>
      </c>
      <c r="M361" s="18">
        <f>VLOOKUP(A361,[1]Export!$A:$G,7,0)</f>
        <v>0</v>
      </c>
      <c r="N361" s="19">
        <f t="shared" si="13"/>
        <v>0</v>
      </c>
      <c r="O361" s="17" t="s">
        <v>1025</v>
      </c>
      <c r="P361" s="17" t="s">
        <v>1026</v>
      </c>
      <c r="Q361" s="17" t="s">
        <v>1023</v>
      </c>
      <c r="R361" s="17" t="str">
        <f>VLOOKUP(A361,[2]Export!$A:$I,9,0)</f>
        <v>Não Comprou</v>
      </c>
      <c r="S361" s="17" t="s">
        <v>1023</v>
      </c>
      <c r="T361" s="20"/>
      <c r="U361" s="17"/>
    </row>
    <row r="362" spans="1:21" x14ac:dyDescent="0.35">
      <c r="A362" s="4">
        <v>28800059000183</v>
      </c>
      <c r="B362" s="7" t="s">
        <v>950</v>
      </c>
      <c r="C362" s="4">
        <v>155483</v>
      </c>
      <c r="D362" s="1" t="s">
        <v>455</v>
      </c>
      <c r="E362" s="1" t="s">
        <v>125</v>
      </c>
      <c r="F362" s="1" t="s">
        <v>15</v>
      </c>
      <c r="G362" s="10" t="s">
        <v>20</v>
      </c>
      <c r="H362" s="1" t="s">
        <v>17</v>
      </c>
      <c r="I362" s="21" t="s">
        <v>1069</v>
      </c>
      <c r="J362" s="18">
        <v>6244.6449098466092</v>
      </c>
      <c r="K362" s="18">
        <f>VLOOKUP(A362,[1]Export!$A:$C,3,0)</f>
        <v>1485.4599999999998</v>
      </c>
      <c r="L362" s="19">
        <f t="shared" si="12"/>
        <v>0.23787741680198882</v>
      </c>
      <c r="M362" s="18">
        <f>VLOOKUP(A362,[1]Export!$A:$G,7,0)</f>
        <v>1078.0100000000002</v>
      </c>
      <c r="N362" s="19">
        <f t="shared" si="13"/>
        <v>0.17262951145551686</v>
      </c>
      <c r="O362" s="17" t="s">
        <v>1027</v>
      </c>
      <c r="P362" s="17" t="s">
        <v>1028</v>
      </c>
      <c r="Q362" s="17" t="s">
        <v>1023</v>
      </c>
      <c r="R362" s="17" t="str">
        <f>VLOOKUP(A362,[2]Export!$A:$I,9,0)</f>
        <v>Comprou Marcas e SG</v>
      </c>
      <c r="S362" s="17" t="s">
        <v>1022</v>
      </c>
      <c r="T362" s="20"/>
      <c r="U362" s="17"/>
    </row>
    <row r="363" spans="1:21" x14ac:dyDescent="0.35">
      <c r="A363" s="5">
        <v>29809750000190</v>
      </c>
      <c r="B363" s="7"/>
      <c r="C363" s="4"/>
      <c r="D363" s="6" t="s">
        <v>456</v>
      </c>
      <c r="E363" s="6" t="s">
        <v>152</v>
      </c>
      <c r="F363" s="6" t="s">
        <v>8</v>
      </c>
      <c r="G363" s="11" t="s">
        <v>20</v>
      </c>
      <c r="H363" s="6" t="s">
        <v>17</v>
      </c>
      <c r="I363" s="21" t="s">
        <v>1070</v>
      </c>
      <c r="J363" s="18">
        <v>626.37354799574632</v>
      </c>
      <c r="K363" s="18">
        <f>VLOOKUP(A363,[1]Export!$A:$C,3,0)</f>
        <v>177.42</v>
      </c>
      <c r="L363" s="19">
        <f t="shared" si="12"/>
        <v>0.28324950912710772</v>
      </c>
      <c r="M363" s="18">
        <f>VLOOKUP(A363,[1]Export!$A:$G,7,0)</f>
        <v>0</v>
      </c>
      <c r="N363" s="19">
        <f t="shared" si="13"/>
        <v>0</v>
      </c>
      <c r="O363" s="17" t="s">
        <v>1025</v>
      </c>
      <c r="P363" s="17" t="s">
        <v>1026</v>
      </c>
      <c r="Q363" s="17" t="s">
        <v>1023</v>
      </c>
      <c r="R363" s="17" t="str">
        <f>VLOOKUP(A363,[2]Export!$A:$I,9,0)</f>
        <v>Não Comprou</v>
      </c>
      <c r="S363" s="17" t="s">
        <v>1023</v>
      </c>
      <c r="T363" s="20"/>
      <c r="U363" s="17"/>
    </row>
    <row r="364" spans="1:21" x14ac:dyDescent="0.35">
      <c r="A364" s="5">
        <v>7211143000191</v>
      </c>
      <c r="B364" s="7"/>
      <c r="C364" s="4"/>
      <c r="D364" s="6" t="s">
        <v>340</v>
      </c>
      <c r="E364" s="6" t="s">
        <v>152</v>
      </c>
      <c r="F364" s="6" t="s">
        <v>8</v>
      </c>
      <c r="G364" s="11" t="s">
        <v>38</v>
      </c>
      <c r="H364" s="6" t="s">
        <v>17</v>
      </c>
      <c r="I364" s="21" t="s">
        <v>1070</v>
      </c>
      <c r="J364" s="18">
        <v>716.15628979180758</v>
      </c>
      <c r="K364" s="18">
        <f>VLOOKUP(A364,[1]Export!$A:$C,3,0)</f>
        <v>546.48</v>
      </c>
      <c r="L364" s="19">
        <f t="shared" si="12"/>
        <v>0.7630736583474903</v>
      </c>
      <c r="M364" s="18">
        <f>VLOOKUP(A364,[1]Export!$A:$G,7,0)</f>
        <v>514.08000000000004</v>
      </c>
      <c r="N364" s="19">
        <f t="shared" si="13"/>
        <v>0.71783213710159166</v>
      </c>
      <c r="O364" s="17" t="s">
        <v>1031</v>
      </c>
      <c r="P364" s="17" t="s">
        <v>1026</v>
      </c>
      <c r="Q364" s="17" t="s">
        <v>1023</v>
      </c>
      <c r="R364" s="17" t="str">
        <f>VLOOKUP(A364,[2]Export!$A:$I,9,0)</f>
        <v>Comprou Marcas</v>
      </c>
      <c r="S364" s="17" t="s">
        <v>1023</v>
      </c>
      <c r="T364" s="20"/>
      <c r="U364" s="17"/>
    </row>
    <row r="365" spans="1:21" x14ac:dyDescent="0.35">
      <c r="A365" s="5">
        <v>55292481000148</v>
      </c>
      <c r="B365" s="7"/>
      <c r="C365" s="4"/>
      <c r="D365" s="6" t="s">
        <v>459</v>
      </c>
      <c r="E365" s="6" t="s">
        <v>257</v>
      </c>
      <c r="F365" s="6" t="s">
        <v>8</v>
      </c>
      <c r="G365" s="11" t="s">
        <v>20</v>
      </c>
      <c r="H365" s="6" t="s">
        <v>17</v>
      </c>
      <c r="I365" s="21" t="s">
        <v>1074</v>
      </c>
      <c r="J365" s="18">
        <v>3856.8761169064414</v>
      </c>
      <c r="K365" s="18">
        <f>VLOOKUP(A365,[1]Export!$A:$C,3,0)</f>
        <v>1201.9900000000002</v>
      </c>
      <c r="L365" s="19">
        <f t="shared" si="12"/>
        <v>0.31164858905660248</v>
      </c>
      <c r="M365" s="18">
        <f>VLOOKUP(A365,[1]Export!$A:$G,7,0)</f>
        <v>903</v>
      </c>
      <c r="N365" s="19">
        <f t="shared" si="13"/>
        <v>0.23412730215568514</v>
      </c>
      <c r="O365" s="17"/>
      <c r="P365" s="17"/>
      <c r="Q365" s="17"/>
      <c r="R365" s="17" t="str">
        <f>VLOOKUP(A365,[2]Export!$A:$I,9,0)</f>
        <v>Comprou Marcas</v>
      </c>
      <c r="S365" s="17"/>
      <c r="T365" s="20"/>
      <c r="U365" s="17"/>
    </row>
    <row r="366" spans="1:21" x14ac:dyDescent="0.35">
      <c r="A366" s="5">
        <v>7243216000127</v>
      </c>
      <c r="B366" s="7"/>
      <c r="C366" s="4"/>
      <c r="D366" s="6" t="s">
        <v>389</v>
      </c>
      <c r="E366" s="6" t="s">
        <v>390</v>
      </c>
      <c r="F366" s="6" t="s">
        <v>8</v>
      </c>
      <c r="G366" s="11" t="s">
        <v>38</v>
      </c>
      <c r="H366" s="6" t="s">
        <v>17</v>
      </c>
      <c r="I366" s="21" t="s">
        <v>1070</v>
      </c>
      <c r="J366" s="18">
        <v>4057.9332747512717</v>
      </c>
      <c r="K366" s="18">
        <f>VLOOKUP(A366,[1]Export!$A:$C,3,0)</f>
        <v>792.63000000000022</v>
      </c>
      <c r="L366" s="19">
        <f t="shared" si="12"/>
        <v>0.19532849515584605</v>
      </c>
      <c r="M366" s="18">
        <f>VLOOKUP(A366,[1]Export!$A:$G,7,0)</f>
        <v>1374.23</v>
      </c>
      <c r="N366" s="19">
        <f t="shared" si="13"/>
        <v>0.33865268523525255</v>
      </c>
      <c r="O366" s="17"/>
      <c r="P366" s="17"/>
      <c r="Q366" s="17"/>
      <c r="R366" s="17" t="str">
        <f>VLOOKUP(A366,[2]Export!$A:$I,9,0)</f>
        <v>Comprou Marcas</v>
      </c>
      <c r="S366" s="17"/>
      <c r="T366" s="20"/>
      <c r="U366" s="17"/>
    </row>
    <row r="367" spans="1:21" x14ac:dyDescent="0.35">
      <c r="A367" s="5">
        <v>53772681000172</v>
      </c>
      <c r="B367" s="7"/>
      <c r="C367" s="4"/>
      <c r="D367" s="6" t="s">
        <v>461</v>
      </c>
      <c r="E367" s="6" t="s">
        <v>52</v>
      </c>
      <c r="F367" s="6" t="s">
        <v>8</v>
      </c>
      <c r="G367" s="11" t="s">
        <v>36</v>
      </c>
      <c r="H367" s="6" t="s">
        <v>17</v>
      </c>
      <c r="I367" s="21" t="s">
        <v>1074</v>
      </c>
      <c r="J367" s="18">
        <v>3050.0502534067923</v>
      </c>
      <c r="K367" s="18">
        <f>VLOOKUP(A367,[1]Export!$A:$C,3,0)</f>
        <v>0</v>
      </c>
      <c r="L367" s="19">
        <f t="shared" si="12"/>
        <v>0</v>
      </c>
      <c r="M367" s="18">
        <f>VLOOKUP(A367,[1]Export!$A:$G,7,0)</f>
        <v>0</v>
      </c>
      <c r="N367" s="19">
        <f t="shared" si="13"/>
        <v>0</v>
      </c>
      <c r="O367" s="17" t="s">
        <v>1027</v>
      </c>
      <c r="P367" s="17" t="s">
        <v>1028</v>
      </c>
      <c r="Q367" s="17" t="s">
        <v>1023</v>
      </c>
      <c r="R367" s="17" t="str">
        <f>VLOOKUP(A367,[2]Export!$A:$I,9,0)</f>
        <v>Não Comprou</v>
      </c>
      <c r="S367" s="17" t="s">
        <v>1022</v>
      </c>
      <c r="T367" s="20"/>
      <c r="U367" s="17"/>
    </row>
    <row r="368" spans="1:21" x14ac:dyDescent="0.35">
      <c r="A368" s="4">
        <v>4077499000196</v>
      </c>
      <c r="B368" s="7"/>
      <c r="C368" s="4"/>
      <c r="D368" s="1" t="s">
        <v>462</v>
      </c>
      <c r="E368" s="1" t="s">
        <v>58</v>
      </c>
      <c r="F368" s="1" t="s">
        <v>8</v>
      </c>
      <c r="G368" s="10" t="s">
        <v>20</v>
      </c>
      <c r="H368" s="1" t="s">
        <v>17</v>
      </c>
      <c r="I368" s="21" t="s">
        <v>1068</v>
      </c>
      <c r="J368" s="18">
        <v>3720.5273147585917</v>
      </c>
      <c r="K368" s="18">
        <f>VLOOKUP(A368,[1]Export!$A:$C,3,0)</f>
        <v>0</v>
      </c>
      <c r="L368" s="19">
        <f t="shared" si="12"/>
        <v>0</v>
      </c>
      <c r="M368" s="18">
        <f>VLOOKUP(A368,[1]Export!$A:$G,7,0)</f>
        <v>0</v>
      </c>
      <c r="N368" s="19">
        <f t="shared" si="13"/>
        <v>0</v>
      </c>
      <c r="O368" s="17" t="s">
        <v>1025</v>
      </c>
      <c r="P368" s="17" t="s">
        <v>1026</v>
      </c>
      <c r="Q368" s="17" t="s">
        <v>1023</v>
      </c>
      <c r="R368" s="17" t="str">
        <f>VLOOKUP(A368,[2]Export!$A:$I,9,0)</f>
        <v>Não Comprou</v>
      </c>
      <c r="S368" s="17" t="s">
        <v>1023</v>
      </c>
      <c r="T368" s="20"/>
      <c r="U368" s="17"/>
    </row>
    <row r="369" spans="1:21" x14ac:dyDescent="0.35">
      <c r="A369" s="5">
        <v>4834843002350</v>
      </c>
      <c r="B369" s="7" t="s">
        <v>994</v>
      </c>
      <c r="C369" s="4"/>
      <c r="D369" s="6" t="s">
        <v>91</v>
      </c>
      <c r="E369" s="6" t="s">
        <v>50</v>
      </c>
      <c r="F369" s="6" t="s">
        <v>48</v>
      </c>
      <c r="G369" s="11" t="s">
        <v>92</v>
      </c>
      <c r="H369" s="6" t="s">
        <v>17</v>
      </c>
      <c r="I369" s="21" t="s">
        <v>1073</v>
      </c>
      <c r="J369" s="18">
        <v>11143.578068045184</v>
      </c>
      <c r="K369" s="18">
        <f>VLOOKUP(A369,[1]Export!$A:$C,3,0)</f>
        <v>4100.7200000000012</v>
      </c>
      <c r="L369" s="19">
        <f t="shared" si="12"/>
        <v>0.36798952499458309</v>
      </c>
      <c r="M369" s="18">
        <f>VLOOKUP(A369,[1]Export!$A:$G,7,0)</f>
        <v>4485.76</v>
      </c>
      <c r="N369" s="19">
        <f t="shared" si="13"/>
        <v>0.40254216128867626</v>
      </c>
      <c r="O369" s="17" t="s">
        <v>1027</v>
      </c>
      <c r="P369" s="17" t="s">
        <v>1028</v>
      </c>
      <c r="Q369" s="17" t="s">
        <v>1023</v>
      </c>
      <c r="R369" s="17" t="str">
        <f>VLOOKUP(A369,[2]Export!$A:$I,9,0)</f>
        <v>Comprou Marcas</v>
      </c>
      <c r="S369" s="17" t="s">
        <v>1022</v>
      </c>
      <c r="T369" s="20">
        <v>3</v>
      </c>
      <c r="U369" s="17"/>
    </row>
    <row r="370" spans="1:21" x14ac:dyDescent="0.35">
      <c r="A370" s="4">
        <v>4834843003321</v>
      </c>
      <c r="B370" s="7" t="s">
        <v>994</v>
      </c>
      <c r="C370" s="4"/>
      <c r="D370" s="1" t="s">
        <v>463</v>
      </c>
      <c r="E370" s="1" t="s">
        <v>464</v>
      </c>
      <c r="F370" s="1" t="s">
        <v>48</v>
      </c>
      <c r="G370" s="10" t="s">
        <v>92</v>
      </c>
      <c r="H370" s="1" t="s">
        <v>17</v>
      </c>
      <c r="I370" s="21" t="s">
        <v>1073</v>
      </c>
      <c r="J370" s="18">
        <v>1226.2779095757801</v>
      </c>
      <c r="K370" s="18">
        <f>VLOOKUP(A370,[1]Export!$A:$C,3,0)</f>
        <v>1034.78</v>
      </c>
      <c r="L370" s="19">
        <f t="shared" si="12"/>
        <v>0.84383808263982585</v>
      </c>
      <c r="M370" s="18">
        <f>VLOOKUP(A370,[1]Export!$A:$G,7,0)</f>
        <v>569.74000000000012</v>
      </c>
      <c r="N370" s="19">
        <f t="shared" si="13"/>
        <v>0.46460920118596655</v>
      </c>
      <c r="O370" s="17"/>
      <c r="P370" s="17"/>
      <c r="Q370" s="17"/>
      <c r="R370" s="17" t="str">
        <f>VLOOKUP(A370,[2]Export!$A:$I,9,0)</f>
        <v>Comprou Marcas</v>
      </c>
      <c r="S370" s="17"/>
      <c r="T370" s="20"/>
      <c r="U370" s="17"/>
    </row>
    <row r="371" spans="1:21" x14ac:dyDescent="0.35">
      <c r="A371" s="5">
        <v>5112326000396</v>
      </c>
      <c r="B371" s="7" t="s">
        <v>319</v>
      </c>
      <c r="C371" s="4"/>
      <c r="D371" s="6" t="s">
        <v>319</v>
      </c>
      <c r="E371" s="6" t="s">
        <v>54</v>
      </c>
      <c r="F371" s="6" t="s">
        <v>15</v>
      </c>
      <c r="G371" s="11" t="s">
        <v>36</v>
      </c>
      <c r="H371" s="6" t="s">
        <v>17</v>
      </c>
      <c r="I371" s="21" t="s">
        <v>1071</v>
      </c>
      <c r="J371" s="18">
        <v>3063.3113318577657</v>
      </c>
      <c r="K371" s="18">
        <f>VLOOKUP(A371,[1]Export!$A:$C,3,0)</f>
        <v>934.31</v>
      </c>
      <c r="L371" s="19">
        <f t="shared" si="12"/>
        <v>0.3050000142928278</v>
      </c>
      <c r="M371" s="18">
        <f>VLOOKUP(A371,[1]Export!$A:$G,7,0)</f>
        <v>0</v>
      </c>
      <c r="N371" s="19">
        <f t="shared" si="13"/>
        <v>0</v>
      </c>
      <c r="O371" s="17" t="s">
        <v>1029</v>
      </c>
      <c r="P371" s="17" t="s">
        <v>1026</v>
      </c>
      <c r="Q371" s="17" t="s">
        <v>1022</v>
      </c>
      <c r="R371" s="17" t="str">
        <f>VLOOKUP(A371,[2]Export!$A:$I,9,0)</f>
        <v>Não Comprou</v>
      </c>
      <c r="S371" s="17" t="s">
        <v>1023</v>
      </c>
      <c r="T371" s="20"/>
      <c r="U371" s="17"/>
    </row>
    <row r="372" spans="1:21" x14ac:dyDescent="0.35">
      <c r="A372" s="4">
        <v>5528457000197</v>
      </c>
      <c r="B372" s="7"/>
      <c r="C372" s="4"/>
      <c r="D372" s="1" t="s">
        <v>465</v>
      </c>
      <c r="E372" s="1" t="s">
        <v>160</v>
      </c>
      <c r="F372" s="1" t="s">
        <v>8</v>
      </c>
      <c r="G372" s="10" t="s">
        <v>20</v>
      </c>
      <c r="H372" s="1" t="s">
        <v>17</v>
      </c>
      <c r="I372" s="21" t="s">
        <v>1070</v>
      </c>
      <c r="J372" s="18">
        <v>1675.0776460600932</v>
      </c>
      <c r="K372" s="18">
        <f>VLOOKUP(A372,[1]Export!$A:$C,3,0)</f>
        <v>820.74</v>
      </c>
      <c r="L372" s="19">
        <f t="shared" si="12"/>
        <v>0.48997131681056177</v>
      </c>
      <c r="M372" s="18">
        <f>VLOOKUP(A372,[1]Export!$A:$G,7,0)</f>
        <v>0</v>
      </c>
      <c r="N372" s="19">
        <f t="shared" si="13"/>
        <v>0</v>
      </c>
      <c r="O372" s="17" t="s">
        <v>1025</v>
      </c>
      <c r="P372" s="17" t="s">
        <v>1026</v>
      </c>
      <c r="Q372" s="17" t="s">
        <v>1023</v>
      </c>
      <c r="R372" s="17" t="str">
        <f>VLOOKUP(A372,[2]Export!$A:$I,9,0)</f>
        <v>Não Comprou</v>
      </c>
      <c r="S372" s="17" t="s">
        <v>1022</v>
      </c>
      <c r="T372" s="20"/>
      <c r="U372" s="17"/>
    </row>
    <row r="373" spans="1:21" x14ac:dyDescent="0.35">
      <c r="A373" s="5">
        <v>597452000100</v>
      </c>
      <c r="B373" s="7"/>
      <c r="C373" s="4"/>
      <c r="D373" s="6" t="s">
        <v>466</v>
      </c>
      <c r="E373" s="6" t="s">
        <v>52</v>
      </c>
      <c r="F373" s="6" t="s">
        <v>8</v>
      </c>
      <c r="G373" s="11" t="s">
        <v>33</v>
      </c>
      <c r="H373" s="6" t="s">
        <v>17</v>
      </c>
      <c r="I373" s="21" t="s">
        <v>1074</v>
      </c>
      <c r="J373" s="18">
        <v>4861.245070440491</v>
      </c>
      <c r="K373" s="18">
        <f>VLOOKUP(A373,[1]Export!$A:$C,3,0)</f>
        <v>780.7700000000001</v>
      </c>
      <c r="L373" s="19">
        <f t="shared" si="12"/>
        <v>0.16061111684074228</v>
      </c>
      <c r="M373" s="18">
        <f>VLOOKUP(A373,[1]Export!$A:$G,7,0)</f>
        <v>0</v>
      </c>
      <c r="N373" s="19">
        <f t="shared" si="13"/>
        <v>0</v>
      </c>
      <c r="O373" s="17" t="s">
        <v>1025</v>
      </c>
      <c r="P373" s="17" t="s">
        <v>1026</v>
      </c>
      <c r="Q373" s="17" t="s">
        <v>1023</v>
      </c>
      <c r="R373" s="17" t="str">
        <f>VLOOKUP(A373,[2]Export!$A:$I,9,0)</f>
        <v>Não Comprou</v>
      </c>
      <c r="S373" s="17" t="s">
        <v>1022</v>
      </c>
      <c r="T373" s="20"/>
      <c r="U373" s="17"/>
    </row>
    <row r="374" spans="1:21" x14ac:dyDescent="0.35">
      <c r="A374" s="4">
        <v>1017753000172</v>
      </c>
      <c r="B374" s="7"/>
      <c r="C374" s="4"/>
      <c r="D374" s="1" t="s">
        <v>371</v>
      </c>
      <c r="E374" s="1" t="s">
        <v>467</v>
      </c>
      <c r="F374" s="1" t="s">
        <v>48</v>
      </c>
      <c r="G374" s="10" t="s">
        <v>87</v>
      </c>
      <c r="H374" s="1" t="s">
        <v>17</v>
      </c>
      <c r="I374" s="21" t="s">
        <v>1075</v>
      </c>
      <c r="J374" s="18">
        <v>2801.5612462288145</v>
      </c>
      <c r="K374" s="18">
        <f>VLOOKUP(A374,[1]Export!$A:$C,3,0)</f>
        <v>1567.2199999999998</v>
      </c>
      <c r="L374" s="19">
        <f t="shared" si="12"/>
        <v>0.55940950857656135</v>
      </c>
      <c r="M374" s="18">
        <f>VLOOKUP(A374,[1]Export!$A:$G,7,0)</f>
        <v>773.13000000000011</v>
      </c>
      <c r="N374" s="19">
        <f t="shared" si="13"/>
        <v>0.27596398295440139</v>
      </c>
      <c r="O374" s="17" t="s">
        <v>1029</v>
      </c>
      <c r="P374" s="17" t="s">
        <v>1026</v>
      </c>
      <c r="Q374" s="17" t="s">
        <v>1023</v>
      </c>
      <c r="R374" s="17" t="str">
        <f>VLOOKUP(A374,[2]Export!$A:$I,9,0)</f>
        <v>Comprou Marcas</v>
      </c>
      <c r="S374" s="17" t="s">
        <v>1022</v>
      </c>
      <c r="T374" s="20"/>
      <c r="U374" s="17"/>
    </row>
    <row r="375" spans="1:21" x14ac:dyDescent="0.35">
      <c r="A375" s="5">
        <v>1053206000142</v>
      </c>
      <c r="B375" s="7"/>
      <c r="C375" s="4"/>
      <c r="D375" s="6" t="s">
        <v>468</v>
      </c>
      <c r="E375" s="6" t="s">
        <v>7</v>
      </c>
      <c r="F375" s="6" t="s">
        <v>8</v>
      </c>
      <c r="G375" s="11" t="s">
        <v>20</v>
      </c>
      <c r="H375" s="6" t="s">
        <v>17</v>
      </c>
      <c r="I375" s="21" t="s">
        <v>1068</v>
      </c>
      <c r="J375" s="18">
        <v>7103.9712838410505</v>
      </c>
      <c r="K375" s="18">
        <f>VLOOKUP(A375,[1]Export!$A:$C,3,0)</f>
        <v>270.7</v>
      </c>
      <c r="L375" s="19">
        <f t="shared" si="12"/>
        <v>3.8105446824615405E-2</v>
      </c>
      <c r="M375" s="18">
        <f>VLOOKUP(A375,[1]Export!$A:$G,7,0)</f>
        <v>0</v>
      </c>
      <c r="N375" s="19">
        <f t="shared" si="13"/>
        <v>0</v>
      </c>
      <c r="O375" s="17" t="s">
        <v>1025</v>
      </c>
      <c r="P375" s="17" t="s">
        <v>1026</v>
      </c>
      <c r="Q375" s="17" t="s">
        <v>1023</v>
      </c>
      <c r="R375" s="17" t="str">
        <f>VLOOKUP(A375,[2]Export!$A:$I,9,0)</f>
        <v>Não Comprou</v>
      </c>
      <c r="S375" s="17" t="s">
        <v>1023</v>
      </c>
      <c r="T375" s="20"/>
      <c r="U375" s="17"/>
    </row>
    <row r="376" spans="1:21" x14ac:dyDescent="0.35">
      <c r="A376" s="4">
        <v>1357742000131</v>
      </c>
      <c r="B376" s="7" t="s">
        <v>135</v>
      </c>
      <c r="C376" s="4"/>
      <c r="D376" s="1" t="s">
        <v>469</v>
      </c>
      <c r="E376" s="1" t="s">
        <v>35</v>
      </c>
      <c r="F376" s="1" t="s">
        <v>8</v>
      </c>
      <c r="G376" s="10" t="s">
        <v>135</v>
      </c>
      <c r="H376" s="1" t="s">
        <v>17</v>
      </c>
      <c r="I376" s="21" t="s">
        <v>1072</v>
      </c>
      <c r="J376" s="18">
        <v>43476.116456058357</v>
      </c>
      <c r="K376" s="18">
        <f>VLOOKUP(A376,[1]Export!$A:$C,3,0)</f>
        <v>19428.960000000003</v>
      </c>
      <c r="L376" s="19">
        <f t="shared" si="12"/>
        <v>0.44688812119723254</v>
      </c>
      <c r="M376" s="18">
        <f>VLOOKUP(A376,[1]Export!$A:$G,7,0)</f>
        <v>16335.739999999994</v>
      </c>
      <c r="N376" s="19">
        <f t="shared" si="13"/>
        <v>0.37574055209164442</v>
      </c>
      <c r="O376" s="17" t="s">
        <v>1025</v>
      </c>
      <c r="P376" s="17" t="s">
        <v>1026</v>
      </c>
      <c r="Q376" s="17" t="s">
        <v>1022</v>
      </c>
      <c r="R376" s="17" t="str">
        <f>VLOOKUP(A376,[2]Export!$A:$I,9,0)</f>
        <v>Comprou Marcas e SG</v>
      </c>
      <c r="S376" s="17" t="s">
        <v>1022</v>
      </c>
      <c r="T376" s="20">
        <v>6</v>
      </c>
      <c r="U376" s="17">
        <v>5</v>
      </c>
    </row>
    <row r="377" spans="1:21" x14ac:dyDescent="0.35">
      <c r="A377" s="4">
        <v>10341045002046</v>
      </c>
      <c r="B377" s="7" t="s">
        <v>995</v>
      </c>
      <c r="C377" s="4"/>
      <c r="D377" s="1" t="s">
        <v>25</v>
      </c>
      <c r="E377" s="1" t="s">
        <v>260</v>
      </c>
      <c r="F377" s="1" t="s">
        <v>8</v>
      </c>
      <c r="G377" s="10" t="s">
        <v>9</v>
      </c>
      <c r="H377" s="1" t="s">
        <v>10</v>
      </c>
      <c r="I377" s="21" t="s">
        <v>1068</v>
      </c>
      <c r="J377" s="18">
        <v>19217.693121101485</v>
      </c>
      <c r="K377" s="18">
        <f>VLOOKUP(A377,[1]Export!$A:$C,3,0)</f>
        <v>8099.9999999999991</v>
      </c>
      <c r="L377" s="19">
        <f t="shared" si="12"/>
        <v>0.42148659305554242</v>
      </c>
      <c r="M377" s="18">
        <f>VLOOKUP(A377,[1]Export!$A:$G,7,0)</f>
        <v>7694.78</v>
      </c>
      <c r="N377" s="19">
        <f t="shared" si="13"/>
        <v>0.40040081561875646</v>
      </c>
      <c r="O377" s="17" t="s">
        <v>1027</v>
      </c>
      <c r="P377" s="17" t="s">
        <v>1028</v>
      </c>
      <c r="Q377" s="17" t="s">
        <v>1023</v>
      </c>
      <c r="R377" s="17" t="str">
        <f>VLOOKUP(A377,[2]Export!$A:$I,9,0)</f>
        <v>Comprou Marcas e SG</v>
      </c>
      <c r="S377" s="17" t="s">
        <v>1022</v>
      </c>
      <c r="T377" s="20"/>
      <c r="U377" s="17"/>
    </row>
    <row r="378" spans="1:21" x14ac:dyDescent="0.35">
      <c r="A378" s="4">
        <v>21082444000193</v>
      </c>
      <c r="B378" s="7"/>
      <c r="C378" s="4">
        <v>153615</v>
      </c>
      <c r="D378" s="1" t="s">
        <v>471</v>
      </c>
      <c r="E378" s="1" t="s">
        <v>32</v>
      </c>
      <c r="F378" s="1" t="s">
        <v>15</v>
      </c>
      <c r="G378" s="10" t="s">
        <v>36</v>
      </c>
      <c r="H378" s="1" t="s">
        <v>17</v>
      </c>
      <c r="I378" s="21" t="s">
        <v>1069</v>
      </c>
      <c r="J378" s="18">
        <v>4477.8773215551992</v>
      </c>
      <c r="K378" s="18">
        <f>VLOOKUP(A378,[1]Export!$A:$C,3,0)</f>
        <v>777.89</v>
      </c>
      <c r="L378" s="19">
        <f t="shared" si="12"/>
        <v>0.17371847063684923</v>
      </c>
      <c r="M378" s="18">
        <f>VLOOKUP(A378,[1]Export!$A:$G,7,0)</f>
        <v>10213.320000000002</v>
      </c>
      <c r="N378" s="19">
        <f t="shared" si="13"/>
        <v>2.2808396181012038</v>
      </c>
      <c r="O378" s="17" t="s">
        <v>1027</v>
      </c>
      <c r="P378" s="17" t="s">
        <v>1028</v>
      </c>
      <c r="Q378" s="17" t="s">
        <v>1023</v>
      </c>
      <c r="R378" s="17" t="str">
        <f>VLOOKUP(A378,[2]Export!$A:$I,9,0)</f>
        <v>Comprou Marcas</v>
      </c>
      <c r="S378" s="17" t="s">
        <v>1022</v>
      </c>
      <c r="T378" s="20"/>
      <c r="U378" s="17"/>
    </row>
    <row r="379" spans="1:21" x14ac:dyDescent="0.35">
      <c r="A379" s="5">
        <v>199752000395</v>
      </c>
      <c r="B379" s="7" t="s">
        <v>1006</v>
      </c>
      <c r="C379" s="4">
        <v>134672</v>
      </c>
      <c r="D379" s="6" t="s">
        <v>378</v>
      </c>
      <c r="E379" s="6" t="s">
        <v>379</v>
      </c>
      <c r="F379" s="6" t="s">
        <v>15</v>
      </c>
      <c r="G379" s="11" t="s">
        <v>472</v>
      </c>
      <c r="H379" s="6" t="s">
        <v>17</v>
      </c>
      <c r="I379" s="21" t="s">
        <v>1075</v>
      </c>
      <c r="J379" s="18">
        <v>96288.274983816402</v>
      </c>
      <c r="K379" s="18">
        <f>VLOOKUP(A379,[1]Export!$A:$C,3,0)</f>
        <v>36405.809999999976</v>
      </c>
      <c r="L379" s="19">
        <f t="shared" si="12"/>
        <v>0.37809182900118277</v>
      </c>
      <c r="M379" s="18">
        <f>VLOOKUP(A379,[1]Export!$A:$G,7,0)</f>
        <v>17539.990000000002</v>
      </c>
      <c r="N379" s="19">
        <f t="shared" si="13"/>
        <v>0.18216122371023913</v>
      </c>
      <c r="O379" s="17" t="s">
        <v>1027</v>
      </c>
      <c r="P379" s="17" t="s">
        <v>1028</v>
      </c>
      <c r="Q379" s="17" t="s">
        <v>1023</v>
      </c>
      <c r="R379" s="17" t="str">
        <f>VLOOKUP(A379,[2]Export!$A:$I,9,0)</f>
        <v>Comprou Marcas e SG</v>
      </c>
      <c r="S379" s="17" t="s">
        <v>1022</v>
      </c>
      <c r="T379" s="20">
        <v>12</v>
      </c>
      <c r="U379" s="17"/>
    </row>
    <row r="380" spans="1:21" x14ac:dyDescent="0.35">
      <c r="A380" s="4">
        <v>938969000108</v>
      </c>
      <c r="B380" s="7"/>
      <c r="C380" s="4"/>
      <c r="D380" s="1" t="s">
        <v>473</v>
      </c>
      <c r="E380" s="1" t="s">
        <v>474</v>
      </c>
      <c r="F380" s="1" t="s">
        <v>8</v>
      </c>
      <c r="G380" s="10" t="s">
        <v>20</v>
      </c>
      <c r="H380" s="1" t="s">
        <v>17</v>
      </c>
      <c r="I380" s="21" t="s">
        <v>1068</v>
      </c>
      <c r="J380" s="18">
        <v>6160.3352540828937</v>
      </c>
      <c r="K380" s="18">
        <f>VLOOKUP(A380,[1]Export!$A:$C,3,0)</f>
        <v>3241.82</v>
      </c>
      <c r="L380" s="19">
        <f t="shared" si="12"/>
        <v>0.52624084019638617</v>
      </c>
      <c r="M380" s="18">
        <f>VLOOKUP(A380,[1]Export!$A:$G,7,0)</f>
        <v>1898.77</v>
      </c>
      <c r="N380" s="19">
        <f t="shared" si="13"/>
        <v>0.30822510816136989</v>
      </c>
      <c r="O380" s="17" t="s">
        <v>1025</v>
      </c>
      <c r="P380" s="17" t="s">
        <v>1026</v>
      </c>
      <c r="Q380" s="17" t="s">
        <v>1022</v>
      </c>
      <c r="R380" s="17" t="str">
        <f>VLOOKUP(A380,[2]Export!$A:$I,9,0)</f>
        <v>Comprou Marcas</v>
      </c>
      <c r="S380" s="17" t="s">
        <v>1023</v>
      </c>
      <c r="T380" s="20"/>
      <c r="U380" s="17"/>
    </row>
    <row r="381" spans="1:21" x14ac:dyDescent="0.35">
      <c r="A381" s="5">
        <v>2330943000108</v>
      </c>
      <c r="B381" s="7"/>
      <c r="C381" s="4"/>
      <c r="D381" s="6" t="s">
        <v>475</v>
      </c>
      <c r="E381" s="6" t="s">
        <v>71</v>
      </c>
      <c r="F381" s="6" t="s">
        <v>15</v>
      </c>
      <c r="G381" s="11" t="s">
        <v>36</v>
      </c>
      <c r="H381" s="6" t="s">
        <v>17</v>
      </c>
      <c r="I381" s="21" t="s">
        <v>1071</v>
      </c>
      <c r="J381" s="18">
        <v>5957.7762043805933</v>
      </c>
      <c r="K381" s="18">
        <f>VLOOKUP(A381,[1]Export!$A:$C,3,0)</f>
        <v>886.85</v>
      </c>
      <c r="L381" s="19">
        <f t="shared" si="12"/>
        <v>0.14885587668565378</v>
      </c>
      <c r="M381" s="18">
        <f>VLOOKUP(A381,[1]Export!$A:$G,7,0)</f>
        <v>2009.42</v>
      </c>
      <c r="N381" s="19">
        <f t="shared" si="13"/>
        <v>0.33727685147396563</v>
      </c>
      <c r="O381" s="17" t="s">
        <v>1025</v>
      </c>
      <c r="P381" s="17" t="s">
        <v>1026</v>
      </c>
      <c r="Q381" s="17" t="s">
        <v>1022</v>
      </c>
      <c r="R381" s="17" t="str">
        <f>VLOOKUP(A381,[2]Export!$A:$I,9,0)</f>
        <v>Comprou Marcas</v>
      </c>
      <c r="S381" s="17" t="s">
        <v>1022</v>
      </c>
      <c r="T381" s="20"/>
      <c r="U381" s="17"/>
    </row>
    <row r="382" spans="1:21" x14ac:dyDescent="0.35">
      <c r="A382" s="4">
        <v>2486244000151</v>
      </c>
      <c r="B382" s="7"/>
      <c r="C382" s="4"/>
      <c r="D382" s="1" t="s">
        <v>476</v>
      </c>
      <c r="E382" s="1" t="s">
        <v>35</v>
      </c>
      <c r="F382" s="1" t="s">
        <v>8</v>
      </c>
      <c r="G382" s="10" t="s">
        <v>20</v>
      </c>
      <c r="H382" s="1" t="s">
        <v>17</v>
      </c>
      <c r="I382" s="21" t="s">
        <v>1072</v>
      </c>
      <c r="J382" s="18">
        <v>1264.3495935857122</v>
      </c>
      <c r="K382" s="18">
        <f>VLOOKUP(A382,[1]Export!$A:$C,3,0)</f>
        <v>929.46</v>
      </c>
      <c r="L382" s="19">
        <f t="shared" si="12"/>
        <v>0.73512895856915583</v>
      </c>
      <c r="M382" s="18">
        <f>VLOOKUP(A382,[1]Export!$A:$G,7,0)</f>
        <v>0</v>
      </c>
      <c r="N382" s="19">
        <f t="shared" si="13"/>
        <v>0</v>
      </c>
      <c r="O382" s="17" t="s">
        <v>1025</v>
      </c>
      <c r="P382" s="17" t="s">
        <v>1026</v>
      </c>
      <c r="Q382" s="17" t="s">
        <v>1022</v>
      </c>
      <c r="R382" s="17" t="str">
        <f>VLOOKUP(A382,[2]Export!$A:$I,9,0)</f>
        <v>Não Comprou</v>
      </c>
      <c r="S382" s="17" t="s">
        <v>1023</v>
      </c>
      <c r="T382" s="20"/>
      <c r="U382" s="17"/>
    </row>
    <row r="383" spans="1:21" x14ac:dyDescent="0.35">
      <c r="A383" s="5">
        <v>9583797000171</v>
      </c>
      <c r="B383" s="7"/>
      <c r="C383" s="4"/>
      <c r="D383" s="6" t="s">
        <v>477</v>
      </c>
      <c r="E383" s="6" t="s">
        <v>398</v>
      </c>
      <c r="F383" s="6" t="s">
        <v>8</v>
      </c>
      <c r="G383" s="11" t="s">
        <v>20</v>
      </c>
      <c r="H383" s="6" t="s">
        <v>17</v>
      </c>
      <c r="I383" s="21" t="s">
        <v>1070</v>
      </c>
      <c r="J383" s="18">
        <v>1812.9252878222344</v>
      </c>
      <c r="K383" s="18">
        <f>VLOOKUP(A383,[1]Export!$A:$C,3,0)</f>
        <v>414.79</v>
      </c>
      <c r="L383" s="19">
        <f t="shared" si="12"/>
        <v>0.22879597012972555</v>
      </c>
      <c r="M383" s="18">
        <f>VLOOKUP(A383,[1]Export!$A:$G,7,0)</f>
        <v>0</v>
      </c>
      <c r="N383" s="19">
        <f t="shared" si="13"/>
        <v>0</v>
      </c>
      <c r="O383" s="17" t="s">
        <v>1025</v>
      </c>
      <c r="P383" s="17" t="s">
        <v>1026</v>
      </c>
      <c r="Q383" s="17" t="s">
        <v>1023</v>
      </c>
      <c r="R383" s="17" t="str">
        <f>VLOOKUP(A383,[2]Export!$A:$I,9,0)</f>
        <v>Não Comprou</v>
      </c>
      <c r="S383" s="17" t="s">
        <v>1023</v>
      </c>
      <c r="T383" s="20"/>
      <c r="U383" s="17"/>
    </row>
    <row r="384" spans="1:21" x14ac:dyDescent="0.35">
      <c r="A384" s="4">
        <v>10601751000117</v>
      </c>
      <c r="B384" s="7"/>
      <c r="C384" s="4"/>
      <c r="D384" s="1" t="s">
        <v>478</v>
      </c>
      <c r="E384" s="1" t="s">
        <v>43</v>
      </c>
      <c r="F384" s="1" t="s">
        <v>8</v>
      </c>
      <c r="G384" s="10" t="s">
        <v>16</v>
      </c>
      <c r="H384" s="1" t="s">
        <v>17</v>
      </c>
      <c r="I384" s="21" t="s">
        <v>1070</v>
      </c>
      <c r="J384" s="18">
        <v>1128.9536104933243</v>
      </c>
      <c r="K384" s="18">
        <f>VLOOKUP(A384,[1]Export!$A:$C,3,0)</f>
        <v>43.96</v>
      </c>
      <c r="L384" s="19">
        <f t="shared" si="12"/>
        <v>3.893871244256935E-2</v>
      </c>
      <c r="M384" s="18">
        <f>VLOOKUP(A384,[1]Export!$A:$G,7,0)</f>
        <v>415.42</v>
      </c>
      <c r="N384" s="19">
        <f t="shared" si="13"/>
        <v>0.36796906103030391</v>
      </c>
      <c r="O384" s="17" t="s">
        <v>1027</v>
      </c>
      <c r="P384" s="17" t="s">
        <v>1028</v>
      </c>
      <c r="Q384" s="17" t="s">
        <v>1023</v>
      </c>
      <c r="R384" s="17" t="str">
        <f>VLOOKUP(A384,[2]Export!$A:$I,9,0)</f>
        <v>Comprou Marcas</v>
      </c>
      <c r="S384" s="17" t="s">
        <v>1023</v>
      </c>
      <c r="T384" s="20"/>
      <c r="U384" s="17"/>
    </row>
    <row r="385" spans="1:21" x14ac:dyDescent="0.35">
      <c r="A385" s="5">
        <v>7629833000165</v>
      </c>
      <c r="B385" s="7"/>
      <c r="C385" s="4">
        <v>1187</v>
      </c>
      <c r="D385" s="6" t="s">
        <v>479</v>
      </c>
      <c r="E385" s="6" t="s">
        <v>82</v>
      </c>
      <c r="F385" s="6" t="s">
        <v>8</v>
      </c>
      <c r="G385" s="11" t="s">
        <v>33</v>
      </c>
      <c r="H385" s="6" t="s">
        <v>17</v>
      </c>
      <c r="I385" s="21" t="s">
        <v>1072</v>
      </c>
      <c r="J385" s="18">
        <v>19851.466878808969</v>
      </c>
      <c r="K385" s="18">
        <f>VLOOKUP(A385,[1]Export!$A:$C,3,0)</f>
        <v>5519.1099999999988</v>
      </c>
      <c r="L385" s="19">
        <f t="shared" si="12"/>
        <v>0.27802026085495651</v>
      </c>
      <c r="M385" s="18">
        <f>VLOOKUP(A385,[1]Export!$A:$G,7,0)</f>
        <v>8145.6499999999987</v>
      </c>
      <c r="N385" s="19">
        <f t="shared" si="13"/>
        <v>0.41032987888140959</v>
      </c>
      <c r="O385" s="17" t="s">
        <v>1027</v>
      </c>
      <c r="P385" s="17" t="s">
        <v>1026</v>
      </c>
      <c r="Q385" s="17" t="s">
        <v>1023</v>
      </c>
      <c r="R385" s="17" t="str">
        <f>VLOOKUP(A385,[2]Export!$A:$I,9,0)</f>
        <v>Comprou Marcas</v>
      </c>
      <c r="S385" s="17" t="s">
        <v>1022</v>
      </c>
      <c r="T385" s="20">
        <v>7</v>
      </c>
      <c r="U385" s="17"/>
    </row>
    <row r="386" spans="1:21" x14ac:dyDescent="0.35">
      <c r="A386" s="4">
        <v>8856967000262</v>
      </c>
      <c r="B386" s="7"/>
      <c r="C386" s="4"/>
      <c r="D386" s="1" t="s">
        <v>480</v>
      </c>
      <c r="E386" s="1" t="s">
        <v>35</v>
      </c>
      <c r="F386" s="1" t="s">
        <v>8</v>
      </c>
      <c r="G386" s="10" t="s">
        <v>64</v>
      </c>
      <c r="H386" s="1" t="s">
        <v>17</v>
      </c>
      <c r="I386" s="21" t="s">
        <v>1072</v>
      </c>
      <c r="J386" s="18">
        <v>12190.035751001753</v>
      </c>
      <c r="K386" s="18">
        <f>VLOOKUP(A386,[1]Export!$A:$C,3,0)</f>
        <v>2243.7800000000007</v>
      </c>
      <c r="L386" s="19">
        <f t="shared" si="12"/>
        <v>0.18406672841920182</v>
      </c>
      <c r="M386" s="18">
        <f>VLOOKUP(A386,[1]Export!$A:$G,7,0)</f>
        <v>0</v>
      </c>
      <c r="N386" s="19">
        <f t="shared" si="13"/>
        <v>0</v>
      </c>
      <c r="O386" s="17" t="s">
        <v>1025</v>
      </c>
      <c r="P386" s="17" t="s">
        <v>1026</v>
      </c>
      <c r="Q386" s="17" t="s">
        <v>1022</v>
      </c>
      <c r="R386" s="17" t="str">
        <f>VLOOKUP(A386,[2]Export!$A:$I,9,0)</f>
        <v>Não Comprou</v>
      </c>
      <c r="S386" s="17" t="s">
        <v>1022</v>
      </c>
      <c r="T386" s="20"/>
      <c r="U386" s="17"/>
    </row>
    <row r="387" spans="1:21" x14ac:dyDescent="0.35">
      <c r="A387" s="4">
        <v>10341045000850</v>
      </c>
      <c r="B387" s="7" t="s">
        <v>995</v>
      </c>
      <c r="C387" s="4"/>
      <c r="D387" s="1" t="s">
        <v>25</v>
      </c>
      <c r="E387" s="1" t="s">
        <v>52</v>
      </c>
      <c r="F387" s="1" t="s">
        <v>8</v>
      </c>
      <c r="G387" s="10" t="s">
        <v>9</v>
      </c>
      <c r="H387" s="1" t="s">
        <v>10</v>
      </c>
      <c r="I387" s="21" t="s">
        <v>1074</v>
      </c>
      <c r="J387" s="18">
        <v>29258.711510638357</v>
      </c>
      <c r="K387" s="18">
        <f>VLOOKUP(A387,[1]Export!$A:$C,3,0)</f>
        <v>13655.689999999999</v>
      </c>
      <c r="L387" s="19">
        <f t="shared" si="12"/>
        <v>0.46672219297951112</v>
      </c>
      <c r="M387" s="18">
        <f>VLOOKUP(A387,[1]Export!$A:$G,7,0)</f>
        <v>12625.140000000003</v>
      </c>
      <c r="N387" s="19">
        <f t="shared" si="13"/>
        <v>0.43150020449155974</v>
      </c>
      <c r="O387" s="17" t="s">
        <v>1027</v>
      </c>
      <c r="P387" s="17" t="s">
        <v>1028</v>
      </c>
      <c r="Q387" s="17" t="s">
        <v>1023</v>
      </c>
      <c r="R387" s="17" t="str">
        <f>VLOOKUP(A387,[2]Export!$A:$I,9,0)</f>
        <v>Comprou Marcas e SG</v>
      </c>
      <c r="S387" s="17" t="s">
        <v>1022</v>
      </c>
      <c r="T387" s="20"/>
      <c r="U387" s="17"/>
    </row>
    <row r="388" spans="1:21" x14ac:dyDescent="0.35">
      <c r="A388" s="4">
        <v>9516908000127</v>
      </c>
      <c r="B388" s="7"/>
      <c r="C388" s="4"/>
      <c r="D388" s="1" t="s">
        <v>482</v>
      </c>
      <c r="E388" s="1" t="s">
        <v>68</v>
      </c>
      <c r="F388" s="1" t="s">
        <v>15</v>
      </c>
      <c r="G388" s="10" t="s">
        <v>16</v>
      </c>
      <c r="H388" s="1" t="s">
        <v>17</v>
      </c>
      <c r="I388" s="21" t="s">
        <v>1071</v>
      </c>
      <c r="J388" s="18">
        <v>7418.8857044239357</v>
      </c>
      <c r="K388" s="18">
        <f>VLOOKUP(A388,[1]Export!$A:$C,3,0)</f>
        <v>2045.3400000000004</v>
      </c>
      <c r="L388" s="19">
        <f t="shared" si="12"/>
        <v>0.27569369329687193</v>
      </c>
      <c r="M388" s="18">
        <f>VLOOKUP(A388,[1]Export!$A:$G,7,0)</f>
        <v>394.44</v>
      </c>
      <c r="N388" s="19">
        <f t="shared" si="13"/>
        <v>5.3167013984969813E-2</v>
      </c>
      <c r="O388" s="17" t="s">
        <v>1029</v>
      </c>
      <c r="P388" s="17" t="s">
        <v>1026</v>
      </c>
      <c r="Q388" s="17" t="s">
        <v>1022</v>
      </c>
      <c r="R388" s="17" t="str">
        <f>VLOOKUP(A388,[2]Export!$A:$I,9,0)</f>
        <v>Comprou Marcas</v>
      </c>
      <c r="S388" s="17" t="s">
        <v>1022</v>
      </c>
      <c r="T388" s="20"/>
      <c r="U388" s="17"/>
    </row>
    <row r="389" spans="1:21" x14ac:dyDescent="0.35">
      <c r="A389" s="5">
        <v>9642282000103</v>
      </c>
      <c r="B389" s="7"/>
      <c r="C389" s="4"/>
      <c r="D389" s="6" t="s">
        <v>483</v>
      </c>
      <c r="E389" s="6" t="s">
        <v>182</v>
      </c>
      <c r="F389" s="6" t="s">
        <v>8</v>
      </c>
      <c r="G389" s="11" t="s">
        <v>20</v>
      </c>
      <c r="H389" s="6" t="s">
        <v>17</v>
      </c>
      <c r="I389" s="21" t="s">
        <v>1074</v>
      </c>
      <c r="J389" s="18">
        <v>2142.6724237211592</v>
      </c>
      <c r="K389" s="18">
        <f>VLOOKUP(A389,[1]Export!$A:$C,3,0)</f>
        <v>293.45</v>
      </c>
      <c r="L389" s="19">
        <f t="shared" si="12"/>
        <v>0.13695513917632268</v>
      </c>
      <c r="M389" s="18">
        <f>VLOOKUP(A389,[1]Export!$A:$G,7,0)</f>
        <v>715.55</v>
      </c>
      <c r="N389" s="19">
        <f t="shared" si="13"/>
        <v>0.33395212076202996</v>
      </c>
      <c r="O389" s="17" t="s">
        <v>1025</v>
      </c>
      <c r="P389" s="17" t="s">
        <v>1026</v>
      </c>
      <c r="Q389" s="17" t="s">
        <v>1023</v>
      </c>
      <c r="R389" s="17" t="str">
        <f>VLOOKUP(A389,[2]Export!$A:$I,9,0)</f>
        <v>Comprou Marcas</v>
      </c>
      <c r="S389" s="17" t="s">
        <v>1023</v>
      </c>
      <c r="T389" s="20"/>
      <c r="U389" s="17"/>
    </row>
    <row r="390" spans="1:21" x14ac:dyDescent="0.35">
      <c r="A390" s="4">
        <v>28800059000426</v>
      </c>
      <c r="B390" s="7" t="s">
        <v>950</v>
      </c>
      <c r="C390" s="4"/>
      <c r="D390" s="1" t="s">
        <v>484</v>
      </c>
      <c r="E390" s="1" t="s">
        <v>14</v>
      </c>
      <c r="F390" s="1" t="s">
        <v>15</v>
      </c>
      <c r="G390" s="10" t="s">
        <v>20</v>
      </c>
      <c r="H390" s="1" t="s">
        <v>17</v>
      </c>
      <c r="I390" s="21" t="s">
        <v>1069</v>
      </c>
      <c r="J390" s="18">
        <v>6149.5038661216249</v>
      </c>
      <c r="K390" s="18">
        <f>VLOOKUP(A390,[1]Export!$A:$C,3,0)</f>
        <v>1118.9000000000001</v>
      </c>
      <c r="L390" s="19">
        <f t="shared" si="12"/>
        <v>0.18194963762266386</v>
      </c>
      <c r="M390" s="18">
        <f>VLOOKUP(A390,[1]Export!$A:$G,7,0)</f>
        <v>1248.6200000000001</v>
      </c>
      <c r="N390" s="19">
        <f t="shared" si="13"/>
        <v>0.20304402227939097</v>
      </c>
      <c r="O390" s="17" t="s">
        <v>1027</v>
      </c>
      <c r="P390" s="17" t="s">
        <v>1028</v>
      </c>
      <c r="Q390" s="17" t="s">
        <v>1023</v>
      </c>
      <c r="R390" s="17" t="str">
        <f>VLOOKUP(A390,[2]Export!$A:$I,9,0)</f>
        <v>Comprou Marcas e SG</v>
      </c>
      <c r="S390" s="17" t="s">
        <v>1022</v>
      </c>
      <c r="T390" s="20">
        <v>1</v>
      </c>
      <c r="U390" s="17"/>
    </row>
    <row r="391" spans="1:21" x14ac:dyDescent="0.35">
      <c r="A391" s="5">
        <v>30539610000129</v>
      </c>
      <c r="B391" s="7"/>
      <c r="C391" s="4"/>
      <c r="D391" s="6" t="s">
        <v>485</v>
      </c>
      <c r="E391" s="6" t="s">
        <v>272</v>
      </c>
      <c r="F391" s="6" t="s">
        <v>48</v>
      </c>
      <c r="G391" s="11" t="s">
        <v>486</v>
      </c>
      <c r="H391" s="6" t="s">
        <v>17</v>
      </c>
      <c r="I391" s="21" t="s">
        <v>1073</v>
      </c>
      <c r="J391" s="18">
        <v>1994.5967163091716</v>
      </c>
      <c r="K391" s="18">
        <f>VLOOKUP(A391,[1]Export!$A:$C,3,0)</f>
        <v>620.72</v>
      </c>
      <c r="L391" s="19">
        <f t="shared" si="12"/>
        <v>0.31120075297656591</v>
      </c>
      <c r="M391" s="18">
        <f>VLOOKUP(A391,[1]Export!$A:$G,7,0)</f>
        <v>0</v>
      </c>
      <c r="N391" s="19">
        <f t="shared" si="13"/>
        <v>0</v>
      </c>
      <c r="O391" s="17"/>
      <c r="P391" s="17"/>
      <c r="Q391" s="17"/>
      <c r="R391" s="17" t="str">
        <f>VLOOKUP(A391,[2]Export!$A:$I,9,0)</f>
        <v>Comprou SG</v>
      </c>
      <c r="S391" s="17"/>
      <c r="T391" s="20"/>
      <c r="U391" s="17"/>
    </row>
    <row r="392" spans="1:21" x14ac:dyDescent="0.35">
      <c r="A392" s="4">
        <v>50372246000162</v>
      </c>
      <c r="B392" s="7"/>
      <c r="C392" s="4"/>
      <c r="D392" s="1" t="s">
        <v>487</v>
      </c>
      <c r="E392" s="1" t="s">
        <v>379</v>
      </c>
      <c r="F392" s="1" t="s">
        <v>15</v>
      </c>
      <c r="G392" s="10" t="s">
        <v>20</v>
      </c>
      <c r="H392" s="1" t="s">
        <v>17</v>
      </c>
      <c r="I392" s="21" t="s">
        <v>1075</v>
      </c>
      <c r="J392" s="18">
        <v>9645.7729785457323</v>
      </c>
      <c r="K392" s="18">
        <f>VLOOKUP(A392,[1]Export!$A:$C,3,0)</f>
        <v>2759.7799999999997</v>
      </c>
      <c r="L392" s="19">
        <f t="shared" si="12"/>
        <v>0.28611289174422228</v>
      </c>
      <c r="M392" s="18">
        <f>VLOOKUP(A392,[1]Export!$A:$G,7,0)</f>
        <v>0</v>
      </c>
      <c r="N392" s="19">
        <f t="shared" si="13"/>
        <v>0</v>
      </c>
      <c r="O392" s="17" t="s">
        <v>1025</v>
      </c>
      <c r="P392" s="17" t="s">
        <v>1026</v>
      </c>
      <c r="Q392" s="17" t="s">
        <v>1023</v>
      </c>
      <c r="R392" s="17" t="str">
        <f>VLOOKUP(A392,[2]Export!$A:$I,9,0)</f>
        <v>Não Comprou</v>
      </c>
      <c r="S392" s="17" t="s">
        <v>1023</v>
      </c>
      <c r="T392" s="20"/>
      <c r="U392" s="17"/>
    </row>
    <row r="393" spans="1:21" x14ac:dyDescent="0.35">
      <c r="A393" s="5">
        <v>52390785000150</v>
      </c>
      <c r="B393" s="7"/>
      <c r="C393" s="4"/>
      <c r="D393" s="6" t="s">
        <v>488</v>
      </c>
      <c r="E393" s="6" t="s">
        <v>14</v>
      </c>
      <c r="F393" s="6" t="s">
        <v>15</v>
      </c>
      <c r="G393" s="11" t="s">
        <v>36</v>
      </c>
      <c r="H393" s="6" t="s">
        <v>17</v>
      </c>
      <c r="I393" s="21" t="s">
        <v>1069</v>
      </c>
      <c r="J393" s="18">
        <v>2727.7842840925209</v>
      </c>
      <c r="K393" s="18">
        <f>VLOOKUP(A393,[1]Export!$A:$C,3,0)</f>
        <v>399.65999999999997</v>
      </c>
      <c r="L393" s="19">
        <f t="shared" si="12"/>
        <v>0.14651451814964864</v>
      </c>
      <c r="M393" s="18">
        <f>VLOOKUP(A393,[1]Export!$A:$G,7,0)</f>
        <v>0</v>
      </c>
      <c r="N393" s="19">
        <f t="shared" si="13"/>
        <v>0</v>
      </c>
      <c r="O393" s="17" t="s">
        <v>1029</v>
      </c>
      <c r="P393" s="17" t="s">
        <v>1026</v>
      </c>
      <c r="Q393" s="17" t="s">
        <v>1022</v>
      </c>
      <c r="R393" s="17" t="str">
        <f>VLOOKUP(A393,[2]Export!$A:$I,9,0)</f>
        <v>Não Comprou</v>
      </c>
      <c r="S393" s="17" t="s">
        <v>1023</v>
      </c>
      <c r="T393" s="20"/>
      <c r="U393" s="17"/>
    </row>
    <row r="394" spans="1:21" x14ac:dyDescent="0.35">
      <c r="A394" s="4">
        <v>7504369000180</v>
      </c>
      <c r="B394" s="7"/>
      <c r="C394" s="4"/>
      <c r="D394" s="1" t="s">
        <v>489</v>
      </c>
      <c r="E394" s="1" t="s">
        <v>61</v>
      </c>
      <c r="F394" s="1" t="s">
        <v>8</v>
      </c>
      <c r="G394" s="10" t="s">
        <v>16</v>
      </c>
      <c r="H394" s="1" t="s">
        <v>17</v>
      </c>
      <c r="I394" s="21" t="s">
        <v>1068</v>
      </c>
      <c r="J394" s="18">
        <v>1466.3422098845197</v>
      </c>
      <c r="K394" s="18">
        <f>VLOOKUP(A394,[1]Export!$A:$C,3,0)</f>
        <v>53.050000000000004</v>
      </c>
      <c r="L394" s="19">
        <f t="shared" si="12"/>
        <v>3.6178457963218495E-2</v>
      </c>
      <c r="M394" s="18">
        <f>VLOOKUP(A394,[1]Export!$A:$G,7,0)</f>
        <v>0</v>
      </c>
      <c r="N394" s="19">
        <f t="shared" si="13"/>
        <v>0</v>
      </c>
      <c r="O394" s="17" t="s">
        <v>1029</v>
      </c>
      <c r="P394" s="17" t="s">
        <v>1026</v>
      </c>
      <c r="Q394" s="17" t="s">
        <v>1022</v>
      </c>
      <c r="R394" s="17" t="str">
        <f>VLOOKUP(A394,[2]Export!$A:$I,9,0)</f>
        <v>Não Comprou</v>
      </c>
      <c r="S394" s="17" t="s">
        <v>1023</v>
      </c>
      <c r="T394" s="20"/>
      <c r="U394" s="17"/>
    </row>
    <row r="395" spans="1:21" x14ac:dyDescent="0.35">
      <c r="A395" s="5">
        <v>42390075000176</v>
      </c>
      <c r="B395" s="7"/>
      <c r="C395" s="4"/>
      <c r="D395" s="6" t="s">
        <v>77</v>
      </c>
      <c r="E395" s="6" t="s">
        <v>35</v>
      </c>
      <c r="F395" s="6" t="s">
        <v>8</v>
      </c>
      <c r="G395" s="11" t="s">
        <v>20</v>
      </c>
      <c r="H395" s="6" t="s">
        <v>17</v>
      </c>
      <c r="I395" s="21" t="s">
        <v>1072</v>
      </c>
      <c r="J395" s="18">
        <v>4245.0260144285303</v>
      </c>
      <c r="K395" s="18">
        <f>VLOOKUP(A395,[1]Export!$A:$C,3,0)</f>
        <v>2494.56</v>
      </c>
      <c r="L395" s="19">
        <f t="shared" si="12"/>
        <v>0.58764304188506133</v>
      </c>
      <c r="M395" s="18">
        <f>VLOOKUP(A395,[1]Export!$A:$G,7,0)</f>
        <v>2769.7299999999996</v>
      </c>
      <c r="N395" s="19">
        <f t="shared" si="13"/>
        <v>0.65246478833955124</v>
      </c>
      <c r="O395" s="17" t="s">
        <v>1029</v>
      </c>
      <c r="P395" s="17" t="s">
        <v>1026</v>
      </c>
      <c r="Q395" s="17" t="s">
        <v>1022</v>
      </c>
      <c r="R395" s="17" t="str">
        <f>VLOOKUP(A395,[2]Export!$A:$I,9,0)</f>
        <v>Comprou Marcas e SG</v>
      </c>
      <c r="S395" s="17" t="s">
        <v>1023</v>
      </c>
      <c r="T395" s="20"/>
      <c r="U395" s="17"/>
    </row>
    <row r="396" spans="1:21" x14ac:dyDescent="0.35">
      <c r="A396" s="4">
        <v>23350836000111</v>
      </c>
      <c r="B396" s="7"/>
      <c r="C396" s="4"/>
      <c r="D396" s="1" t="s">
        <v>490</v>
      </c>
      <c r="E396" s="1" t="s">
        <v>14</v>
      </c>
      <c r="F396" s="1" t="s">
        <v>15</v>
      </c>
      <c r="G396" s="10" t="s">
        <v>16</v>
      </c>
      <c r="H396" s="1" t="s">
        <v>17</v>
      </c>
      <c r="I396" s="21" t="s">
        <v>1069</v>
      </c>
      <c r="J396" s="18">
        <v>2441.9757522904483</v>
      </c>
      <c r="K396" s="18">
        <f>VLOOKUP(A396,[1]Export!$A:$C,3,0)</f>
        <v>2293.7500000000005</v>
      </c>
      <c r="L396" s="19">
        <f t="shared" si="12"/>
        <v>0.93930089102997039</v>
      </c>
      <c r="M396" s="18">
        <f>VLOOKUP(A396,[1]Export!$A:$G,7,0)</f>
        <v>2035.4299999999998</v>
      </c>
      <c r="N396" s="19">
        <f t="shared" si="13"/>
        <v>0.8335176948791857</v>
      </c>
      <c r="O396" s="17" t="s">
        <v>1027</v>
      </c>
      <c r="P396" s="17" t="s">
        <v>1028</v>
      </c>
      <c r="Q396" s="17" t="s">
        <v>1023</v>
      </c>
      <c r="R396" s="17" t="str">
        <f>VLOOKUP(A396,[2]Export!$A:$I,9,0)</f>
        <v>Comprou Marcas</v>
      </c>
      <c r="S396" s="17" t="s">
        <v>1022</v>
      </c>
      <c r="T396" s="20"/>
      <c r="U396" s="17"/>
    </row>
    <row r="397" spans="1:21" x14ac:dyDescent="0.35">
      <c r="A397" s="5">
        <v>25204663000159</v>
      </c>
      <c r="B397" s="7"/>
      <c r="C397" s="4"/>
      <c r="D397" s="6" t="s">
        <v>491</v>
      </c>
      <c r="E397" s="6" t="s">
        <v>307</v>
      </c>
      <c r="F397" s="6" t="s">
        <v>8</v>
      </c>
      <c r="G397" s="11" t="s">
        <v>20</v>
      </c>
      <c r="H397" s="6" t="s">
        <v>17</v>
      </c>
      <c r="I397" s="21" t="s">
        <v>1070</v>
      </c>
      <c r="J397" s="18">
        <v>673.67842391553722</v>
      </c>
      <c r="K397" s="18">
        <f>VLOOKUP(A397,[1]Export!$A:$C,3,0)</f>
        <v>0</v>
      </c>
      <c r="L397" s="19">
        <f t="shared" ref="L397:L460" si="14">K397/J397</f>
        <v>0</v>
      </c>
      <c r="M397" s="18">
        <f>VLOOKUP(A397,[1]Export!$A:$G,7,0)</f>
        <v>0</v>
      </c>
      <c r="N397" s="19">
        <f t="shared" ref="N397:N460" si="15">M397/J397</f>
        <v>0</v>
      </c>
      <c r="O397" s="17" t="s">
        <v>1025</v>
      </c>
      <c r="P397" s="17" t="s">
        <v>1026</v>
      </c>
      <c r="Q397" s="17" t="s">
        <v>1023</v>
      </c>
      <c r="R397" s="17" t="str">
        <f>VLOOKUP(A397,[2]Export!$A:$I,9,0)</f>
        <v>Não Comprou</v>
      </c>
      <c r="S397" s="17" t="s">
        <v>1023</v>
      </c>
      <c r="T397" s="20"/>
      <c r="U397" s="17"/>
    </row>
    <row r="398" spans="1:21" x14ac:dyDescent="0.35">
      <c r="A398" s="4">
        <v>64822703000188</v>
      </c>
      <c r="B398" s="7"/>
      <c r="C398" s="4"/>
      <c r="D398" s="1" t="s">
        <v>492</v>
      </c>
      <c r="E398" s="1" t="s">
        <v>374</v>
      </c>
      <c r="F398" s="1" t="s">
        <v>48</v>
      </c>
      <c r="G398" s="10" t="s">
        <v>33</v>
      </c>
      <c r="H398" s="1" t="s">
        <v>17</v>
      </c>
      <c r="I398" s="21" t="s">
        <v>1073</v>
      </c>
      <c r="J398" s="18">
        <v>5136.9330161802754</v>
      </c>
      <c r="K398" s="18">
        <f>VLOOKUP(A398,[1]Export!$A:$C,3,0)</f>
        <v>1738.9199999999998</v>
      </c>
      <c r="L398" s="19">
        <f t="shared" si="14"/>
        <v>0.33851327134746784</v>
      </c>
      <c r="M398" s="18">
        <f>VLOOKUP(A398,[1]Export!$A:$G,7,0)</f>
        <v>617.63999999999987</v>
      </c>
      <c r="N398" s="19">
        <f t="shared" si="15"/>
        <v>0.12023516718138269</v>
      </c>
      <c r="O398" s="17" t="s">
        <v>1025</v>
      </c>
      <c r="P398" s="17" t="s">
        <v>1026</v>
      </c>
      <c r="Q398" s="17" t="s">
        <v>1022</v>
      </c>
      <c r="R398" s="17" t="str">
        <f>VLOOKUP(A398,[2]Export!$A:$I,9,0)</f>
        <v>Comprou Marcas</v>
      </c>
      <c r="S398" s="17" t="s">
        <v>1022</v>
      </c>
      <c r="T398" s="20"/>
      <c r="U398" s="17"/>
    </row>
    <row r="399" spans="1:21" x14ac:dyDescent="0.35">
      <c r="A399" s="5">
        <v>65892972000183</v>
      </c>
      <c r="B399" s="7"/>
      <c r="C399" s="4"/>
      <c r="D399" s="6" t="s">
        <v>493</v>
      </c>
      <c r="E399" s="6" t="s">
        <v>494</v>
      </c>
      <c r="F399" s="6" t="s">
        <v>8</v>
      </c>
      <c r="G399" s="11" t="s">
        <v>20</v>
      </c>
      <c r="H399" s="6" t="s">
        <v>17</v>
      </c>
      <c r="I399" s="21" t="s">
        <v>1068</v>
      </c>
      <c r="J399" s="18">
        <v>0</v>
      </c>
      <c r="K399" s="18">
        <f>VLOOKUP(A399,[1]Export!$A:$C,3,0)</f>
        <v>1887.3600000000001</v>
      </c>
      <c r="L399" s="19" t="e">
        <f t="shared" si="14"/>
        <v>#DIV/0!</v>
      </c>
      <c r="M399" s="18">
        <f>VLOOKUP(A399,[1]Export!$A:$G,7,0)</f>
        <v>1724.0500000000002</v>
      </c>
      <c r="N399" s="19" t="e">
        <f t="shared" si="15"/>
        <v>#DIV/0!</v>
      </c>
      <c r="O399" s="17"/>
      <c r="P399" s="17"/>
      <c r="Q399" s="17"/>
      <c r="R399" s="17" t="str">
        <f>VLOOKUP(A399,[2]Export!$A:$I,9,0)</f>
        <v>Comprou Marcas</v>
      </c>
      <c r="S399" s="17"/>
      <c r="T399" s="20"/>
      <c r="U399" s="17"/>
    </row>
    <row r="400" spans="1:21" x14ac:dyDescent="0.35">
      <c r="A400" s="4">
        <v>4834843000497</v>
      </c>
      <c r="B400" s="7" t="s">
        <v>994</v>
      </c>
      <c r="C400" s="4"/>
      <c r="D400" s="1" t="s">
        <v>91</v>
      </c>
      <c r="E400" s="1" t="s">
        <v>295</v>
      </c>
      <c r="F400" s="1" t="s">
        <v>48</v>
      </c>
      <c r="G400" s="10" t="s">
        <v>92</v>
      </c>
      <c r="H400" s="1" t="s">
        <v>17</v>
      </c>
      <c r="I400" s="21" t="s">
        <v>1073</v>
      </c>
      <c r="J400" s="18">
        <v>22395.194126538554</v>
      </c>
      <c r="K400" s="18">
        <f>VLOOKUP(A400,[1]Export!$A:$C,3,0)</f>
        <v>7359.7300000000014</v>
      </c>
      <c r="L400" s="19">
        <f t="shared" si="14"/>
        <v>0.32862988185838671</v>
      </c>
      <c r="M400" s="18">
        <f>VLOOKUP(A400,[1]Export!$A:$G,7,0)</f>
        <v>3469.1499999999996</v>
      </c>
      <c r="N400" s="19">
        <f t="shared" si="15"/>
        <v>0.1549060026181697</v>
      </c>
      <c r="O400" s="17" t="s">
        <v>1027</v>
      </c>
      <c r="P400" s="17" t="s">
        <v>1028</v>
      </c>
      <c r="Q400" s="17" t="s">
        <v>1023</v>
      </c>
      <c r="R400" s="17" t="str">
        <f>VLOOKUP(A400,[2]Export!$A:$I,9,0)</f>
        <v>Comprou Marcas</v>
      </c>
      <c r="S400" s="17" t="s">
        <v>1022</v>
      </c>
      <c r="T400" s="20">
        <v>4</v>
      </c>
      <c r="U400" s="17"/>
    </row>
    <row r="401" spans="1:21" x14ac:dyDescent="0.35">
      <c r="A401" s="5">
        <v>1335144000161</v>
      </c>
      <c r="B401" s="7"/>
      <c r="C401" s="4"/>
      <c r="D401" s="6" t="s">
        <v>495</v>
      </c>
      <c r="E401" s="6" t="s">
        <v>26</v>
      </c>
      <c r="F401" s="6" t="s">
        <v>8</v>
      </c>
      <c r="G401" s="11" t="s">
        <v>20</v>
      </c>
      <c r="H401" s="6" t="s">
        <v>17</v>
      </c>
      <c r="I401" s="21" t="s">
        <v>1068</v>
      </c>
      <c r="J401" s="18">
        <v>1091.6200079728314</v>
      </c>
      <c r="K401" s="18">
        <f>VLOOKUP(A401,[1]Export!$A:$C,3,0)</f>
        <v>572.55999999999995</v>
      </c>
      <c r="L401" s="19">
        <f t="shared" si="14"/>
        <v>0.52450486049926814</v>
      </c>
      <c r="M401" s="18">
        <f>VLOOKUP(A401,[1]Export!$A:$G,7,0)</f>
        <v>0</v>
      </c>
      <c r="N401" s="19">
        <f t="shared" si="15"/>
        <v>0</v>
      </c>
      <c r="O401" s="17" t="s">
        <v>1025</v>
      </c>
      <c r="P401" s="17" t="s">
        <v>1026</v>
      </c>
      <c r="Q401" s="17" t="s">
        <v>1023</v>
      </c>
      <c r="R401" s="17" t="str">
        <f>VLOOKUP(A401,[2]Export!$A:$I,9,0)</f>
        <v>Não Comprou</v>
      </c>
      <c r="S401" s="17" t="s">
        <v>1023</v>
      </c>
      <c r="T401" s="20"/>
      <c r="U401" s="17"/>
    </row>
    <row r="402" spans="1:21" x14ac:dyDescent="0.35">
      <c r="A402" s="4">
        <v>1617468000192</v>
      </c>
      <c r="B402" s="7"/>
      <c r="C402" s="4"/>
      <c r="D402" s="1" t="s">
        <v>496</v>
      </c>
      <c r="E402" s="1" t="s">
        <v>146</v>
      </c>
      <c r="F402" s="1" t="s">
        <v>8</v>
      </c>
      <c r="G402" s="10" t="s">
        <v>36</v>
      </c>
      <c r="H402" s="1" t="s">
        <v>17</v>
      </c>
      <c r="I402" s="21" t="s">
        <v>1074</v>
      </c>
      <c r="J402" s="18">
        <v>2918.8877112051341</v>
      </c>
      <c r="K402" s="18">
        <f>VLOOKUP(A402,[1]Export!$A:$C,3,0)</f>
        <v>391.59</v>
      </c>
      <c r="L402" s="19">
        <f t="shared" si="14"/>
        <v>0.13415726767999667</v>
      </c>
      <c r="M402" s="18">
        <f>VLOOKUP(A402,[1]Export!$A:$G,7,0)</f>
        <v>137.85</v>
      </c>
      <c r="N402" s="19">
        <f t="shared" si="15"/>
        <v>4.7226893816715292E-2</v>
      </c>
      <c r="O402" s="17" t="s">
        <v>1025</v>
      </c>
      <c r="P402" s="17" t="s">
        <v>1026</v>
      </c>
      <c r="Q402" s="17" t="s">
        <v>1022</v>
      </c>
      <c r="R402" s="17" t="str">
        <f>VLOOKUP(A402,[2]Export!$A:$I,9,0)</f>
        <v>Comprou Marcas</v>
      </c>
      <c r="S402" s="17" t="s">
        <v>1023</v>
      </c>
      <c r="T402" s="20"/>
      <c r="U402" s="17"/>
    </row>
    <row r="403" spans="1:21" x14ac:dyDescent="0.35">
      <c r="A403" s="5">
        <v>1897271000154</v>
      </c>
      <c r="B403" s="7"/>
      <c r="C403" s="4"/>
      <c r="D403" s="6" t="s">
        <v>497</v>
      </c>
      <c r="E403" s="6" t="s">
        <v>160</v>
      </c>
      <c r="F403" s="6" t="s">
        <v>8</v>
      </c>
      <c r="G403" s="11" t="s">
        <v>20</v>
      </c>
      <c r="H403" s="6" t="s">
        <v>17</v>
      </c>
      <c r="I403" s="21" t="s">
        <v>1070</v>
      </c>
      <c r="J403" s="18">
        <v>3915.5795682360081</v>
      </c>
      <c r="K403" s="18">
        <f>VLOOKUP(A403,[1]Export!$A:$C,3,0)</f>
        <v>878.66999999999985</v>
      </c>
      <c r="L403" s="19">
        <f t="shared" si="14"/>
        <v>0.22440356138538284</v>
      </c>
      <c r="M403" s="18">
        <f>VLOOKUP(A403,[1]Export!$A:$G,7,0)</f>
        <v>0</v>
      </c>
      <c r="N403" s="19">
        <f t="shared" si="15"/>
        <v>0</v>
      </c>
      <c r="O403" s="17" t="s">
        <v>1025</v>
      </c>
      <c r="P403" s="17" t="s">
        <v>1026</v>
      </c>
      <c r="Q403" s="17" t="s">
        <v>1022</v>
      </c>
      <c r="R403" s="17" t="str">
        <f>VLOOKUP(A403,[2]Export!$A:$I,9,0)</f>
        <v>Não Comprou</v>
      </c>
      <c r="S403" s="17" t="s">
        <v>1023</v>
      </c>
      <c r="T403" s="20"/>
      <c r="U403" s="17"/>
    </row>
    <row r="404" spans="1:21" x14ac:dyDescent="0.35">
      <c r="A404" s="4">
        <v>3381216000132</v>
      </c>
      <c r="B404" s="7"/>
      <c r="C404" s="4"/>
      <c r="D404" s="1" t="s">
        <v>498</v>
      </c>
      <c r="E404" s="1" t="s">
        <v>377</v>
      </c>
      <c r="F404" s="1" t="s">
        <v>48</v>
      </c>
      <c r="G404" s="10" t="s">
        <v>20</v>
      </c>
      <c r="H404" s="1" t="s">
        <v>17</v>
      </c>
      <c r="I404" s="21" t="s">
        <v>1073</v>
      </c>
      <c r="J404" s="18">
        <v>22238.169681854488</v>
      </c>
      <c r="K404" s="18">
        <f>VLOOKUP(A404,[1]Export!$A:$C,3,0)</f>
        <v>5103.8299999999972</v>
      </c>
      <c r="L404" s="19">
        <f t="shared" si="14"/>
        <v>0.22950764712279945</v>
      </c>
      <c r="M404" s="18">
        <f>VLOOKUP(A404,[1]Export!$A:$G,7,0)</f>
        <v>0</v>
      </c>
      <c r="N404" s="19">
        <f t="shared" si="15"/>
        <v>0</v>
      </c>
      <c r="O404" s="17" t="s">
        <v>1025</v>
      </c>
      <c r="P404" s="17" t="s">
        <v>1026</v>
      </c>
      <c r="Q404" s="17" t="s">
        <v>1023</v>
      </c>
      <c r="R404" s="17" t="str">
        <f>VLOOKUP(A404,[2]Export!$A:$I,9,0)</f>
        <v>Comprou Marcas</v>
      </c>
      <c r="S404" s="17" t="s">
        <v>1022</v>
      </c>
      <c r="T404" s="20"/>
      <c r="U404" s="17"/>
    </row>
    <row r="405" spans="1:21" x14ac:dyDescent="0.35">
      <c r="A405" s="5">
        <v>13701031000111</v>
      </c>
      <c r="B405" s="7"/>
      <c r="C405" s="4"/>
      <c r="D405" s="6" t="s">
        <v>499</v>
      </c>
      <c r="E405" s="6" t="s">
        <v>500</v>
      </c>
      <c r="F405" s="6" t="s">
        <v>48</v>
      </c>
      <c r="G405" s="11" t="s">
        <v>87</v>
      </c>
      <c r="H405" s="6" t="s">
        <v>17</v>
      </c>
      <c r="I405" s="21" t="s">
        <v>1073</v>
      </c>
      <c r="J405" s="18">
        <v>5286.2245388239344</v>
      </c>
      <c r="K405" s="18">
        <f>VLOOKUP(A405,[1]Export!$A:$C,3,0)</f>
        <v>1615.2399999999998</v>
      </c>
      <c r="L405" s="19">
        <f t="shared" si="14"/>
        <v>0.30555644924597813</v>
      </c>
      <c r="M405" s="18">
        <f>VLOOKUP(A405,[1]Export!$A:$G,7,0)</f>
        <v>1641.76</v>
      </c>
      <c r="N405" s="19">
        <f t="shared" si="15"/>
        <v>0.31057326224838239</v>
      </c>
      <c r="O405" s="17" t="s">
        <v>1029</v>
      </c>
      <c r="P405" s="17" t="s">
        <v>1026</v>
      </c>
      <c r="Q405" s="17" t="s">
        <v>1023</v>
      </c>
      <c r="R405" s="17" t="str">
        <f>VLOOKUP(A405,[2]Export!$A:$I,9,0)</f>
        <v>Comprou Marcas</v>
      </c>
      <c r="S405" s="17" t="s">
        <v>1023</v>
      </c>
      <c r="T405" s="20"/>
      <c r="U405" s="17"/>
    </row>
    <row r="406" spans="1:21" x14ac:dyDescent="0.35">
      <c r="A406" s="4">
        <v>15487866000146</v>
      </c>
      <c r="B406" s="7"/>
      <c r="C406" s="4"/>
      <c r="D406" s="1" t="s">
        <v>77</v>
      </c>
      <c r="E406" s="1" t="s">
        <v>24</v>
      </c>
      <c r="F406" s="1" t="s">
        <v>15</v>
      </c>
      <c r="G406" s="10" t="s">
        <v>74</v>
      </c>
      <c r="H406" s="1" t="s">
        <v>17</v>
      </c>
      <c r="I406" s="21" t="s">
        <v>1071</v>
      </c>
      <c r="J406" s="18">
        <v>1097.1536036417885</v>
      </c>
      <c r="K406" s="18">
        <f>VLOOKUP(A406,[1]Export!$A:$C,3,0)</f>
        <v>0</v>
      </c>
      <c r="L406" s="19">
        <f t="shared" si="14"/>
        <v>0</v>
      </c>
      <c r="M406" s="18">
        <f>VLOOKUP(A406,[1]Export!$A:$G,7,0)</f>
        <v>0</v>
      </c>
      <c r="N406" s="19">
        <f t="shared" si="15"/>
        <v>0</v>
      </c>
      <c r="O406" s="17" t="s">
        <v>1030</v>
      </c>
      <c r="P406" s="17" t="s">
        <v>1026</v>
      </c>
      <c r="Q406" s="17" t="s">
        <v>1023</v>
      </c>
      <c r="R406" s="17" t="str">
        <f>VLOOKUP(A406,[2]Export!$A:$I,9,0)</f>
        <v>Não Comprou</v>
      </c>
      <c r="S406" s="17" t="s">
        <v>1022</v>
      </c>
      <c r="T406" s="20"/>
      <c r="U406" s="17"/>
    </row>
    <row r="407" spans="1:21" x14ac:dyDescent="0.35">
      <c r="A407" s="5">
        <v>17334086000191</v>
      </c>
      <c r="B407" s="7"/>
      <c r="C407" s="4"/>
      <c r="D407" s="6" t="s">
        <v>256</v>
      </c>
      <c r="E407" s="6" t="s">
        <v>291</v>
      </c>
      <c r="F407" s="6" t="s">
        <v>8</v>
      </c>
      <c r="G407" s="11" t="s">
        <v>20</v>
      </c>
      <c r="H407" s="6" t="s">
        <v>17</v>
      </c>
      <c r="I407" s="21" t="s">
        <v>1068</v>
      </c>
      <c r="J407" s="18">
        <v>2783.0571639598452</v>
      </c>
      <c r="K407" s="18">
        <f>VLOOKUP(A407,[1]Export!$A:$C,3,0)</f>
        <v>434.39</v>
      </c>
      <c r="L407" s="19">
        <f t="shared" si="14"/>
        <v>0.15608375049757603</v>
      </c>
      <c r="M407" s="18">
        <f>VLOOKUP(A407,[1]Export!$A:$G,7,0)</f>
        <v>312.08</v>
      </c>
      <c r="N407" s="19">
        <f t="shared" si="15"/>
        <v>0.11213567728373931</v>
      </c>
      <c r="O407" s="17" t="s">
        <v>1025</v>
      </c>
      <c r="P407" s="17" t="s">
        <v>1026</v>
      </c>
      <c r="Q407" s="17" t="s">
        <v>1023</v>
      </c>
      <c r="R407" s="17" t="str">
        <f>VLOOKUP(A407,[2]Export!$A:$I,9,0)</f>
        <v>Comprou Marcas</v>
      </c>
      <c r="S407" s="17" t="s">
        <v>1023</v>
      </c>
      <c r="T407" s="20"/>
      <c r="U407" s="17"/>
    </row>
    <row r="408" spans="1:21" x14ac:dyDescent="0.35">
      <c r="A408" s="4">
        <v>9039622000106</v>
      </c>
      <c r="B408" s="7" t="s">
        <v>1004</v>
      </c>
      <c r="C408" s="4">
        <v>1167</v>
      </c>
      <c r="D408" s="1" t="s">
        <v>501</v>
      </c>
      <c r="E408" s="1" t="s">
        <v>40</v>
      </c>
      <c r="F408" s="1" t="s">
        <v>8</v>
      </c>
      <c r="G408" s="10" t="s">
        <v>33</v>
      </c>
      <c r="H408" s="1" t="s">
        <v>17</v>
      </c>
      <c r="I408" s="21" t="s">
        <v>1072</v>
      </c>
      <c r="J408" s="18">
        <v>25029.998455836205</v>
      </c>
      <c r="K408" s="18">
        <f>VLOOKUP(A408,[1]Export!$A:$C,3,0)</f>
        <v>8706.2499999999964</v>
      </c>
      <c r="L408" s="19">
        <f t="shared" si="14"/>
        <v>0.34783262233761642</v>
      </c>
      <c r="M408" s="18">
        <f>VLOOKUP(A408,[1]Export!$A:$G,7,0)</f>
        <v>7717.7100000000028</v>
      </c>
      <c r="N408" s="19">
        <f t="shared" si="15"/>
        <v>0.30833841294946129</v>
      </c>
      <c r="O408" s="17" t="s">
        <v>1027</v>
      </c>
      <c r="P408" s="17" t="s">
        <v>1026</v>
      </c>
      <c r="Q408" s="17" t="s">
        <v>1023</v>
      </c>
      <c r="R408" s="17" t="str">
        <f>VLOOKUP(A408,[2]Export!$A:$I,9,0)</f>
        <v>Comprou Marcas e SG</v>
      </c>
      <c r="S408" s="17" t="s">
        <v>1022</v>
      </c>
      <c r="T408" s="20">
        <v>4</v>
      </c>
      <c r="U408" s="17"/>
    </row>
    <row r="409" spans="1:21" x14ac:dyDescent="0.35">
      <c r="A409" s="5">
        <v>10341045001740</v>
      </c>
      <c r="B409" s="7" t="s">
        <v>995</v>
      </c>
      <c r="C409" s="4"/>
      <c r="D409" s="6" t="s">
        <v>25</v>
      </c>
      <c r="E409" s="6" t="s">
        <v>40</v>
      </c>
      <c r="F409" s="6" t="s">
        <v>8</v>
      </c>
      <c r="G409" s="11" t="s">
        <v>9</v>
      </c>
      <c r="H409" s="6" t="s">
        <v>10</v>
      </c>
      <c r="I409" s="21" t="s">
        <v>1072</v>
      </c>
      <c r="J409" s="18">
        <v>6053.7827090981809</v>
      </c>
      <c r="K409" s="18">
        <f>VLOOKUP(A409,[1]Export!$A:$C,3,0)</f>
        <v>2105.1099999999997</v>
      </c>
      <c r="L409" s="19">
        <f t="shared" si="14"/>
        <v>0.34773464809634591</v>
      </c>
      <c r="M409" s="18">
        <f>VLOOKUP(A409,[1]Export!$A:$G,7,0)</f>
        <v>1646.2200000000003</v>
      </c>
      <c r="N409" s="19">
        <f t="shared" si="15"/>
        <v>0.27193245597102611</v>
      </c>
      <c r="O409" s="17" t="s">
        <v>1027</v>
      </c>
      <c r="P409" s="17" t="s">
        <v>1028</v>
      </c>
      <c r="Q409" s="17" t="s">
        <v>1023</v>
      </c>
      <c r="R409" s="17" t="str">
        <f>VLOOKUP(A409,[2]Export!$A:$I,9,0)</f>
        <v>Comprou Marcas e SG</v>
      </c>
      <c r="S409" s="17" t="s">
        <v>1022</v>
      </c>
      <c r="T409" s="20"/>
      <c r="U409" s="17"/>
    </row>
    <row r="410" spans="1:21" x14ac:dyDescent="0.35">
      <c r="A410" s="4">
        <v>14913432000106</v>
      </c>
      <c r="B410" s="7"/>
      <c r="C410" s="4"/>
      <c r="D410" s="1" t="s">
        <v>502</v>
      </c>
      <c r="E410" s="1" t="s">
        <v>115</v>
      </c>
      <c r="F410" s="1" t="s">
        <v>8</v>
      </c>
      <c r="G410" s="10" t="s">
        <v>16</v>
      </c>
      <c r="H410" s="1" t="s">
        <v>17</v>
      </c>
      <c r="I410" s="21" t="s">
        <v>1068</v>
      </c>
      <c r="J410" s="18">
        <v>5000.8761288276419</v>
      </c>
      <c r="K410" s="18">
        <f>VLOOKUP(A410,[1]Export!$A:$C,3,0)</f>
        <v>1400.03</v>
      </c>
      <c r="L410" s="19">
        <f t="shared" si="14"/>
        <v>0.27995694433011475</v>
      </c>
      <c r="M410" s="18">
        <f>VLOOKUP(A410,[1]Export!$A:$G,7,0)</f>
        <v>858.42</v>
      </c>
      <c r="N410" s="19">
        <f t="shared" si="15"/>
        <v>0.17165392181014485</v>
      </c>
      <c r="O410" s="17" t="s">
        <v>1031</v>
      </c>
      <c r="P410" s="17" t="s">
        <v>1026</v>
      </c>
      <c r="Q410" s="17" t="s">
        <v>1023</v>
      </c>
      <c r="R410" s="17" t="str">
        <f>VLOOKUP(A410,[2]Export!$A:$I,9,0)</f>
        <v>Comprou Marcas</v>
      </c>
      <c r="S410" s="17" t="s">
        <v>1023</v>
      </c>
      <c r="T410" s="20"/>
      <c r="U410" s="17"/>
    </row>
    <row r="411" spans="1:21" x14ac:dyDescent="0.35">
      <c r="A411" s="5">
        <v>15247037000196</v>
      </c>
      <c r="B411" s="7"/>
      <c r="C411" s="4"/>
      <c r="D411" s="6" t="s">
        <v>503</v>
      </c>
      <c r="E411" s="6" t="s">
        <v>379</v>
      </c>
      <c r="F411" s="6" t="s">
        <v>15</v>
      </c>
      <c r="G411" s="11" t="s">
        <v>20</v>
      </c>
      <c r="H411" s="6" t="s">
        <v>17</v>
      </c>
      <c r="I411" s="21" t="s">
        <v>1075</v>
      </c>
      <c r="J411" s="18">
        <v>4346.474534557753</v>
      </c>
      <c r="K411" s="18">
        <f>VLOOKUP(A411,[1]Export!$A:$C,3,0)</f>
        <v>1654.7</v>
      </c>
      <c r="L411" s="19">
        <f t="shared" si="14"/>
        <v>0.38069934307537895</v>
      </c>
      <c r="M411" s="18">
        <f>VLOOKUP(A411,[1]Export!$A:$G,7,0)</f>
        <v>1009.88</v>
      </c>
      <c r="N411" s="19">
        <f t="shared" si="15"/>
        <v>0.23234462596540986</v>
      </c>
      <c r="O411" s="17" t="s">
        <v>1025</v>
      </c>
      <c r="P411" s="17" t="s">
        <v>1026</v>
      </c>
      <c r="Q411" s="17" t="s">
        <v>1023</v>
      </c>
      <c r="R411" s="17" t="str">
        <f>VLOOKUP(A411,[2]Export!$A:$I,9,0)</f>
        <v>Comprou Marcas</v>
      </c>
      <c r="S411" s="17" t="s">
        <v>1023</v>
      </c>
      <c r="T411" s="20"/>
      <c r="U411" s="17"/>
    </row>
    <row r="412" spans="1:21" x14ac:dyDescent="0.35">
      <c r="A412" s="4">
        <v>15558177000347</v>
      </c>
      <c r="B412" s="7"/>
      <c r="C412" s="4"/>
      <c r="D412" s="1" t="s">
        <v>504</v>
      </c>
      <c r="E412" s="1" t="s">
        <v>388</v>
      </c>
      <c r="F412" s="1" t="s">
        <v>8</v>
      </c>
      <c r="G412" s="10" t="s">
        <v>20</v>
      </c>
      <c r="H412" s="1" t="s">
        <v>17</v>
      </c>
      <c r="I412" s="21" t="s">
        <v>1072</v>
      </c>
      <c r="J412" s="18">
        <v>3416.2383220327852</v>
      </c>
      <c r="K412" s="18">
        <f>VLOOKUP(A412,[1]Export!$A:$C,3,0)</f>
        <v>1160.8</v>
      </c>
      <c r="L412" s="19">
        <f t="shared" si="14"/>
        <v>0.33978894051785064</v>
      </c>
      <c r="M412" s="18">
        <f>VLOOKUP(A412,[1]Export!$A:$G,7,0)</f>
        <v>962.86</v>
      </c>
      <c r="N412" s="19">
        <f t="shared" si="15"/>
        <v>0.28184801797641085</v>
      </c>
      <c r="O412" s="17" t="s">
        <v>1025</v>
      </c>
      <c r="P412" s="17" t="s">
        <v>1026</v>
      </c>
      <c r="Q412" s="17" t="s">
        <v>1023</v>
      </c>
      <c r="R412" s="17" t="str">
        <f>VLOOKUP(A412,[2]Export!$A:$I,9,0)</f>
        <v>Comprou Marcas</v>
      </c>
      <c r="S412" s="17" t="s">
        <v>1022</v>
      </c>
      <c r="T412" s="20">
        <v>2</v>
      </c>
      <c r="U412" s="17"/>
    </row>
    <row r="413" spans="1:21" x14ac:dyDescent="0.35">
      <c r="A413" s="5">
        <v>17684597000214</v>
      </c>
      <c r="B413" s="7"/>
      <c r="C413" s="4"/>
      <c r="D413" s="6" t="s">
        <v>505</v>
      </c>
      <c r="E413" s="6" t="s">
        <v>52</v>
      </c>
      <c r="F413" s="6" t="s">
        <v>8</v>
      </c>
      <c r="G413" s="11" t="s">
        <v>36</v>
      </c>
      <c r="H413" s="6" t="s">
        <v>17</v>
      </c>
      <c r="I413" s="21" t="s">
        <v>1074</v>
      </c>
      <c r="J413" s="18">
        <v>2129.2709976619826</v>
      </c>
      <c r="K413" s="18">
        <f>VLOOKUP(A413,[1]Export!$A:$C,3,0)</f>
        <v>1813.9900000000005</v>
      </c>
      <c r="L413" s="19">
        <f t="shared" si="14"/>
        <v>0.85193007465551718</v>
      </c>
      <c r="M413" s="18">
        <f>VLOOKUP(A413,[1]Export!$A:$G,7,0)</f>
        <v>1584.6599999999999</v>
      </c>
      <c r="N413" s="19">
        <f t="shared" si="15"/>
        <v>0.74422654595869409</v>
      </c>
      <c r="O413" s="17" t="s">
        <v>1027</v>
      </c>
      <c r="P413" s="17" t="s">
        <v>1026</v>
      </c>
      <c r="Q413" s="17" t="s">
        <v>1023</v>
      </c>
      <c r="R413" s="17" t="str">
        <f>VLOOKUP(A413,[2]Export!$A:$I,9,0)</f>
        <v>Comprou Marcas</v>
      </c>
      <c r="S413" s="17" t="s">
        <v>1023</v>
      </c>
      <c r="T413" s="20"/>
      <c r="U413" s="17"/>
    </row>
    <row r="414" spans="1:21" x14ac:dyDescent="0.35">
      <c r="A414" s="4">
        <v>17858710000150</v>
      </c>
      <c r="B414" s="7"/>
      <c r="C414" s="4"/>
      <c r="D414" s="1" t="s">
        <v>506</v>
      </c>
      <c r="E414" s="1" t="s">
        <v>52</v>
      </c>
      <c r="F414" s="1" t="s">
        <v>8</v>
      </c>
      <c r="G414" s="10" t="s">
        <v>16</v>
      </c>
      <c r="H414" s="1" t="s">
        <v>17</v>
      </c>
      <c r="I414" s="21" t="s">
        <v>1074</v>
      </c>
      <c r="J414" s="18">
        <v>6937.1967415605968</v>
      </c>
      <c r="K414" s="18">
        <f>VLOOKUP(A414,[1]Export!$A:$C,3,0)</f>
        <v>134.41999999999999</v>
      </c>
      <c r="L414" s="19">
        <f t="shared" si="14"/>
        <v>1.937670286827713E-2</v>
      </c>
      <c r="M414" s="18">
        <f>VLOOKUP(A414,[1]Export!$A:$G,7,0)</f>
        <v>0</v>
      </c>
      <c r="N414" s="19">
        <f t="shared" si="15"/>
        <v>0</v>
      </c>
      <c r="O414" s="17"/>
      <c r="P414" s="17"/>
      <c r="Q414" s="17"/>
      <c r="R414" s="17" t="str">
        <f>VLOOKUP(A414,[2]Export!$A:$I,9,0)</f>
        <v>Não Comprou</v>
      </c>
      <c r="S414" s="17"/>
      <c r="T414" s="20"/>
      <c r="U414" s="17"/>
    </row>
    <row r="415" spans="1:21" x14ac:dyDescent="0.35">
      <c r="A415" s="5">
        <v>18346337000110</v>
      </c>
      <c r="B415" s="7"/>
      <c r="C415" s="4"/>
      <c r="D415" s="6" t="s">
        <v>507</v>
      </c>
      <c r="E415" s="6" t="s">
        <v>115</v>
      </c>
      <c r="F415" s="6" t="s">
        <v>8</v>
      </c>
      <c r="G415" s="11" t="s">
        <v>64</v>
      </c>
      <c r="H415" s="6" t="s">
        <v>17</v>
      </c>
      <c r="I415" s="21" t="s">
        <v>1068</v>
      </c>
      <c r="J415" s="18">
        <v>2198.2507449607592</v>
      </c>
      <c r="K415" s="18">
        <f>VLOOKUP(A415,[1]Export!$A:$C,3,0)</f>
        <v>850.8</v>
      </c>
      <c r="L415" s="19">
        <f t="shared" si="14"/>
        <v>0.38703501042834287</v>
      </c>
      <c r="M415" s="18">
        <f>VLOOKUP(A415,[1]Export!$A:$G,7,0)</f>
        <v>406.15</v>
      </c>
      <c r="N415" s="19">
        <f t="shared" si="15"/>
        <v>0.18476054241357717</v>
      </c>
      <c r="O415" s="17" t="s">
        <v>1025</v>
      </c>
      <c r="P415" s="17" t="s">
        <v>1026</v>
      </c>
      <c r="Q415" s="17" t="s">
        <v>1022</v>
      </c>
      <c r="R415" s="17" t="str">
        <f>VLOOKUP(A415,[2]Export!$A:$I,9,0)</f>
        <v>Comprou Marcas</v>
      </c>
      <c r="S415" s="17" t="s">
        <v>1022</v>
      </c>
      <c r="T415" s="20">
        <v>1</v>
      </c>
      <c r="U415" s="17"/>
    </row>
    <row r="416" spans="1:21" x14ac:dyDescent="0.35">
      <c r="A416" s="4">
        <v>10341045002470</v>
      </c>
      <c r="B416" s="7" t="s">
        <v>995</v>
      </c>
      <c r="C416" s="4"/>
      <c r="D416" s="1" t="s">
        <v>366</v>
      </c>
      <c r="E416" s="1" t="s">
        <v>52</v>
      </c>
      <c r="F416" s="1" t="s">
        <v>8</v>
      </c>
      <c r="G416" s="10" t="s">
        <v>9</v>
      </c>
      <c r="H416" s="1" t="s">
        <v>10</v>
      </c>
      <c r="I416" s="21" t="s">
        <v>1074</v>
      </c>
      <c r="J416" s="18">
        <v>18736.063477131851</v>
      </c>
      <c r="K416" s="18">
        <f>VLOOKUP(A416,[1]Export!$A:$C,3,0)</f>
        <v>8134.1900000000005</v>
      </c>
      <c r="L416" s="19">
        <f t="shared" si="14"/>
        <v>0.43414615935349066</v>
      </c>
      <c r="M416" s="18">
        <f>VLOOKUP(A416,[1]Export!$A:$G,7,0)</f>
        <v>6176.5199999999995</v>
      </c>
      <c r="N416" s="19">
        <f t="shared" si="15"/>
        <v>0.32965942966294393</v>
      </c>
      <c r="O416" s="17" t="s">
        <v>1027</v>
      </c>
      <c r="P416" s="17" t="s">
        <v>1028</v>
      </c>
      <c r="Q416" s="17" t="s">
        <v>1023</v>
      </c>
      <c r="R416" s="17" t="str">
        <f>VLOOKUP(A416,[2]Export!$A:$I,9,0)</f>
        <v>Comprou Marcas e SG</v>
      </c>
      <c r="S416" s="17" t="s">
        <v>1022</v>
      </c>
      <c r="T416" s="20"/>
      <c r="U416" s="17"/>
    </row>
    <row r="417" spans="1:21" x14ac:dyDescent="0.35">
      <c r="A417" s="5">
        <v>20947414000130</v>
      </c>
      <c r="B417" s="7"/>
      <c r="C417" s="4">
        <v>148175</v>
      </c>
      <c r="D417" s="6" t="s">
        <v>508</v>
      </c>
      <c r="E417" s="6" t="s">
        <v>94</v>
      </c>
      <c r="F417" s="6" t="s">
        <v>15</v>
      </c>
      <c r="G417" s="11" t="s">
        <v>190</v>
      </c>
      <c r="H417" s="6" t="s">
        <v>17</v>
      </c>
      <c r="I417" s="21" t="s">
        <v>1071</v>
      </c>
      <c r="J417" s="18">
        <v>8351.0089165443642</v>
      </c>
      <c r="K417" s="18">
        <f>VLOOKUP(A417,[1]Export!$A:$C,3,0)</f>
        <v>1859.5500000000002</v>
      </c>
      <c r="L417" s="19">
        <f t="shared" si="14"/>
        <v>0.2226736935121702</v>
      </c>
      <c r="M417" s="18">
        <f>VLOOKUP(A417,[1]Export!$A:$G,7,0)</f>
        <v>1284.1299999999999</v>
      </c>
      <c r="N417" s="19">
        <f t="shared" si="15"/>
        <v>0.15376944424714745</v>
      </c>
      <c r="O417" s="17" t="s">
        <v>1027</v>
      </c>
      <c r="P417" s="17" t="s">
        <v>1028</v>
      </c>
      <c r="Q417" s="17" t="s">
        <v>1023</v>
      </c>
      <c r="R417" s="17" t="str">
        <f>VLOOKUP(A417,[2]Export!$A:$I,9,0)</f>
        <v>Comprou Marcas</v>
      </c>
      <c r="S417" s="17" t="s">
        <v>1022</v>
      </c>
      <c r="T417" s="20">
        <v>4</v>
      </c>
      <c r="U417" s="17"/>
    </row>
    <row r="418" spans="1:21" x14ac:dyDescent="0.35">
      <c r="A418" s="4">
        <v>44692168001403</v>
      </c>
      <c r="B418" s="7" t="s">
        <v>509</v>
      </c>
      <c r="C418" s="4"/>
      <c r="D418" s="1" t="s">
        <v>509</v>
      </c>
      <c r="E418" s="1" t="s">
        <v>50</v>
      </c>
      <c r="F418" s="1" t="s">
        <v>48</v>
      </c>
      <c r="G418" s="10" t="s">
        <v>509</v>
      </c>
      <c r="H418" s="1" t="s">
        <v>17</v>
      </c>
      <c r="I418" s="21" t="s">
        <v>1073</v>
      </c>
      <c r="J418" s="18">
        <v>17515.255346633858</v>
      </c>
      <c r="K418" s="18">
        <f>VLOOKUP(A418,[1]Export!$A:$C,3,0)</f>
        <v>4864.63</v>
      </c>
      <c r="L418" s="19">
        <f t="shared" si="14"/>
        <v>0.27773674455364999</v>
      </c>
      <c r="M418" s="18">
        <f>VLOOKUP(A418,[1]Export!$A:$G,7,0)</f>
        <v>1818.2199999999998</v>
      </c>
      <c r="N418" s="19">
        <f t="shared" si="15"/>
        <v>0.10380779292203876</v>
      </c>
      <c r="O418" s="17" t="s">
        <v>1025</v>
      </c>
      <c r="P418" s="17" t="s">
        <v>1026</v>
      </c>
      <c r="Q418" s="17" t="s">
        <v>1023</v>
      </c>
      <c r="R418" s="17" t="str">
        <f>VLOOKUP(A418,[2]Export!$A:$I,9,0)</f>
        <v>Comprou Marcas</v>
      </c>
      <c r="S418" s="17" t="s">
        <v>1022</v>
      </c>
      <c r="T418" s="20"/>
      <c r="U418" s="17"/>
    </row>
    <row r="419" spans="1:21" x14ac:dyDescent="0.35">
      <c r="A419" s="5">
        <v>46197707000130</v>
      </c>
      <c r="B419" s="7"/>
      <c r="C419" s="4"/>
      <c r="D419" s="6" t="s">
        <v>510</v>
      </c>
      <c r="E419" s="6" t="s">
        <v>182</v>
      </c>
      <c r="F419" s="6" t="s">
        <v>8</v>
      </c>
      <c r="G419" s="11" t="s">
        <v>33</v>
      </c>
      <c r="H419" s="6" t="s">
        <v>17</v>
      </c>
      <c r="I419" s="21" t="s">
        <v>1074</v>
      </c>
      <c r="J419" s="18">
        <v>5683.4407202683715</v>
      </c>
      <c r="K419" s="18">
        <f>VLOOKUP(A419,[1]Export!$A:$C,3,0)</f>
        <v>181.89</v>
      </c>
      <c r="L419" s="19">
        <f t="shared" si="14"/>
        <v>3.2003500863718198E-2</v>
      </c>
      <c r="M419" s="18">
        <f>VLOOKUP(A419,[1]Export!$A:$G,7,0)</f>
        <v>137.85</v>
      </c>
      <c r="N419" s="19">
        <f t="shared" si="15"/>
        <v>2.4254673671249401E-2</v>
      </c>
      <c r="O419" s="17" t="s">
        <v>1025</v>
      </c>
      <c r="P419" s="17" t="s">
        <v>1026</v>
      </c>
      <c r="Q419" s="17" t="s">
        <v>1023</v>
      </c>
      <c r="R419" s="17" t="str">
        <f>VLOOKUP(A419,[2]Export!$A:$I,9,0)</f>
        <v>Comprou Marcas</v>
      </c>
      <c r="S419" s="17" t="s">
        <v>1023</v>
      </c>
      <c r="T419" s="20"/>
      <c r="U419" s="17"/>
    </row>
    <row r="420" spans="1:21" x14ac:dyDescent="0.35">
      <c r="A420" s="4">
        <v>49133299000141</v>
      </c>
      <c r="B420" s="7"/>
      <c r="C420" s="4"/>
      <c r="D420" s="1" t="s">
        <v>77</v>
      </c>
      <c r="E420" s="1" t="s">
        <v>160</v>
      </c>
      <c r="F420" s="1" t="s">
        <v>8</v>
      </c>
      <c r="G420" s="10" t="s">
        <v>74</v>
      </c>
      <c r="H420" s="1" t="s">
        <v>17</v>
      </c>
      <c r="I420" s="21" t="s">
        <v>1070</v>
      </c>
      <c r="J420" s="18">
        <v>2682.9687791279894</v>
      </c>
      <c r="K420" s="18">
        <f>VLOOKUP(A420,[1]Export!$A:$C,3,0)</f>
        <v>791.28</v>
      </c>
      <c r="L420" s="19">
        <f t="shared" si="14"/>
        <v>0.29492702492690931</v>
      </c>
      <c r="M420" s="18">
        <f>VLOOKUP(A420,[1]Export!$A:$G,7,0)</f>
        <v>0</v>
      </c>
      <c r="N420" s="19">
        <f t="shared" si="15"/>
        <v>0</v>
      </c>
      <c r="O420" s="17" t="s">
        <v>1029</v>
      </c>
      <c r="P420" s="17" t="s">
        <v>1026</v>
      </c>
      <c r="Q420" s="17" t="s">
        <v>1023</v>
      </c>
      <c r="R420" s="17" t="str">
        <f>VLOOKUP(A420,[2]Export!$A:$I,9,0)</f>
        <v>Não Comprou</v>
      </c>
      <c r="S420" s="17" t="s">
        <v>1022</v>
      </c>
      <c r="T420" s="20"/>
      <c r="U420" s="17"/>
    </row>
    <row r="421" spans="1:21" x14ac:dyDescent="0.35">
      <c r="A421" s="5">
        <v>49685257000113</v>
      </c>
      <c r="B421" s="7"/>
      <c r="C421" s="4"/>
      <c r="D421" s="6" t="s">
        <v>511</v>
      </c>
      <c r="E421" s="6" t="s">
        <v>22</v>
      </c>
      <c r="F421" s="6" t="s">
        <v>8</v>
      </c>
      <c r="G421" s="11" t="s">
        <v>20</v>
      </c>
      <c r="H421" s="6" t="s">
        <v>17</v>
      </c>
      <c r="I421" s="21" t="s">
        <v>1070</v>
      </c>
      <c r="J421" s="18">
        <v>309.03346224229517</v>
      </c>
      <c r="K421" s="18">
        <f>VLOOKUP(A421,[1]Export!$A:$C,3,0)</f>
        <v>93.9</v>
      </c>
      <c r="L421" s="19">
        <f t="shared" si="14"/>
        <v>0.303850590543423</v>
      </c>
      <c r="M421" s="18">
        <f>VLOOKUP(A421,[1]Export!$A:$G,7,0)</f>
        <v>0</v>
      </c>
      <c r="N421" s="19">
        <f t="shared" si="15"/>
        <v>0</v>
      </c>
      <c r="O421" s="17" t="s">
        <v>1025</v>
      </c>
      <c r="P421" s="17" t="s">
        <v>1026</v>
      </c>
      <c r="Q421" s="17" t="s">
        <v>1022</v>
      </c>
      <c r="R421" s="17" t="str">
        <f>VLOOKUP(A421,[2]Export!$A:$I,9,0)</f>
        <v>Não Comprou</v>
      </c>
      <c r="S421" s="17" t="s">
        <v>1023</v>
      </c>
      <c r="T421" s="20"/>
      <c r="U421" s="17"/>
    </row>
    <row r="422" spans="1:21" x14ac:dyDescent="0.35">
      <c r="A422" s="4">
        <v>35447691000150</v>
      </c>
      <c r="B422" s="7"/>
      <c r="C422" s="4"/>
      <c r="D422" s="1" t="s">
        <v>512</v>
      </c>
      <c r="E422" s="1" t="s">
        <v>61</v>
      </c>
      <c r="F422" s="1" t="s">
        <v>8</v>
      </c>
      <c r="G422" s="10" t="s">
        <v>20</v>
      </c>
      <c r="H422" s="1" t="s">
        <v>17</v>
      </c>
      <c r="I422" s="21" t="s">
        <v>1068</v>
      </c>
      <c r="J422" s="18">
        <v>1134.8618099263649</v>
      </c>
      <c r="K422" s="18">
        <f>VLOOKUP(A422,[1]Export!$A:$C,3,0)</f>
        <v>1072.0000000000002</v>
      </c>
      <c r="L422" s="19">
        <f t="shared" si="14"/>
        <v>0.9446084013255821</v>
      </c>
      <c r="M422" s="18">
        <f>VLOOKUP(A422,[1]Export!$A:$G,7,0)</f>
        <v>883.64999999999975</v>
      </c>
      <c r="N422" s="19">
        <f t="shared" si="15"/>
        <v>0.77864105767849834</v>
      </c>
      <c r="O422" s="17" t="s">
        <v>1025</v>
      </c>
      <c r="P422" s="17" t="s">
        <v>1026</v>
      </c>
      <c r="Q422" s="17" t="s">
        <v>1023</v>
      </c>
      <c r="R422" s="17" t="str">
        <f>VLOOKUP(A422,[2]Export!$A:$I,9,0)</f>
        <v>Comprou Marcas</v>
      </c>
      <c r="S422" s="17" t="s">
        <v>1023</v>
      </c>
      <c r="T422" s="20"/>
      <c r="U422" s="17"/>
    </row>
    <row r="423" spans="1:21" x14ac:dyDescent="0.35">
      <c r="A423" s="5">
        <v>37629799000190</v>
      </c>
      <c r="B423" s="7"/>
      <c r="C423" s="4"/>
      <c r="D423" s="6" t="s">
        <v>513</v>
      </c>
      <c r="E423" s="6" t="s">
        <v>329</v>
      </c>
      <c r="F423" s="6" t="s">
        <v>8</v>
      </c>
      <c r="G423" s="11" t="s">
        <v>20</v>
      </c>
      <c r="H423" s="6" t="s">
        <v>17</v>
      </c>
      <c r="I423" s="21" t="s">
        <v>1072</v>
      </c>
      <c r="J423" s="18">
        <v>7123.2360387340714</v>
      </c>
      <c r="K423" s="18">
        <f>VLOOKUP(A423,[1]Export!$A:$C,3,0)</f>
        <v>1503.3700000000001</v>
      </c>
      <c r="L423" s="19">
        <f t="shared" si="14"/>
        <v>0.21105154901860818</v>
      </c>
      <c r="M423" s="18">
        <f>VLOOKUP(A423,[1]Export!$A:$G,7,0)</f>
        <v>1267.4199999999998</v>
      </c>
      <c r="N423" s="19">
        <f t="shared" si="15"/>
        <v>0.17792755892239723</v>
      </c>
      <c r="O423" s="17" t="s">
        <v>1025</v>
      </c>
      <c r="P423" s="17" t="s">
        <v>1026</v>
      </c>
      <c r="Q423" s="17" t="s">
        <v>1023</v>
      </c>
      <c r="R423" s="17" t="str">
        <f>VLOOKUP(A423,[2]Export!$A:$I,9,0)</f>
        <v>Comprou Marcas</v>
      </c>
      <c r="S423" s="17" t="s">
        <v>1022</v>
      </c>
      <c r="T423" s="20"/>
      <c r="U423" s="17"/>
    </row>
    <row r="424" spans="1:21" x14ac:dyDescent="0.35">
      <c r="A424" s="4">
        <v>40214024000168</v>
      </c>
      <c r="B424" s="7"/>
      <c r="C424" s="4"/>
      <c r="D424" s="1" t="s">
        <v>514</v>
      </c>
      <c r="E424" s="1" t="s">
        <v>446</v>
      </c>
      <c r="F424" s="1" t="s">
        <v>15</v>
      </c>
      <c r="G424" s="10" t="s">
        <v>16</v>
      </c>
      <c r="H424" s="1" t="s">
        <v>17</v>
      </c>
      <c r="I424" s="21" t="s">
        <v>1069</v>
      </c>
      <c r="J424" s="18">
        <v>3692.2095670054127</v>
      </c>
      <c r="K424" s="18">
        <f>VLOOKUP(A424,[1]Export!$A:$C,3,0)</f>
        <v>1232.3699999999999</v>
      </c>
      <c r="L424" s="19">
        <f t="shared" si="14"/>
        <v>0.33377574529159798</v>
      </c>
      <c r="M424" s="18">
        <f>VLOOKUP(A424,[1]Export!$A:$G,7,0)</f>
        <v>0</v>
      </c>
      <c r="N424" s="19">
        <f t="shared" si="15"/>
        <v>0</v>
      </c>
      <c r="O424" s="17" t="s">
        <v>1029</v>
      </c>
      <c r="P424" s="17" t="s">
        <v>1026</v>
      </c>
      <c r="Q424" s="17" t="s">
        <v>1022</v>
      </c>
      <c r="R424" s="17" t="str">
        <f>VLOOKUP(A424,[2]Export!$A:$I,9,0)</f>
        <v>Não Comprou</v>
      </c>
      <c r="S424" s="17" t="s">
        <v>1023</v>
      </c>
      <c r="T424" s="20"/>
      <c r="U424" s="17"/>
    </row>
    <row r="425" spans="1:21" x14ac:dyDescent="0.35">
      <c r="A425" s="5">
        <v>41677342000128</v>
      </c>
      <c r="B425" s="7"/>
      <c r="C425" s="4"/>
      <c r="D425" s="6" t="s">
        <v>515</v>
      </c>
      <c r="E425" s="6" t="s">
        <v>182</v>
      </c>
      <c r="F425" s="6" t="s">
        <v>8</v>
      </c>
      <c r="G425" s="11" t="s">
        <v>20</v>
      </c>
      <c r="H425" s="6" t="s">
        <v>17</v>
      </c>
      <c r="I425" s="21" t="s">
        <v>1074</v>
      </c>
      <c r="J425" s="18">
        <v>2990.179934772862</v>
      </c>
      <c r="K425" s="18">
        <f>VLOOKUP(A425,[1]Export!$A:$C,3,0)</f>
        <v>439.1</v>
      </c>
      <c r="L425" s="19">
        <f t="shared" si="14"/>
        <v>0.14684735018575215</v>
      </c>
      <c r="M425" s="18">
        <f>VLOOKUP(A425,[1]Export!$A:$G,7,0)</f>
        <v>137.85</v>
      </c>
      <c r="N425" s="19">
        <f t="shared" si="15"/>
        <v>4.6100904630166098E-2</v>
      </c>
      <c r="O425" s="17" t="s">
        <v>1025</v>
      </c>
      <c r="P425" s="17" t="s">
        <v>1026</v>
      </c>
      <c r="Q425" s="17" t="s">
        <v>1023</v>
      </c>
      <c r="R425" s="17" t="str">
        <f>VLOOKUP(A425,[2]Export!$A:$I,9,0)</f>
        <v>Comprou Marcas</v>
      </c>
      <c r="S425" s="17" t="s">
        <v>1023</v>
      </c>
      <c r="T425" s="20"/>
      <c r="U425" s="17"/>
    </row>
    <row r="426" spans="1:21" x14ac:dyDescent="0.35">
      <c r="A426" s="4">
        <v>17373000175</v>
      </c>
      <c r="B426" s="7"/>
      <c r="C426" s="4">
        <v>11472</v>
      </c>
      <c r="D426" s="1" t="s">
        <v>516</v>
      </c>
      <c r="E426" s="1" t="s">
        <v>374</v>
      </c>
      <c r="F426" s="1" t="s">
        <v>48</v>
      </c>
      <c r="G426" s="10" t="s">
        <v>20</v>
      </c>
      <c r="H426" s="1" t="s">
        <v>17</v>
      </c>
      <c r="I426" s="21" t="s">
        <v>1073</v>
      </c>
      <c r="J426" s="18">
        <v>30464.387678318988</v>
      </c>
      <c r="K426" s="18">
        <f>VLOOKUP(A426,[1]Export!$A:$C,3,0)</f>
        <v>9959.6299999999992</v>
      </c>
      <c r="L426" s="19">
        <f t="shared" si="14"/>
        <v>0.32692697142533106</v>
      </c>
      <c r="M426" s="18">
        <f>VLOOKUP(A426,[1]Export!$A:$G,7,0)</f>
        <v>10550.75</v>
      </c>
      <c r="N426" s="19">
        <f t="shared" si="15"/>
        <v>0.34633061105340379</v>
      </c>
      <c r="O426" s="17" t="s">
        <v>1025</v>
      </c>
      <c r="P426" s="17" t="s">
        <v>1026</v>
      </c>
      <c r="Q426" s="17" t="s">
        <v>1023</v>
      </c>
      <c r="R426" s="17" t="str">
        <f>VLOOKUP(A426,[2]Export!$A:$I,9,0)</f>
        <v>Comprou Marcas</v>
      </c>
      <c r="S426" s="17" t="s">
        <v>1022</v>
      </c>
      <c r="T426" s="20">
        <v>4</v>
      </c>
      <c r="U426" s="17">
        <v>4</v>
      </c>
    </row>
    <row r="427" spans="1:21" x14ac:dyDescent="0.35">
      <c r="A427" s="5">
        <v>199752000638</v>
      </c>
      <c r="B427" s="7" t="s">
        <v>1006</v>
      </c>
      <c r="C427" s="4"/>
      <c r="D427" s="6" t="s">
        <v>378</v>
      </c>
      <c r="E427" s="6" t="s">
        <v>379</v>
      </c>
      <c r="F427" s="6" t="s">
        <v>15</v>
      </c>
      <c r="G427" s="11" t="s">
        <v>472</v>
      </c>
      <c r="H427" s="6" t="s">
        <v>17</v>
      </c>
      <c r="I427" s="21" t="s">
        <v>1075</v>
      </c>
      <c r="J427" s="18">
        <v>47675.809770392756</v>
      </c>
      <c r="K427" s="18">
        <f>VLOOKUP(A427,[1]Export!$A:$C,3,0)</f>
        <v>13941.610000000004</v>
      </c>
      <c r="L427" s="19">
        <f t="shared" si="14"/>
        <v>0.29242523760252753</v>
      </c>
      <c r="M427" s="18">
        <f>VLOOKUP(A427,[1]Export!$A:$G,7,0)</f>
        <v>8233.010000000002</v>
      </c>
      <c r="N427" s="19">
        <f t="shared" si="15"/>
        <v>0.17268736576578925</v>
      </c>
      <c r="O427" s="17" t="s">
        <v>1027</v>
      </c>
      <c r="P427" s="17" t="s">
        <v>1028</v>
      </c>
      <c r="Q427" s="17" t="s">
        <v>1023</v>
      </c>
      <c r="R427" s="17" t="str">
        <f>VLOOKUP(A427,[2]Export!$A:$I,9,0)</f>
        <v>Comprou Marcas</v>
      </c>
      <c r="S427" s="17" t="s">
        <v>1022</v>
      </c>
      <c r="T427" s="20">
        <v>7</v>
      </c>
      <c r="U427" s="17"/>
    </row>
    <row r="428" spans="1:21" x14ac:dyDescent="0.35">
      <c r="A428" s="4">
        <v>2560437000105</v>
      </c>
      <c r="B428" s="7"/>
      <c r="C428" s="4"/>
      <c r="D428" s="1" t="s">
        <v>517</v>
      </c>
      <c r="E428" s="1" t="s">
        <v>316</v>
      </c>
      <c r="F428" s="1" t="s">
        <v>48</v>
      </c>
      <c r="G428" s="10" t="s">
        <v>518</v>
      </c>
      <c r="H428" s="1" t="s">
        <v>17</v>
      </c>
      <c r="I428" s="21" t="s">
        <v>1073</v>
      </c>
      <c r="J428" s="18">
        <v>7212.0801502890063</v>
      </c>
      <c r="K428" s="18">
        <f>VLOOKUP(A428,[1]Export!$A:$C,3,0)</f>
        <v>1699.22</v>
      </c>
      <c r="L428" s="19">
        <f t="shared" si="14"/>
        <v>0.23560747587253422</v>
      </c>
      <c r="M428" s="18">
        <f>VLOOKUP(A428,[1]Export!$A:$G,7,0)</f>
        <v>577.79</v>
      </c>
      <c r="N428" s="19">
        <f t="shared" si="15"/>
        <v>8.0114195621750886E-2</v>
      </c>
      <c r="O428" s="17" t="s">
        <v>1025</v>
      </c>
      <c r="P428" s="17" t="s">
        <v>1026</v>
      </c>
      <c r="Q428" s="17" t="s">
        <v>1022</v>
      </c>
      <c r="R428" s="17" t="str">
        <f>VLOOKUP(A428,[2]Export!$A:$I,9,0)</f>
        <v>Comprou Marcas</v>
      </c>
      <c r="S428" s="17" t="s">
        <v>1022</v>
      </c>
      <c r="T428" s="20"/>
      <c r="U428" s="17"/>
    </row>
    <row r="429" spans="1:21" x14ac:dyDescent="0.35">
      <c r="A429" s="5">
        <v>4201690000106</v>
      </c>
      <c r="B429" s="7"/>
      <c r="C429" s="4"/>
      <c r="D429" s="6" t="s">
        <v>519</v>
      </c>
      <c r="E429" s="6" t="s">
        <v>35</v>
      </c>
      <c r="F429" s="6" t="s">
        <v>8</v>
      </c>
      <c r="G429" s="11" t="s">
        <v>20</v>
      </c>
      <c r="H429" s="6" t="s">
        <v>17</v>
      </c>
      <c r="I429" s="21" t="s">
        <v>1072</v>
      </c>
      <c r="J429" s="18">
        <v>6320.8106042976306</v>
      </c>
      <c r="K429" s="18">
        <f>VLOOKUP(A429,[1]Export!$A:$C,3,0)</f>
        <v>969.63</v>
      </c>
      <c r="L429" s="19">
        <f t="shared" si="14"/>
        <v>0.15340279288557254</v>
      </c>
      <c r="M429" s="18">
        <f>VLOOKUP(A429,[1]Export!$A:$G,7,0)</f>
        <v>0</v>
      </c>
      <c r="N429" s="19">
        <f t="shared" si="15"/>
        <v>0</v>
      </c>
      <c r="O429" s="17" t="s">
        <v>1025</v>
      </c>
      <c r="P429" s="17" t="s">
        <v>1026</v>
      </c>
      <c r="Q429" s="17" t="s">
        <v>1023</v>
      </c>
      <c r="R429" s="17" t="str">
        <f>VLOOKUP(A429,[2]Export!$A:$I,9,0)</f>
        <v>Não Comprou</v>
      </c>
      <c r="S429" s="17" t="s">
        <v>1022</v>
      </c>
      <c r="T429" s="20">
        <v>4</v>
      </c>
      <c r="U429" s="17"/>
    </row>
    <row r="430" spans="1:21" x14ac:dyDescent="0.35">
      <c r="A430" s="4">
        <v>1856884000143</v>
      </c>
      <c r="B430" s="7"/>
      <c r="C430" s="4"/>
      <c r="D430" s="1" t="s">
        <v>44</v>
      </c>
      <c r="E430" s="1" t="s">
        <v>520</v>
      </c>
      <c r="F430" s="1" t="s">
        <v>48</v>
      </c>
      <c r="G430" s="10" t="s">
        <v>20</v>
      </c>
      <c r="H430" s="1" t="s">
        <v>17</v>
      </c>
      <c r="I430" s="21" t="s">
        <v>1073</v>
      </c>
      <c r="J430" s="18">
        <v>3960.6299038178176</v>
      </c>
      <c r="K430" s="18">
        <f>VLOOKUP(A430,[1]Export!$A:$C,3,0)</f>
        <v>1762.5000000000002</v>
      </c>
      <c r="L430" s="19">
        <f t="shared" si="14"/>
        <v>0.44500497213866219</v>
      </c>
      <c r="M430" s="18">
        <f>VLOOKUP(A430,[1]Export!$A:$G,7,0)</f>
        <v>716.63</v>
      </c>
      <c r="N430" s="19">
        <f t="shared" si="15"/>
        <v>0.18093839045885357</v>
      </c>
      <c r="O430" s="17" t="s">
        <v>1029</v>
      </c>
      <c r="P430" s="17" t="s">
        <v>1026</v>
      </c>
      <c r="Q430" s="17" t="s">
        <v>1022</v>
      </c>
      <c r="R430" s="17" t="str">
        <f>VLOOKUP(A430,[2]Export!$A:$I,9,0)</f>
        <v>Não Comprou</v>
      </c>
      <c r="S430" s="17" t="s">
        <v>1022</v>
      </c>
      <c r="T430" s="20"/>
      <c r="U430" s="17"/>
    </row>
    <row r="431" spans="1:21" x14ac:dyDescent="0.35">
      <c r="A431" s="5">
        <v>2100833000230</v>
      </c>
      <c r="B431" s="7"/>
      <c r="C431" s="4"/>
      <c r="D431" s="6" t="s">
        <v>246</v>
      </c>
      <c r="E431" s="6" t="s">
        <v>125</v>
      </c>
      <c r="F431" s="6" t="s">
        <v>15</v>
      </c>
      <c r="G431" s="11" t="s">
        <v>9</v>
      </c>
      <c r="H431" s="6" t="s">
        <v>10</v>
      </c>
      <c r="I431" s="21" t="s">
        <v>1069</v>
      </c>
      <c r="J431" s="18">
        <v>46280.055044974295</v>
      </c>
      <c r="K431" s="18">
        <f>VLOOKUP(A431,[1]Export!$A:$C,3,0)</f>
        <v>23583.010000000009</v>
      </c>
      <c r="L431" s="19">
        <f t="shared" si="14"/>
        <v>0.50957177940005427</v>
      </c>
      <c r="M431" s="18">
        <f>VLOOKUP(A431,[1]Export!$A:$G,7,0)</f>
        <v>12081.959999999997</v>
      </c>
      <c r="N431" s="19">
        <f t="shared" si="15"/>
        <v>0.26106191940046142</v>
      </c>
      <c r="O431" s="17" t="s">
        <v>1027</v>
      </c>
      <c r="P431" s="17" t="s">
        <v>1028</v>
      </c>
      <c r="Q431" s="17" t="s">
        <v>1023</v>
      </c>
      <c r="R431" s="17" t="str">
        <f>VLOOKUP(A431,[2]Export!$A:$I,9,0)</f>
        <v>Comprou Marcas e SG</v>
      </c>
      <c r="S431" s="17" t="s">
        <v>1022</v>
      </c>
      <c r="T431" s="20"/>
      <c r="U431" s="17"/>
    </row>
    <row r="432" spans="1:21" x14ac:dyDescent="0.35">
      <c r="A432" s="4">
        <v>10341045002399</v>
      </c>
      <c r="B432" s="7" t="s">
        <v>995</v>
      </c>
      <c r="C432" s="4"/>
      <c r="D432" s="1" t="s">
        <v>25</v>
      </c>
      <c r="E432" s="1" t="s">
        <v>260</v>
      </c>
      <c r="F432" s="1" t="s">
        <v>8</v>
      </c>
      <c r="G432" s="10" t="s">
        <v>9</v>
      </c>
      <c r="H432" s="1" t="s">
        <v>10</v>
      </c>
      <c r="I432" s="21" t="s">
        <v>1068</v>
      </c>
      <c r="J432" s="18">
        <v>25826.733267431602</v>
      </c>
      <c r="K432" s="18">
        <f>VLOOKUP(A432,[1]Export!$A:$C,3,0)</f>
        <v>11684.67</v>
      </c>
      <c r="L432" s="19">
        <f t="shared" si="14"/>
        <v>0.45242539499700374</v>
      </c>
      <c r="M432" s="18">
        <f>VLOOKUP(A432,[1]Export!$A:$G,7,0)</f>
        <v>9740.7299999999977</v>
      </c>
      <c r="N432" s="19">
        <f t="shared" si="15"/>
        <v>0.37715687458945468</v>
      </c>
      <c r="O432" s="17" t="s">
        <v>1027</v>
      </c>
      <c r="P432" s="17" t="s">
        <v>1028</v>
      </c>
      <c r="Q432" s="17" t="s">
        <v>1023</v>
      </c>
      <c r="R432" s="17" t="str">
        <f>VLOOKUP(A432,[2]Export!$A:$I,9,0)</f>
        <v>Comprou Marcas e SG</v>
      </c>
      <c r="S432" s="17" t="s">
        <v>1022</v>
      </c>
      <c r="T432" s="20"/>
      <c r="U432" s="17">
        <v>4</v>
      </c>
    </row>
    <row r="433" spans="1:21" x14ac:dyDescent="0.35">
      <c r="A433" s="5">
        <v>4834843002783</v>
      </c>
      <c r="B433" s="7" t="s">
        <v>994</v>
      </c>
      <c r="C433" s="4"/>
      <c r="D433" s="6" t="s">
        <v>91</v>
      </c>
      <c r="E433" s="6" t="s">
        <v>50</v>
      </c>
      <c r="F433" s="6" t="s">
        <v>48</v>
      </c>
      <c r="G433" s="11" t="s">
        <v>92</v>
      </c>
      <c r="H433" s="6" t="s">
        <v>17</v>
      </c>
      <c r="I433" s="21" t="s">
        <v>1073</v>
      </c>
      <c r="J433" s="18">
        <v>3511.8275288576124</v>
      </c>
      <c r="K433" s="18">
        <f>VLOOKUP(A433,[1]Export!$A:$C,3,0)</f>
        <v>966.44999999999993</v>
      </c>
      <c r="L433" s="19">
        <f t="shared" si="14"/>
        <v>0.27519859448063028</v>
      </c>
      <c r="M433" s="18">
        <f>VLOOKUP(A433,[1]Export!$A:$G,7,0)</f>
        <v>1356.4099999999999</v>
      </c>
      <c r="N433" s="19">
        <f t="shared" si="15"/>
        <v>0.38624049411710037</v>
      </c>
      <c r="O433" s="17" t="s">
        <v>1027</v>
      </c>
      <c r="P433" s="17" t="s">
        <v>1028</v>
      </c>
      <c r="Q433" s="17" t="s">
        <v>1023</v>
      </c>
      <c r="R433" s="17" t="str">
        <f>VLOOKUP(A433,[2]Export!$A:$I,9,0)</f>
        <v>Comprou Marcas</v>
      </c>
      <c r="S433" s="17" t="s">
        <v>1022</v>
      </c>
      <c r="T433" s="20"/>
      <c r="U433" s="17"/>
    </row>
    <row r="434" spans="1:21" x14ac:dyDescent="0.35">
      <c r="A434" s="4">
        <v>4834843003240</v>
      </c>
      <c r="B434" s="7" t="s">
        <v>994</v>
      </c>
      <c r="C434" s="4"/>
      <c r="D434" s="1" t="s">
        <v>91</v>
      </c>
      <c r="E434" s="1" t="s">
        <v>521</v>
      </c>
      <c r="F434" s="1" t="s">
        <v>48</v>
      </c>
      <c r="G434" s="10" t="s">
        <v>92</v>
      </c>
      <c r="H434" s="1" t="s">
        <v>17</v>
      </c>
      <c r="I434" s="21" t="s">
        <v>1073</v>
      </c>
      <c r="J434" s="18">
        <v>3079.9245745104172</v>
      </c>
      <c r="K434" s="18">
        <f>VLOOKUP(A434,[1]Export!$A:$C,3,0)</f>
        <v>1911.8300000000002</v>
      </c>
      <c r="L434" s="19">
        <f t="shared" si="14"/>
        <v>0.6207392271299057</v>
      </c>
      <c r="M434" s="18">
        <f>VLOOKUP(A434,[1]Export!$A:$G,7,0)</f>
        <v>1460.42</v>
      </c>
      <c r="N434" s="19">
        <f t="shared" si="15"/>
        <v>0.47417394961113535</v>
      </c>
      <c r="O434" s="17" t="s">
        <v>1027</v>
      </c>
      <c r="P434" s="17" t="s">
        <v>1028</v>
      </c>
      <c r="Q434" s="17" t="s">
        <v>1023</v>
      </c>
      <c r="R434" s="17" t="str">
        <f>VLOOKUP(A434,[2]Export!$A:$I,9,0)</f>
        <v>Comprou Marcas</v>
      </c>
      <c r="S434" s="17" t="s">
        <v>1022</v>
      </c>
      <c r="T434" s="20"/>
      <c r="U434" s="17"/>
    </row>
    <row r="435" spans="1:21" x14ac:dyDescent="0.35">
      <c r="A435" s="5">
        <v>4972853000227</v>
      </c>
      <c r="B435" s="7" t="s">
        <v>135</v>
      </c>
      <c r="C435" s="4"/>
      <c r="D435" s="6" t="s">
        <v>134</v>
      </c>
      <c r="E435" s="6" t="s">
        <v>35</v>
      </c>
      <c r="F435" s="6" t="s">
        <v>8</v>
      </c>
      <c r="G435" s="11" t="s">
        <v>135</v>
      </c>
      <c r="H435" s="6" t="s">
        <v>17</v>
      </c>
      <c r="I435" s="21" t="s">
        <v>1072</v>
      </c>
      <c r="J435" s="18">
        <v>16505.783694397596</v>
      </c>
      <c r="K435" s="18">
        <f>VLOOKUP(A435,[1]Export!$A:$C,3,0)</f>
        <v>5569.9200000000019</v>
      </c>
      <c r="L435" s="19">
        <f t="shared" si="14"/>
        <v>0.33745262285792271</v>
      </c>
      <c r="M435" s="18">
        <f>VLOOKUP(A435,[1]Export!$A:$G,7,0)</f>
        <v>13984.070000000005</v>
      </c>
      <c r="N435" s="19">
        <f t="shared" si="15"/>
        <v>0.84722241966290202</v>
      </c>
      <c r="O435" s="17" t="s">
        <v>1025</v>
      </c>
      <c r="P435" s="17" t="s">
        <v>1026</v>
      </c>
      <c r="Q435" s="17" t="s">
        <v>1022</v>
      </c>
      <c r="R435" s="17" t="str">
        <f>VLOOKUP(A435,[2]Export!$A:$I,9,0)</f>
        <v>Comprou Marcas e SG</v>
      </c>
      <c r="S435" s="17" t="s">
        <v>1022</v>
      </c>
      <c r="T435" s="20">
        <v>4</v>
      </c>
      <c r="U435" s="17"/>
    </row>
    <row r="436" spans="1:21" x14ac:dyDescent="0.35">
      <c r="A436" s="4">
        <v>5112326000205</v>
      </c>
      <c r="B436" s="7" t="s">
        <v>319</v>
      </c>
      <c r="C436" s="4"/>
      <c r="D436" s="1" t="s">
        <v>319</v>
      </c>
      <c r="E436" s="1" t="s">
        <v>155</v>
      </c>
      <c r="F436" s="1" t="s">
        <v>15</v>
      </c>
      <c r="G436" s="10" t="s">
        <v>36</v>
      </c>
      <c r="H436" s="1" t="s">
        <v>17</v>
      </c>
      <c r="I436" s="21" t="s">
        <v>1071</v>
      </c>
      <c r="J436" s="18">
        <v>1270.6820360678298</v>
      </c>
      <c r="K436" s="18">
        <f>VLOOKUP(A436,[1]Export!$A:$C,3,0)</f>
        <v>403.01</v>
      </c>
      <c r="L436" s="19">
        <f t="shared" si="14"/>
        <v>0.31716038203162816</v>
      </c>
      <c r="M436" s="18">
        <f>VLOOKUP(A436,[1]Export!$A:$G,7,0)</f>
        <v>0</v>
      </c>
      <c r="N436" s="19">
        <f t="shared" si="15"/>
        <v>0</v>
      </c>
      <c r="O436" s="17" t="s">
        <v>1025</v>
      </c>
      <c r="P436" s="17" t="s">
        <v>1026</v>
      </c>
      <c r="Q436" s="17" t="s">
        <v>1022</v>
      </c>
      <c r="R436" s="17" t="str">
        <f>VLOOKUP(A436,[2]Export!$A:$I,9,0)</f>
        <v>Não Comprou</v>
      </c>
      <c r="S436" s="17" t="s">
        <v>1022</v>
      </c>
      <c r="T436" s="20"/>
      <c r="U436" s="17"/>
    </row>
    <row r="437" spans="1:21" x14ac:dyDescent="0.35">
      <c r="A437" s="5">
        <v>8087667000428</v>
      </c>
      <c r="B437" s="7" t="s">
        <v>1001</v>
      </c>
      <c r="C437" s="4"/>
      <c r="D437" s="6" t="s">
        <v>218</v>
      </c>
      <c r="E437" s="6" t="s">
        <v>329</v>
      </c>
      <c r="F437" s="6" t="s">
        <v>8</v>
      </c>
      <c r="G437" s="11" t="s">
        <v>36</v>
      </c>
      <c r="H437" s="6" t="s">
        <v>17</v>
      </c>
      <c r="I437" s="21" t="s">
        <v>1072</v>
      </c>
      <c r="J437" s="18">
        <v>7820.4128431296222</v>
      </c>
      <c r="K437" s="18">
        <f>VLOOKUP(A437,[1]Export!$A:$C,3,0)</f>
        <v>2488.3199999999997</v>
      </c>
      <c r="L437" s="19">
        <f t="shared" si="14"/>
        <v>0.31818269059619214</v>
      </c>
      <c r="M437" s="18">
        <f>VLOOKUP(A437,[1]Export!$A:$G,7,0)</f>
        <v>1691.5299999999997</v>
      </c>
      <c r="N437" s="19">
        <f t="shared" si="15"/>
        <v>0.21629676513638793</v>
      </c>
      <c r="O437" s="17" t="s">
        <v>1025</v>
      </c>
      <c r="P437" s="17" t="s">
        <v>1026</v>
      </c>
      <c r="Q437" s="17" t="s">
        <v>1023</v>
      </c>
      <c r="R437" s="17" t="str">
        <f>VLOOKUP(A437,[2]Export!$A:$I,9,0)</f>
        <v>Comprou Marcas</v>
      </c>
      <c r="S437" s="17" t="s">
        <v>1022</v>
      </c>
      <c r="T437" s="20">
        <v>4</v>
      </c>
      <c r="U437" s="17"/>
    </row>
    <row r="438" spans="1:21" x14ac:dyDescent="0.35">
      <c r="A438" s="4">
        <v>8087667000690</v>
      </c>
      <c r="B438" s="7" t="s">
        <v>1001</v>
      </c>
      <c r="C438" s="4"/>
      <c r="D438" s="1" t="s">
        <v>218</v>
      </c>
      <c r="E438" s="1" t="s">
        <v>35</v>
      </c>
      <c r="F438" s="1" t="s">
        <v>8</v>
      </c>
      <c r="G438" s="10" t="s">
        <v>36</v>
      </c>
      <c r="H438" s="1" t="s">
        <v>17</v>
      </c>
      <c r="I438" s="21" t="s">
        <v>1072</v>
      </c>
      <c r="J438" s="18">
        <v>10213.031860593925</v>
      </c>
      <c r="K438" s="18">
        <f>VLOOKUP(A438,[1]Export!$A:$C,3,0)</f>
        <v>8380.58</v>
      </c>
      <c r="L438" s="19">
        <f t="shared" si="14"/>
        <v>0.82057709350107122</v>
      </c>
      <c r="M438" s="18">
        <f>VLOOKUP(A438,[1]Export!$A:$G,7,0)</f>
        <v>7768.6799999999994</v>
      </c>
      <c r="N438" s="19">
        <f t="shared" si="15"/>
        <v>0.7606634451004467</v>
      </c>
      <c r="O438" s="17" t="s">
        <v>1025</v>
      </c>
      <c r="P438" s="17" t="s">
        <v>1026</v>
      </c>
      <c r="Q438" s="17" t="s">
        <v>1023</v>
      </c>
      <c r="R438" s="17" t="str">
        <f>VLOOKUP(A438,[2]Export!$A:$I,9,0)</f>
        <v>Comprou Marcas</v>
      </c>
      <c r="S438" s="17" t="s">
        <v>1022</v>
      </c>
      <c r="T438" s="20">
        <v>4</v>
      </c>
      <c r="U438" s="17"/>
    </row>
    <row r="439" spans="1:21" x14ac:dyDescent="0.35">
      <c r="A439" s="5">
        <v>8793169000158</v>
      </c>
      <c r="B439" s="7"/>
      <c r="C439" s="4"/>
      <c r="D439" s="6" t="s">
        <v>522</v>
      </c>
      <c r="E439" s="6" t="s">
        <v>35</v>
      </c>
      <c r="F439" s="6" t="s">
        <v>8</v>
      </c>
      <c r="G439" s="11" t="s">
        <v>16</v>
      </c>
      <c r="H439" s="6" t="s">
        <v>17</v>
      </c>
      <c r="I439" s="21" t="s">
        <v>1072</v>
      </c>
      <c r="J439" s="18">
        <v>1088.5340733600149</v>
      </c>
      <c r="K439" s="18">
        <f>VLOOKUP(A439,[1]Export!$A:$C,3,0)</f>
        <v>216.7</v>
      </c>
      <c r="L439" s="19">
        <f t="shared" si="14"/>
        <v>0.19907507289239443</v>
      </c>
      <c r="M439" s="18">
        <f>VLOOKUP(A439,[1]Export!$A:$G,7,0)</f>
        <v>0</v>
      </c>
      <c r="N439" s="19">
        <f t="shared" si="15"/>
        <v>0</v>
      </c>
      <c r="O439" s="17" t="s">
        <v>1027</v>
      </c>
      <c r="P439" s="17" t="s">
        <v>1028</v>
      </c>
      <c r="Q439" s="17" t="s">
        <v>1023</v>
      </c>
      <c r="R439" s="17" t="str">
        <f>VLOOKUP(A439,[2]Export!$A:$I,9,0)</f>
        <v>Não Comprou</v>
      </c>
      <c r="S439" s="17" t="s">
        <v>1022</v>
      </c>
      <c r="T439" s="20"/>
      <c r="U439" s="17"/>
    </row>
    <row r="440" spans="1:21" x14ac:dyDescent="0.35">
      <c r="A440" s="4">
        <v>8984188000161</v>
      </c>
      <c r="B440" s="7"/>
      <c r="C440" s="4"/>
      <c r="D440" s="1" t="s">
        <v>523</v>
      </c>
      <c r="E440" s="1" t="s">
        <v>524</v>
      </c>
      <c r="F440" s="1" t="s">
        <v>15</v>
      </c>
      <c r="G440" s="10" t="s">
        <v>33</v>
      </c>
      <c r="H440" s="1" t="s">
        <v>17</v>
      </c>
      <c r="I440" s="21" t="s">
        <v>1071</v>
      </c>
      <c r="J440" s="18">
        <v>7095.2950331920101</v>
      </c>
      <c r="K440" s="18">
        <f>VLOOKUP(A440,[1]Export!$A:$C,3,0)</f>
        <v>1441.48</v>
      </c>
      <c r="L440" s="19">
        <f t="shared" si="14"/>
        <v>0.20315998041754599</v>
      </c>
      <c r="M440" s="18">
        <f>VLOOKUP(A440,[1]Export!$A:$G,7,0)</f>
        <v>908.59999999999991</v>
      </c>
      <c r="N440" s="19">
        <f t="shared" si="15"/>
        <v>0.12805669048990084</v>
      </c>
      <c r="O440" s="17" t="s">
        <v>1027</v>
      </c>
      <c r="P440" s="17" t="s">
        <v>1026</v>
      </c>
      <c r="Q440" s="17" t="s">
        <v>1023</v>
      </c>
      <c r="R440" s="17" t="str">
        <f>VLOOKUP(A440,[2]Export!$A:$I,9,0)</f>
        <v>Comprou Marcas e SG</v>
      </c>
      <c r="S440" s="17" t="s">
        <v>1022</v>
      </c>
      <c r="T440" s="20"/>
      <c r="U440" s="17"/>
    </row>
    <row r="441" spans="1:21" x14ac:dyDescent="0.35">
      <c r="A441" s="4">
        <v>10341045001236</v>
      </c>
      <c r="B441" s="7" t="s">
        <v>995</v>
      </c>
      <c r="C441" s="4"/>
      <c r="D441" s="1" t="s">
        <v>25</v>
      </c>
      <c r="E441" s="1" t="s">
        <v>122</v>
      </c>
      <c r="F441" s="1" t="s">
        <v>8</v>
      </c>
      <c r="G441" s="10" t="s">
        <v>9</v>
      </c>
      <c r="H441" s="1" t="s">
        <v>10</v>
      </c>
      <c r="I441" s="21" t="s">
        <v>1068</v>
      </c>
      <c r="J441" s="18">
        <v>11715.237979006666</v>
      </c>
      <c r="K441" s="18">
        <f>VLOOKUP(A441,[1]Export!$A:$C,3,0)</f>
        <v>4422.66</v>
      </c>
      <c r="L441" s="19">
        <f t="shared" si="14"/>
        <v>0.37751345793617391</v>
      </c>
      <c r="M441" s="18">
        <f>VLOOKUP(A441,[1]Export!$A:$G,7,0)</f>
        <v>3732.9399999999996</v>
      </c>
      <c r="N441" s="19">
        <f t="shared" si="15"/>
        <v>0.31863970725044677</v>
      </c>
      <c r="O441" s="17" t="s">
        <v>1027</v>
      </c>
      <c r="P441" s="17" t="s">
        <v>1028</v>
      </c>
      <c r="Q441" s="17" t="s">
        <v>1023</v>
      </c>
      <c r="R441" s="17" t="str">
        <f>VLOOKUP(A441,[2]Export!$A:$I,9,0)</f>
        <v>Comprou Marcas e SG</v>
      </c>
      <c r="S441" s="17" t="s">
        <v>1022</v>
      </c>
      <c r="T441" s="20">
        <v>3</v>
      </c>
      <c r="U441" s="17">
        <v>1</v>
      </c>
    </row>
    <row r="442" spans="1:21" x14ac:dyDescent="0.35">
      <c r="A442" s="4">
        <v>9539583000106</v>
      </c>
      <c r="B442" s="7"/>
      <c r="C442" s="4">
        <v>148178</v>
      </c>
      <c r="D442" s="1" t="s">
        <v>66</v>
      </c>
      <c r="E442" s="1" t="s">
        <v>35</v>
      </c>
      <c r="F442" s="1" t="s">
        <v>8</v>
      </c>
      <c r="G442" s="10" t="s">
        <v>20</v>
      </c>
      <c r="H442" s="1" t="s">
        <v>17</v>
      </c>
      <c r="I442" s="21" t="s">
        <v>1072</v>
      </c>
      <c r="J442" s="18">
        <v>10190.486830563277</v>
      </c>
      <c r="K442" s="18">
        <f>VLOOKUP(A442,[1]Export!$A:$C,3,0)</f>
        <v>586.8599999999999</v>
      </c>
      <c r="L442" s="19">
        <f t="shared" si="14"/>
        <v>5.7589005290688486E-2</v>
      </c>
      <c r="M442" s="18">
        <f>VLOOKUP(A442,[1]Export!$A:$G,7,0)</f>
        <v>0</v>
      </c>
      <c r="N442" s="19">
        <f t="shared" si="15"/>
        <v>0</v>
      </c>
      <c r="O442" s="17" t="s">
        <v>1027</v>
      </c>
      <c r="P442" s="17" t="s">
        <v>1028</v>
      </c>
      <c r="Q442" s="17" t="s">
        <v>1023</v>
      </c>
      <c r="R442" s="17" t="str">
        <f>VLOOKUP(A442,[2]Export!$A:$I,9,0)</f>
        <v>Não Comprou</v>
      </c>
      <c r="S442" s="17" t="s">
        <v>1022</v>
      </c>
      <c r="T442" s="20"/>
      <c r="U442" s="17"/>
    </row>
    <row r="443" spans="1:21" x14ac:dyDescent="0.35">
      <c r="A443" s="5">
        <v>9652569000106</v>
      </c>
      <c r="B443" s="7"/>
      <c r="C443" s="4"/>
      <c r="D443" s="6" t="s">
        <v>525</v>
      </c>
      <c r="E443" s="6" t="s">
        <v>30</v>
      </c>
      <c r="F443" s="6" t="s">
        <v>15</v>
      </c>
      <c r="G443" s="11" t="s">
        <v>33</v>
      </c>
      <c r="H443" s="6" t="s">
        <v>17</v>
      </c>
      <c r="I443" s="21" t="s">
        <v>1071</v>
      </c>
      <c r="J443" s="18">
        <v>3203.6849446255333</v>
      </c>
      <c r="K443" s="18">
        <f>VLOOKUP(A443,[1]Export!$A:$C,3,0)</f>
        <v>4086.44</v>
      </c>
      <c r="L443" s="19">
        <f t="shared" si="14"/>
        <v>1.2755436538338039</v>
      </c>
      <c r="M443" s="18">
        <f>VLOOKUP(A443,[1]Export!$A:$G,7,0)</f>
        <v>2893.69</v>
      </c>
      <c r="N443" s="19">
        <f t="shared" si="15"/>
        <v>0.90323800561426071</v>
      </c>
      <c r="O443" s="17" t="s">
        <v>1027</v>
      </c>
      <c r="P443" s="17" t="s">
        <v>1026</v>
      </c>
      <c r="Q443" s="17" t="s">
        <v>1023</v>
      </c>
      <c r="R443" s="17" t="str">
        <f>VLOOKUP(A443,[2]Export!$A:$I,9,0)</f>
        <v>Comprou Marcas</v>
      </c>
      <c r="S443" s="17" t="s">
        <v>1022</v>
      </c>
      <c r="T443" s="20"/>
      <c r="U443" s="17"/>
    </row>
    <row r="444" spans="1:21" x14ac:dyDescent="0.35">
      <c r="A444" s="4">
        <v>10299122000184</v>
      </c>
      <c r="B444" s="7"/>
      <c r="C444" s="4"/>
      <c r="D444" s="1" t="s">
        <v>526</v>
      </c>
      <c r="E444" s="1" t="s">
        <v>19</v>
      </c>
      <c r="F444" s="1" t="s">
        <v>15</v>
      </c>
      <c r="G444" s="10" t="s">
        <v>20</v>
      </c>
      <c r="H444" s="1" t="s">
        <v>17</v>
      </c>
      <c r="I444" s="21" t="s">
        <v>1069</v>
      </c>
      <c r="J444" s="18">
        <v>8040.6225288025944</v>
      </c>
      <c r="K444" s="18">
        <f>VLOOKUP(A444,[1]Export!$A:$C,3,0)</f>
        <v>3192.0399999999995</v>
      </c>
      <c r="L444" s="19">
        <f t="shared" si="14"/>
        <v>0.39698916204133222</v>
      </c>
      <c r="M444" s="18">
        <f>VLOOKUP(A444,[1]Export!$A:$G,7,0)</f>
        <v>548.76</v>
      </c>
      <c r="N444" s="19">
        <f t="shared" si="15"/>
        <v>6.8248446937319546E-2</v>
      </c>
      <c r="O444" s="17" t="s">
        <v>1025</v>
      </c>
      <c r="P444" s="17" t="s">
        <v>1026</v>
      </c>
      <c r="Q444" s="17" t="s">
        <v>1023</v>
      </c>
      <c r="R444" s="17" t="str">
        <f>VLOOKUP(A444,[2]Export!$A:$I,9,0)</f>
        <v>Comprou Marcas</v>
      </c>
      <c r="S444" s="17" t="s">
        <v>1022</v>
      </c>
      <c r="T444" s="20">
        <v>4</v>
      </c>
      <c r="U444" s="17"/>
    </row>
    <row r="445" spans="1:21" x14ac:dyDescent="0.35">
      <c r="A445" s="5">
        <v>10322682000102</v>
      </c>
      <c r="B445" s="7"/>
      <c r="C445" s="4"/>
      <c r="D445" s="6" t="s">
        <v>527</v>
      </c>
      <c r="E445" s="6" t="s">
        <v>94</v>
      </c>
      <c r="F445" s="6" t="s">
        <v>15</v>
      </c>
      <c r="G445" s="11" t="s">
        <v>36</v>
      </c>
      <c r="H445" s="6" t="s">
        <v>17</v>
      </c>
      <c r="I445" s="21" t="s">
        <v>1071</v>
      </c>
      <c r="J445" s="18">
        <v>2180.5748598138794</v>
      </c>
      <c r="K445" s="18">
        <f>VLOOKUP(A445,[1]Export!$A:$C,3,0)</f>
        <v>1496.8899999999999</v>
      </c>
      <c r="L445" s="19">
        <f t="shared" si="14"/>
        <v>0.68646576991526231</v>
      </c>
      <c r="M445" s="18">
        <f>VLOOKUP(A445,[1]Export!$A:$G,7,0)</f>
        <v>819.77</v>
      </c>
      <c r="N445" s="19">
        <f t="shared" si="15"/>
        <v>0.37594214952563959</v>
      </c>
      <c r="O445" s="17" t="s">
        <v>1025</v>
      </c>
      <c r="P445" s="17" t="s">
        <v>1026</v>
      </c>
      <c r="Q445" s="17" t="s">
        <v>1023</v>
      </c>
      <c r="R445" s="17" t="str">
        <f>VLOOKUP(A445,[2]Export!$A:$I,9,0)</f>
        <v>Comprou Marcas</v>
      </c>
      <c r="S445" s="17" t="s">
        <v>1023</v>
      </c>
      <c r="T445" s="20"/>
      <c r="U445" s="17"/>
    </row>
    <row r="446" spans="1:21" x14ac:dyDescent="0.35">
      <c r="A446" s="5">
        <v>10341045001589</v>
      </c>
      <c r="B446" s="7" t="s">
        <v>995</v>
      </c>
      <c r="C446" s="4"/>
      <c r="D446" s="6" t="s">
        <v>25</v>
      </c>
      <c r="E446" s="6" t="s">
        <v>115</v>
      </c>
      <c r="F446" s="6" t="s">
        <v>8</v>
      </c>
      <c r="G446" s="11" t="s">
        <v>9</v>
      </c>
      <c r="H446" s="6" t="s">
        <v>10</v>
      </c>
      <c r="I446" s="21" t="s">
        <v>1068</v>
      </c>
      <c r="J446" s="18">
        <v>2960.1982748918263</v>
      </c>
      <c r="K446" s="18">
        <f>VLOOKUP(A446,[1]Export!$A:$C,3,0)</f>
        <v>818.79000000000019</v>
      </c>
      <c r="L446" s="19">
        <f t="shared" si="14"/>
        <v>0.27659971527749133</v>
      </c>
      <c r="M446" s="18">
        <f>VLOOKUP(A446,[1]Export!$A:$G,7,0)</f>
        <v>1633.88</v>
      </c>
      <c r="N446" s="19">
        <f t="shared" si="15"/>
        <v>0.55194951428032524</v>
      </c>
      <c r="O446" s="17" t="s">
        <v>1027</v>
      </c>
      <c r="P446" s="17" t="s">
        <v>1028</v>
      </c>
      <c r="Q446" s="17" t="s">
        <v>1023</v>
      </c>
      <c r="R446" s="17" t="str">
        <f>VLOOKUP(A446,[2]Export!$A:$I,9,0)</f>
        <v>Comprou Marcas e SG</v>
      </c>
      <c r="S446" s="17" t="s">
        <v>1022</v>
      </c>
      <c r="T446" s="20"/>
      <c r="U446" s="17"/>
    </row>
    <row r="447" spans="1:21" x14ac:dyDescent="0.35">
      <c r="A447" s="5">
        <v>11210256000140</v>
      </c>
      <c r="B447" s="7"/>
      <c r="C447" s="4"/>
      <c r="D447" s="6" t="s">
        <v>528</v>
      </c>
      <c r="E447" s="6" t="s">
        <v>291</v>
      </c>
      <c r="F447" s="6" t="s">
        <v>8</v>
      </c>
      <c r="G447" s="11" t="s">
        <v>33</v>
      </c>
      <c r="H447" s="6" t="s">
        <v>17</v>
      </c>
      <c r="I447" s="21" t="s">
        <v>1068</v>
      </c>
      <c r="J447" s="18">
        <v>2766.1220977640392</v>
      </c>
      <c r="K447" s="18">
        <f>VLOOKUP(A447,[1]Export!$A:$C,3,0)</f>
        <v>1877.0900000000001</v>
      </c>
      <c r="L447" s="19">
        <f t="shared" si="14"/>
        <v>0.6785998353136049</v>
      </c>
      <c r="M447" s="18">
        <f>VLOOKUP(A447,[1]Export!$A:$G,7,0)</f>
        <v>1143.3500000000001</v>
      </c>
      <c r="N447" s="19">
        <f t="shared" si="15"/>
        <v>0.41334039481634344</v>
      </c>
      <c r="O447" s="17" t="s">
        <v>1027</v>
      </c>
      <c r="P447" s="17" t="s">
        <v>1026</v>
      </c>
      <c r="Q447" s="17" t="s">
        <v>1023</v>
      </c>
      <c r="R447" s="17" t="str">
        <f>VLOOKUP(A447,[2]Export!$A:$I,9,0)</f>
        <v>Comprou Marcas</v>
      </c>
      <c r="S447" s="17" t="s">
        <v>1022</v>
      </c>
      <c r="T447" s="20"/>
      <c r="U447" s="17"/>
    </row>
    <row r="448" spans="1:21" x14ac:dyDescent="0.35">
      <c r="A448" s="4">
        <v>11740637000130</v>
      </c>
      <c r="B448" s="7"/>
      <c r="C448" s="4"/>
      <c r="D448" s="1" t="s">
        <v>529</v>
      </c>
      <c r="E448" s="1" t="s">
        <v>115</v>
      </c>
      <c r="F448" s="1" t="s">
        <v>8</v>
      </c>
      <c r="G448" s="10" t="s">
        <v>279</v>
      </c>
      <c r="H448" s="1" t="s">
        <v>17</v>
      </c>
      <c r="I448" s="21" t="s">
        <v>1068</v>
      </c>
      <c r="J448" s="18">
        <v>5702.1742904174971</v>
      </c>
      <c r="K448" s="18">
        <f>VLOOKUP(A448,[1]Export!$A:$C,3,0)</f>
        <v>2212.1899999999996</v>
      </c>
      <c r="L448" s="19">
        <f t="shared" si="14"/>
        <v>0.38795552140831341</v>
      </c>
      <c r="M448" s="18">
        <f>VLOOKUP(A448,[1]Export!$A:$G,7,0)</f>
        <v>1402.07</v>
      </c>
      <c r="N448" s="19">
        <f t="shared" si="15"/>
        <v>0.24588339966320888</v>
      </c>
      <c r="O448" s="17" t="s">
        <v>1027</v>
      </c>
      <c r="P448" s="17" t="s">
        <v>1028</v>
      </c>
      <c r="Q448" s="17" t="s">
        <v>1023</v>
      </c>
      <c r="R448" s="17" t="str">
        <f>VLOOKUP(A448,[2]Export!$A:$I,9,0)</f>
        <v>Comprou Marcas</v>
      </c>
      <c r="S448" s="17" t="s">
        <v>1022</v>
      </c>
      <c r="T448" s="20"/>
      <c r="U448" s="17"/>
    </row>
    <row r="449" spans="1:21" x14ac:dyDescent="0.35">
      <c r="A449" s="5">
        <v>11751725000138</v>
      </c>
      <c r="B449" s="7"/>
      <c r="C449" s="4"/>
      <c r="D449" s="6" t="s">
        <v>154</v>
      </c>
      <c r="E449" s="6" t="s">
        <v>530</v>
      </c>
      <c r="F449" s="6" t="s">
        <v>48</v>
      </c>
      <c r="G449" s="11" t="s">
        <v>352</v>
      </c>
      <c r="H449" s="6" t="s">
        <v>17</v>
      </c>
      <c r="I449" s="21" t="s">
        <v>1073</v>
      </c>
      <c r="J449" s="18">
        <v>1548.3511081432562</v>
      </c>
      <c r="K449" s="18">
        <f>VLOOKUP(A449,[1]Export!$A:$C,3,0)</f>
        <v>551.01</v>
      </c>
      <c r="L449" s="19">
        <f t="shared" si="14"/>
        <v>0.35586889633886554</v>
      </c>
      <c r="M449" s="18">
        <f>VLOOKUP(A449,[1]Export!$A:$G,7,0)</f>
        <v>80.010000000000005</v>
      </c>
      <c r="N449" s="19">
        <f t="shared" si="15"/>
        <v>5.167432604866088E-2</v>
      </c>
      <c r="O449" s="17" t="s">
        <v>1025</v>
      </c>
      <c r="P449" s="17" t="s">
        <v>1026</v>
      </c>
      <c r="Q449" s="17" t="s">
        <v>1022</v>
      </c>
      <c r="R449" s="17" t="str">
        <f>VLOOKUP(A449,[2]Export!$A:$I,9,0)</f>
        <v>Comprou Marcas</v>
      </c>
      <c r="S449" s="17" t="s">
        <v>1022</v>
      </c>
      <c r="T449" s="20"/>
      <c r="U449" s="17"/>
    </row>
    <row r="450" spans="1:21" x14ac:dyDescent="0.35">
      <c r="A450" s="4">
        <v>5778971000180</v>
      </c>
      <c r="B450" s="7"/>
      <c r="C450" s="4"/>
      <c r="D450" s="1" t="s">
        <v>531</v>
      </c>
      <c r="E450" s="1" t="s">
        <v>110</v>
      </c>
      <c r="F450" s="1" t="s">
        <v>15</v>
      </c>
      <c r="G450" s="10" t="s">
        <v>87</v>
      </c>
      <c r="H450" s="1" t="s">
        <v>17</v>
      </c>
      <c r="I450" s="21" t="s">
        <v>1071</v>
      </c>
      <c r="J450" s="18">
        <v>5359.3023038463225</v>
      </c>
      <c r="K450" s="18">
        <f>VLOOKUP(A450,[1]Export!$A:$C,3,0)</f>
        <v>2923.49</v>
      </c>
      <c r="L450" s="19">
        <f t="shared" si="14"/>
        <v>0.54549824478119802</v>
      </c>
      <c r="M450" s="18">
        <f>VLOOKUP(A450,[1]Export!$A:$G,7,0)</f>
        <v>1530.03</v>
      </c>
      <c r="N450" s="19">
        <f t="shared" si="15"/>
        <v>0.28549051970849104</v>
      </c>
      <c r="O450" s="17"/>
      <c r="P450" s="17"/>
      <c r="Q450" s="17"/>
      <c r="R450" s="17" t="str">
        <f>VLOOKUP(A450,[2]Export!$A:$I,9,0)</f>
        <v>Comprou Marcas</v>
      </c>
      <c r="S450" s="17"/>
      <c r="T450" s="20"/>
      <c r="U450" s="17"/>
    </row>
    <row r="451" spans="1:21" x14ac:dyDescent="0.35">
      <c r="A451" s="5">
        <v>24920461000221</v>
      </c>
      <c r="B451" s="7"/>
      <c r="C451" s="4"/>
      <c r="D451" s="6" t="s">
        <v>532</v>
      </c>
      <c r="E451" s="6" t="s">
        <v>260</v>
      </c>
      <c r="F451" s="6" t="s">
        <v>8</v>
      </c>
      <c r="G451" s="11" t="s">
        <v>64</v>
      </c>
      <c r="H451" s="6" t="s">
        <v>17</v>
      </c>
      <c r="I451" s="21" t="s">
        <v>1068</v>
      </c>
      <c r="J451" s="18">
        <v>3494.1720957151965</v>
      </c>
      <c r="K451" s="18">
        <f>VLOOKUP(A451,[1]Export!$A:$C,3,0)</f>
        <v>2273.8200000000002</v>
      </c>
      <c r="L451" s="19">
        <f t="shared" si="14"/>
        <v>0.65074642510834557</v>
      </c>
      <c r="M451" s="18">
        <f>VLOOKUP(A451,[1]Export!$A:$G,7,0)</f>
        <v>2853.3399999999997</v>
      </c>
      <c r="N451" s="19">
        <f t="shared" si="15"/>
        <v>0.81659973288063548</v>
      </c>
      <c r="O451" s="17" t="s">
        <v>1029</v>
      </c>
      <c r="P451" s="17" t="s">
        <v>1026</v>
      </c>
      <c r="Q451" s="17" t="s">
        <v>1022</v>
      </c>
      <c r="R451" s="17" t="str">
        <f>VLOOKUP(A451,[2]Export!$A:$I,9,0)</f>
        <v>Comprou Marcas</v>
      </c>
      <c r="S451" s="17" t="s">
        <v>1022</v>
      </c>
      <c r="T451" s="20"/>
      <c r="U451" s="17"/>
    </row>
    <row r="452" spans="1:21" x14ac:dyDescent="0.35">
      <c r="A452" s="4">
        <v>27127481000157</v>
      </c>
      <c r="B452" s="7"/>
      <c r="C452" s="4"/>
      <c r="D452" s="1" t="s">
        <v>533</v>
      </c>
      <c r="E452" s="1" t="s">
        <v>61</v>
      </c>
      <c r="F452" s="1" t="s">
        <v>8</v>
      </c>
      <c r="G452" s="10" t="s">
        <v>20</v>
      </c>
      <c r="H452" s="1" t="s">
        <v>17</v>
      </c>
      <c r="I452" s="21" t="s">
        <v>1068</v>
      </c>
      <c r="J452" s="18">
        <v>1547.4911264007335</v>
      </c>
      <c r="K452" s="18">
        <f>VLOOKUP(A452,[1]Export!$A:$C,3,0)</f>
        <v>1039.78</v>
      </c>
      <c r="L452" s="19">
        <f t="shared" si="14"/>
        <v>0.67191338435548598</v>
      </c>
      <c r="M452" s="18">
        <f>VLOOKUP(A452,[1]Export!$A:$G,7,0)</f>
        <v>679.21</v>
      </c>
      <c r="N452" s="19">
        <f t="shared" si="15"/>
        <v>0.43891043277240344</v>
      </c>
      <c r="O452" s="17" t="s">
        <v>1027</v>
      </c>
      <c r="P452" s="17" t="s">
        <v>1028</v>
      </c>
      <c r="Q452" s="17" t="s">
        <v>1023</v>
      </c>
      <c r="R452" s="17" t="str">
        <f>VLOOKUP(A452,[2]Export!$A:$I,9,0)</f>
        <v>Comprou Marcas</v>
      </c>
      <c r="S452" s="17" t="s">
        <v>1022</v>
      </c>
      <c r="T452" s="20"/>
      <c r="U452" s="17"/>
    </row>
    <row r="453" spans="1:21" x14ac:dyDescent="0.35">
      <c r="A453" s="5">
        <v>29303719000183</v>
      </c>
      <c r="B453" s="7"/>
      <c r="C453" s="4"/>
      <c r="D453" s="6" t="s">
        <v>534</v>
      </c>
      <c r="E453" s="6" t="s">
        <v>127</v>
      </c>
      <c r="F453" s="6" t="s">
        <v>8</v>
      </c>
      <c r="G453" s="11" t="s">
        <v>74</v>
      </c>
      <c r="H453" s="6" t="s">
        <v>17</v>
      </c>
      <c r="I453" s="21" t="s">
        <v>1070</v>
      </c>
      <c r="J453" s="18">
        <v>11465.88587581269</v>
      </c>
      <c r="K453" s="18">
        <f>VLOOKUP(A453,[1]Export!$A:$C,3,0)</f>
        <v>3608.16</v>
      </c>
      <c r="L453" s="19">
        <f t="shared" si="14"/>
        <v>0.31468654398622797</v>
      </c>
      <c r="M453" s="18">
        <f>VLOOKUP(A453,[1]Export!$A:$G,7,0)</f>
        <v>0</v>
      </c>
      <c r="N453" s="19">
        <f t="shared" si="15"/>
        <v>0</v>
      </c>
      <c r="O453" s="17" t="s">
        <v>1027</v>
      </c>
      <c r="P453" s="17" t="s">
        <v>1026</v>
      </c>
      <c r="Q453" s="17" t="s">
        <v>1023</v>
      </c>
      <c r="R453" s="17" t="str">
        <f>VLOOKUP(A453,[2]Export!$A:$I,9,0)</f>
        <v>Não Comprou</v>
      </c>
      <c r="S453" s="17" t="s">
        <v>1022</v>
      </c>
      <c r="T453" s="20"/>
      <c r="U453" s="17"/>
    </row>
    <row r="454" spans="1:21" x14ac:dyDescent="0.35">
      <c r="A454" s="4">
        <v>30425108000278</v>
      </c>
      <c r="B454" s="7"/>
      <c r="C454" s="4"/>
      <c r="D454" s="1" t="s">
        <v>237</v>
      </c>
      <c r="E454" s="1" t="s">
        <v>35</v>
      </c>
      <c r="F454" s="1" t="s">
        <v>8</v>
      </c>
      <c r="G454" s="10" t="s">
        <v>20</v>
      </c>
      <c r="H454" s="1" t="s">
        <v>17</v>
      </c>
      <c r="I454" s="21" t="s">
        <v>1072</v>
      </c>
      <c r="J454" s="18">
        <v>1859.0493759993724</v>
      </c>
      <c r="K454" s="18">
        <f>VLOOKUP(A454,[1]Export!$A:$C,3,0)</f>
        <v>349.21000000000004</v>
      </c>
      <c r="L454" s="19">
        <f t="shared" si="14"/>
        <v>0.18784331632519152</v>
      </c>
      <c r="M454" s="18">
        <f>VLOOKUP(A454,[1]Export!$A:$G,7,0)</f>
        <v>0</v>
      </c>
      <c r="N454" s="19">
        <f t="shared" si="15"/>
        <v>0</v>
      </c>
      <c r="O454" s="17" t="s">
        <v>1025</v>
      </c>
      <c r="P454" s="17" t="s">
        <v>1026</v>
      </c>
      <c r="Q454" s="17" t="s">
        <v>1023</v>
      </c>
      <c r="R454" s="17" t="str">
        <f>VLOOKUP(A454,[2]Export!$A:$I,9,0)</f>
        <v>Não Comprou</v>
      </c>
      <c r="S454" s="17" t="s">
        <v>1023</v>
      </c>
      <c r="T454" s="20"/>
      <c r="U454" s="17"/>
    </row>
    <row r="455" spans="1:21" x14ac:dyDescent="0.35">
      <c r="A455" s="5">
        <v>30879844000115</v>
      </c>
      <c r="B455" s="7"/>
      <c r="C455" s="4"/>
      <c r="D455" s="6" t="s">
        <v>535</v>
      </c>
      <c r="E455" s="6" t="s">
        <v>155</v>
      </c>
      <c r="F455" s="6" t="s">
        <v>15</v>
      </c>
      <c r="G455" s="11" t="s">
        <v>64</v>
      </c>
      <c r="H455" s="6" t="s">
        <v>17</v>
      </c>
      <c r="I455" s="21" t="s">
        <v>1071</v>
      </c>
      <c r="J455" s="18">
        <v>6184.4495874559689</v>
      </c>
      <c r="K455" s="18">
        <f>VLOOKUP(A455,[1]Export!$A:$C,3,0)</f>
        <v>5250.2399999999989</v>
      </c>
      <c r="L455" s="19">
        <f t="shared" si="14"/>
        <v>0.84894216142519063</v>
      </c>
      <c r="M455" s="18">
        <f>VLOOKUP(A455,[1]Export!$A:$G,7,0)</f>
        <v>0</v>
      </c>
      <c r="N455" s="19">
        <f t="shared" si="15"/>
        <v>0</v>
      </c>
      <c r="O455" s="17" t="s">
        <v>1029</v>
      </c>
      <c r="P455" s="17" t="s">
        <v>1026</v>
      </c>
      <c r="Q455" s="17" t="s">
        <v>1022</v>
      </c>
      <c r="R455" s="17" t="str">
        <f>VLOOKUP(A455,[2]Export!$A:$I,9,0)</f>
        <v>Não Comprou</v>
      </c>
      <c r="S455" s="17" t="s">
        <v>1022</v>
      </c>
      <c r="T455" s="20"/>
      <c r="U455" s="17"/>
    </row>
    <row r="456" spans="1:21" x14ac:dyDescent="0.35">
      <c r="A456" s="4">
        <v>18666741000171</v>
      </c>
      <c r="B456" s="7"/>
      <c r="C456" s="4"/>
      <c r="D456" s="1" t="s">
        <v>536</v>
      </c>
      <c r="E456" s="1" t="s">
        <v>270</v>
      </c>
      <c r="F456" s="1" t="s">
        <v>48</v>
      </c>
      <c r="G456" s="10" t="s">
        <v>9</v>
      </c>
      <c r="H456" s="1" t="s">
        <v>10</v>
      </c>
      <c r="I456" s="21" t="s">
        <v>1075</v>
      </c>
      <c r="J456" s="18">
        <v>45417.124825951068</v>
      </c>
      <c r="K456" s="18">
        <f>VLOOKUP(A456,[1]Export!$A:$C,3,0)</f>
        <v>20816.639999999989</v>
      </c>
      <c r="L456" s="19">
        <f t="shared" si="14"/>
        <v>0.45834341296975911</v>
      </c>
      <c r="M456" s="18">
        <f>VLOOKUP(A456,[1]Export!$A:$G,7,0)</f>
        <v>4746.6699999999992</v>
      </c>
      <c r="N456" s="19">
        <f t="shared" si="15"/>
        <v>0.10451278054677254</v>
      </c>
      <c r="O456" s="17" t="s">
        <v>1027</v>
      </c>
      <c r="P456" s="17" t="s">
        <v>1028</v>
      </c>
      <c r="Q456" s="17" t="s">
        <v>1023</v>
      </c>
      <c r="R456" s="17" t="str">
        <f>VLOOKUP(A456,[2]Export!$A:$I,9,0)</f>
        <v>Comprou Marcas e SG</v>
      </c>
      <c r="S456" s="17" t="s">
        <v>1022</v>
      </c>
      <c r="T456" s="20"/>
      <c r="U456" s="17"/>
    </row>
    <row r="457" spans="1:21" x14ac:dyDescent="0.35">
      <c r="A457" s="5">
        <v>20103913000140</v>
      </c>
      <c r="B457" s="7" t="s">
        <v>1007</v>
      </c>
      <c r="C457" s="4"/>
      <c r="D457" s="6" t="s">
        <v>537</v>
      </c>
      <c r="E457" s="6" t="s">
        <v>203</v>
      </c>
      <c r="F457" s="6" t="s">
        <v>8</v>
      </c>
      <c r="G457" s="11" t="s">
        <v>36</v>
      </c>
      <c r="H457" s="6" t="s">
        <v>17</v>
      </c>
      <c r="I457" s="21" t="s">
        <v>1074</v>
      </c>
      <c r="J457" s="18">
        <v>14437.915320429172</v>
      </c>
      <c r="K457" s="18">
        <f>VLOOKUP(A457,[1]Export!$A:$C,3,0)</f>
        <v>2954.01</v>
      </c>
      <c r="L457" s="19">
        <f t="shared" si="14"/>
        <v>0.20460086753800072</v>
      </c>
      <c r="M457" s="18">
        <f>VLOOKUP(A457,[1]Export!$A:$G,7,0)</f>
        <v>8153.5300000000016</v>
      </c>
      <c r="N457" s="19">
        <f t="shared" si="15"/>
        <v>0.56473042118920214</v>
      </c>
      <c r="O457" s="17" t="s">
        <v>1029</v>
      </c>
      <c r="P457" s="17" t="s">
        <v>1026</v>
      </c>
      <c r="Q457" s="17" t="s">
        <v>1022</v>
      </c>
      <c r="R457" s="17" t="str">
        <f>VLOOKUP(A457,[2]Export!$A:$I,9,0)</f>
        <v>Comprou Marcas</v>
      </c>
      <c r="S457" s="17" t="s">
        <v>1022</v>
      </c>
      <c r="T457" s="20"/>
      <c r="U457" s="17"/>
    </row>
    <row r="458" spans="1:21" x14ac:dyDescent="0.35">
      <c r="A458" s="4">
        <v>21996240000168</v>
      </c>
      <c r="B458" s="7"/>
      <c r="C458" s="4"/>
      <c r="D458" s="1" t="s">
        <v>538</v>
      </c>
      <c r="E458" s="1" t="s">
        <v>24</v>
      </c>
      <c r="F458" s="1" t="s">
        <v>15</v>
      </c>
      <c r="G458" s="10" t="s">
        <v>36</v>
      </c>
      <c r="H458" s="1" t="s">
        <v>17</v>
      </c>
      <c r="I458" s="21" t="s">
        <v>1071</v>
      </c>
      <c r="J458" s="18">
        <v>3856.6040082856234</v>
      </c>
      <c r="K458" s="18">
        <f>VLOOKUP(A458,[1]Export!$A:$C,3,0)</f>
        <v>678.31999999999994</v>
      </c>
      <c r="L458" s="19">
        <f t="shared" si="14"/>
        <v>0.17588531219245754</v>
      </c>
      <c r="M458" s="18">
        <f>VLOOKUP(A458,[1]Export!$A:$G,7,0)</f>
        <v>0</v>
      </c>
      <c r="N458" s="19">
        <f t="shared" si="15"/>
        <v>0</v>
      </c>
      <c r="O458" s="17" t="s">
        <v>1025</v>
      </c>
      <c r="P458" s="17" t="s">
        <v>1026</v>
      </c>
      <c r="Q458" s="17" t="s">
        <v>1023</v>
      </c>
      <c r="R458" s="17" t="str">
        <f>VLOOKUP(A458,[2]Export!$A:$I,9,0)</f>
        <v>Não Comprou</v>
      </c>
      <c r="S458" s="17" t="s">
        <v>1023</v>
      </c>
      <c r="T458" s="20"/>
      <c r="U458" s="17"/>
    </row>
    <row r="459" spans="1:21" x14ac:dyDescent="0.35">
      <c r="A459" s="5">
        <v>23202523000116</v>
      </c>
      <c r="B459" s="7"/>
      <c r="C459" s="4"/>
      <c r="D459" s="6" t="s">
        <v>539</v>
      </c>
      <c r="E459" s="6" t="s">
        <v>540</v>
      </c>
      <c r="F459" s="6" t="s">
        <v>8</v>
      </c>
      <c r="G459" s="11" t="s">
        <v>36</v>
      </c>
      <c r="H459" s="6" t="s">
        <v>17</v>
      </c>
      <c r="I459" s="21" t="s">
        <v>1074</v>
      </c>
      <c r="J459" s="18">
        <v>5262.1658100713976</v>
      </c>
      <c r="K459" s="18">
        <f>VLOOKUP(A459,[1]Export!$A:$C,3,0)</f>
        <v>1477.98</v>
      </c>
      <c r="L459" s="19">
        <f t="shared" si="14"/>
        <v>0.2808691427342056</v>
      </c>
      <c r="M459" s="18">
        <f>VLOOKUP(A459,[1]Export!$A:$G,7,0)</f>
        <v>0</v>
      </c>
      <c r="N459" s="19">
        <f t="shared" si="15"/>
        <v>0</v>
      </c>
      <c r="O459" s="17" t="s">
        <v>1025</v>
      </c>
      <c r="P459" s="17" t="s">
        <v>1026</v>
      </c>
      <c r="Q459" s="17" t="s">
        <v>1022</v>
      </c>
      <c r="R459" s="17" t="str">
        <f>VLOOKUP(A459,[2]Export!$A:$I,9,0)</f>
        <v>Comprou Marcas</v>
      </c>
      <c r="S459" s="17" t="s">
        <v>1022</v>
      </c>
      <c r="T459" s="20"/>
      <c r="U459" s="17"/>
    </row>
    <row r="460" spans="1:21" x14ac:dyDescent="0.35">
      <c r="A460" s="4">
        <v>6316789000170</v>
      </c>
      <c r="B460" s="7"/>
      <c r="C460" s="4">
        <v>144383</v>
      </c>
      <c r="D460" s="1" t="s">
        <v>541</v>
      </c>
      <c r="E460" s="1" t="s">
        <v>542</v>
      </c>
      <c r="F460" s="1" t="s">
        <v>15</v>
      </c>
      <c r="G460" s="10" t="s">
        <v>20</v>
      </c>
      <c r="H460" s="1" t="s">
        <v>17</v>
      </c>
      <c r="I460" s="21" t="s">
        <v>1075</v>
      </c>
      <c r="J460" s="18">
        <v>8403.1212350498681</v>
      </c>
      <c r="K460" s="18">
        <f>VLOOKUP(A460,[1]Export!$A:$C,3,0)</f>
        <v>3669.5300000000011</v>
      </c>
      <c r="L460" s="19">
        <f t="shared" si="14"/>
        <v>0.43668654745741325</v>
      </c>
      <c r="M460" s="18">
        <f>VLOOKUP(A460,[1]Export!$A:$G,7,0)</f>
        <v>2586.3700000000003</v>
      </c>
      <c r="N460" s="19">
        <f t="shared" si="15"/>
        <v>0.30778682440187971</v>
      </c>
      <c r="O460" s="17" t="s">
        <v>1029</v>
      </c>
      <c r="P460" s="17" t="s">
        <v>1026</v>
      </c>
      <c r="Q460" s="17" t="s">
        <v>1023</v>
      </c>
      <c r="R460" s="17" t="str">
        <f>VLOOKUP(A460,[2]Export!$A:$I,9,0)</f>
        <v>Não Comprou</v>
      </c>
      <c r="S460" s="17" t="s">
        <v>1023</v>
      </c>
      <c r="T460" s="20">
        <v>1</v>
      </c>
      <c r="U460" s="17"/>
    </row>
    <row r="461" spans="1:21" x14ac:dyDescent="0.35">
      <c r="A461" s="5">
        <v>18768425000100</v>
      </c>
      <c r="B461" s="7"/>
      <c r="C461" s="4"/>
      <c r="D461" s="6" t="s">
        <v>543</v>
      </c>
      <c r="E461" s="6" t="s">
        <v>544</v>
      </c>
      <c r="F461" s="6" t="s">
        <v>15</v>
      </c>
      <c r="G461" s="11" t="s">
        <v>36</v>
      </c>
      <c r="H461" s="6" t="s">
        <v>17</v>
      </c>
      <c r="I461" s="21" t="s">
        <v>1075</v>
      </c>
      <c r="J461" s="18">
        <v>6342.2397267567176</v>
      </c>
      <c r="K461" s="18">
        <f>VLOOKUP(A461,[1]Export!$A:$C,3,0)</f>
        <v>2464.0599999999995</v>
      </c>
      <c r="L461" s="19">
        <f t="shared" ref="L461:L524" si="16">K461/J461</f>
        <v>0.38851574619681961</v>
      </c>
      <c r="M461" s="18">
        <f>VLOOKUP(A461,[1]Export!$A:$G,7,0)</f>
        <v>0</v>
      </c>
      <c r="N461" s="19">
        <f t="shared" ref="N461:N524" si="17">M461/J461</f>
        <v>0</v>
      </c>
      <c r="O461" s="17" t="s">
        <v>1025</v>
      </c>
      <c r="P461" s="17" t="s">
        <v>1026</v>
      </c>
      <c r="Q461" s="17" t="s">
        <v>1022</v>
      </c>
      <c r="R461" s="17" t="str">
        <f>VLOOKUP(A461,[2]Export!$A:$I,9,0)</f>
        <v>Não Comprou</v>
      </c>
      <c r="S461" s="17" t="s">
        <v>1023</v>
      </c>
      <c r="T461" s="20"/>
      <c r="U461" s="17"/>
    </row>
    <row r="462" spans="1:21" x14ac:dyDescent="0.35">
      <c r="A462" s="5">
        <v>18806193000804</v>
      </c>
      <c r="B462" s="7" t="s">
        <v>992</v>
      </c>
      <c r="C462" s="4"/>
      <c r="D462" s="6" t="s">
        <v>57</v>
      </c>
      <c r="E462" s="6" t="s">
        <v>58</v>
      </c>
      <c r="F462" s="6" t="s">
        <v>8</v>
      </c>
      <c r="G462" s="11" t="s">
        <v>9</v>
      </c>
      <c r="H462" s="6" t="s">
        <v>10</v>
      </c>
      <c r="I462" s="21" t="s">
        <v>1068</v>
      </c>
      <c r="J462" s="18">
        <v>3431.4690837549956</v>
      </c>
      <c r="K462" s="18">
        <f>VLOOKUP(A462,[1]Export!$A:$C,3,0)</f>
        <v>1735.2299999999998</v>
      </c>
      <c r="L462" s="19">
        <f t="shared" si="16"/>
        <v>0.50568137367601418</v>
      </c>
      <c r="M462" s="18">
        <f>VLOOKUP(A462,[1]Export!$A:$G,7,0)</f>
        <v>874.97</v>
      </c>
      <c r="N462" s="19">
        <f t="shared" si="17"/>
        <v>0.25498408368072367</v>
      </c>
      <c r="O462" s="17" t="s">
        <v>1027</v>
      </c>
      <c r="P462" s="17" t="s">
        <v>1028</v>
      </c>
      <c r="Q462" s="17" t="s">
        <v>1022</v>
      </c>
      <c r="R462" s="17" t="str">
        <f>VLOOKUP(A462,[2]Export!$A:$I,9,0)</f>
        <v>Comprou Marcas</v>
      </c>
      <c r="S462" s="17" t="s">
        <v>1022</v>
      </c>
      <c r="T462" s="20"/>
      <c r="U462" s="17"/>
    </row>
    <row r="463" spans="1:21" x14ac:dyDescent="0.35">
      <c r="A463" s="5">
        <v>72834815000187</v>
      </c>
      <c r="B463" s="7"/>
      <c r="C463" s="4"/>
      <c r="D463" s="6" t="s">
        <v>516</v>
      </c>
      <c r="E463" s="6" t="s">
        <v>86</v>
      </c>
      <c r="F463" s="6" t="s">
        <v>48</v>
      </c>
      <c r="G463" s="11" t="s">
        <v>80</v>
      </c>
      <c r="H463" s="6" t="s">
        <v>17</v>
      </c>
      <c r="I463" s="21" t="s">
        <v>1075</v>
      </c>
      <c r="J463" s="18">
        <v>10827.032305813116</v>
      </c>
      <c r="K463" s="18">
        <f>VLOOKUP(A463,[1]Export!$A:$C,3,0)</f>
        <v>4899.9900000000007</v>
      </c>
      <c r="L463" s="19">
        <f t="shared" si="16"/>
        <v>0.45256999901710449</v>
      </c>
      <c r="M463" s="18">
        <f>VLOOKUP(A463,[1]Export!$A:$G,7,0)</f>
        <v>735.53</v>
      </c>
      <c r="N463" s="19">
        <f t="shared" si="17"/>
        <v>6.7934589943459231E-2</v>
      </c>
      <c r="O463" s="17" t="s">
        <v>1027</v>
      </c>
      <c r="P463" s="17" t="s">
        <v>1028</v>
      </c>
      <c r="Q463" s="17" t="s">
        <v>1023</v>
      </c>
      <c r="R463" s="17" t="str">
        <f>VLOOKUP(A463,[2]Export!$A:$I,9,0)</f>
        <v>Comprou Marcas</v>
      </c>
      <c r="S463" s="17" t="s">
        <v>1022</v>
      </c>
      <c r="T463" s="20"/>
      <c r="U463" s="17"/>
    </row>
    <row r="464" spans="1:21" x14ac:dyDescent="0.35">
      <c r="A464" s="4">
        <v>24415425000120</v>
      </c>
      <c r="B464" s="7"/>
      <c r="C464" s="4"/>
      <c r="D464" s="1" t="s">
        <v>545</v>
      </c>
      <c r="E464" s="1" t="s">
        <v>94</v>
      </c>
      <c r="F464" s="1" t="s">
        <v>15</v>
      </c>
      <c r="G464" s="10" t="s">
        <v>16</v>
      </c>
      <c r="H464" s="1" t="s">
        <v>17</v>
      </c>
      <c r="I464" s="21" t="s">
        <v>1071</v>
      </c>
      <c r="J464" s="18">
        <v>2887.6871051181015</v>
      </c>
      <c r="K464" s="18">
        <f>VLOOKUP(A464,[1]Export!$A:$C,3,0)</f>
        <v>911.5200000000001</v>
      </c>
      <c r="L464" s="19">
        <f t="shared" si="16"/>
        <v>0.31565746800767752</v>
      </c>
      <c r="M464" s="18">
        <f>VLOOKUP(A464,[1]Export!$A:$G,7,0)</f>
        <v>119.98</v>
      </c>
      <c r="N464" s="19">
        <f t="shared" si="17"/>
        <v>4.1548822858040582E-2</v>
      </c>
      <c r="O464" s="17" t="s">
        <v>1029</v>
      </c>
      <c r="P464" s="17" t="s">
        <v>1026</v>
      </c>
      <c r="Q464" s="17" t="s">
        <v>1023</v>
      </c>
      <c r="R464" s="17" t="str">
        <f>VLOOKUP(A464,[2]Export!$A:$I,9,0)</f>
        <v>Comprou Marcas</v>
      </c>
      <c r="S464" s="17" t="s">
        <v>1023</v>
      </c>
      <c r="T464" s="20"/>
      <c r="U464" s="17"/>
    </row>
    <row r="465" spans="1:21" x14ac:dyDescent="0.35">
      <c r="A465" s="5">
        <v>18806193000561</v>
      </c>
      <c r="B465" s="7" t="s">
        <v>992</v>
      </c>
      <c r="C465" s="4"/>
      <c r="D465" s="6" t="s">
        <v>57</v>
      </c>
      <c r="E465" s="6" t="s">
        <v>61</v>
      </c>
      <c r="F465" s="6" t="s">
        <v>8</v>
      </c>
      <c r="G465" s="11" t="s">
        <v>9</v>
      </c>
      <c r="H465" s="6" t="s">
        <v>10</v>
      </c>
      <c r="I465" s="21" t="s">
        <v>1068</v>
      </c>
      <c r="J465" s="18">
        <v>13050.194415897497</v>
      </c>
      <c r="K465" s="18">
        <f>VLOOKUP(A465,[1]Export!$A:$C,3,0)</f>
        <v>5559.2399999999989</v>
      </c>
      <c r="L465" s="19">
        <f t="shared" si="16"/>
        <v>0.42598905601190429</v>
      </c>
      <c r="M465" s="18">
        <f>VLOOKUP(A465,[1]Export!$A:$G,7,0)</f>
        <v>2021.54</v>
      </c>
      <c r="N465" s="19">
        <f t="shared" si="17"/>
        <v>0.15490497195485445</v>
      </c>
      <c r="O465" s="17" t="s">
        <v>1027</v>
      </c>
      <c r="P465" s="17" t="s">
        <v>1028</v>
      </c>
      <c r="Q465" s="17" t="s">
        <v>1022</v>
      </c>
      <c r="R465" s="17" t="str">
        <f>VLOOKUP(A465,[2]Export!$A:$I,9,0)</f>
        <v>Comprou Marcas</v>
      </c>
      <c r="S465" s="17"/>
      <c r="T465" s="20"/>
      <c r="U465" s="17"/>
    </row>
    <row r="466" spans="1:21" x14ac:dyDescent="0.35">
      <c r="A466" s="4">
        <v>18806193000308</v>
      </c>
      <c r="B466" s="7" t="s">
        <v>992</v>
      </c>
      <c r="C466" s="4"/>
      <c r="D466" s="1" t="s">
        <v>57</v>
      </c>
      <c r="E466" s="1" t="s">
        <v>285</v>
      </c>
      <c r="F466" s="1" t="s">
        <v>8</v>
      </c>
      <c r="G466" s="10" t="s">
        <v>9</v>
      </c>
      <c r="H466" s="1" t="s">
        <v>10</v>
      </c>
      <c r="I466" s="21" t="s">
        <v>1068</v>
      </c>
      <c r="J466" s="18">
        <v>9580.2576781711341</v>
      </c>
      <c r="K466" s="18">
        <f>VLOOKUP(A466,[1]Export!$A:$C,3,0)</f>
        <v>3804.7900000000004</v>
      </c>
      <c r="L466" s="19">
        <f t="shared" si="16"/>
        <v>0.39714902540349339</v>
      </c>
      <c r="M466" s="18">
        <f>VLOOKUP(A466,[1]Export!$A:$G,7,0)</f>
        <v>3168.1399999999994</v>
      </c>
      <c r="N466" s="19">
        <f t="shared" si="17"/>
        <v>0.33069465419690003</v>
      </c>
      <c r="O466" s="17" t="s">
        <v>1027</v>
      </c>
      <c r="P466" s="17" t="s">
        <v>1028</v>
      </c>
      <c r="Q466" s="17" t="s">
        <v>1022</v>
      </c>
      <c r="R466" s="17" t="str">
        <f>VLOOKUP(A466,[2]Export!$A:$I,9,0)</f>
        <v>Comprou Marcas</v>
      </c>
      <c r="S466" s="17" t="s">
        <v>1022</v>
      </c>
      <c r="T466" s="20"/>
      <c r="U466" s="17"/>
    </row>
    <row r="467" spans="1:21" x14ac:dyDescent="0.35">
      <c r="A467" s="5">
        <v>27377243000361</v>
      </c>
      <c r="B467" s="7" t="s">
        <v>147</v>
      </c>
      <c r="C467" s="4"/>
      <c r="D467" s="6" t="s">
        <v>547</v>
      </c>
      <c r="E467" s="6" t="s">
        <v>113</v>
      </c>
      <c r="F467" s="6" t="s">
        <v>8</v>
      </c>
      <c r="G467" s="11" t="s">
        <v>20</v>
      </c>
      <c r="H467" s="6" t="s">
        <v>17</v>
      </c>
      <c r="I467" s="21" t="s">
        <v>1074</v>
      </c>
      <c r="J467" s="18">
        <v>430.10867727657842</v>
      </c>
      <c r="K467" s="18">
        <f>VLOOKUP(A467,[1]Export!$A:$C,3,0)</f>
        <v>415.63000000000005</v>
      </c>
      <c r="L467" s="19">
        <f t="shared" si="16"/>
        <v>0.96633716536886338</v>
      </c>
      <c r="M467" s="18">
        <f>VLOOKUP(A467,[1]Export!$A:$G,7,0)</f>
        <v>319.91999999999996</v>
      </c>
      <c r="N467" s="19">
        <f t="shared" si="17"/>
        <v>0.74381201054978396</v>
      </c>
      <c r="O467" s="17" t="s">
        <v>1025</v>
      </c>
      <c r="P467" s="17" t="s">
        <v>1026</v>
      </c>
      <c r="Q467" s="17" t="s">
        <v>1022</v>
      </c>
      <c r="R467" s="17" t="str">
        <f>VLOOKUP(A467,[2]Export!$A:$I,9,0)</f>
        <v>Comprou Marcas</v>
      </c>
      <c r="S467" s="17" t="s">
        <v>1023</v>
      </c>
      <c r="T467" s="20"/>
      <c r="U467" s="17"/>
    </row>
    <row r="468" spans="1:21" x14ac:dyDescent="0.35">
      <c r="A468" s="4">
        <v>59472205000112</v>
      </c>
      <c r="B468" s="7"/>
      <c r="C468" s="4"/>
      <c r="D468" s="1" t="s">
        <v>548</v>
      </c>
      <c r="E468" s="1" t="s">
        <v>35</v>
      </c>
      <c r="F468" s="1" t="s">
        <v>8</v>
      </c>
      <c r="G468" s="10" t="s">
        <v>16</v>
      </c>
      <c r="H468" s="1" t="s">
        <v>17</v>
      </c>
      <c r="I468" s="21" t="s">
        <v>1072</v>
      </c>
      <c r="J468" s="18">
        <v>561.94186596884833</v>
      </c>
      <c r="K468" s="18">
        <f>VLOOKUP(A468,[1]Export!$A:$C,3,0)</f>
        <v>135</v>
      </c>
      <c r="L468" s="19">
        <f t="shared" si="16"/>
        <v>0.24023837371014428</v>
      </c>
      <c r="M468" s="18">
        <f>VLOOKUP(A468,[1]Export!$A:$G,7,0)</f>
        <v>0</v>
      </c>
      <c r="N468" s="19">
        <f t="shared" si="17"/>
        <v>0</v>
      </c>
      <c r="O468" s="17" t="s">
        <v>1025</v>
      </c>
      <c r="P468" s="17" t="s">
        <v>1026</v>
      </c>
      <c r="Q468" s="17" t="s">
        <v>1023</v>
      </c>
      <c r="R468" s="17" t="str">
        <f>VLOOKUP(A468,[2]Export!$A:$I,9,0)</f>
        <v>Não Comprou</v>
      </c>
      <c r="S468" s="17" t="s">
        <v>1023</v>
      </c>
      <c r="T468" s="20"/>
      <c r="U468" s="17"/>
    </row>
    <row r="469" spans="1:21" x14ac:dyDescent="0.35">
      <c r="A469" s="5">
        <v>59824286000172</v>
      </c>
      <c r="B469" s="7"/>
      <c r="C469" s="4"/>
      <c r="D469" s="6" t="s">
        <v>543</v>
      </c>
      <c r="E469" s="6" t="s">
        <v>94</v>
      </c>
      <c r="F469" s="6" t="s">
        <v>15</v>
      </c>
      <c r="G469" s="11" t="s">
        <v>36</v>
      </c>
      <c r="H469" s="6" t="s">
        <v>17</v>
      </c>
      <c r="I469" s="21" t="s">
        <v>1071</v>
      </c>
      <c r="J469" s="18">
        <v>2465.8097797338878</v>
      </c>
      <c r="K469" s="18">
        <f>VLOOKUP(A469,[1]Export!$A:$C,3,0)</f>
        <v>708.6400000000001</v>
      </c>
      <c r="L469" s="19">
        <f t="shared" si="16"/>
        <v>0.28738632064168274</v>
      </c>
      <c r="M469" s="18">
        <f>VLOOKUP(A469,[1]Export!$A:$G,7,0)</f>
        <v>195.85000000000002</v>
      </c>
      <c r="N469" s="19">
        <f t="shared" si="17"/>
        <v>7.9426240259756087E-2</v>
      </c>
      <c r="O469" s="17" t="s">
        <v>1029</v>
      </c>
      <c r="P469" s="17" t="s">
        <v>1026</v>
      </c>
      <c r="Q469" s="17" t="s">
        <v>1022</v>
      </c>
      <c r="R469" s="17" t="str">
        <f>VLOOKUP(A469,[2]Export!$A:$I,9,0)</f>
        <v>Comprou Marcas e SG</v>
      </c>
      <c r="S469" s="17" t="s">
        <v>1023</v>
      </c>
      <c r="T469" s="20"/>
      <c r="U469" s="17"/>
    </row>
    <row r="470" spans="1:21" x14ac:dyDescent="0.35">
      <c r="A470" s="4">
        <v>3997842000158</v>
      </c>
      <c r="B470" s="7"/>
      <c r="C470" s="4"/>
      <c r="D470" s="1" t="s">
        <v>549</v>
      </c>
      <c r="E470" s="1" t="s">
        <v>232</v>
      </c>
      <c r="F470" s="1" t="s">
        <v>8</v>
      </c>
      <c r="G470" s="10" t="s">
        <v>550</v>
      </c>
      <c r="H470" s="1" t="s">
        <v>17</v>
      </c>
      <c r="I470" s="21" t="s">
        <v>1070</v>
      </c>
      <c r="J470" s="18">
        <v>2526.7028194891218</v>
      </c>
      <c r="K470" s="18">
        <f>VLOOKUP(A470,[1]Export!$A:$C,3,0)</f>
        <v>2704.4899999999993</v>
      </c>
      <c r="L470" s="19">
        <f t="shared" si="16"/>
        <v>1.0703633126696017</v>
      </c>
      <c r="M470" s="18">
        <f>VLOOKUP(A470,[1]Export!$A:$G,7,0)</f>
        <v>2367.4299999999998</v>
      </c>
      <c r="N470" s="19">
        <f t="shared" si="17"/>
        <v>0.93696416600297872</v>
      </c>
      <c r="O470" s="17" t="s">
        <v>1029</v>
      </c>
      <c r="P470" s="17" t="s">
        <v>1026</v>
      </c>
      <c r="Q470" s="17" t="s">
        <v>1023</v>
      </c>
      <c r="R470" s="17" t="str">
        <f>VLOOKUP(A470,[2]Export!$A:$I,9,0)</f>
        <v>Comprou Marcas</v>
      </c>
      <c r="S470" s="17" t="s">
        <v>1022</v>
      </c>
      <c r="T470" s="20"/>
      <c r="U470" s="17"/>
    </row>
    <row r="471" spans="1:21" x14ac:dyDescent="0.35">
      <c r="A471" s="5">
        <v>4834843002198</v>
      </c>
      <c r="B471" s="7" t="s">
        <v>994</v>
      </c>
      <c r="C471" s="4"/>
      <c r="D471" s="6" t="s">
        <v>91</v>
      </c>
      <c r="E471" s="6" t="s">
        <v>551</v>
      </c>
      <c r="F471" s="6" t="s">
        <v>48</v>
      </c>
      <c r="G471" s="11" t="s">
        <v>92</v>
      </c>
      <c r="H471" s="6" t="s">
        <v>17</v>
      </c>
      <c r="I471" s="21" t="s">
        <v>1073</v>
      </c>
      <c r="J471" s="18">
        <v>9001.7860464774058</v>
      </c>
      <c r="K471" s="18">
        <f>VLOOKUP(A471,[1]Export!$A:$C,3,0)</f>
        <v>3626.2300000000005</v>
      </c>
      <c r="L471" s="19">
        <f t="shared" si="16"/>
        <v>0.40283450209517285</v>
      </c>
      <c r="M471" s="18">
        <f>VLOOKUP(A471,[1]Export!$A:$G,7,0)</f>
        <v>3253.4</v>
      </c>
      <c r="N471" s="19">
        <f t="shared" si="17"/>
        <v>0.36141716579379557</v>
      </c>
      <c r="O471" s="17" t="s">
        <v>1027</v>
      </c>
      <c r="P471" s="17" t="s">
        <v>1028</v>
      </c>
      <c r="Q471" s="17" t="s">
        <v>1023</v>
      </c>
      <c r="R471" s="17" t="str">
        <f>VLOOKUP(A471,[2]Export!$A:$I,9,0)</f>
        <v>Comprou Marcas</v>
      </c>
      <c r="S471" s="17" t="s">
        <v>1022</v>
      </c>
      <c r="T471" s="20"/>
      <c r="U471" s="17"/>
    </row>
    <row r="472" spans="1:21" x14ac:dyDescent="0.35">
      <c r="A472" s="4">
        <v>4965393000129</v>
      </c>
      <c r="B472" s="7"/>
      <c r="C472" s="4"/>
      <c r="D472" s="1" t="s">
        <v>552</v>
      </c>
      <c r="E472" s="1" t="s">
        <v>166</v>
      </c>
      <c r="F472" s="1" t="s">
        <v>8</v>
      </c>
      <c r="G472" s="10" t="s">
        <v>74</v>
      </c>
      <c r="H472" s="1" t="s">
        <v>17</v>
      </c>
      <c r="I472" s="21" t="s">
        <v>1070</v>
      </c>
      <c r="J472" s="18">
        <v>15463.061109481449</v>
      </c>
      <c r="K472" s="18">
        <f>VLOOKUP(A472,[1]Export!$A:$C,3,0)</f>
        <v>4735.0700000000006</v>
      </c>
      <c r="L472" s="19">
        <f t="shared" si="16"/>
        <v>0.30621815218052839</v>
      </c>
      <c r="M472" s="18">
        <f>VLOOKUP(A472,[1]Export!$A:$G,7,0)</f>
        <v>3296.63</v>
      </c>
      <c r="N472" s="19">
        <f t="shared" si="17"/>
        <v>0.21319388034873724</v>
      </c>
      <c r="O472" s="17" t="s">
        <v>1027</v>
      </c>
      <c r="P472" s="17" t="s">
        <v>1026</v>
      </c>
      <c r="Q472" s="17" t="s">
        <v>1023</v>
      </c>
      <c r="R472" s="17" t="str">
        <f>VLOOKUP(A472,[2]Export!$A:$I,9,0)</f>
        <v>Comprou Marcas</v>
      </c>
      <c r="S472" s="17" t="s">
        <v>1022</v>
      </c>
      <c r="T472" s="20"/>
      <c r="U472" s="17"/>
    </row>
    <row r="473" spans="1:21" x14ac:dyDescent="0.35">
      <c r="A473" s="5">
        <v>3921201000110</v>
      </c>
      <c r="B473" s="7"/>
      <c r="C473" s="4"/>
      <c r="D473" s="6" t="s">
        <v>553</v>
      </c>
      <c r="E473" s="6" t="s">
        <v>47</v>
      </c>
      <c r="F473" s="6" t="s">
        <v>48</v>
      </c>
      <c r="G473" s="11" t="s">
        <v>103</v>
      </c>
      <c r="H473" s="6" t="s">
        <v>17</v>
      </c>
      <c r="I473" s="21" t="s">
        <v>1073</v>
      </c>
      <c r="J473" s="18">
        <v>25717.510491813624</v>
      </c>
      <c r="K473" s="18">
        <f>VLOOKUP(A473,[1]Export!$A:$C,3,0)</f>
        <v>6680.2499999999973</v>
      </c>
      <c r="L473" s="19">
        <f t="shared" si="16"/>
        <v>0.25975492465051969</v>
      </c>
      <c r="M473" s="18">
        <f>VLOOKUP(A473,[1]Export!$A:$G,7,0)</f>
        <v>1980.09</v>
      </c>
      <c r="N473" s="19">
        <f t="shared" si="17"/>
        <v>7.6993844354814225E-2</v>
      </c>
      <c r="O473" s="17" t="s">
        <v>1027</v>
      </c>
      <c r="P473" s="17" t="s">
        <v>1028</v>
      </c>
      <c r="Q473" s="17" t="s">
        <v>1023</v>
      </c>
      <c r="R473" s="17" t="str">
        <f>VLOOKUP(A473,[2]Export!$A:$I,9,0)</f>
        <v>Comprou Marcas</v>
      </c>
      <c r="S473" s="17" t="s">
        <v>1022</v>
      </c>
      <c r="T473" s="20"/>
      <c r="U473" s="17"/>
    </row>
    <row r="474" spans="1:21" x14ac:dyDescent="0.35">
      <c r="A474" s="4">
        <v>4276276000158</v>
      </c>
      <c r="B474" s="7"/>
      <c r="C474" s="4"/>
      <c r="D474" s="1" t="s">
        <v>554</v>
      </c>
      <c r="E474" s="1" t="s">
        <v>149</v>
      </c>
      <c r="F474" s="1" t="s">
        <v>8</v>
      </c>
      <c r="G474" s="10" t="s">
        <v>20</v>
      </c>
      <c r="H474" s="1" t="s">
        <v>17</v>
      </c>
      <c r="I474" s="21" t="s">
        <v>1074</v>
      </c>
      <c r="J474" s="18">
        <v>923.02973075871103</v>
      </c>
      <c r="K474" s="18">
        <f>VLOOKUP(A474,[1]Export!$A:$C,3,0)</f>
        <v>594.94999999999993</v>
      </c>
      <c r="L474" s="19">
        <f t="shared" si="16"/>
        <v>0.64456211991239276</v>
      </c>
      <c r="M474" s="18">
        <f>VLOOKUP(A474,[1]Export!$A:$G,7,0)</f>
        <v>0</v>
      </c>
      <c r="N474" s="19">
        <f t="shared" si="17"/>
        <v>0</v>
      </c>
      <c r="O474" s="17" t="s">
        <v>1025</v>
      </c>
      <c r="P474" s="17" t="s">
        <v>1026</v>
      </c>
      <c r="Q474" s="17" t="s">
        <v>1023</v>
      </c>
      <c r="R474" s="17" t="str">
        <f>VLOOKUP(A474,[2]Export!$A:$I,9,0)</f>
        <v>Não Comprou</v>
      </c>
      <c r="S474" s="17" t="s">
        <v>1022</v>
      </c>
      <c r="T474" s="20"/>
      <c r="U474" s="17"/>
    </row>
    <row r="475" spans="1:21" x14ac:dyDescent="0.35">
      <c r="A475" s="5">
        <v>4621137000114</v>
      </c>
      <c r="B475" s="7"/>
      <c r="C475" s="4"/>
      <c r="D475" s="6" t="s">
        <v>555</v>
      </c>
      <c r="E475" s="6" t="s">
        <v>14</v>
      </c>
      <c r="F475" s="6" t="s">
        <v>15</v>
      </c>
      <c r="G475" s="11" t="s">
        <v>20</v>
      </c>
      <c r="H475" s="6" t="s">
        <v>17</v>
      </c>
      <c r="I475" s="21" t="s">
        <v>1069</v>
      </c>
      <c r="J475" s="18">
        <v>5700.9677718862349</v>
      </c>
      <c r="K475" s="18">
        <f>VLOOKUP(A475,[1]Export!$A:$C,3,0)</f>
        <v>2623.01</v>
      </c>
      <c r="L475" s="19">
        <f t="shared" si="16"/>
        <v>0.46009907527194199</v>
      </c>
      <c r="M475" s="18">
        <f>VLOOKUP(A475,[1]Export!$A:$G,7,0)</f>
        <v>2892.34</v>
      </c>
      <c r="N475" s="19">
        <f t="shared" si="17"/>
        <v>0.50734193135826733</v>
      </c>
      <c r="O475" s="17" t="s">
        <v>1025</v>
      </c>
      <c r="P475" s="17" t="s">
        <v>1026</v>
      </c>
      <c r="Q475" s="17" t="s">
        <v>1022</v>
      </c>
      <c r="R475" s="17" t="str">
        <f>VLOOKUP(A475,[2]Export!$A:$I,9,0)</f>
        <v>Comprou Marcas</v>
      </c>
      <c r="S475" s="17" t="s">
        <v>1023</v>
      </c>
      <c r="T475" s="20"/>
      <c r="U475" s="17"/>
    </row>
    <row r="476" spans="1:21" x14ac:dyDescent="0.35">
      <c r="A476" s="4">
        <v>4834843000225</v>
      </c>
      <c r="B476" s="7" t="s">
        <v>994</v>
      </c>
      <c r="C476" s="4"/>
      <c r="D476" s="1" t="s">
        <v>91</v>
      </c>
      <c r="E476" s="1" t="s">
        <v>316</v>
      </c>
      <c r="F476" s="1" t="s">
        <v>48</v>
      </c>
      <c r="G476" s="10" t="s">
        <v>92</v>
      </c>
      <c r="H476" s="1" t="s">
        <v>17</v>
      </c>
      <c r="I476" s="21" t="s">
        <v>1073</v>
      </c>
      <c r="J476" s="18">
        <v>20490.174640322868</v>
      </c>
      <c r="K476" s="18">
        <f>VLOOKUP(A476,[1]Export!$A:$C,3,0)</f>
        <v>9593.67</v>
      </c>
      <c r="L476" s="19">
        <f t="shared" si="16"/>
        <v>0.46820830805026414</v>
      </c>
      <c r="M476" s="18">
        <f>VLOOKUP(A476,[1]Export!$A:$G,7,0)</f>
        <v>4945.6800000000012</v>
      </c>
      <c r="N476" s="19">
        <f t="shared" si="17"/>
        <v>0.24136836736702752</v>
      </c>
      <c r="O476" s="17" t="s">
        <v>1027</v>
      </c>
      <c r="P476" s="17" t="s">
        <v>1028</v>
      </c>
      <c r="Q476" s="17" t="s">
        <v>1023</v>
      </c>
      <c r="R476" s="17" t="str">
        <f>VLOOKUP(A476,[2]Export!$A:$I,9,0)</f>
        <v>Comprou Marcas</v>
      </c>
      <c r="S476" s="17" t="s">
        <v>1022</v>
      </c>
      <c r="T476" s="20">
        <v>7</v>
      </c>
      <c r="U476" s="17"/>
    </row>
    <row r="477" spans="1:21" x14ac:dyDescent="0.35">
      <c r="A477" s="5">
        <v>4834843001892</v>
      </c>
      <c r="B477" s="7" t="s">
        <v>994</v>
      </c>
      <c r="C477" s="4"/>
      <c r="D477" s="6" t="s">
        <v>91</v>
      </c>
      <c r="E477" s="6" t="s">
        <v>557</v>
      </c>
      <c r="F477" s="6" t="s">
        <v>48</v>
      </c>
      <c r="G477" s="11" t="s">
        <v>92</v>
      </c>
      <c r="H477" s="6" t="s">
        <v>17</v>
      </c>
      <c r="I477" s="21" t="s">
        <v>1073</v>
      </c>
      <c r="J477" s="18">
        <v>9162.9330138946425</v>
      </c>
      <c r="K477" s="18">
        <f>VLOOKUP(A477,[1]Export!$A:$C,3,0)</f>
        <v>2437.900000000001</v>
      </c>
      <c r="L477" s="19">
        <f t="shared" si="16"/>
        <v>0.26606109597256439</v>
      </c>
      <c r="M477" s="18">
        <f>VLOOKUP(A477,[1]Export!$A:$G,7,0)</f>
        <v>3933.3199999999983</v>
      </c>
      <c r="N477" s="19">
        <f t="shared" si="17"/>
        <v>0.42926429714541453</v>
      </c>
      <c r="O477" s="17" t="s">
        <v>1027</v>
      </c>
      <c r="P477" s="17" t="s">
        <v>1028</v>
      </c>
      <c r="Q477" s="17" t="s">
        <v>1023</v>
      </c>
      <c r="R477" s="17" t="str">
        <f>VLOOKUP(A477,[2]Export!$A:$I,9,0)</f>
        <v>Comprou Marcas</v>
      </c>
      <c r="S477" s="17" t="s">
        <v>1022</v>
      </c>
      <c r="T477" s="20"/>
      <c r="U477" s="17"/>
    </row>
    <row r="478" spans="1:21" x14ac:dyDescent="0.35">
      <c r="A478" s="4">
        <v>7110508000191</v>
      </c>
      <c r="B478" s="7"/>
      <c r="C478" s="4"/>
      <c r="D478" s="1" t="s">
        <v>558</v>
      </c>
      <c r="E478" s="1" t="s">
        <v>252</v>
      </c>
      <c r="F478" s="1" t="s">
        <v>15</v>
      </c>
      <c r="G478" s="10" t="s">
        <v>20</v>
      </c>
      <c r="H478" s="1" t="s">
        <v>17</v>
      </c>
      <c r="I478" s="21" t="s">
        <v>1071</v>
      </c>
      <c r="J478" s="18">
        <v>8901.0504926284557</v>
      </c>
      <c r="K478" s="18">
        <f>VLOOKUP(A478,[1]Export!$A:$C,3,0)</f>
        <v>1265.05</v>
      </c>
      <c r="L478" s="19">
        <f t="shared" si="16"/>
        <v>0.14212367417168018</v>
      </c>
      <c r="M478" s="18">
        <f>VLOOKUP(A478,[1]Export!$A:$G,7,0)</f>
        <v>197.26999999999998</v>
      </c>
      <c r="N478" s="19">
        <f t="shared" si="17"/>
        <v>2.2162552629419664E-2</v>
      </c>
      <c r="O478" s="17" t="s">
        <v>1025</v>
      </c>
      <c r="P478" s="17" t="s">
        <v>1026</v>
      </c>
      <c r="Q478" s="17" t="s">
        <v>1023</v>
      </c>
      <c r="R478" s="17" t="str">
        <f>VLOOKUP(A478,[2]Export!$A:$I,9,0)</f>
        <v>Comprou Marcas</v>
      </c>
      <c r="S478" s="17" t="s">
        <v>1022</v>
      </c>
      <c r="T478" s="20"/>
      <c r="U478" s="17"/>
    </row>
    <row r="479" spans="1:21" x14ac:dyDescent="0.35">
      <c r="A479" s="5">
        <v>7113333000176</v>
      </c>
      <c r="B479" s="7"/>
      <c r="C479" s="4"/>
      <c r="D479" s="6" t="s">
        <v>497</v>
      </c>
      <c r="E479" s="6" t="s">
        <v>232</v>
      </c>
      <c r="F479" s="6" t="s">
        <v>8</v>
      </c>
      <c r="G479" s="11" t="s">
        <v>229</v>
      </c>
      <c r="H479" s="6" t="s">
        <v>17</v>
      </c>
      <c r="I479" s="21" t="s">
        <v>1070</v>
      </c>
      <c r="J479" s="18">
        <v>2837.2925198814141</v>
      </c>
      <c r="K479" s="18">
        <f>VLOOKUP(A479,[1]Export!$A:$C,3,0)</f>
        <v>665.13</v>
      </c>
      <c r="L479" s="19">
        <f t="shared" si="16"/>
        <v>0.2344241897299329</v>
      </c>
      <c r="M479" s="18">
        <f>VLOOKUP(A479,[1]Export!$A:$G,7,0)</f>
        <v>0</v>
      </c>
      <c r="N479" s="19">
        <f t="shared" si="17"/>
        <v>0</v>
      </c>
      <c r="O479" s="17" t="s">
        <v>1025</v>
      </c>
      <c r="P479" s="17" t="s">
        <v>1026</v>
      </c>
      <c r="Q479" s="17" t="s">
        <v>1023</v>
      </c>
      <c r="R479" s="17" t="str">
        <f>VLOOKUP(A479,[2]Export!$A:$I,9,0)</f>
        <v>Não Comprou</v>
      </c>
      <c r="S479" s="17" t="s">
        <v>1023</v>
      </c>
      <c r="T479" s="20"/>
      <c r="U479" s="17"/>
    </row>
    <row r="480" spans="1:21" x14ac:dyDescent="0.35">
      <c r="A480" s="4">
        <v>18806193000219</v>
      </c>
      <c r="B480" s="7" t="s">
        <v>992</v>
      </c>
      <c r="C480" s="4"/>
      <c r="D480" s="1" t="s">
        <v>57</v>
      </c>
      <c r="E480" s="1" t="s">
        <v>61</v>
      </c>
      <c r="F480" s="1" t="s">
        <v>8</v>
      </c>
      <c r="G480" s="10" t="s">
        <v>9</v>
      </c>
      <c r="H480" s="1" t="s">
        <v>10</v>
      </c>
      <c r="I480" s="21" t="s">
        <v>1068</v>
      </c>
      <c r="J480" s="18">
        <v>7056.7358933211153</v>
      </c>
      <c r="K480" s="18">
        <f>VLOOKUP(A480,[1]Export!$A:$C,3,0)</f>
        <v>1767.7899999999997</v>
      </c>
      <c r="L480" s="19">
        <f t="shared" si="16"/>
        <v>0.25051100490711775</v>
      </c>
      <c r="M480" s="18">
        <f>VLOOKUP(A480,[1]Export!$A:$G,7,0)</f>
        <v>907.99</v>
      </c>
      <c r="N480" s="19">
        <f t="shared" si="17"/>
        <v>0.12866997061054417</v>
      </c>
      <c r="O480" s="17" t="s">
        <v>1027</v>
      </c>
      <c r="P480" s="17" t="s">
        <v>1028</v>
      </c>
      <c r="Q480" s="17" t="s">
        <v>1022</v>
      </c>
      <c r="R480" s="17" t="str">
        <f>VLOOKUP(A480,[2]Export!$A:$I,9,0)</f>
        <v>Comprou Marcas</v>
      </c>
      <c r="S480" s="17" t="s">
        <v>1022</v>
      </c>
      <c r="T480" s="20"/>
      <c r="U480" s="17"/>
    </row>
    <row r="481" spans="1:21" x14ac:dyDescent="0.35">
      <c r="A481" s="4">
        <v>18806193000138</v>
      </c>
      <c r="B481" s="7" t="s">
        <v>992</v>
      </c>
      <c r="C481" s="4"/>
      <c r="D481" s="1" t="s">
        <v>57</v>
      </c>
      <c r="E481" s="1" t="s">
        <v>61</v>
      </c>
      <c r="F481" s="1" t="s">
        <v>8</v>
      </c>
      <c r="G481" s="10" t="s">
        <v>9</v>
      </c>
      <c r="H481" s="1" t="s">
        <v>10</v>
      </c>
      <c r="I481" s="21" t="s">
        <v>1068</v>
      </c>
      <c r="J481" s="18">
        <v>14360.382873471595</v>
      </c>
      <c r="K481" s="18">
        <f>VLOOKUP(A481,[1]Export!$A:$C,3,0)</f>
        <v>5965.83</v>
      </c>
      <c r="L481" s="19">
        <f t="shared" si="16"/>
        <v>0.41543669500768482</v>
      </c>
      <c r="M481" s="18">
        <f>VLOOKUP(A481,[1]Export!$A:$G,7,0)</f>
        <v>3918.8300000000008</v>
      </c>
      <c r="N481" s="19">
        <f t="shared" si="17"/>
        <v>0.2728917490939175</v>
      </c>
      <c r="O481" s="17" t="s">
        <v>1027</v>
      </c>
      <c r="P481" s="17" t="s">
        <v>1028</v>
      </c>
      <c r="Q481" s="17" t="s">
        <v>1023</v>
      </c>
      <c r="R481" s="17" t="str">
        <f>VLOOKUP(A481,[2]Export!$A:$I,9,0)</f>
        <v>Comprou Marcas</v>
      </c>
      <c r="S481" s="17" t="s">
        <v>1022</v>
      </c>
      <c r="T481" s="20"/>
      <c r="U481" s="17"/>
    </row>
    <row r="482" spans="1:21" x14ac:dyDescent="0.35">
      <c r="A482" s="5">
        <v>18806193000995</v>
      </c>
      <c r="B482" s="7" t="s">
        <v>992</v>
      </c>
      <c r="C482" s="4"/>
      <c r="D482" s="6" t="s">
        <v>57</v>
      </c>
      <c r="E482" s="6" t="s">
        <v>58</v>
      </c>
      <c r="F482" s="6" t="s">
        <v>8</v>
      </c>
      <c r="G482" s="11" t="s">
        <v>9</v>
      </c>
      <c r="H482" s="6" t="s">
        <v>10</v>
      </c>
      <c r="I482" s="21" t="s">
        <v>1068</v>
      </c>
      <c r="J482" s="18">
        <v>3560.6147015222564</v>
      </c>
      <c r="K482" s="18">
        <f>VLOOKUP(A482,[1]Export!$A:$C,3,0)</f>
        <v>1857.2399999999996</v>
      </c>
      <c r="L482" s="19">
        <f t="shared" si="16"/>
        <v>0.52160656394694449</v>
      </c>
      <c r="M482" s="18">
        <f>VLOOKUP(A482,[1]Export!$A:$G,7,0)</f>
        <v>1054.6199999999999</v>
      </c>
      <c r="N482" s="19">
        <f t="shared" si="17"/>
        <v>0.29619043013812252</v>
      </c>
      <c r="O482" s="17" t="s">
        <v>1027</v>
      </c>
      <c r="P482" s="17" t="s">
        <v>1028</v>
      </c>
      <c r="Q482" s="17" t="s">
        <v>1023</v>
      </c>
      <c r="R482" s="17" t="str">
        <f>VLOOKUP(A482,[2]Export!$A:$I,9,0)</f>
        <v>Comprou Marcas</v>
      </c>
      <c r="S482" s="17" t="s">
        <v>1022</v>
      </c>
      <c r="T482" s="20"/>
      <c r="U482" s="17"/>
    </row>
    <row r="483" spans="1:21" x14ac:dyDescent="0.35">
      <c r="A483" s="5">
        <v>11109080000134</v>
      </c>
      <c r="B483" s="7"/>
      <c r="C483" s="4"/>
      <c r="D483" s="6" t="s">
        <v>560</v>
      </c>
      <c r="E483" s="6" t="s">
        <v>28</v>
      </c>
      <c r="F483" s="6" t="s">
        <v>15</v>
      </c>
      <c r="G483" s="11" t="s">
        <v>36</v>
      </c>
      <c r="H483" s="6" t="s">
        <v>17</v>
      </c>
      <c r="I483" s="21" t="s">
        <v>1071</v>
      </c>
      <c r="J483" s="18">
        <v>7062.1304273527412</v>
      </c>
      <c r="K483" s="18">
        <f>VLOOKUP(A483,[1]Export!$A:$C,3,0)</f>
        <v>3070.4599999999996</v>
      </c>
      <c r="L483" s="19">
        <f t="shared" si="16"/>
        <v>0.43477814967953937</v>
      </c>
      <c r="M483" s="18">
        <f>VLOOKUP(A483,[1]Export!$A:$G,7,0)</f>
        <v>2278.86</v>
      </c>
      <c r="N483" s="19">
        <f t="shared" si="17"/>
        <v>0.32268732834126329</v>
      </c>
      <c r="O483" s="17" t="s">
        <v>1025</v>
      </c>
      <c r="P483" s="17" t="s">
        <v>1026</v>
      </c>
      <c r="Q483" s="17" t="s">
        <v>1022</v>
      </c>
      <c r="R483" s="17" t="str">
        <f>VLOOKUP(A483,[2]Export!$A:$I,9,0)</f>
        <v>Comprou Marcas</v>
      </c>
      <c r="S483" s="17" t="s">
        <v>1022</v>
      </c>
      <c r="T483" s="20"/>
      <c r="U483" s="17"/>
    </row>
    <row r="484" spans="1:21" x14ac:dyDescent="0.35">
      <c r="A484" s="4">
        <v>12040504000114</v>
      </c>
      <c r="B484" s="7" t="s">
        <v>994</v>
      </c>
      <c r="C484" s="4"/>
      <c r="D484" s="1" t="s">
        <v>561</v>
      </c>
      <c r="E484" s="1" t="s">
        <v>50</v>
      </c>
      <c r="F484" s="1" t="s">
        <v>48</v>
      </c>
      <c r="G484" s="10" t="s">
        <v>92</v>
      </c>
      <c r="H484" s="1" t="s">
        <v>17</v>
      </c>
      <c r="I484" s="21" t="s">
        <v>1073</v>
      </c>
      <c r="J484" s="18">
        <v>7697.7983986724275</v>
      </c>
      <c r="K484" s="18">
        <f>VLOOKUP(A484,[1]Export!$A:$C,3,0)</f>
        <v>920.38000000000011</v>
      </c>
      <c r="L484" s="19">
        <f t="shared" si="16"/>
        <v>0.11956405615386473</v>
      </c>
      <c r="M484" s="18">
        <f>VLOOKUP(A484,[1]Export!$A:$G,7,0)</f>
        <v>720.37999999999988</v>
      </c>
      <c r="N484" s="19">
        <f t="shared" si="17"/>
        <v>9.3582601503858248E-2</v>
      </c>
      <c r="O484" s="17" t="s">
        <v>1027</v>
      </c>
      <c r="P484" s="17" t="s">
        <v>1028</v>
      </c>
      <c r="Q484" s="17" t="s">
        <v>1023</v>
      </c>
      <c r="R484" s="17" t="str">
        <f>VLOOKUP(A484,[2]Export!$A:$I,9,0)</f>
        <v>Comprou Marcas e SG</v>
      </c>
      <c r="S484" s="17" t="s">
        <v>1022</v>
      </c>
      <c r="T484" s="20"/>
      <c r="U484" s="17"/>
    </row>
    <row r="485" spans="1:21" x14ac:dyDescent="0.35">
      <c r="A485" s="5">
        <v>22155730000102</v>
      </c>
      <c r="B485" s="7"/>
      <c r="C485" s="4"/>
      <c r="D485" s="6" t="s">
        <v>562</v>
      </c>
      <c r="E485" s="6" t="s">
        <v>50</v>
      </c>
      <c r="F485" s="6" t="s">
        <v>48</v>
      </c>
      <c r="G485" s="11" t="s">
        <v>20</v>
      </c>
      <c r="H485" s="6" t="s">
        <v>17</v>
      </c>
      <c r="I485" s="21" t="s">
        <v>1073</v>
      </c>
      <c r="J485" s="18">
        <v>2306.6265044829233</v>
      </c>
      <c r="K485" s="18">
        <f>VLOOKUP(A485,[1]Export!$A:$C,3,0)</f>
        <v>1744.9399999999998</v>
      </c>
      <c r="L485" s="19">
        <f t="shared" si="16"/>
        <v>0.75649005012675996</v>
      </c>
      <c r="M485" s="18">
        <f>VLOOKUP(A485,[1]Export!$A:$G,7,0)</f>
        <v>1343.7799999999995</v>
      </c>
      <c r="N485" s="19">
        <f t="shared" si="17"/>
        <v>0.58257372721087097</v>
      </c>
      <c r="O485" s="17" t="s">
        <v>1025</v>
      </c>
      <c r="P485" s="17" t="s">
        <v>1026</v>
      </c>
      <c r="Q485" s="17" t="s">
        <v>1023</v>
      </c>
      <c r="R485" s="17" t="str">
        <f>VLOOKUP(A485,[2]Export!$A:$I,9,0)</f>
        <v>Comprou Marcas e SG</v>
      </c>
      <c r="S485" s="17" t="s">
        <v>1022</v>
      </c>
      <c r="T485" s="20"/>
      <c r="U485" s="17"/>
    </row>
    <row r="486" spans="1:21" x14ac:dyDescent="0.35">
      <c r="A486" s="4">
        <v>22646643000140</v>
      </c>
      <c r="B486" s="7"/>
      <c r="C486" s="4"/>
      <c r="D486" s="1" t="s">
        <v>563</v>
      </c>
      <c r="E486" s="1" t="s">
        <v>358</v>
      </c>
      <c r="F486" s="1" t="s">
        <v>15</v>
      </c>
      <c r="G486" s="10" t="s">
        <v>20</v>
      </c>
      <c r="H486" s="1" t="s">
        <v>17</v>
      </c>
      <c r="I486" s="21" t="s">
        <v>1071</v>
      </c>
      <c r="J486" s="18">
        <v>6980.0671972334339</v>
      </c>
      <c r="K486" s="18">
        <f>VLOOKUP(A486,[1]Export!$A:$C,3,0)</f>
        <v>2107.5100000000002</v>
      </c>
      <c r="L486" s="19">
        <f t="shared" si="16"/>
        <v>0.30193262334713866</v>
      </c>
      <c r="M486" s="18">
        <f>VLOOKUP(A486,[1]Export!$A:$G,7,0)</f>
        <v>471.01</v>
      </c>
      <c r="N486" s="19">
        <f t="shared" si="17"/>
        <v>6.7479293062778237E-2</v>
      </c>
      <c r="O486" s="17" t="s">
        <v>1025</v>
      </c>
      <c r="P486" s="17" t="s">
        <v>1026</v>
      </c>
      <c r="Q486" s="17" t="s">
        <v>1023</v>
      </c>
      <c r="R486" s="17" t="str">
        <f>VLOOKUP(A486,[2]Export!$A:$I,9,0)</f>
        <v>Comprou Marcas</v>
      </c>
      <c r="S486" s="17" t="s">
        <v>1022</v>
      </c>
      <c r="T486" s="20"/>
      <c r="U486" s="17"/>
    </row>
    <row r="487" spans="1:21" x14ac:dyDescent="0.35">
      <c r="A487" s="5">
        <v>17222004000117</v>
      </c>
      <c r="B487" s="7"/>
      <c r="C487" s="4"/>
      <c r="D487" s="6" t="s">
        <v>49</v>
      </c>
      <c r="E487" s="6" t="s">
        <v>50</v>
      </c>
      <c r="F487" s="6" t="s">
        <v>48</v>
      </c>
      <c r="G487" s="11" t="s">
        <v>38</v>
      </c>
      <c r="H487" s="6" t="s">
        <v>17</v>
      </c>
      <c r="I487" s="21" t="s">
        <v>1073</v>
      </c>
      <c r="J487" s="18">
        <v>2690.5534653886116</v>
      </c>
      <c r="K487" s="18">
        <f>VLOOKUP(A487,[1]Export!$A:$C,3,0)</f>
        <v>545.25</v>
      </c>
      <c r="L487" s="19">
        <f t="shared" si="16"/>
        <v>0.20265347149354881</v>
      </c>
      <c r="M487" s="18">
        <f>VLOOKUP(A487,[1]Export!$A:$G,7,0)</f>
        <v>0</v>
      </c>
      <c r="N487" s="19">
        <f t="shared" si="17"/>
        <v>0</v>
      </c>
      <c r="O487" s="17" t="s">
        <v>1027</v>
      </c>
      <c r="P487" s="17" t="s">
        <v>1028</v>
      </c>
      <c r="Q487" s="17" t="s">
        <v>1023</v>
      </c>
      <c r="R487" s="17" t="str">
        <f>VLOOKUP(A487,[2]Export!$A:$I,9,0)</f>
        <v>Não Comprou</v>
      </c>
      <c r="S487" s="17" t="s">
        <v>1023</v>
      </c>
      <c r="T487" s="20"/>
      <c r="U487" s="17"/>
    </row>
    <row r="488" spans="1:21" x14ac:dyDescent="0.35">
      <c r="A488" s="5">
        <v>4822740000164</v>
      </c>
      <c r="B488" s="7"/>
      <c r="C488" s="4"/>
      <c r="D488" s="6" t="s">
        <v>175</v>
      </c>
      <c r="E488" s="6" t="s">
        <v>176</v>
      </c>
      <c r="F488" s="6" t="s">
        <v>48</v>
      </c>
      <c r="G488" s="11" t="s">
        <v>38</v>
      </c>
      <c r="H488" s="6" t="s">
        <v>17</v>
      </c>
      <c r="I488" s="21" t="s">
        <v>1073</v>
      </c>
      <c r="J488" s="18">
        <v>8404.9924108994765</v>
      </c>
      <c r="K488" s="18">
        <f>VLOOKUP(A488,[1]Export!$A:$C,3,0)</f>
        <v>3987.25</v>
      </c>
      <c r="L488" s="19">
        <f t="shared" si="16"/>
        <v>0.47439067224253412</v>
      </c>
      <c r="M488" s="18">
        <f>VLOOKUP(A488,[1]Export!$A:$G,7,0)</f>
        <v>0</v>
      </c>
      <c r="N488" s="19">
        <f t="shared" si="17"/>
        <v>0</v>
      </c>
      <c r="O488" s="17" t="s">
        <v>1030</v>
      </c>
      <c r="P488" s="17" t="s">
        <v>1026</v>
      </c>
      <c r="Q488" s="17" t="s">
        <v>1023</v>
      </c>
      <c r="R488" s="17" t="str">
        <f>VLOOKUP(A488,[2]Export!$A:$I,9,0)</f>
        <v>Comprou SG</v>
      </c>
      <c r="S488" s="17" t="s">
        <v>1022</v>
      </c>
      <c r="T488" s="20"/>
      <c r="U488" s="17"/>
    </row>
    <row r="489" spans="1:21" x14ac:dyDescent="0.35">
      <c r="A489" s="5">
        <v>55994018000148</v>
      </c>
      <c r="B489" s="7"/>
      <c r="C489" s="4"/>
      <c r="D489" s="6" t="s">
        <v>565</v>
      </c>
      <c r="E489" s="6" t="s">
        <v>35</v>
      </c>
      <c r="F489" s="6" t="s">
        <v>8</v>
      </c>
      <c r="G489" s="11" t="s">
        <v>20</v>
      </c>
      <c r="H489" s="6" t="s">
        <v>17</v>
      </c>
      <c r="I489" s="21" t="s">
        <v>1072</v>
      </c>
      <c r="J489" s="18">
        <v>2007.8721199121451</v>
      </c>
      <c r="K489" s="18">
        <f>VLOOKUP(A489,[1]Export!$A:$C,3,0)</f>
        <v>664.04</v>
      </c>
      <c r="L489" s="19">
        <f t="shared" si="16"/>
        <v>0.33071827304871149</v>
      </c>
      <c r="M489" s="18">
        <f>VLOOKUP(A489,[1]Export!$A:$G,7,0)</f>
        <v>0</v>
      </c>
      <c r="N489" s="19">
        <f t="shared" si="17"/>
        <v>0</v>
      </c>
      <c r="O489" s="17" t="s">
        <v>1025</v>
      </c>
      <c r="P489" s="17" t="s">
        <v>1026</v>
      </c>
      <c r="Q489" s="17" t="s">
        <v>1023</v>
      </c>
      <c r="R489" s="17" t="str">
        <f>VLOOKUP(A489,[2]Export!$A:$I,9,0)</f>
        <v>Não Comprou</v>
      </c>
      <c r="S489" s="17" t="s">
        <v>1023</v>
      </c>
      <c r="T489" s="20"/>
      <c r="U489" s="17"/>
    </row>
    <row r="490" spans="1:21" x14ac:dyDescent="0.35">
      <c r="A490" s="4">
        <v>56089146000100</v>
      </c>
      <c r="B490" s="7"/>
      <c r="C490" s="4"/>
      <c r="D490" s="1" t="s">
        <v>566</v>
      </c>
      <c r="E490" s="1" t="s">
        <v>50</v>
      </c>
      <c r="F490" s="1" t="s">
        <v>48</v>
      </c>
      <c r="G490" s="10" t="s">
        <v>80</v>
      </c>
      <c r="H490" s="1" t="s">
        <v>17</v>
      </c>
      <c r="I490" s="21" t="s">
        <v>1073</v>
      </c>
      <c r="J490" s="18">
        <v>5356.8984036680031</v>
      </c>
      <c r="K490" s="18">
        <f>VLOOKUP(A490,[1]Export!$A:$C,3,0)</f>
        <v>1343.73</v>
      </c>
      <c r="L490" s="19">
        <f t="shared" si="16"/>
        <v>0.2508410462068712</v>
      </c>
      <c r="M490" s="18">
        <f>VLOOKUP(A490,[1]Export!$A:$G,7,0)</f>
        <v>0</v>
      </c>
      <c r="N490" s="19">
        <f t="shared" si="17"/>
        <v>0</v>
      </c>
      <c r="O490" s="17" t="s">
        <v>1025</v>
      </c>
      <c r="P490" s="17" t="s">
        <v>1026</v>
      </c>
      <c r="Q490" s="17" t="s">
        <v>1022</v>
      </c>
      <c r="R490" s="17" t="str">
        <f>VLOOKUP(A490,[2]Export!$A:$I,9,0)</f>
        <v>Comprou SG</v>
      </c>
      <c r="S490" s="17" t="s">
        <v>1022</v>
      </c>
      <c r="T490" s="20"/>
      <c r="U490" s="17"/>
    </row>
    <row r="491" spans="1:21" x14ac:dyDescent="0.35">
      <c r="A491" s="5">
        <v>51905753000187</v>
      </c>
      <c r="B491" s="7"/>
      <c r="C491" s="4"/>
      <c r="D491" s="6" t="s">
        <v>567</v>
      </c>
      <c r="E491" s="6" t="s">
        <v>52</v>
      </c>
      <c r="F491" s="6" t="s">
        <v>8</v>
      </c>
      <c r="G491" s="11" t="s">
        <v>20</v>
      </c>
      <c r="H491" s="6" t="s">
        <v>17</v>
      </c>
      <c r="I491" s="21" t="s">
        <v>1074</v>
      </c>
      <c r="J491" s="18">
        <v>12611.39067612396</v>
      </c>
      <c r="K491" s="18">
        <f>VLOOKUP(A491,[1]Export!$A:$C,3,0)</f>
        <v>5577.7999999999984</v>
      </c>
      <c r="L491" s="19">
        <f t="shared" si="16"/>
        <v>0.44228270642348416</v>
      </c>
      <c r="M491" s="18">
        <f>VLOOKUP(A491,[1]Export!$A:$G,7,0)</f>
        <v>0</v>
      </c>
      <c r="N491" s="19">
        <f t="shared" si="17"/>
        <v>0</v>
      </c>
      <c r="O491" s="17" t="s">
        <v>1031</v>
      </c>
      <c r="P491" s="17" t="s">
        <v>1026</v>
      </c>
      <c r="Q491" s="17" t="s">
        <v>1023</v>
      </c>
      <c r="R491" s="17" t="str">
        <f>VLOOKUP(A491,[2]Export!$A:$I,9,0)</f>
        <v>Não Comprou</v>
      </c>
      <c r="S491" s="17" t="s">
        <v>1022</v>
      </c>
      <c r="T491" s="20">
        <v>3</v>
      </c>
      <c r="U491" s="17"/>
    </row>
    <row r="492" spans="1:21" x14ac:dyDescent="0.35">
      <c r="A492" s="4">
        <v>52950355000226</v>
      </c>
      <c r="B492" s="7"/>
      <c r="C492" s="4"/>
      <c r="D492" s="1" t="s">
        <v>568</v>
      </c>
      <c r="E492" s="1" t="s">
        <v>40</v>
      </c>
      <c r="F492" s="1" t="s">
        <v>8</v>
      </c>
      <c r="G492" s="10" t="s">
        <v>74</v>
      </c>
      <c r="H492" s="1" t="s">
        <v>17</v>
      </c>
      <c r="I492" s="21" t="s">
        <v>1072</v>
      </c>
      <c r="J492" s="18">
        <v>5282.5820237035068</v>
      </c>
      <c r="K492" s="18">
        <f>VLOOKUP(A492,[1]Export!$A:$C,3,0)</f>
        <v>2059.52</v>
      </c>
      <c r="L492" s="19">
        <f t="shared" si="16"/>
        <v>0.38986995199671581</v>
      </c>
      <c r="M492" s="18">
        <f>VLOOKUP(A492,[1]Export!$A:$G,7,0)</f>
        <v>0</v>
      </c>
      <c r="N492" s="19">
        <f t="shared" si="17"/>
        <v>0</v>
      </c>
      <c r="O492" s="17" t="s">
        <v>1025</v>
      </c>
      <c r="P492" s="17" t="s">
        <v>1026</v>
      </c>
      <c r="Q492" s="17" t="s">
        <v>1023</v>
      </c>
      <c r="R492" s="17" t="str">
        <f>VLOOKUP(A492,[2]Export!$A:$I,9,0)</f>
        <v>Não Comprou</v>
      </c>
      <c r="S492" s="17" t="s">
        <v>1022</v>
      </c>
      <c r="T492" s="20"/>
      <c r="U492" s="17"/>
    </row>
    <row r="493" spans="1:21" x14ac:dyDescent="0.35">
      <c r="A493" s="5">
        <v>64621083000119</v>
      </c>
      <c r="B493" s="7"/>
      <c r="C493" s="4"/>
      <c r="D493" s="6" t="s">
        <v>569</v>
      </c>
      <c r="E493" s="6" t="s">
        <v>122</v>
      </c>
      <c r="F493" s="6" t="s">
        <v>8</v>
      </c>
      <c r="G493" s="11" t="s">
        <v>20</v>
      </c>
      <c r="H493" s="6" t="s">
        <v>17</v>
      </c>
      <c r="I493" s="21" t="s">
        <v>1068</v>
      </c>
      <c r="J493" s="18">
        <v>1126.5760623733863</v>
      </c>
      <c r="K493" s="18">
        <f>VLOOKUP(A493,[1]Export!$A:$C,3,0)</f>
        <v>650.53</v>
      </c>
      <c r="L493" s="19">
        <f t="shared" si="16"/>
        <v>0.57743992769517216</v>
      </c>
      <c r="M493" s="18">
        <f>VLOOKUP(A493,[1]Export!$A:$G,7,0)</f>
        <v>0</v>
      </c>
      <c r="N493" s="19">
        <f t="shared" si="17"/>
        <v>0</v>
      </c>
      <c r="O493" s="17" t="s">
        <v>1025</v>
      </c>
      <c r="P493" s="17" t="s">
        <v>1026</v>
      </c>
      <c r="Q493" s="17" t="s">
        <v>1023</v>
      </c>
      <c r="R493" s="17" t="str">
        <f>VLOOKUP(A493,[2]Export!$A:$I,9,0)</f>
        <v>Não Comprou</v>
      </c>
      <c r="S493" s="17" t="s">
        <v>1023</v>
      </c>
      <c r="T493" s="20"/>
      <c r="U493" s="17"/>
    </row>
    <row r="494" spans="1:21" x14ac:dyDescent="0.35">
      <c r="A494" s="4">
        <v>52189626000191</v>
      </c>
      <c r="B494" s="7"/>
      <c r="C494" s="4"/>
      <c r="D494" s="1" t="s">
        <v>570</v>
      </c>
      <c r="E494" s="1" t="s">
        <v>52</v>
      </c>
      <c r="F494" s="1" t="s">
        <v>8</v>
      </c>
      <c r="G494" s="10" t="s">
        <v>20</v>
      </c>
      <c r="H494" s="1" t="s">
        <v>17</v>
      </c>
      <c r="I494" s="21" t="s">
        <v>1074</v>
      </c>
      <c r="J494" s="18">
        <v>2878.224888562987</v>
      </c>
      <c r="K494" s="18">
        <f>VLOOKUP(A494,[1]Export!$A:$C,3,0)</f>
        <v>496.25</v>
      </c>
      <c r="L494" s="19">
        <f t="shared" si="16"/>
        <v>0.17241529734938921</v>
      </c>
      <c r="M494" s="18">
        <f>VLOOKUP(A494,[1]Export!$A:$G,7,0)</f>
        <v>0</v>
      </c>
      <c r="N494" s="19">
        <f t="shared" si="17"/>
        <v>0</v>
      </c>
      <c r="O494" s="17" t="s">
        <v>1025</v>
      </c>
      <c r="P494" s="17" t="s">
        <v>1026</v>
      </c>
      <c r="Q494" s="17" t="s">
        <v>1023</v>
      </c>
      <c r="R494" s="17" t="str">
        <f>VLOOKUP(A494,[2]Export!$A:$I,9,0)</f>
        <v>Não Comprou</v>
      </c>
      <c r="S494" s="17" t="s">
        <v>1022</v>
      </c>
      <c r="T494" s="20">
        <v>4</v>
      </c>
      <c r="U494" s="17"/>
    </row>
    <row r="495" spans="1:21" x14ac:dyDescent="0.35">
      <c r="A495" s="5">
        <v>49560389000119</v>
      </c>
      <c r="B495" s="7"/>
      <c r="C495" s="4"/>
      <c r="D495" s="6" t="s">
        <v>571</v>
      </c>
      <c r="E495" s="6" t="s">
        <v>14</v>
      </c>
      <c r="F495" s="6" t="s">
        <v>15</v>
      </c>
      <c r="G495" s="11" t="s">
        <v>36</v>
      </c>
      <c r="H495" s="6" t="s">
        <v>17</v>
      </c>
      <c r="I495" s="21" t="s">
        <v>1069</v>
      </c>
      <c r="J495" s="18">
        <v>2501.0830845813425</v>
      </c>
      <c r="K495" s="18">
        <f>VLOOKUP(A495,[1]Export!$A:$C,3,0)</f>
        <v>546.45000000000005</v>
      </c>
      <c r="L495" s="19">
        <f t="shared" si="16"/>
        <v>0.21848534475673789</v>
      </c>
      <c r="M495" s="18">
        <f>VLOOKUP(A495,[1]Export!$A:$G,7,0)</f>
        <v>2455.46</v>
      </c>
      <c r="N495" s="19">
        <f t="shared" si="17"/>
        <v>0.98175866892923336</v>
      </c>
      <c r="O495" s="17" t="s">
        <v>1025</v>
      </c>
      <c r="P495" s="17" t="s">
        <v>1026</v>
      </c>
      <c r="Q495" s="17" t="s">
        <v>1023</v>
      </c>
      <c r="R495" s="17" t="str">
        <f>VLOOKUP(A495,[2]Export!$A:$I,9,0)</f>
        <v>Comprou Marcas</v>
      </c>
      <c r="S495" s="17" t="s">
        <v>1023</v>
      </c>
      <c r="T495" s="20"/>
      <c r="U495" s="17"/>
    </row>
    <row r="496" spans="1:21" x14ac:dyDescent="0.35">
      <c r="A496" s="4">
        <v>54593917000176</v>
      </c>
      <c r="B496" s="7"/>
      <c r="C496" s="4"/>
      <c r="D496" s="1" t="s">
        <v>572</v>
      </c>
      <c r="E496" s="1" t="s">
        <v>14</v>
      </c>
      <c r="F496" s="1" t="s">
        <v>15</v>
      </c>
      <c r="G496" s="10" t="s">
        <v>20</v>
      </c>
      <c r="H496" s="1" t="s">
        <v>17</v>
      </c>
      <c r="I496" s="21" t="s">
        <v>1069</v>
      </c>
      <c r="J496" s="18">
        <v>2817.7071009326323</v>
      </c>
      <c r="K496" s="18">
        <f>VLOOKUP(A496,[1]Export!$A:$C,3,0)</f>
        <v>1079.8999999999999</v>
      </c>
      <c r="L496" s="19">
        <f t="shared" si="16"/>
        <v>0.38325488112038469</v>
      </c>
      <c r="M496" s="18">
        <f>VLOOKUP(A496,[1]Export!$A:$G,7,0)</f>
        <v>0</v>
      </c>
      <c r="N496" s="19">
        <f t="shared" si="17"/>
        <v>0</v>
      </c>
      <c r="O496" s="17" t="s">
        <v>1025</v>
      </c>
      <c r="P496" s="17" t="s">
        <v>1026</v>
      </c>
      <c r="Q496" s="17" t="s">
        <v>1023</v>
      </c>
      <c r="R496" s="17" t="str">
        <f>VLOOKUP(A496,[2]Export!$A:$I,9,0)</f>
        <v>Não Comprou</v>
      </c>
      <c r="S496" s="17" t="s">
        <v>1023</v>
      </c>
      <c r="T496" s="20"/>
      <c r="U496" s="17"/>
    </row>
    <row r="497" spans="1:21" x14ac:dyDescent="0.35">
      <c r="A497" s="5">
        <v>36752663000100</v>
      </c>
      <c r="B497" s="7"/>
      <c r="C497" s="4"/>
      <c r="D497" s="6" t="s">
        <v>573</v>
      </c>
      <c r="E497" s="6" t="s">
        <v>166</v>
      </c>
      <c r="F497" s="6" t="s">
        <v>8</v>
      </c>
      <c r="G497" s="11" t="s">
        <v>16</v>
      </c>
      <c r="H497" s="6" t="s">
        <v>17</v>
      </c>
      <c r="I497" s="21" t="s">
        <v>1070</v>
      </c>
      <c r="J497" s="18">
        <v>5781.1524739630086</v>
      </c>
      <c r="K497" s="18">
        <f>VLOOKUP(A497,[1]Export!$A:$C,3,0)</f>
        <v>6417.2999999999993</v>
      </c>
      <c r="L497" s="19">
        <f t="shared" si="16"/>
        <v>1.1100381851027203</v>
      </c>
      <c r="M497" s="18">
        <f>VLOOKUP(A497,[1]Export!$A:$G,7,0)</f>
        <v>5641.4899999999989</v>
      </c>
      <c r="N497" s="19">
        <f t="shared" si="17"/>
        <v>0.97584175913158877</v>
      </c>
      <c r="O497" s="17"/>
      <c r="P497" s="17"/>
      <c r="Q497" s="17"/>
      <c r="R497" s="17" t="str">
        <f>VLOOKUP(A497,[2]Export!$A:$I,9,0)</f>
        <v>Comprou Marcas</v>
      </c>
      <c r="S497" s="17"/>
      <c r="T497" s="20"/>
      <c r="U497" s="17">
        <v>5</v>
      </c>
    </row>
    <row r="498" spans="1:21" x14ac:dyDescent="0.35">
      <c r="A498" s="4">
        <v>96619283000123</v>
      </c>
      <c r="B498" s="7"/>
      <c r="C498" s="4"/>
      <c r="D498" s="1" t="s">
        <v>574</v>
      </c>
      <c r="E498" s="1" t="s">
        <v>47</v>
      </c>
      <c r="F498" s="1" t="s">
        <v>48</v>
      </c>
      <c r="G498" s="10" t="s">
        <v>20</v>
      </c>
      <c r="H498" s="1" t="s">
        <v>17</v>
      </c>
      <c r="I498" s="21" t="s">
        <v>1073</v>
      </c>
      <c r="J498" s="18">
        <v>2088.0580216779567</v>
      </c>
      <c r="K498" s="18">
        <f>VLOOKUP(A498,[1]Export!$A:$C,3,0)</f>
        <v>670.4799999999999</v>
      </c>
      <c r="L498" s="19">
        <f t="shared" si="16"/>
        <v>0.32110218827214598</v>
      </c>
      <c r="M498" s="18">
        <f>VLOOKUP(A498,[1]Export!$A:$G,7,0)</f>
        <v>0</v>
      </c>
      <c r="N498" s="19">
        <f t="shared" si="17"/>
        <v>0</v>
      </c>
      <c r="O498" s="17" t="s">
        <v>1025</v>
      </c>
      <c r="P498" s="17" t="s">
        <v>1026</v>
      </c>
      <c r="Q498" s="17" t="s">
        <v>1023</v>
      </c>
      <c r="R498" s="17" t="str">
        <f>VLOOKUP(A498,[2]Export!$A:$I,9,0)</f>
        <v>Não Comprou</v>
      </c>
      <c r="S498" s="17" t="s">
        <v>1023</v>
      </c>
      <c r="T498" s="20"/>
      <c r="U498" s="17"/>
    </row>
    <row r="499" spans="1:21" x14ac:dyDescent="0.35">
      <c r="A499" s="5">
        <v>60042541000104</v>
      </c>
      <c r="B499" s="7"/>
      <c r="C499" s="4"/>
      <c r="D499" s="6" t="s">
        <v>575</v>
      </c>
      <c r="E499" s="6" t="s">
        <v>379</v>
      </c>
      <c r="F499" s="6" t="s">
        <v>15</v>
      </c>
      <c r="G499" s="11" t="s">
        <v>20</v>
      </c>
      <c r="H499" s="6" t="s">
        <v>17</v>
      </c>
      <c r="I499" s="21" t="s">
        <v>1075</v>
      </c>
      <c r="J499" s="18">
        <v>1043.3438006282788</v>
      </c>
      <c r="K499" s="18">
        <f>VLOOKUP(A499,[1]Export!$A:$C,3,0)</f>
        <v>1197.3700000000001</v>
      </c>
      <c r="L499" s="19">
        <f t="shared" si="16"/>
        <v>1.1476274640046455</v>
      </c>
      <c r="M499" s="18">
        <f>VLOOKUP(A499,[1]Export!$A:$G,7,0)</f>
        <v>812.32</v>
      </c>
      <c r="N499" s="19">
        <f t="shared" si="17"/>
        <v>0.77857365856857419</v>
      </c>
      <c r="O499" s="17" t="s">
        <v>1025</v>
      </c>
      <c r="P499" s="17" t="s">
        <v>1026</v>
      </c>
      <c r="Q499" s="17" t="s">
        <v>1023</v>
      </c>
      <c r="R499" s="17" t="str">
        <f>VLOOKUP(A499,[2]Export!$A:$I,9,0)</f>
        <v>Comprou Marcas</v>
      </c>
      <c r="S499" s="17" t="s">
        <v>1023</v>
      </c>
      <c r="T499" s="20"/>
      <c r="U499" s="17"/>
    </row>
    <row r="500" spans="1:21" x14ac:dyDescent="0.35">
      <c r="A500" s="4">
        <v>62464432000100</v>
      </c>
      <c r="B500" s="7"/>
      <c r="C500" s="4"/>
      <c r="D500" s="1" t="s">
        <v>576</v>
      </c>
      <c r="E500" s="1" t="s">
        <v>577</v>
      </c>
      <c r="F500" s="1" t="s">
        <v>15</v>
      </c>
      <c r="G500" s="10" t="s">
        <v>36</v>
      </c>
      <c r="H500" s="1" t="s">
        <v>17</v>
      </c>
      <c r="I500" s="21" t="s">
        <v>1069</v>
      </c>
      <c r="J500" s="18">
        <v>5152.5426936792237</v>
      </c>
      <c r="K500" s="18">
        <f>VLOOKUP(A500,[1]Export!$A:$C,3,0)</f>
        <v>641.27999999999986</v>
      </c>
      <c r="L500" s="19">
        <f t="shared" si="16"/>
        <v>0.12445893961959344</v>
      </c>
      <c r="M500" s="18">
        <f>VLOOKUP(A500,[1]Export!$A:$G,7,0)</f>
        <v>0</v>
      </c>
      <c r="N500" s="19">
        <f t="shared" si="17"/>
        <v>0</v>
      </c>
      <c r="O500" s="17" t="s">
        <v>1025</v>
      </c>
      <c r="P500" s="17" t="s">
        <v>1026</v>
      </c>
      <c r="Q500" s="17" t="s">
        <v>1023</v>
      </c>
      <c r="R500" s="17" t="str">
        <f>VLOOKUP(A500,[2]Export!$A:$I,9,0)</f>
        <v>Não Comprou</v>
      </c>
      <c r="S500" s="17" t="s">
        <v>1022</v>
      </c>
      <c r="T500" s="20">
        <v>4</v>
      </c>
      <c r="U500" s="17"/>
    </row>
    <row r="501" spans="1:21" x14ac:dyDescent="0.35">
      <c r="A501" s="5">
        <v>63937486000109</v>
      </c>
      <c r="B501" s="7"/>
      <c r="C501" s="4"/>
      <c r="D501" s="6" t="s">
        <v>578</v>
      </c>
      <c r="E501" s="6" t="s">
        <v>50</v>
      </c>
      <c r="F501" s="6" t="s">
        <v>48</v>
      </c>
      <c r="G501" s="11" t="s">
        <v>80</v>
      </c>
      <c r="H501" s="6" t="s">
        <v>17</v>
      </c>
      <c r="I501" s="21" t="s">
        <v>1073</v>
      </c>
      <c r="J501" s="18">
        <v>14212.191520025035</v>
      </c>
      <c r="K501" s="18">
        <f>VLOOKUP(A501,[1]Export!$A:$C,3,0)</f>
        <v>1462.9700000000003</v>
      </c>
      <c r="L501" s="19">
        <f t="shared" si="16"/>
        <v>0.1029376783966547</v>
      </c>
      <c r="M501" s="18">
        <f>VLOOKUP(A501,[1]Export!$A:$G,7,0)</f>
        <v>0</v>
      </c>
      <c r="N501" s="19">
        <f t="shared" si="17"/>
        <v>0</v>
      </c>
      <c r="O501" s="17" t="s">
        <v>1027</v>
      </c>
      <c r="P501" s="17" t="s">
        <v>1028</v>
      </c>
      <c r="Q501" s="17" t="s">
        <v>1023</v>
      </c>
      <c r="R501" s="17" t="str">
        <f>VLOOKUP(A501,[2]Export!$A:$I,9,0)</f>
        <v>Comprou SG</v>
      </c>
      <c r="S501" s="17" t="s">
        <v>1022</v>
      </c>
      <c r="T501" s="20"/>
      <c r="U501" s="17"/>
    </row>
    <row r="502" spans="1:21" x14ac:dyDescent="0.35">
      <c r="A502" s="4">
        <v>67096438000196</v>
      </c>
      <c r="B502" s="7"/>
      <c r="C502" s="4">
        <v>11744</v>
      </c>
      <c r="D502" s="1" t="s">
        <v>579</v>
      </c>
      <c r="E502" s="1" t="s">
        <v>143</v>
      </c>
      <c r="F502" s="1" t="s">
        <v>48</v>
      </c>
      <c r="G502" s="10" t="s">
        <v>87</v>
      </c>
      <c r="H502" s="1" t="s">
        <v>17</v>
      </c>
      <c r="I502" s="21" t="s">
        <v>1075</v>
      </c>
      <c r="J502" s="18">
        <v>3748.0639305731929</v>
      </c>
      <c r="K502" s="18">
        <f>VLOOKUP(A502,[1]Export!$A:$C,3,0)</f>
        <v>994.86</v>
      </c>
      <c r="L502" s="19">
        <f t="shared" si="16"/>
        <v>0.2654330391445206</v>
      </c>
      <c r="M502" s="18">
        <f>VLOOKUP(A502,[1]Export!$A:$G,7,0)</f>
        <v>354.25</v>
      </c>
      <c r="N502" s="19">
        <f t="shared" si="17"/>
        <v>9.451546359984965E-2</v>
      </c>
      <c r="O502" s="17" t="s">
        <v>1027</v>
      </c>
      <c r="P502" s="17" t="s">
        <v>1026</v>
      </c>
      <c r="Q502" s="17" t="s">
        <v>1023</v>
      </c>
      <c r="R502" s="17" t="str">
        <f>VLOOKUP(A502,[2]Export!$A:$I,9,0)</f>
        <v>Comprou Marcas e SG</v>
      </c>
      <c r="S502" s="17" t="s">
        <v>1022</v>
      </c>
      <c r="T502" s="20"/>
      <c r="U502" s="17"/>
    </row>
    <row r="503" spans="1:21" x14ac:dyDescent="0.35">
      <c r="A503" s="5">
        <v>1374296000173</v>
      </c>
      <c r="B503" s="7"/>
      <c r="C503" s="4"/>
      <c r="D503" s="6" t="s">
        <v>580</v>
      </c>
      <c r="E503" s="6" t="s">
        <v>50</v>
      </c>
      <c r="F503" s="6" t="s">
        <v>48</v>
      </c>
      <c r="G503" s="11" t="s">
        <v>352</v>
      </c>
      <c r="H503" s="6" t="s">
        <v>17</v>
      </c>
      <c r="I503" s="21" t="s">
        <v>1073</v>
      </c>
      <c r="J503" s="18">
        <v>4822.5258651296444</v>
      </c>
      <c r="K503" s="18">
        <f>VLOOKUP(A503,[1]Export!$A:$C,3,0)</f>
        <v>992.98</v>
      </c>
      <c r="L503" s="19">
        <f t="shared" si="16"/>
        <v>0.20590454624203569</v>
      </c>
      <c r="M503" s="18">
        <f>VLOOKUP(A503,[1]Export!$A:$G,7,0)</f>
        <v>679.74</v>
      </c>
      <c r="N503" s="19">
        <f t="shared" si="17"/>
        <v>0.14095103251078706</v>
      </c>
      <c r="O503" s="17" t="s">
        <v>1029</v>
      </c>
      <c r="P503" s="17" t="s">
        <v>1026</v>
      </c>
      <c r="Q503" s="17" t="s">
        <v>1023</v>
      </c>
      <c r="R503" s="17" t="str">
        <f>VLOOKUP(A503,[2]Export!$A:$I,9,0)</f>
        <v>Comprou Marcas</v>
      </c>
      <c r="S503" s="17" t="s">
        <v>1022</v>
      </c>
      <c r="T503" s="20"/>
      <c r="U503" s="17"/>
    </row>
    <row r="504" spans="1:21" x14ac:dyDescent="0.35">
      <c r="A504" s="4">
        <v>1996877000147</v>
      </c>
      <c r="B504" s="7"/>
      <c r="C504" s="4"/>
      <c r="D504" s="1" t="s">
        <v>581</v>
      </c>
      <c r="E504" s="1" t="s">
        <v>208</v>
      </c>
      <c r="F504" s="1" t="s">
        <v>15</v>
      </c>
      <c r="G504" s="10" t="s">
        <v>20</v>
      </c>
      <c r="H504" s="1" t="s">
        <v>17</v>
      </c>
      <c r="I504" s="21" t="s">
        <v>1069</v>
      </c>
      <c r="J504" s="18">
        <v>1332.8522979641846</v>
      </c>
      <c r="K504" s="18">
        <f>VLOOKUP(A504,[1]Export!$A:$C,3,0)</f>
        <v>256.12</v>
      </c>
      <c r="L504" s="19">
        <f t="shared" si="16"/>
        <v>0.19215932657444559</v>
      </c>
      <c r="M504" s="18">
        <f>VLOOKUP(A504,[1]Export!$A:$G,7,0)</f>
        <v>0</v>
      </c>
      <c r="N504" s="19">
        <f t="shared" si="17"/>
        <v>0</v>
      </c>
      <c r="O504" s="17" t="s">
        <v>1025</v>
      </c>
      <c r="P504" s="17" t="s">
        <v>1026</v>
      </c>
      <c r="Q504" s="17" t="s">
        <v>1023</v>
      </c>
      <c r="R504" s="17" t="str">
        <f>VLOOKUP(A504,[2]Export!$A:$I,9,0)</f>
        <v>Não Comprou</v>
      </c>
      <c r="S504" s="17" t="s">
        <v>1023</v>
      </c>
      <c r="T504" s="20"/>
      <c r="U504" s="17"/>
    </row>
    <row r="505" spans="1:21" x14ac:dyDescent="0.35">
      <c r="A505" s="5">
        <v>3141355000199</v>
      </c>
      <c r="B505" s="7"/>
      <c r="C505" s="4"/>
      <c r="D505" s="6" t="s">
        <v>582</v>
      </c>
      <c r="E505" s="6" t="s">
        <v>160</v>
      </c>
      <c r="F505" s="6" t="s">
        <v>8</v>
      </c>
      <c r="G505" s="11" t="s">
        <v>20</v>
      </c>
      <c r="H505" s="6" t="s">
        <v>17</v>
      </c>
      <c r="I505" s="21" t="s">
        <v>1070</v>
      </c>
      <c r="J505" s="18">
        <v>938.51789230651855</v>
      </c>
      <c r="K505" s="18">
        <f>VLOOKUP(A505,[1]Export!$A:$C,3,0)</f>
        <v>403.81</v>
      </c>
      <c r="L505" s="19">
        <f t="shared" si="16"/>
        <v>0.43026350729189533</v>
      </c>
      <c r="M505" s="18">
        <f>VLOOKUP(A505,[1]Export!$A:$G,7,0)</f>
        <v>0</v>
      </c>
      <c r="N505" s="19">
        <f t="shared" si="17"/>
        <v>0</v>
      </c>
      <c r="O505" s="17" t="s">
        <v>1025</v>
      </c>
      <c r="P505" s="17" t="s">
        <v>1026</v>
      </c>
      <c r="Q505" s="17" t="s">
        <v>1023</v>
      </c>
      <c r="R505" s="17" t="str">
        <f>VLOOKUP(A505,[2]Export!$A:$I,9,0)</f>
        <v>Não Comprou</v>
      </c>
      <c r="S505" s="17" t="s">
        <v>1023</v>
      </c>
      <c r="T505" s="20"/>
      <c r="U505" s="17"/>
    </row>
    <row r="506" spans="1:21" x14ac:dyDescent="0.35">
      <c r="A506" s="4">
        <v>18806193000723</v>
      </c>
      <c r="B506" s="7" t="s">
        <v>992</v>
      </c>
      <c r="C506" s="4"/>
      <c r="D506" s="1" t="s">
        <v>57</v>
      </c>
      <c r="E506" s="1" t="s">
        <v>61</v>
      </c>
      <c r="F506" s="1" t="s">
        <v>8</v>
      </c>
      <c r="G506" s="10" t="s">
        <v>9</v>
      </c>
      <c r="H506" s="1" t="s">
        <v>10</v>
      </c>
      <c r="I506" s="21" t="s">
        <v>1068</v>
      </c>
      <c r="J506" s="18">
        <v>5900.8226506732108</v>
      </c>
      <c r="K506" s="18">
        <f>VLOOKUP(A506,[1]Export!$A:$C,3,0)</f>
        <v>3491.1700000000005</v>
      </c>
      <c r="L506" s="19">
        <f t="shared" si="16"/>
        <v>0.59164123490505194</v>
      </c>
      <c r="M506" s="18">
        <f>VLOOKUP(A506,[1]Export!$A:$G,7,0)</f>
        <v>2614.1700000000005</v>
      </c>
      <c r="N506" s="19">
        <f t="shared" si="17"/>
        <v>0.44301789000585473</v>
      </c>
      <c r="O506" s="17" t="s">
        <v>1027</v>
      </c>
      <c r="P506" s="17" t="s">
        <v>1028</v>
      </c>
      <c r="Q506" s="17" t="s">
        <v>1022</v>
      </c>
      <c r="R506" s="17" t="str">
        <f>VLOOKUP(A506,[2]Export!$A:$I,9,0)</f>
        <v>Comprou Marcas</v>
      </c>
      <c r="S506" s="17" t="s">
        <v>1022</v>
      </c>
      <c r="T506" s="20"/>
      <c r="U506" s="17"/>
    </row>
    <row r="507" spans="1:21" x14ac:dyDescent="0.35">
      <c r="A507" s="5">
        <v>4050862000694</v>
      </c>
      <c r="B507" s="7" t="s">
        <v>997</v>
      </c>
      <c r="C507" s="4"/>
      <c r="D507" s="6" t="s">
        <v>559</v>
      </c>
      <c r="E507" s="6" t="s">
        <v>14</v>
      </c>
      <c r="F507" s="6" t="s">
        <v>15</v>
      </c>
      <c r="G507" s="11" t="s">
        <v>9</v>
      </c>
      <c r="H507" s="6" t="s">
        <v>10</v>
      </c>
      <c r="I507" s="21" t="s">
        <v>1069</v>
      </c>
      <c r="J507" s="18">
        <v>4887.3768799351074</v>
      </c>
      <c r="K507" s="18">
        <f>VLOOKUP(A507,[1]Export!$A:$C,3,0)</f>
        <v>1523.0200000000002</v>
      </c>
      <c r="L507" s="19">
        <f t="shared" si="16"/>
        <v>0.31162319530803656</v>
      </c>
      <c r="M507" s="18">
        <f>VLOOKUP(A507,[1]Export!$A:$G,7,0)</f>
        <v>817.56000000000017</v>
      </c>
      <c r="N507" s="19">
        <f t="shared" si="17"/>
        <v>0.16727991724077054</v>
      </c>
      <c r="O507" s="17" t="s">
        <v>1027</v>
      </c>
      <c r="P507" s="17" t="s">
        <v>1028</v>
      </c>
      <c r="Q507" s="17" t="s">
        <v>1023</v>
      </c>
      <c r="R507" s="17" t="str">
        <f>VLOOKUP(A507,[2]Export!$A:$I,9,0)</f>
        <v>Comprou Marcas</v>
      </c>
      <c r="S507" s="17" t="s">
        <v>1022</v>
      </c>
      <c r="T507" s="20"/>
      <c r="U507" s="17"/>
    </row>
    <row r="508" spans="1:21" x14ac:dyDescent="0.35">
      <c r="A508" s="4">
        <v>4834843002007</v>
      </c>
      <c r="B508" s="7" t="s">
        <v>994</v>
      </c>
      <c r="C508" s="4"/>
      <c r="D508" s="1" t="s">
        <v>91</v>
      </c>
      <c r="E508" s="1" t="s">
        <v>405</v>
      </c>
      <c r="F508" s="1" t="s">
        <v>48</v>
      </c>
      <c r="G508" s="10" t="s">
        <v>92</v>
      </c>
      <c r="H508" s="1" t="s">
        <v>17</v>
      </c>
      <c r="I508" s="21" t="s">
        <v>1073</v>
      </c>
      <c r="J508" s="18">
        <v>4514.8315353889275</v>
      </c>
      <c r="K508" s="18">
        <f>VLOOKUP(A508,[1]Export!$A:$C,3,0)</f>
        <v>1076.7699999999998</v>
      </c>
      <c r="L508" s="19">
        <f t="shared" si="16"/>
        <v>0.23849616349134542</v>
      </c>
      <c r="M508" s="18">
        <f>VLOOKUP(A508,[1]Export!$A:$G,7,0)</f>
        <v>1666.37</v>
      </c>
      <c r="N508" s="19">
        <f t="shared" si="17"/>
        <v>0.36908796860710585</v>
      </c>
      <c r="O508" s="17" t="s">
        <v>1027</v>
      </c>
      <c r="P508" s="17" t="s">
        <v>1028</v>
      </c>
      <c r="Q508" s="17" t="s">
        <v>1023</v>
      </c>
      <c r="R508" s="17" t="str">
        <f>VLOOKUP(A508,[2]Export!$A:$I,9,0)</f>
        <v>Comprou Marcas</v>
      </c>
      <c r="S508" s="17" t="s">
        <v>1022</v>
      </c>
      <c r="T508" s="20"/>
      <c r="U508" s="17"/>
    </row>
    <row r="509" spans="1:21" x14ac:dyDescent="0.35">
      <c r="A509" s="5">
        <v>4834843002430</v>
      </c>
      <c r="B509" s="7" t="s">
        <v>994</v>
      </c>
      <c r="C509" s="4"/>
      <c r="D509" s="6" t="s">
        <v>91</v>
      </c>
      <c r="E509" s="6" t="s">
        <v>500</v>
      </c>
      <c r="F509" s="6" t="s">
        <v>48</v>
      </c>
      <c r="G509" s="11" t="s">
        <v>92</v>
      </c>
      <c r="H509" s="6" t="s">
        <v>17</v>
      </c>
      <c r="I509" s="21" t="s">
        <v>1073</v>
      </c>
      <c r="J509" s="18">
        <v>12360.582361648761</v>
      </c>
      <c r="K509" s="18">
        <f>VLOOKUP(A509,[1]Export!$A:$C,3,0)</f>
        <v>5008.7700000000004</v>
      </c>
      <c r="L509" s="19">
        <f t="shared" si="16"/>
        <v>0.40522119860151051</v>
      </c>
      <c r="M509" s="18">
        <f>VLOOKUP(A509,[1]Export!$A:$G,7,0)</f>
        <v>4897.5299999999988</v>
      </c>
      <c r="N509" s="19">
        <f t="shared" si="17"/>
        <v>0.39622162263127575</v>
      </c>
      <c r="O509" s="17" t="s">
        <v>1027</v>
      </c>
      <c r="P509" s="17" t="s">
        <v>1028</v>
      </c>
      <c r="Q509" s="17" t="s">
        <v>1023</v>
      </c>
      <c r="R509" s="17" t="str">
        <f>VLOOKUP(A509,[2]Export!$A:$I,9,0)</f>
        <v>Comprou Marcas</v>
      </c>
      <c r="S509" s="17" t="s">
        <v>1022</v>
      </c>
      <c r="T509" s="20"/>
      <c r="U509" s="17"/>
    </row>
    <row r="510" spans="1:21" x14ac:dyDescent="0.35">
      <c r="A510" s="4">
        <v>65824591000167</v>
      </c>
      <c r="B510" s="7"/>
      <c r="C510" s="4"/>
      <c r="D510" s="1" t="s">
        <v>460</v>
      </c>
      <c r="E510" s="1" t="s">
        <v>157</v>
      </c>
      <c r="F510" s="1" t="s">
        <v>48</v>
      </c>
      <c r="G510" s="10" t="s">
        <v>38</v>
      </c>
      <c r="H510" s="1" t="s">
        <v>17</v>
      </c>
      <c r="I510" s="21" t="s">
        <v>1073</v>
      </c>
      <c r="J510" s="18">
        <v>3704.5584216858733</v>
      </c>
      <c r="K510" s="18">
        <f>VLOOKUP(A510,[1]Export!$A:$C,3,0)</f>
        <v>2832.440000000001</v>
      </c>
      <c r="L510" s="19">
        <f t="shared" si="16"/>
        <v>0.76458235438247235</v>
      </c>
      <c r="M510" s="18">
        <f>VLOOKUP(A510,[1]Export!$A:$G,7,0)</f>
        <v>1503.71</v>
      </c>
      <c r="N510" s="19">
        <f t="shared" si="17"/>
        <v>0.40590802703974921</v>
      </c>
      <c r="O510" s="17" t="s">
        <v>1027</v>
      </c>
      <c r="P510" s="17" t="s">
        <v>1028</v>
      </c>
      <c r="Q510" s="17" t="s">
        <v>1023</v>
      </c>
      <c r="R510" s="17" t="str">
        <f>VLOOKUP(A510,[2]Export!$A:$I,9,0)</f>
        <v>Comprou Marcas</v>
      </c>
      <c r="S510" s="17" t="s">
        <v>1022</v>
      </c>
      <c r="T510" s="20"/>
      <c r="U510" s="17"/>
    </row>
    <row r="511" spans="1:21" x14ac:dyDescent="0.35">
      <c r="A511" s="5">
        <v>5638726000178</v>
      </c>
      <c r="B511" s="7"/>
      <c r="C511" s="4"/>
      <c r="D511" s="6" t="s">
        <v>585</v>
      </c>
      <c r="E511" s="6" t="s">
        <v>586</v>
      </c>
      <c r="F511" s="6" t="s">
        <v>8</v>
      </c>
      <c r="G511" s="11" t="s">
        <v>36</v>
      </c>
      <c r="H511" s="6" t="s">
        <v>17</v>
      </c>
      <c r="I511" s="21" t="s">
        <v>1074</v>
      </c>
      <c r="J511" s="18">
        <v>3529.1278887131734</v>
      </c>
      <c r="K511" s="18">
        <f>VLOOKUP(A511,[1]Export!$A:$C,3,0)</f>
        <v>216.68</v>
      </c>
      <c r="L511" s="19">
        <f t="shared" si="16"/>
        <v>6.1397604970050569E-2</v>
      </c>
      <c r="M511" s="18">
        <f>VLOOKUP(A511,[1]Export!$A:$G,7,0)</f>
        <v>1869.2899999999997</v>
      </c>
      <c r="N511" s="19">
        <f t="shared" si="17"/>
        <v>0.52967476921942869</v>
      </c>
      <c r="O511" s="17" t="s">
        <v>1025</v>
      </c>
      <c r="P511" s="17" t="s">
        <v>1026</v>
      </c>
      <c r="Q511" s="17" t="s">
        <v>1023</v>
      </c>
      <c r="R511" s="17" t="str">
        <f>VLOOKUP(A511,[2]Export!$A:$I,9,0)</f>
        <v>Comprou Marcas</v>
      </c>
      <c r="S511" s="17" t="s">
        <v>1023</v>
      </c>
      <c r="T511" s="20"/>
      <c r="U511" s="17"/>
    </row>
    <row r="512" spans="1:21" x14ac:dyDescent="0.35">
      <c r="A512" s="4">
        <v>18806193000642</v>
      </c>
      <c r="B512" s="7" t="s">
        <v>992</v>
      </c>
      <c r="C512" s="4"/>
      <c r="D512" s="1" t="s">
        <v>57</v>
      </c>
      <c r="E512" s="1" t="s">
        <v>61</v>
      </c>
      <c r="F512" s="1" t="s">
        <v>8</v>
      </c>
      <c r="G512" s="10" t="s">
        <v>9</v>
      </c>
      <c r="H512" s="1" t="s">
        <v>10</v>
      </c>
      <c r="I512" s="21" t="s">
        <v>1068</v>
      </c>
      <c r="J512" s="18">
        <v>4284.223224518294</v>
      </c>
      <c r="K512" s="18">
        <f>VLOOKUP(A512,[1]Export!$A:$C,3,0)</f>
        <v>1838.2599999999998</v>
      </c>
      <c r="L512" s="19">
        <f t="shared" si="16"/>
        <v>0.42907661521457918</v>
      </c>
      <c r="M512" s="18">
        <f>VLOOKUP(A512,[1]Export!$A:$G,7,0)</f>
        <v>1626.9</v>
      </c>
      <c r="N512" s="19">
        <f t="shared" si="17"/>
        <v>0.3797421177051119</v>
      </c>
      <c r="O512" s="17" t="s">
        <v>1027</v>
      </c>
      <c r="P512" s="17" t="s">
        <v>1028</v>
      </c>
      <c r="Q512" s="17" t="s">
        <v>1022</v>
      </c>
      <c r="R512" s="17" t="str">
        <f>VLOOKUP(A512,[2]Export!$A:$I,9,0)</f>
        <v>Comprou Marcas</v>
      </c>
      <c r="S512" s="17" t="s">
        <v>1022</v>
      </c>
      <c r="T512" s="20"/>
      <c r="U512" s="17"/>
    </row>
    <row r="513" spans="1:21" x14ac:dyDescent="0.35">
      <c r="A513" s="5">
        <v>1913782000112</v>
      </c>
      <c r="B513" s="7"/>
      <c r="C513" s="4"/>
      <c r="D513" s="6" t="s">
        <v>589</v>
      </c>
      <c r="E513" s="6" t="s">
        <v>50</v>
      </c>
      <c r="F513" s="6" t="s">
        <v>48</v>
      </c>
      <c r="G513" s="11" t="s">
        <v>589</v>
      </c>
      <c r="H513" s="6" t="s">
        <v>17</v>
      </c>
      <c r="I513" s="21" t="s">
        <v>1073</v>
      </c>
      <c r="J513" s="18">
        <v>11052.544630361748</v>
      </c>
      <c r="K513" s="18">
        <f>VLOOKUP(A513,[1]Export!$A:$C,3,0)</f>
        <v>2189.81</v>
      </c>
      <c r="L513" s="19">
        <f t="shared" si="16"/>
        <v>0.19812722528932486</v>
      </c>
      <c r="M513" s="18">
        <f>VLOOKUP(A513,[1]Export!$A:$G,7,0)</f>
        <v>0</v>
      </c>
      <c r="N513" s="19">
        <f t="shared" si="17"/>
        <v>0</v>
      </c>
      <c r="O513" s="17" t="s">
        <v>1027</v>
      </c>
      <c r="P513" s="17" t="s">
        <v>1028</v>
      </c>
      <c r="Q513" s="17" t="s">
        <v>1023</v>
      </c>
      <c r="R513" s="17" t="str">
        <f>VLOOKUP(A513,[2]Export!$A:$I,9,0)</f>
        <v>Comprou SG</v>
      </c>
      <c r="S513" s="17" t="s">
        <v>1022</v>
      </c>
      <c r="T513" s="20"/>
      <c r="U513" s="17"/>
    </row>
    <row r="514" spans="1:21" x14ac:dyDescent="0.35">
      <c r="A514" s="5">
        <v>13667030000106</v>
      </c>
      <c r="B514" s="7"/>
      <c r="C514" s="4"/>
      <c r="D514" s="6" t="s">
        <v>564</v>
      </c>
      <c r="E514" s="6" t="s">
        <v>384</v>
      </c>
      <c r="F514" s="6" t="s">
        <v>48</v>
      </c>
      <c r="G514" s="11" t="s">
        <v>38</v>
      </c>
      <c r="H514" s="6" t="s">
        <v>17</v>
      </c>
      <c r="I514" s="21" t="s">
        <v>1073</v>
      </c>
      <c r="J514" s="18">
        <v>6554.5529642130268</v>
      </c>
      <c r="K514" s="18">
        <f>VLOOKUP(A514,[1]Export!$A:$C,3,0)</f>
        <v>3228.6099999999997</v>
      </c>
      <c r="L514" s="19">
        <f t="shared" si="16"/>
        <v>0.49257516380259248</v>
      </c>
      <c r="M514" s="18">
        <f>VLOOKUP(A514,[1]Export!$A:$G,7,0)</f>
        <v>6299.85</v>
      </c>
      <c r="N514" s="19">
        <f t="shared" si="17"/>
        <v>0.96114106246395903</v>
      </c>
      <c r="O514" s="17" t="s">
        <v>1027</v>
      </c>
      <c r="P514" s="17" t="s">
        <v>1028</v>
      </c>
      <c r="Q514" s="17" t="s">
        <v>1023</v>
      </c>
      <c r="R514" s="17" t="str">
        <f>VLOOKUP(A514,[2]Export!$A:$I,9,0)</f>
        <v>Comprou Marcas e SG</v>
      </c>
      <c r="S514" s="17" t="s">
        <v>1022</v>
      </c>
      <c r="T514" s="20"/>
      <c r="U514" s="17"/>
    </row>
    <row r="515" spans="1:21" x14ac:dyDescent="0.35">
      <c r="A515" s="5">
        <v>46726427000172</v>
      </c>
      <c r="B515" s="7"/>
      <c r="C515" s="4"/>
      <c r="D515" s="6" t="s">
        <v>591</v>
      </c>
      <c r="E515" s="6" t="s">
        <v>35</v>
      </c>
      <c r="F515" s="6" t="s">
        <v>8</v>
      </c>
      <c r="G515" s="11" t="s">
        <v>20</v>
      </c>
      <c r="H515" s="6" t="s">
        <v>17</v>
      </c>
      <c r="I515" s="21" t="s">
        <v>1072</v>
      </c>
      <c r="J515" s="18">
        <v>461.86377396897592</v>
      </c>
      <c r="K515" s="18">
        <f>VLOOKUP(A515,[1]Export!$A:$C,3,0)</f>
        <v>195.26999999999998</v>
      </c>
      <c r="L515" s="19">
        <f t="shared" si="16"/>
        <v>0.42278700128821223</v>
      </c>
      <c r="M515" s="18">
        <f>VLOOKUP(A515,[1]Export!$A:$G,7,0)</f>
        <v>0</v>
      </c>
      <c r="N515" s="19">
        <f t="shared" si="17"/>
        <v>0</v>
      </c>
      <c r="O515" s="17" t="s">
        <v>1025</v>
      </c>
      <c r="P515" s="17" t="s">
        <v>1026</v>
      </c>
      <c r="Q515" s="17" t="s">
        <v>1022</v>
      </c>
      <c r="R515" s="17" t="str">
        <f>VLOOKUP(A515,[2]Export!$A:$I,9,0)</f>
        <v>Não Comprou</v>
      </c>
      <c r="S515" s="17" t="s">
        <v>1023</v>
      </c>
      <c r="T515" s="20"/>
      <c r="U515" s="17"/>
    </row>
    <row r="516" spans="1:21" x14ac:dyDescent="0.35">
      <c r="A516" s="4">
        <v>44556106000141</v>
      </c>
      <c r="B516" s="7"/>
      <c r="C516" s="4"/>
      <c r="D516" s="1" t="s">
        <v>592</v>
      </c>
      <c r="E516" s="1" t="s">
        <v>12</v>
      </c>
      <c r="F516" s="1" t="s">
        <v>8</v>
      </c>
      <c r="G516" s="10" t="s">
        <v>550</v>
      </c>
      <c r="H516" s="1" t="s">
        <v>17</v>
      </c>
      <c r="I516" s="21" t="s">
        <v>1068</v>
      </c>
      <c r="J516" s="18">
        <v>4579.2165797816497</v>
      </c>
      <c r="K516" s="18">
        <f>VLOOKUP(A516,[1]Export!$A:$C,3,0)</f>
        <v>1035.81</v>
      </c>
      <c r="L516" s="19">
        <f t="shared" si="16"/>
        <v>0.22619808038199196</v>
      </c>
      <c r="M516" s="18">
        <f>VLOOKUP(A516,[1]Export!$A:$G,7,0)</f>
        <v>1280.81</v>
      </c>
      <c r="N516" s="19">
        <f t="shared" si="17"/>
        <v>0.27970068191469394</v>
      </c>
      <c r="O516" s="17" t="s">
        <v>1029</v>
      </c>
      <c r="P516" s="17" t="s">
        <v>1026</v>
      </c>
      <c r="Q516" s="17" t="s">
        <v>1022</v>
      </c>
      <c r="R516" s="17" t="str">
        <f>VLOOKUP(A516,[2]Export!$A:$I,9,0)</f>
        <v>Comprou Marcas</v>
      </c>
      <c r="S516" s="17" t="s">
        <v>1022</v>
      </c>
      <c r="T516" s="20"/>
      <c r="U516" s="17"/>
    </row>
    <row r="517" spans="1:21" x14ac:dyDescent="0.35">
      <c r="A517" s="5">
        <v>46943757000110</v>
      </c>
      <c r="B517" s="7"/>
      <c r="C517" s="4"/>
      <c r="D517" s="6" t="s">
        <v>593</v>
      </c>
      <c r="E517" s="6" t="s">
        <v>52</v>
      </c>
      <c r="F517" s="6" t="s">
        <v>8</v>
      </c>
      <c r="G517" s="11" t="s">
        <v>36</v>
      </c>
      <c r="H517" s="6" t="s">
        <v>17</v>
      </c>
      <c r="I517" s="21" t="s">
        <v>1074</v>
      </c>
      <c r="J517" s="18">
        <v>1020.1706752159773</v>
      </c>
      <c r="K517" s="18">
        <f>VLOOKUP(A517,[1]Export!$A:$C,3,0)</f>
        <v>38.54</v>
      </c>
      <c r="L517" s="19">
        <f t="shared" si="16"/>
        <v>3.7777992385284759E-2</v>
      </c>
      <c r="M517" s="18">
        <f>VLOOKUP(A517,[1]Export!$A:$G,7,0)</f>
        <v>0</v>
      </c>
      <c r="N517" s="19">
        <f t="shared" si="17"/>
        <v>0</v>
      </c>
      <c r="O517" s="17" t="s">
        <v>1025</v>
      </c>
      <c r="P517" s="17" t="s">
        <v>1026</v>
      </c>
      <c r="Q517" s="17" t="s">
        <v>1023</v>
      </c>
      <c r="R517" s="17" t="str">
        <f>VLOOKUP(A517,[2]Export!$A:$I,9,0)</f>
        <v>Não Comprou</v>
      </c>
      <c r="S517" s="17" t="s">
        <v>1022</v>
      </c>
      <c r="T517" s="20"/>
      <c r="U517" s="17"/>
    </row>
    <row r="518" spans="1:21" x14ac:dyDescent="0.35">
      <c r="A518" s="4">
        <v>49007687000186</v>
      </c>
      <c r="B518" s="7"/>
      <c r="C518" s="4"/>
      <c r="D518" s="1" t="s">
        <v>594</v>
      </c>
      <c r="E518" s="1" t="s">
        <v>595</v>
      </c>
      <c r="F518" s="1" t="s">
        <v>8</v>
      </c>
      <c r="G518" s="10" t="s">
        <v>36</v>
      </c>
      <c r="H518" s="1" t="s">
        <v>17</v>
      </c>
      <c r="I518" s="21" t="s">
        <v>1068</v>
      </c>
      <c r="J518" s="18">
        <v>6176.7487480665786</v>
      </c>
      <c r="K518" s="18">
        <f>VLOOKUP(A518,[1]Export!$A:$C,3,0)</f>
        <v>2639.94</v>
      </c>
      <c r="L518" s="19">
        <f t="shared" si="16"/>
        <v>0.42739960902996799</v>
      </c>
      <c r="M518" s="18">
        <f>VLOOKUP(A518,[1]Export!$A:$G,7,0)</f>
        <v>5891.99</v>
      </c>
      <c r="N518" s="19">
        <f t="shared" si="17"/>
        <v>0.95389827890349066</v>
      </c>
      <c r="O518" s="17" t="s">
        <v>1027</v>
      </c>
      <c r="P518" s="17" t="s">
        <v>1028</v>
      </c>
      <c r="Q518" s="17" t="s">
        <v>1023</v>
      </c>
      <c r="R518" s="17" t="str">
        <f>VLOOKUP(A518,[2]Export!$A:$I,9,0)</f>
        <v>Comprou Marcas</v>
      </c>
      <c r="S518" s="17" t="s">
        <v>1022</v>
      </c>
      <c r="T518" s="20"/>
      <c r="U518" s="17"/>
    </row>
    <row r="519" spans="1:21" x14ac:dyDescent="0.35">
      <c r="A519" s="5">
        <v>59535889000154</v>
      </c>
      <c r="B519" s="7"/>
      <c r="C519" s="4"/>
      <c r="D519" s="6" t="s">
        <v>33</v>
      </c>
      <c r="E519" s="6" t="s">
        <v>390</v>
      </c>
      <c r="F519" s="6" t="s">
        <v>8</v>
      </c>
      <c r="G519" s="11" t="s">
        <v>33</v>
      </c>
      <c r="H519" s="6" t="s">
        <v>17</v>
      </c>
      <c r="I519" s="21" t="s">
        <v>1070</v>
      </c>
      <c r="J519" s="18">
        <v>1826.7675638873327</v>
      </c>
      <c r="K519" s="18">
        <f>VLOOKUP(A519,[1]Export!$A:$C,3,0)</f>
        <v>2233.11</v>
      </c>
      <c r="L519" s="19">
        <f t="shared" si="16"/>
        <v>1.2224379522307574</v>
      </c>
      <c r="M519" s="18">
        <f>VLOOKUP(A519,[1]Export!$A:$G,7,0)</f>
        <v>0</v>
      </c>
      <c r="N519" s="19">
        <f t="shared" si="17"/>
        <v>0</v>
      </c>
      <c r="O519" s="17"/>
      <c r="P519" s="17"/>
      <c r="Q519" s="17"/>
      <c r="R519" s="17" t="str">
        <f>VLOOKUP(A519,[2]Export!$A:$I,9,0)</f>
        <v>Não Comprou</v>
      </c>
      <c r="S519" s="17"/>
      <c r="T519" s="20"/>
      <c r="U519" s="17"/>
    </row>
    <row r="520" spans="1:21" x14ac:dyDescent="0.35">
      <c r="A520" s="4">
        <v>49841927000143</v>
      </c>
      <c r="B520" s="7"/>
      <c r="C520" s="4"/>
      <c r="D520" s="1" t="s">
        <v>304</v>
      </c>
      <c r="E520" s="1" t="s">
        <v>596</v>
      </c>
      <c r="F520" s="1" t="s">
        <v>48</v>
      </c>
      <c r="G520" s="10" t="s">
        <v>80</v>
      </c>
      <c r="H520" s="1" t="s">
        <v>17</v>
      </c>
      <c r="I520" s="21" t="s">
        <v>1073</v>
      </c>
      <c r="J520" s="18">
        <v>3766.0271089778248</v>
      </c>
      <c r="K520" s="18">
        <f>VLOOKUP(A520,[1]Export!$A:$C,3,0)</f>
        <v>1993.9399999999998</v>
      </c>
      <c r="L520" s="19">
        <f t="shared" si="16"/>
        <v>0.5294545000078863</v>
      </c>
      <c r="M520" s="18">
        <f>VLOOKUP(A520,[1]Export!$A:$G,7,0)</f>
        <v>0</v>
      </c>
      <c r="N520" s="19">
        <f t="shared" si="17"/>
        <v>0</v>
      </c>
      <c r="O520" s="17" t="s">
        <v>1027</v>
      </c>
      <c r="P520" s="17" t="s">
        <v>1028</v>
      </c>
      <c r="Q520" s="17" t="s">
        <v>1023</v>
      </c>
      <c r="R520" s="17" t="str">
        <f>VLOOKUP(A520,[2]Export!$A:$I,9,0)</f>
        <v>Não Comprou</v>
      </c>
      <c r="S520" s="17" t="s">
        <v>1022</v>
      </c>
      <c r="T520" s="20"/>
      <c r="U520" s="17"/>
    </row>
    <row r="521" spans="1:21" x14ac:dyDescent="0.35">
      <c r="A521" s="5">
        <v>53091979000117</v>
      </c>
      <c r="B521" s="7"/>
      <c r="C521" s="4"/>
      <c r="D521" s="6" t="s">
        <v>597</v>
      </c>
      <c r="E521" s="6" t="s">
        <v>379</v>
      </c>
      <c r="F521" s="6" t="s">
        <v>15</v>
      </c>
      <c r="G521" s="11" t="s">
        <v>36</v>
      </c>
      <c r="H521" s="6" t="s">
        <v>17</v>
      </c>
      <c r="I521" s="21" t="s">
        <v>1075</v>
      </c>
      <c r="J521" s="18">
        <v>4323.232695410119</v>
      </c>
      <c r="K521" s="18">
        <f>VLOOKUP(A521,[1]Export!$A:$C,3,0)</f>
        <v>5453.76</v>
      </c>
      <c r="L521" s="19">
        <f t="shared" si="16"/>
        <v>1.2615004521477962</v>
      </c>
      <c r="M521" s="18">
        <f>VLOOKUP(A521,[1]Export!$A:$G,7,0)</f>
        <v>0</v>
      </c>
      <c r="N521" s="19">
        <f t="shared" si="17"/>
        <v>0</v>
      </c>
      <c r="O521" s="17" t="s">
        <v>1025</v>
      </c>
      <c r="P521" s="17" t="s">
        <v>1026</v>
      </c>
      <c r="Q521" s="17" t="s">
        <v>1023</v>
      </c>
      <c r="R521" s="17" t="str">
        <f>VLOOKUP(A521,[2]Export!$A:$I,9,0)</f>
        <v>Não Comprou</v>
      </c>
      <c r="S521" s="17" t="s">
        <v>1023</v>
      </c>
      <c r="T521" s="20">
        <v>4</v>
      </c>
      <c r="U521" s="17"/>
    </row>
    <row r="522" spans="1:21" x14ac:dyDescent="0.35">
      <c r="A522" s="4">
        <v>96252382000110</v>
      </c>
      <c r="B522" s="7"/>
      <c r="C522" s="4"/>
      <c r="D522" s="1" t="s">
        <v>598</v>
      </c>
      <c r="E522" s="1" t="s">
        <v>599</v>
      </c>
      <c r="F522" s="1" t="s">
        <v>48</v>
      </c>
      <c r="G522" s="10" t="s">
        <v>20</v>
      </c>
      <c r="H522" s="1" t="s">
        <v>17</v>
      </c>
      <c r="I522" s="21" t="s">
        <v>1073</v>
      </c>
      <c r="J522" s="18">
        <v>3524.7399300630645</v>
      </c>
      <c r="K522" s="18">
        <f>VLOOKUP(A522,[1]Export!$A:$C,3,0)</f>
        <v>983.5200000000001</v>
      </c>
      <c r="L522" s="19">
        <f t="shared" si="16"/>
        <v>0.27903335267700247</v>
      </c>
      <c r="M522" s="18">
        <f>VLOOKUP(A522,[1]Export!$A:$G,7,0)</f>
        <v>702.08999999999992</v>
      </c>
      <c r="N522" s="19">
        <f t="shared" si="17"/>
        <v>0.1991891640037789</v>
      </c>
      <c r="O522" s="17" t="s">
        <v>1025</v>
      </c>
      <c r="P522" s="17" t="s">
        <v>1026</v>
      </c>
      <c r="Q522" s="17" t="s">
        <v>1023</v>
      </c>
      <c r="R522" s="17" t="str">
        <f>VLOOKUP(A522,[2]Export!$A:$I,9,0)</f>
        <v>Comprou Marcas</v>
      </c>
      <c r="S522" s="17" t="s">
        <v>1023</v>
      </c>
      <c r="T522" s="20"/>
      <c r="U522" s="17"/>
    </row>
    <row r="523" spans="1:21" x14ac:dyDescent="0.35">
      <c r="A523" s="5">
        <v>53039511000183</v>
      </c>
      <c r="B523" s="7"/>
      <c r="C523" s="4"/>
      <c r="D523" s="6" t="s">
        <v>600</v>
      </c>
      <c r="E523" s="6" t="s">
        <v>50</v>
      </c>
      <c r="F523" s="6" t="s">
        <v>48</v>
      </c>
      <c r="G523" s="11" t="s">
        <v>20</v>
      </c>
      <c r="H523" s="6" t="s">
        <v>17</v>
      </c>
      <c r="I523" s="21" t="s">
        <v>1073</v>
      </c>
      <c r="J523" s="18">
        <v>3000.0902696239823</v>
      </c>
      <c r="K523" s="18">
        <f>VLOOKUP(A523,[1]Export!$A:$C,3,0)</f>
        <v>889.79000000000008</v>
      </c>
      <c r="L523" s="19">
        <f t="shared" si="16"/>
        <v>0.29658774237867258</v>
      </c>
      <c r="M523" s="18">
        <f>VLOOKUP(A523,[1]Export!$A:$G,7,0)</f>
        <v>926.30000000000007</v>
      </c>
      <c r="N523" s="19">
        <f t="shared" si="17"/>
        <v>0.30875737619591637</v>
      </c>
      <c r="O523" s="17" t="s">
        <v>1027</v>
      </c>
      <c r="P523" s="17" t="s">
        <v>1028</v>
      </c>
      <c r="Q523" s="17" t="s">
        <v>1023</v>
      </c>
      <c r="R523" s="17" t="str">
        <f>VLOOKUP(A523,[2]Export!$A:$I,9,0)</f>
        <v>Comprou Marcas</v>
      </c>
      <c r="S523" s="17" t="s">
        <v>1023</v>
      </c>
      <c r="T523" s="20"/>
      <c r="U523" s="17"/>
    </row>
    <row r="524" spans="1:21" x14ac:dyDescent="0.35">
      <c r="A524" s="4">
        <v>54288141000180</v>
      </c>
      <c r="B524" s="7"/>
      <c r="C524" s="4"/>
      <c r="D524" s="1" t="s">
        <v>601</v>
      </c>
      <c r="E524" s="1" t="s">
        <v>14</v>
      </c>
      <c r="F524" s="1" t="s">
        <v>15</v>
      </c>
      <c r="G524" s="10" t="s">
        <v>20</v>
      </c>
      <c r="H524" s="1" t="s">
        <v>17</v>
      </c>
      <c r="I524" s="21" t="s">
        <v>1069</v>
      </c>
      <c r="J524" s="18">
        <v>6187.3721267756755</v>
      </c>
      <c r="K524" s="18">
        <f>VLOOKUP(A524,[1]Export!$A:$C,3,0)</f>
        <v>2424.8300000000004</v>
      </c>
      <c r="L524" s="19">
        <f t="shared" si="16"/>
        <v>0.39189981632212134</v>
      </c>
      <c r="M524" s="18">
        <f>VLOOKUP(A524,[1]Export!$A:$G,7,0)</f>
        <v>0</v>
      </c>
      <c r="N524" s="19">
        <f t="shared" si="17"/>
        <v>0</v>
      </c>
      <c r="O524" s="17" t="s">
        <v>1025</v>
      </c>
      <c r="P524" s="17" t="s">
        <v>1026</v>
      </c>
      <c r="Q524" s="17" t="s">
        <v>1023</v>
      </c>
      <c r="R524" s="17" t="str">
        <f>VLOOKUP(A524,[2]Export!$A:$I,9,0)</f>
        <v>Não Comprou</v>
      </c>
      <c r="S524" s="17" t="s">
        <v>1023</v>
      </c>
      <c r="T524" s="20">
        <v>1</v>
      </c>
      <c r="U524" s="17"/>
    </row>
    <row r="525" spans="1:21" x14ac:dyDescent="0.35">
      <c r="A525" s="5">
        <v>55133314000154</v>
      </c>
      <c r="B525" s="7"/>
      <c r="C525" s="4"/>
      <c r="D525" s="6" t="s">
        <v>90</v>
      </c>
      <c r="E525" s="6" t="s">
        <v>35</v>
      </c>
      <c r="F525" s="6" t="s">
        <v>8</v>
      </c>
      <c r="G525" s="11" t="s">
        <v>64</v>
      </c>
      <c r="H525" s="6" t="s">
        <v>17</v>
      </c>
      <c r="I525" s="21" t="s">
        <v>1072</v>
      </c>
      <c r="J525" s="18">
        <v>418.25669277876108</v>
      </c>
      <c r="K525" s="18">
        <f>VLOOKUP(A525,[1]Export!$A:$C,3,0)</f>
        <v>0</v>
      </c>
      <c r="L525" s="19">
        <f t="shared" ref="L525:L588" si="18">K525/J525</f>
        <v>0</v>
      </c>
      <c r="M525" s="18">
        <f>VLOOKUP(A525,[1]Export!$A:$G,7,0)</f>
        <v>0</v>
      </c>
      <c r="N525" s="19">
        <f t="shared" ref="N525:N588" si="19">M525/J525</f>
        <v>0</v>
      </c>
      <c r="O525" s="17" t="s">
        <v>1029</v>
      </c>
      <c r="P525" s="17" t="s">
        <v>1026</v>
      </c>
      <c r="Q525" s="17" t="s">
        <v>1022</v>
      </c>
      <c r="R525" s="17" t="str">
        <f>VLOOKUP(A525,[2]Export!$A:$I,9,0)</f>
        <v>Não Comprou</v>
      </c>
      <c r="S525" s="17" t="s">
        <v>1023</v>
      </c>
      <c r="T525" s="20"/>
      <c r="U525" s="17"/>
    </row>
    <row r="526" spans="1:21" x14ac:dyDescent="0.35">
      <c r="A526" s="4">
        <v>57629502000101</v>
      </c>
      <c r="B526" s="7"/>
      <c r="C526" s="4"/>
      <c r="D526" s="1" t="s">
        <v>602</v>
      </c>
      <c r="E526" s="1" t="s">
        <v>186</v>
      </c>
      <c r="F526" s="1" t="s">
        <v>15</v>
      </c>
      <c r="G526" s="10" t="s">
        <v>20</v>
      </c>
      <c r="H526" s="1" t="s">
        <v>17</v>
      </c>
      <c r="I526" s="21" t="s">
        <v>1069</v>
      </c>
      <c r="J526" s="18">
        <v>1187.2943977847281</v>
      </c>
      <c r="K526" s="18">
        <f>VLOOKUP(A526,[1]Export!$A:$C,3,0)</f>
        <v>366.44999999999993</v>
      </c>
      <c r="L526" s="19">
        <f t="shared" si="18"/>
        <v>0.30864291171905461</v>
      </c>
      <c r="M526" s="18">
        <f>VLOOKUP(A526,[1]Export!$A:$G,7,0)</f>
        <v>0</v>
      </c>
      <c r="N526" s="19">
        <f t="shared" si="19"/>
        <v>0</v>
      </c>
      <c r="O526" s="17"/>
      <c r="P526" s="17"/>
      <c r="Q526" s="17"/>
      <c r="R526" s="17" t="str">
        <f>VLOOKUP(A526,[2]Export!$A:$I,9,0)</f>
        <v>Não Comprou</v>
      </c>
      <c r="S526" s="17"/>
      <c r="T526" s="20"/>
      <c r="U526" s="17"/>
    </row>
    <row r="527" spans="1:21" x14ac:dyDescent="0.35">
      <c r="A527" s="5">
        <v>4716183000105</v>
      </c>
      <c r="B527" s="7"/>
      <c r="C527" s="4"/>
      <c r="D527" s="6" t="s">
        <v>357</v>
      </c>
      <c r="E527" s="6" t="s">
        <v>384</v>
      </c>
      <c r="F527" s="6" t="s">
        <v>48</v>
      </c>
      <c r="G527" s="11" t="s">
        <v>352</v>
      </c>
      <c r="H527" s="6" t="s">
        <v>17</v>
      </c>
      <c r="I527" s="21" t="s">
        <v>1073</v>
      </c>
      <c r="J527" s="18">
        <v>11827.582212232273</v>
      </c>
      <c r="K527" s="18">
        <f>VLOOKUP(A527,[1]Export!$A:$C,3,0)</f>
        <v>5013.2900000000009</v>
      </c>
      <c r="L527" s="19">
        <f t="shared" si="18"/>
        <v>0.42386431225269156</v>
      </c>
      <c r="M527" s="18">
        <f>VLOOKUP(A527,[1]Export!$A:$G,7,0)</f>
        <v>3597.8300000000004</v>
      </c>
      <c r="N527" s="19">
        <f t="shared" si="19"/>
        <v>0.30418981119227118</v>
      </c>
      <c r="O527" s="17" t="s">
        <v>1025</v>
      </c>
      <c r="P527" s="17" t="s">
        <v>1026</v>
      </c>
      <c r="Q527" s="17" t="s">
        <v>1022</v>
      </c>
      <c r="R527" s="17" t="str">
        <f>VLOOKUP(A527,[2]Export!$A:$I,9,0)</f>
        <v>Comprou Marcas e SG</v>
      </c>
      <c r="S527" s="17" t="s">
        <v>1022</v>
      </c>
      <c r="T527" s="20"/>
      <c r="U527" s="17"/>
    </row>
    <row r="528" spans="1:21" x14ac:dyDescent="0.35">
      <c r="A528" s="4">
        <v>5052802000169</v>
      </c>
      <c r="B528" s="7"/>
      <c r="C528" s="4"/>
      <c r="D528" s="1" t="s">
        <v>603</v>
      </c>
      <c r="E528" s="1" t="s">
        <v>358</v>
      </c>
      <c r="F528" s="1" t="s">
        <v>15</v>
      </c>
      <c r="G528" s="10" t="s">
        <v>16</v>
      </c>
      <c r="H528" s="1" t="s">
        <v>17</v>
      </c>
      <c r="I528" s="21" t="s">
        <v>1071</v>
      </c>
      <c r="J528" s="18">
        <v>5731.7178487538631</v>
      </c>
      <c r="K528" s="18">
        <f>VLOOKUP(A528,[1]Export!$A:$C,3,0)</f>
        <v>1462.38</v>
      </c>
      <c r="L528" s="19">
        <f t="shared" si="18"/>
        <v>0.25513816949624224</v>
      </c>
      <c r="M528" s="18">
        <f>VLOOKUP(A528,[1]Export!$A:$G,7,0)</f>
        <v>0</v>
      </c>
      <c r="N528" s="19">
        <f t="shared" si="19"/>
        <v>0</v>
      </c>
      <c r="O528" s="17" t="s">
        <v>1029</v>
      </c>
      <c r="P528" s="17" t="s">
        <v>1026</v>
      </c>
      <c r="Q528" s="17" t="s">
        <v>1022</v>
      </c>
      <c r="R528" s="17" t="str">
        <f>VLOOKUP(A528,[2]Export!$A:$I,9,0)</f>
        <v>Não Comprou</v>
      </c>
      <c r="S528" s="17" t="s">
        <v>1022</v>
      </c>
      <c r="T528" s="20"/>
      <c r="U528" s="17"/>
    </row>
    <row r="529" spans="1:21" x14ac:dyDescent="0.35">
      <c r="A529" s="4">
        <v>27545412000163</v>
      </c>
      <c r="B529" s="7" t="s">
        <v>991</v>
      </c>
      <c r="C529" s="4"/>
      <c r="D529" s="1" t="s">
        <v>6</v>
      </c>
      <c r="E529" s="1" t="s">
        <v>7</v>
      </c>
      <c r="F529" s="1" t="s">
        <v>8</v>
      </c>
      <c r="G529" s="10" t="s">
        <v>9</v>
      </c>
      <c r="H529" s="1" t="s">
        <v>10</v>
      </c>
      <c r="I529" s="21" t="s">
        <v>1068</v>
      </c>
      <c r="J529" s="18">
        <v>9578.2109870873373</v>
      </c>
      <c r="K529" s="18">
        <f>VLOOKUP(A529,[1]Export!$A:$C,3,0)</f>
        <v>2979.4300000000007</v>
      </c>
      <c r="L529" s="19">
        <f t="shared" si="18"/>
        <v>0.31106330858827985</v>
      </c>
      <c r="M529" s="18">
        <f>VLOOKUP(A529,[1]Export!$A:$G,7,0)</f>
        <v>1951.4000000000003</v>
      </c>
      <c r="N529" s="19">
        <f t="shared" si="19"/>
        <v>0.20373324440553031</v>
      </c>
      <c r="O529" s="17" t="s">
        <v>1027</v>
      </c>
      <c r="P529" s="17" t="s">
        <v>1028</v>
      </c>
      <c r="Q529" s="17" t="s">
        <v>1023</v>
      </c>
      <c r="R529" s="17" t="str">
        <f>VLOOKUP(A529,[2]Export!$A:$I,9,0)</f>
        <v>Comprou Marcas</v>
      </c>
      <c r="S529" s="17"/>
      <c r="T529" s="20"/>
      <c r="U529" s="17"/>
    </row>
    <row r="530" spans="1:21" x14ac:dyDescent="0.35">
      <c r="A530" s="4">
        <v>34607195000154</v>
      </c>
      <c r="B530" s="7"/>
      <c r="C530" s="4"/>
      <c r="D530" s="1" t="s">
        <v>604</v>
      </c>
      <c r="E530" s="1" t="s">
        <v>89</v>
      </c>
      <c r="F530" s="1" t="s">
        <v>15</v>
      </c>
      <c r="G530" s="10" t="s">
        <v>20</v>
      </c>
      <c r="H530" s="1" t="s">
        <v>17</v>
      </c>
      <c r="I530" s="21" t="s">
        <v>1069</v>
      </c>
      <c r="J530" s="18">
        <v>405.60370259641059</v>
      </c>
      <c r="K530" s="18">
        <f>VLOOKUP(A530,[1]Export!$A:$C,3,0)</f>
        <v>192.60999999999999</v>
      </c>
      <c r="L530" s="19">
        <f t="shared" si="18"/>
        <v>0.47487239087571509</v>
      </c>
      <c r="M530" s="18">
        <f>VLOOKUP(A530,[1]Export!$A:$G,7,0)</f>
        <v>0</v>
      </c>
      <c r="N530" s="19">
        <f t="shared" si="19"/>
        <v>0</v>
      </c>
      <c r="O530" s="17" t="s">
        <v>1025</v>
      </c>
      <c r="P530" s="17" t="s">
        <v>1026</v>
      </c>
      <c r="Q530" s="17" t="s">
        <v>1023</v>
      </c>
      <c r="R530" s="17" t="str">
        <f>VLOOKUP(A530,[2]Export!$A:$I,9,0)</f>
        <v>Não Comprou</v>
      </c>
      <c r="S530" s="17" t="s">
        <v>1023</v>
      </c>
      <c r="T530" s="20"/>
      <c r="U530" s="17"/>
    </row>
    <row r="531" spans="1:21" x14ac:dyDescent="0.35">
      <c r="A531" s="5">
        <v>34738410000156</v>
      </c>
      <c r="B531" s="7"/>
      <c r="C531" s="4"/>
      <c r="D531" s="6" t="s">
        <v>605</v>
      </c>
      <c r="E531" s="6" t="s">
        <v>182</v>
      </c>
      <c r="F531" s="6" t="s">
        <v>8</v>
      </c>
      <c r="G531" s="11" t="s">
        <v>20</v>
      </c>
      <c r="H531" s="6" t="s">
        <v>17</v>
      </c>
      <c r="I531" s="21" t="s">
        <v>1074</v>
      </c>
      <c r="J531" s="18">
        <v>2969.9861114232222</v>
      </c>
      <c r="K531" s="18">
        <f>VLOOKUP(A531,[1]Export!$A:$C,3,0)</f>
        <v>733.03</v>
      </c>
      <c r="L531" s="19">
        <f t="shared" si="18"/>
        <v>0.24681260197837451</v>
      </c>
      <c r="M531" s="18">
        <f>VLOOKUP(A531,[1]Export!$A:$G,7,0)</f>
        <v>137.85</v>
      </c>
      <c r="N531" s="19">
        <f t="shared" si="19"/>
        <v>4.6414358461071066E-2</v>
      </c>
      <c r="O531" s="17" t="s">
        <v>1027</v>
      </c>
      <c r="P531" s="17" t="s">
        <v>1028</v>
      </c>
      <c r="Q531" s="17" t="s">
        <v>1023</v>
      </c>
      <c r="R531" s="17" t="str">
        <f>VLOOKUP(A531,[2]Export!$A:$I,9,0)</f>
        <v>Comprou Marcas</v>
      </c>
      <c r="S531" s="17" t="s">
        <v>1023</v>
      </c>
      <c r="T531" s="20"/>
      <c r="U531" s="17"/>
    </row>
    <row r="532" spans="1:21" x14ac:dyDescent="0.35">
      <c r="A532" s="4">
        <v>36014287000156</v>
      </c>
      <c r="B532" s="7"/>
      <c r="C532" s="4"/>
      <c r="D532" s="1" t="s">
        <v>150</v>
      </c>
      <c r="E532" s="1" t="s">
        <v>606</v>
      </c>
      <c r="F532" s="1" t="s">
        <v>48</v>
      </c>
      <c r="G532" s="10" t="s">
        <v>33</v>
      </c>
      <c r="H532" s="1" t="s">
        <v>17</v>
      </c>
      <c r="I532" s="21" t="s">
        <v>1073</v>
      </c>
      <c r="J532" s="18">
        <v>15629.505037231787</v>
      </c>
      <c r="K532" s="18">
        <f>VLOOKUP(A532,[1]Export!$A:$C,3,0)</f>
        <v>2083.2199999999998</v>
      </c>
      <c r="L532" s="19">
        <f t="shared" si="18"/>
        <v>0.13328765018709565</v>
      </c>
      <c r="M532" s="18">
        <f>VLOOKUP(A532,[1]Export!$A:$G,7,0)</f>
        <v>17965.779999999992</v>
      </c>
      <c r="N532" s="19">
        <f t="shared" si="19"/>
        <v>1.1494784996199721</v>
      </c>
      <c r="O532" s="17" t="s">
        <v>1027</v>
      </c>
      <c r="P532" s="17" t="s">
        <v>1026</v>
      </c>
      <c r="Q532" s="17" t="s">
        <v>1023</v>
      </c>
      <c r="R532" s="17" t="str">
        <f>VLOOKUP(A532,[2]Export!$A:$I,9,0)</f>
        <v>Comprou Marcas e SG</v>
      </c>
      <c r="S532" s="17" t="s">
        <v>1022</v>
      </c>
      <c r="T532" s="20">
        <v>4</v>
      </c>
      <c r="U532" s="17"/>
    </row>
    <row r="533" spans="1:21" x14ac:dyDescent="0.35">
      <c r="A533" s="5">
        <v>38872460000425</v>
      </c>
      <c r="B533" s="7" t="s">
        <v>308</v>
      </c>
      <c r="C533" s="4"/>
      <c r="D533" s="6" t="s">
        <v>308</v>
      </c>
      <c r="E533" s="6" t="s">
        <v>307</v>
      </c>
      <c r="F533" s="6" t="s">
        <v>8</v>
      </c>
      <c r="G533" s="11" t="s">
        <v>74</v>
      </c>
      <c r="H533" s="6" t="s">
        <v>17</v>
      </c>
      <c r="I533" s="21" t="s">
        <v>1070</v>
      </c>
      <c r="J533" s="18">
        <v>8516.5057857969387</v>
      </c>
      <c r="K533" s="18">
        <f>VLOOKUP(A533,[1]Export!$A:$C,3,0)</f>
        <v>2110.27</v>
      </c>
      <c r="L533" s="19">
        <f t="shared" si="18"/>
        <v>0.24778589401293172</v>
      </c>
      <c r="M533" s="18">
        <f>VLOOKUP(A533,[1]Export!$A:$G,7,0)</f>
        <v>2766.5899999999997</v>
      </c>
      <c r="N533" s="19">
        <f t="shared" si="19"/>
        <v>0.32485036346876783</v>
      </c>
      <c r="O533" s="17" t="s">
        <v>1029</v>
      </c>
      <c r="P533" s="17" t="s">
        <v>1026</v>
      </c>
      <c r="Q533" s="17" t="s">
        <v>1022</v>
      </c>
      <c r="R533" s="17" t="str">
        <f>VLOOKUP(A533,[2]Export!$A:$I,9,0)</f>
        <v>Comprou Marcas</v>
      </c>
      <c r="S533" s="17" t="s">
        <v>1022</v>
      </c>
      <c r="T533" s="20"/>
      <c r="U533" s="17"/>
    </row>
    <row r="534" spans="1:21" x14ac:dyDescent="0.35">
      <c r="A534" s="4">
        <v>43162536000116</v>
      </c>
      <c r="B534" s="7"/>
      <c r="C534" s="4"/>
      <c r="D534" s="1" t="s">
        <v>607</v>
      </c>
      <c r="E534" s="1" t="s">
        <v>608</v>
      </c>
      <c r="F534" s="1" t="s">
        <v>48</v>
      </c>
      <c r="G534" s="10" t="s">
        <v>20</v>
      </c>
      <c r="H534" s="1" t="s">
        <v>17</v>
      </c>
      <c r="I534" s="21" t="s">
        <v>1073</v>
      </c>
      <c r="J534" s="18">
        <v>2918.5328558522247</v>
      </c>
      <c r="K534" s="18">
        <f>VLOOKUP(A534,[1]Export!$A:$C,3,0)</f>
        <v>1366.4</v>
      </c>
      <c r="L534" s="19">
        <f t="shared" si="18"/>
        <v>0.46818044116245017</v>
      </c>
      <c r="M534" s="18">
        <f>VLOOKUP(A534,[1]Export!$A:$G,7,0)</f>
        <v>0</v>
      </c>
      <c r="N534" s="19">
        <f t="shared" si="19"/>
        <v>0</v>
      </c>
      <c r="O534" s="17" t="s">
        <v>1025</v>
      </c>
      <c r="P534" s="17" t="s">
        <v>1026</v>
      </c>
      <c r="Q534" s="17" t="s">
        <v>1023</v>
      </c>
      <c r="R534" s="17" t="str">
        <f>VLOOKUP(A534,[2]Export!$A:$I,9,0)</f>
        <v>Comprou SG</v>
      </c>
      <c r="S534" s="17" t="s">
        <v>1022</v>
      </c>
      <c r="T534" s="20"/>
      <c r="U534" s="17"/>
    </row>
    <row r="535" spans="1:21" x14ac:dyDescent="0.35">
      <c r="A535" s="5">
        <v>46018910000100</v>
      </c>
      <c r="B535" s="7"/>
      <c r="C535" s="4"/>
      <c r="D535" s="6" t="s">
        <v>597</v>
      </c>
      <c r="E535" s="6" t="s">
        <v>379</v>
      </c>
      <c r="F535" s="6" t="s">
        <v>15</v>
      </c>
      <c r="G535" s="11" t="s">
        <v>36</v>
      </c>
      <c r="H535" s="6" t="s">
        <v>17</v>
      </c>
      <c r="I535" s="21" t="s">
        <v>1075</v>
      </c>
      <c r="J535" s="18">
        <v>8516.0721692022635</v>
      </c>
      <c r="K535" s="18">
        <f>VLOOKUP(A535,[1]Export!$A:$C,3,0)</f>
        <v>1783.4399999999998</v>
      </c>
      <c r="L535" s="19">
        <f t="shared" si="18"/>
        <v>0.20942048923090117</v>
      </c>
      <c r="M535" s="18">
        <f>VLOOKUP(A535,[1]Export!$A:$G,7,0)</f>
        <v>0</v>
      </c>
      <c r="N535" s="19">
        <f t="shared" si="19"/>
        <v>0</v>
      </c>
      <c r="O535" s="17" t="s">
        <v>1025</v>
      </c>
      <c r="P535" s="17" t="s">
        <v>1026</v>
      </c>
      <c r="Q535" s="17" t="s">
        <v>1023</v>
      </c>
      <c r="R535" s="17" t="str">
        <f>VLOOKUP(A535,[2]Export!$A:$I,9,0)</f>
        <v>Não Comprou</v>
      </c>
      <c r="S535" s="17" t="s">
        <v>1023</v>
      </c>
      <c r="T535" s="20">
        <v>4</v>
      </c>
      <c r="U535" s="17"/>
    </row>
    <row r="536" spans="1:21" x14ac:dyDescent="0.35">
      <c r="A536" s="4">
        <v>47216701000126</v>
      </c>
      <c r="B536" s="7"/>
      <c r="C536" s="4"/>
      <c r="D536" s="1" t="s">
        <v>42</v>
      </c>
      <c r="E536" s="1" t="s">
        <v>43</v>
      </c>
      <c r="F536" s="1" t="s">
        <v>8</v>
      </c>
      <c r="G536" s="10" t="s">
        <v>36</v>
      </c>
      <c r="H536" s="1" t="s">
        <v>17</v>
      </c>
      <c r="I536" s="21" t="s">
        <v>1070</v>
      </c>
      <c r="J536" s="18">
        <v>2778.7720746563386</v>
      </c>
      <c r="K536" s="18">
        <f>VLOOKUP(A536,[1]Export!$A:$C,3,0)</f>
        <v>536.96</v>
      </c>
      <c r="L536" s="19">
        <f t="shared" si="18"/>
        <v>0.19323643162291673</v>
      </c>
      <c r="M536" s="18">
        <f>VLOOKUP(A536,[1]Export!$A:$G,7,0)</f>
        <v>0</v>
      </c>
      <c r="N536" s="19">
        <f t="shared" si="19"/>
        <v>0</v>
      </c>
      <c r="O536" s="17" t="s">
        <v>1025</v>
      </c>
      <c r="P536" s="17" t="s">
        <v>1026</v>
      </c>
      <c r="Q536" s="17" t="s">
        <v>1023</v>
      </c>
      <c r="R536" s="17" t="str">
        <f>VLOOKUP(A536,[2]Export!$A:$I,9,0)</f>
        <v>Não Comprou</v>
      </c>
      <c r="S536" s="17" t="s">
        <v>1023</v>
      </c>
      <c r="T536" s="20"/>
      <c r="U536" s="17"/>
    </row>
    <row r="537" spans="1:21" x14ac:dyDescent="0.35">
      <c r="A537" s="5">
        <v>55248561000104</v>
      </c>
      <c r="B537" s="7"/>
      <c r="C537" s="4"/>
      <c r="D537" s="6" t="s">
        <v>609</v>
      </c>
      <c r="E537" s="6" t="s">
        <v>295</v>
      </c>
      <c r="F537" s="6" t="s">
        <v>48</v>
      </c>
      <c r="G537" s="11" t="s">
        <v>352</v>
      </c>
      <c r="H537" s="6" t="s">
        <v>17</v>
      </c>
      <c r="I537" s="21" t="s">
        <v>1073</v>
      </c>
      <c r="J537" s="18">
        <v>3424.2501926250866</v>
      </c>
      <c r="K537" s="18">
        <f>VLOOKUP(A537,[1]Export!$A:$C,3,0)</f>
        <v>567.32000000000005</v>
      </c>
      <c r="L537" s="19">
        <f t="shared" si="18"/>
        <v>0.16567714626164134</v>
      </c>
      <c r="M537" s="18">
        <f>VLOOKUP(A537,[1]Export!$A:$G,7,0)</f>
        <v>913.67</v>
      </c>
      <c r="N537" s="19">
        <f t="shared" si="19"/>
        <v>0.26682337697397207</v>
      </c>
      <c r="O537" s="17" t="s">
        <v>1031</v>
      </c>
      <c r="P537" s="17" t="s">
        <v>1026</v>
      </c>
      <c r="Q537" s="17" t="s">
        <v>1023</v>
      </c>
      <c r="R537" s="17" t="str">
        <f>VLOOKUP(A537,[2]Export!$A:$I,9,0)</f>
        <v>Comprou Marcas</v>
      </c>
      <c r="S537" s="17" t="s">
        <v>1022</v>
      </c>
      <c r="T537" s="20"/>
      <c r="U537" s="17"/>
    </row>
    <row r="538" spans="1:21" x14ac:dyDescent="0.35">
      <c r="A538" s="4">
        <v>55323943000147</v>
      </c>
      <c r="B538" s="7"/>
      <c r="C538" s="4"/>
      <c r="D538" s="1" t="s">
        <v>610</v>
      </c>
      <c r="E538" s="1" t="s">
        <v>50</v>
      </c>
      <c r="F538" s="1" t="s">
        <v>48</v>
      </c>
      <c r="G538" s="10" t="s">
        <v>20</v>
      </c>
      <c r="H538" s="1" t="s">
        <v>17</v>
      </c>
      <c r="I538" s="21" t="s">
        <v>1073</v>
      </c>
      <c r="J538" s="18">
        <v>3266.3943942087549</v>
      </c>
      <c r="K538" s="18">
        <f>VLOOKUP(A538,[1]Export!$A:$C,3,0)</f>
        <v>791.3900000000001</v>
      </c>
      <c r="L538" s="19">
        <f t="shared" si="18"/>
        <v>0.24228243882708012</v>
      </c>
      <c r="M538" s="18">
        <f>VLOOKUP(A538,[1]Export!$A:$G,7,0)</f>
        <v>0</v>
      </c>
      <c r="N538" s="19">
        <f t="shared" si="19"/>
        <v>0</v>
      </c>
      <c r="O538" s="17" t="s">
        <v>1025</v>
      </c>
      <c r="P538" s="17" t="s">
        <v>1026</v>
      </c>
      <c r="Q538" s="17" t="s">
        <v>1023</v>
      </c>
      <c r="R538" s="17" t="str">
        <f>VLOOKUP(A538,[2]Export!$A:$I,9,0)</f>
        <v>Não Comprou</v>
      </c>
      <c r="S538" s="17" t="s">
        <v>1022</v>
      </c>
      <c r="T538" s="20"/>
      <c r="U538" s="17"/>
    </row>
    <row r="539" spans="1:21" x14ac:dyDescent="0.35">
      <c r="A539" s="4">
        <v>18715418000140</v>
      </c>
      <c r="B539" s="7"/>
      <c r="C539" s="4"/>
      <c r="D539" s="1" t="s">
        <v>775</v>
      </c>
      <c r="E539" s="1" t="s">
        <v>405</v>
      </c>
      <c r="F539" s="1" t="s">
        <v>48</v>
      </c>
      <c r="G539" s="10" t="s">
        <v>38</v>
      </c>
      <c r="H539" s="1" t="s">
        <v>17</v>
      </c>
      <c r="I539" s="21" t="s">
        <v>1073</v>
      </c>
      <c r="J539" s="18">
        <v>7090.0321745616138</v>
      </c>
      <c r="K539" s="18">
        <f>VLOOKUP(A539,[1]Export!$A:$C,3,0)</f>
        <v>2433.96</v>
      </c>
      <c r="L539" s="19">
        <f t="shared" si="18"/>
        <v>0.34329322351072333</v>
      </c>
      <c r="M539" s="18">
        <f>VLOOKUP(A539,[1]Export!$A:$G,7,0)</f>
        <v>1558.3000000000002</v>
      </c>
      <c r="N539" s="19">
        <f t="shared" si="19"/>
        <v>0.21978743701488943</v>
      </c>
      <c r="O539" s="17" t="s">
        <v>1027</v>
      </c>
      <c r="P539" s="17" t="s">
        <v>1028</v>
      </c>
      <c r="Q539" s="17" t="s">
        <v>1023</v>
      </c>
      <c r="R539" s="17" t="str">
        <f>VLOOKUP(A539,[2]Export!$A:$I,9,0)</f>
        <v>Comprou Marcas e SG</v>
      </c>
      <c r="S539" s="17" t="s">
        <v>1022</v>
      </c>
      <c r="T539" s="20"/>
      <c r="U539" s="17"/>
    </row>
    <row r="540" spans="1:21" x14ac:dyDescent="0.35">
      <c r="A540" s="4">
        <v>58080762000125</v>
      </c>
      <c r="B540" s="7"/>
      <c r="C540" s="4"/>
      <c r="D540" s="1" t="s">
        <v>612</v>
      </c>
      <c r="E540" s="1" t="s">
        <v>61</v>
      </c>
      <c r="F540" s="1" t="s">
        <v>8</v>
      </c>
      <c r="G540" s="10" t="s">
        <v>36</v>
      </c>
      <c r="H540" s="1" t="s">
        <v>17</v>
      </c>
      <c r="I540" s="21" t="s">
        <v>1068</v>
      </c>
      <c r="J540" s="18">
        <v>2022.865579555963</v>
      </c>
      <c r="K540" s="18">
        <f>VLOOKUP(A540,[1]Export!$A:$C,3,0)</f>
        <v>539.69000000000005</v>
      </c>
      <c r="L540" s="19">
        <f t="shared" si="18"/>
        <v>0.2667947912379165</v>
      </c>
      <c r="M540" s="18">
        <f>VLOOKUP(A540,[1]Export!$A:$G,7,0)</f>
        <v>317.85999999999996</v>
      </c>
      <c r="N540" s="19">
        <f t="shared" si="19"/>
        <v>0.15713352543661011</v>
      </c>
      <c r="O540" s="17" t="s">
        <v>1025</v>
      </c>
      <c r="P540" s="17" t="s">
        <v>1026</v>
      </c>
      <c r="Q540" s="17" t="s">
        <v>1023</v>
      </c>
      <c r="R540" s="17" t="str">
        <f>VLOOKUP(A540,[2]Export!$A:$I,9,0)</f>
        <v>Comprou Marcas</v>
      </c>
      <c r="S540" s="17" t="s">
        <v>1023</v>
      </c>
      <c r="T540" s="20"/>
      <c r="U540" s="17"/>
    </row>
    <row r="541" spans="1:21" x14ac:dyDescent="0.35">
      <c r="A541" s="5">
        <v>58694365000143</v>
      </c>
      <c r="B541" s="7"/>
      <c r="C541" s="4"/>
      <c r="D541" s="6" t="s">
        <v>613</v>
      </c>
      <c r="E541" s="6" t="s">
        <v>206</v>
      </c>
      <c r="F541" s="6" t="s">
        <v>48</v>
      </c>
      <c r="G541" s="11" t="s">
        <v>614</v>
      </c>
      <c r="H541" s="6" t="s">
        <v>17</v>
      </c>
      <c r="I541" s="21" t="s">
        <v>1075</v>
      </c>
      <c r="J541" s="18">
        <v>3876.5100431236697</v>
      </c>
      <c r="K541" s="18">
        <f>VLOOKUP(A541,[1]Export!$A:$C,3,0)</f>
        <v>1365.62</v>
      </c>
      <c r="L541" s="19">
        <f t="shared" si="18"/>
        <v>0.3522807847286244</v>
      </c>
      <c r="M541" s="18">
        <f>VLOOKUP(A541,[1]Export!$A:$G,7,0)</f>
        <v>1743.8000000000002</v>
      </c>
      <c r="N541" s="19">
        <f t="shared" si="19"/>
        <v>0.44983760666201089</v>
      </c>
      <c r="O541" s="17" t="s">
        <v>1029</v>
      </c>
      <c r="P541" s="17" t="s">
        <v>1026</v>
      </c>
      <c r="Q541" s="17" t="s">
        <v>1022</v>
      </c>
      <c r="R541" s="17" t="str">
        <f>VLOOKUP(A541,[2]Export!$A:$I,9,0)</f>
        <v>Comprou Marcas</v>
      </c>
      <c r="S541" s="17" t="s">
        <v>1022</v>
      </c>
      <c r="T541" s="20"/>
      <c r="U541" s="17"/>
    </row>
    <row r="542" spans="1:21" x14ac:dyDescent="0.35">
      <c r="A542" s="4">
        <v>54858819000113</v>
      </c>
      <c r="B542" s="7"/>
      <c r="C542" s="4"/>
      <c r="D542" s="1" t="s">
        <v>615</v>
      </c>
      <c r="E542" s="1" t="s">
        <v>125</v>
      </c>
      <c r="F542" s="1" t="s">
        <v>15</v>
      </c>
      <c r="G542" s="10" t="s">
        <v>36</v>
      </c>
      <c r="H542" s="1" t="s">
        <v>17</v>
      </c>
      <c r="I542" s="21" t="s">
        <v>1069</v>
      </c>
      <c r="J542" s="18">
        <v>8108.3938402961958</v>
      </c>
      <c r="K542" s="18">
        <f>VLOOKUP(A542,[1]Export!$A:$C,3,0)</f>
        <v>1197.6799999999998</v>
      </c>
      <c r="L542" s="19">
        <f t="shared" si="18"/>
        <v>0.14770866136865513</v>
      </c>
      <c r="M542" s="18">
        <f>VLOOKUP(A542,[1]Export!$A:$G,7,0)</f>
        <v>480.21999999999997</v>
      </c>
      <c r="N542" s="19">
        <f t="shared" si="19"/>
        <v>5.9225046224747488E-2</v>
      </c>
      <c r="O542" s="17" t="s">
        <v>1025</v>
      </c>
      <c r="P542" s="17" t="s">
        <v>1026</v>
      </c>
      <c r="Q542" s="17" t="s">
        <v>1023</v>
      </c>
      <c r="R542" s="17" t="str">
        <f>VLOOKUP(A542,[2]Export!$A:$I,9,0)</f>
        <v>Comprou Marcas</v>
      </c>
      <c r="S542" s="17" t="s">
        <v>1023</v>
      </c>
      <c r="T542" s="20"/>
      <c r="U542" s="17"/>
    </row>
    <row r="543" spans="1:21" x14ac:dyDescent="0.35">
      <c r="A543" s="5">
        <v>43054517000176</v>
      </c>
      <c r="B543" s="7"/>
      <c r="C543" s="4"/>
      <c r="D543" s="6" t="s">
        <v>150</v>
      </c>
      <c r="E543" s="6" t="s">
        <v>358</v>
      </c>
      <c r="F543" s="6" t="s">
        <v>15</v>
      </c>
      <c r="G543" s="11" t="s">
        <v>33</v>
      </c>
      <c r="H543" s="6" t="s">
        <v>17</v>
      </c>
      <c r="I543" s="21" t="s">
        <v>1071</v>
      </c>
      <c r="J543" s="18">
        <v>13453.053394235028</v>
      </c>
      <c r="K543" s="18">
        <f>VLOOKUP(A543,[1]Export!$A:$C,3,0)</f>
        <v>6102.92</v>
      </c>
      <c r="L543" s="19">
        <f t="shared" si="18"/>
        <v>0.45364571307025769</v>
      </c>
      <c r="M543" s="18">
        <f>VLOOKUP(A543,[1]Export!$A:$G,7,0)</f>
        <v>6229.1900000000014</v>
      </c>
      <c r="N543" s="19">
        <f t="shared" si="19"/>
        <v>0.46303168637309994</v>
      </c>
      <c r="O543" s="17" t="s">
        <v>1027</v>
      </c>
      <c r="P543" s="17" t="s">
        <v>1026</v>
      </c>
      <c r="Q543" s="17" t="s">
        <v>1023</v>
      </c>
      <c r="R543" s="17" t="str">
        <f>VLOOKUP(A543,[2]Export!$A:$I,9,0)</f>
        <v>Comprou Marcas</v>
      </c>
      <c r="S543" s="17" t="s">
        <v>1022</v>
      </c>
      <c r="T543" s="20">
        <v>2</v>
      </c>
      <c r="U543" s="17"/>
    </row>
    <row r="544" spans="1:21" x14ac:dyDescent="0.35">
      <c r="A544" s="4">
        <v>43491146000190</v>
      </c>
      <c r="B544" s="7"/>
      <c r="C544" s="4"/>
      <c r="D544" s="1" t="s">
        <v>616</v>
      </c>
      <c r="E544" s="1" t="s">
        <v>52</v>
      </c>
      <c r="F544" s="1" t="s">
        <v>8</v>
      </c>
      <c r="G544" s="10" t="s">
        <v>16</v>
      </c>
      <c r="H544" s="1" t="s">
        <v>17</v>
      </c>
      <c r="I544" s="21" t="s">
        <v>1074</v>
      </c>
      <c r="J544" s="18">
        <v>3771.6636636850021</v>
      </c>
      <c r="K544" s="18">
        <f>VLOOKUP(A544,[1]Export!$A:$C,3,0)</f>
        <v>551.78</v>
      </c>
      <c r="L544" s="19">
        <f t="shared" si="18"/>
        <v>0.14629618364774821</v>
      </c>
      <c r="M544" s="18">
        <f>VLOOKUP(A544,[1]Export!$A:$G,7,0)</f>
        <v>0</v>
      </c>
      <c r="N544" s="19">
        <f t="shared" si="19"/>
        <v>0</v>
      </c>
      <c r="O544" s="17" t="s">
        <v>1029</v>
      </c>
      <c r="P544" s="17" t="s">
        <v>1026</v>
      </c>
      <c r="Q544" s="17" t="s">
        <v>1023</v>
      </c>
      <c r="R544" s="17" t="str">
        <f>VLOOKUP(A544,[2]Export!$A:$I,9,0)</f>
        <v>Não Comprou</v>
      </c>
      <c r="S544" s="17" t="s">
        <v>1023</v>
      </c>
      <c r="T544" s="20"/>
      <c r="U544" s="17"/>
    </row>
    <row r="545" spans="1:21" x14ac:dyDescent="0.35">
      <c r="A545" s="5">
        <v>43963049000152</v>
      </c>
      <c r="B545" s="7"/>
      <c r="C545" s="4"/>
      <c r="D545" s="6" t="s">
        <v>617</v>
      </c>
      <c r="E545" s="6" t="s">
        <v>206</v>
      </c>
      <c r="F545" s="6" t="s">
        <v>48</v>
      </c>
      <c r="G545" s="11" t="s">
        <v>20</v>
      </c>
      <c r="H545" s="6" t="s">
        <v>17</v>
      </c>
      <c r="I545" s="21" t="s">
        <v>1075</v>
      </c>
      <c r="J545" s="18">
        <v>3123.8607713471265</v>
      </c>
      <c r="K545" s="18">
        <f>VLOOKUP(A545,[1]Export!$A:$C,3,0)</f>
        <v>1039.1799999999998</v>
      </c>
      <c r="L545" s="19">
        <f t="shared" si="18"/>
        <v>0.33265887184590054</v>
      </c>
      <c r="M545" s="18">
        <f>VLOOKUP(A545,[1]Export!$A:$G,7,0)</f>
        <v>0</v>
      </c>
      <c r="N545" s="19">
        <f t="shared" si="19"/>
        <v>0</v>
      </c>
      <c r="O545" s="17" t="s">
        <v>1025</v>
      </c>
      <c r="P545" s="17" t="s">
        <v>1026</v>
      </c>
      <c r="Q545" s="17" t="s">
        <v>1023</v>
      </c>
      <c r="R545" s="17" t="str">
        <f>VLOOKUP(A545,[2]Export!$A:$I,9,0)</f>
        <v>Não Comprou</v>
      </c>
      <c r="S545" s="17" t="s">
        <v>1023</v>
      </c>
      <c r="T545" s="20"/>
      <c r="U545" s="17"/>
    </row>
    <row r="546" spans="1:21" x14ac:dyDescent="0.35">
      <c r="A546" s="4">
        <v>49580979000103</v>
      </c>
      <c r="B546" s="7"/>
      <c r="C546" s="4"/>
      <c r="D546" s="1" t="s">
        <v>618</v>
      </c>
      <c r="E546" s="1" t="s">
        <v>14</v>
      </c>
      <c r="F546" s="1" t="s">
        <v>15</v>
      </c>
      <c r="G546" s="10" t="s">
        <v>20</v>
      </c>
      <c r="H546" s="1" t="s">
        <v>17</v>
      </c>
      <c r="I546" s="21" t="s">
        <v>1069</v>
      </c>
      <c r="J546" s="18">
        <v>2519.8139368738284</v>
      </c>
      <c r="K546" s="18">
        <f>VLOOKUP(A546,[1]Export!$A:$C,3,0)</f>
        <v>595.91</v>
      </c>
      <c r="L546" s="19">
        <f t="shared" si="18"/>
        <v>0.23648968333721787</v>
      </c>
      <c r="M546" s="18">
        <f>VLOOKUP(A546,[1]Export!$A:$G,7,0)</f>
        <v>563.62</v>
      </c>
      <c r="N546" s="19">
        <f t="shared" si="19"/>
        <v>0.22367524512514095</v>
      </c>
      <c r="O546" s="17" t="s">
        <v>1025</v>
      </c>
      <c r="P546" s="17" t="s">
        <v>1026</v>
      </c>
      <c r="Q546" s="17" t="s">
        <v>1023</v>
      </c>
      <c r="R546" s="17" t="str">
        <f>VLOOKUP(A546,[2]Export!$A:$I,9,0)</f>
        <v>Comprou Marcas</v>
      </c>
      <c r="S546" s="17" t="s">
        <v>1023</v>
      </c>
      <c r="T546" s="20"/>
      <c r="U546" s="17"/>
    </row>
    <row r="547" spans="1:21" x14ac:dyDescent="0.35">
      <c r="A547" s="5">
        <v>86309000146</v>
      </c>
      <c r="B547" s="7"/>
      <c r="C547" s="4"/>
      <c r="D547" s="6" t="s">
        <v>619</v>
      </c>
      <c r="E547" s="6" t="s">
        <v>89</v>
      </c>
      <c r="F547" s="6" t="s">
        <v>15</v>
      </c>
      <c r="G547" s="11" t="s">
        <v>16</v>
      </c>
      <c r="H547" s="6" t="s">
        <v>17</v>
      </c>
      <c r="I547" s="21" t="s">
        <v>1069</v>
      </c>
      <c r="J547" s="18">
        <v>4068.4806747792063</v>
      </c>
      <c r="K547" s="18">
        <f>VLOOKUP(A547,[1]Export!$A:$C,3,0)</f>
        <v>1461.79</v>
      </c>
      <c r="L547" s="19">
        <f t="shared" si="18"/>
        <v>0.35929628695589916</v>
      </c>
      <c r="M547" s="18">
        <f>VLOOKUP(A547,[1]Export!$A:$G,7,0)</f>
        <v>1131.56</v>
      </c>
      <c r="N547" s="19">
        <f t="shared" si="19"/>
        <v>0.27812839495947927</v>
      </c>
      <c r="O547" s="17" t="s">
        <v>1027</v>
      </c>
      <c r="P547" s="17" t="s">
        <v>1026</v>
      </c>
      <c r="Q547" s="17" t="s">
        <v>1023</v>
      </c>
      <c r="R547" s="17" t="str">
        <f>VLOOKUP(A547,[2]Export!$A:$I,9,0)</f>
        <v>Comprou Marcas</v>
      </c>
      <c r="S547" s="17" t="s">
        <v>1023</v>
      </c>
      <c r="T547" s="20"/>
      <c r="U547" s="17"/>
    </row>
    <row r="548" spans="1:21" x14ac:dyDescent="0.35">
      <c r="A548" s="4">
        <v>1987999000177</v>
      </c>
      <c r="B548" s="7"/>
      <c r="C548" s="4"/>
      <c r="D548" s="1" t="s">
        <v>620</v>
      </c>
      <c r="E548" s="1" t="s">
        <v>166</v>
      </c>
      <c r="F548" s="1" t="s">
        <v>8</v>
      </c>
      <c r="G548" s="10" t="s">
        <v>621</v>
      </c>
      <c r="H548" s="1" t="s">
        <v>17</v>
      </c>
      <c r="I548" s="21" t="s">
        <v>1070</v>
      </c>
      <c r="J548" s="18">
        <v>3352.1939228006431</v>
      </c>
      <c r="K548" s="18">
        <f>VLOOKUP(A548,[1]Export!$A:$C,3,0)</f>
        <v>793</v>
      </c>
      <c r="L548" s="19">
        <f t="shared" si="18"/>
        <v>0.23656149323768111</v>
      </c>
      <c r="M548" s="18">
        <f>VLOOKUP(A548,[1]Export!$A:$G,7,0)</f>
        <v>467.65</v>
      </c>
      <c r="N548" s="19">
        <f t="shared" si="19"/>
        <v>0.13950565234880399</v>
      </c>
      <c r="O548" s="17" t="s">
        <v>1025</v>
      </c>
      <c r="P548" s="17" t="s">
        <v>1026</v>
      </c>
      <c r="Q548" s="17" t="s">
        <v>1022</v>
      </c>
      <c r="R548" s="17" t="str">
        <f>VLOOKUP(A548,[2]Export!$A:$I,9,0)</f>
        <v>Comprou Marcas</v>
      </c>
      <c r="S548" s="17" t="s">
        <v>1022</v>
      </c>
      <c r="T548" s="20"/>
      <c r="U548" s="17"/>
    </row>
    <row r="549" spans="1:21" x14ac:dyDescent="0.35">
      <c r="A549" s="5">
        <v>17476547000241</v>
      </c>
      <c r="B549" s="7"/>
      <c r="C549" s="4"/>
      <c r="D549" s="6" t="s">
        <v>195</v>
      </c>
      <c r="E549" s="6" t="s">
        <v>127</v>
      </c>
      <c r="F549" s="6" t="s">
        <v>8</v>
      </c>
      <c r="G549" s="11" t="s">
        <v>16</v>
      </c>
      <c r="H549" s="6" t="s">
        <v>17</v>
      </c>
      <c r="I549" s="21" t="s">
        <v>1070</v>
      </c>
      <c r="J549" s="18">
        <v>10559.563175865478</v>
      </c>
      <c r="K549" s="18">
        <f>VLOOKUP(A549,[1]Export!$A:$C,3,0)</f>
        <v>8495.1799999999985</v>
      </c>
      <c r="L549" s="19">
        <f t="shared" si="18"/>
        <v>0.80450108195917114</v>
      </c>
      <c r="M549" s="18">
        <f>VLOOKUP(A549,[1]Export!$A:$G,7,0)</f>
        <v>0</v>
      </c>
      <c r="N549" s="19">
        <f t="shared" si="19"/>
        <v>0</v>
      </c>
      <c r="O549" s="17" t="s">
        <v>1027</v>
      </c>
      <c r="P549" s="17" t="s">
        <v>1028</v>
      </c>
      <c r="Q549" s="17" t="s">
        <v>1023</v>
      </c>
      <c r="R549" s="17" t="str">
        <f>VLOOKUP(A549,[2]Export!$A:$I,9,0)</f>
        <v>Não Comprou</v>
      </c>
      <c r="S549" s="17" t="s">
        <v>1022</v>
      </c>
      <c r="T549" s="20"/>
      <c r="U549" s="17"/>
    </row>
    <row r="550" spans="1:21" x14ac:dyDescent="0.35">
      <c r="A550" s="4">
        <v>18332251000562</v>
      </c>
      <c r="B550" s="7" t="s">
        <v>998</v>
      </c>
      <c r="C550" s="4"/>
      <c r="D550" s="1" t="s">
        <v>59</v>
      </c>
      <c r="E550" s="1" t="s">
        <v>577</v>
      </c>
      <c r="F550" s="1" t="s">
        <v>15</v>
      </c>
      <c r="G550" s="10" t="s">
        <v>9</v>
      </c>
      <c r="H550" s="1" t="s">
        <v>10</v>
      </c>
      <c r="I550" s="21" t="s">
        <v>1069</v>
      </c>
      <c r="J550" s="18">
        <v>17205.127692196242</v>
      </c>
      <c r="K550" s="18">
        <f>VLOOKUP(A550,[1]Export!$A:$C,3,0)</f>
        <v>8299.91</v>
      </c>
      <c r="L550" s="19">
        <f t="shared" si="18"/>
        <v>0.48240909038789659</v>
      </c>
      <c r="M550" s="18">
        <f>VLOOKUP(A550,[1]Export!$A:$G,7,0)</f>
        <v>9397.74</v>
      </c>
      <c r="N550" s="19">
        <f t="shared" si="19"/>
        <v>0.54621739333341579</v>
      </c>
      <c r="O550" s="17" t="s">
        <v>1027</v>
      </c>
      <c r="P550" s="17" t="s">
        <v>1028</v>
      </c>
      <c r="Q550" s="17" t="s">
        <v>1023</v>
      </c>
      <c r="R550" s="17" t="str">
        <f>VLOOKUP(A550,[2]Export!$A:$I,9,0)</f>
        <v>Comprou Marcas</v>
      </c>
      <c r="S550" s="17" t="s">
        <v>1022</v>
      </c>
      <c r="T550" s="20"/>
      <c r="U550" s="17"/>
    </row>
    <row r="551" spans="1:21" x14ac:dyDescent="0.35">
      <c r="A551" s="5">
        <v>13537905000147</v>
      </c>
      <c r="B551" s="7"/>
      <c r="C551" s="4">
        <v>13686</v>
      </c>
      <c r="D551" s="6" t="s">
        <v>622</v>
      </c>
      <c r="E551" s="6" t="s">
        <v>14</v>
      </c>
      <c r="F551" s="6" t="s">
        <v>15</v>
      </c>
      <c r="G551" s="11" t="s">
        <v>20</v>
      </c>
      <c r="H551" s="6" t="s">
        <v>17</v>
      </c>
      <c r="I551" s="21" t="s">
        <v>1069</v>
      </c>
      <c r="J551" s="18">
        <v>4755.0318983396937</v>
      </c>
      <c r="K551" s="18">
        <f>VLOOKUP(A551,[1]Export!$A:$C,3,0)</f>
        <v>1327.72</v>
      </c>
      <c r="L551" s="19">
        <f t="shared" si="18"/>
        <v>0.27922420467118164</v>
      </c>
      <c r="M551" s="18">
        <f>VLOOKUP(A551,[1]Export!$A:$G,7,0)</f>
        <v>269.27</v>
      </c>
      <c r="N551" s="19">
        <f t="shared" si="19"/>
        <v>5.662843189212264E-2</v>
      </c>
      <c r="O551" s="17" t="s">
        <v>1025</v>
      </c>
      <c r="P551" s="17" t="s">
        <v>1026</v>
      </c>
      <c r="Q551" s="17" t="s">
        <v>1023</v>
      </c>
      <c r="R551" s="17" t="str">
        <f>VLOOKUP(A551,[2]Export!$A:$I,9,0)</f>
        <v>Comprou Marcas e SG</v>
      </c>
      <c r="S551" s="17" t="s">
        <v>1023</v>
      </c>
      <c r="T551" s="20"/>
      <c r="U551" s="17"/>
    </row>
    <row r="552" spans="1:21" x14ac:dyDescent="0.35">
      <c r="A552" s="4">
        <v>35239450000116</v>
      </c>
      <c r="B552" s="7"/>
      <c r="C552" s="4"/>
      <c r="D552" s="1" t="s">
        <v>636</v>
      </c>
      <c r="E552" s="1" t="s">
        <v>556</v>
      </c>
      <c r="F552" s="1" t="s">
        <v>48</v>
      </c>
      <c r="G552" s="10" t="s">
        <v>38</v>
      </c>
      <c r="H552" s="1" t="s">
        <v>17</v>
      </c>
      <c r="I552" s="21" t="s">
        <v>1073</v>
      </c>
      <c r="J552" s="18">
        <v>3790.5938809702416</v>
      </c>
      <c r="K552" s="18">
        <f>VLOOKUP(A552,[1]Export!$A:$C,3,0)</f>
        <v>515.91</v>
      </c>
      <c r="L552" s="19">
        <f t="shared" si="18"/>
        <v>0.13610268369555525</v>
      </c>
      <c r="M552" s="18">
        <f>VLOOKUP(A552,[1]Export!$A:$G,7,0)</f>
        <v>0</v>
      </c>
      <c r="N552" s="19">
        <f t="shared" si="19"/>
        <v>0</v>
      </c>
      <c r="O552" s="17" t="s">
        <v>1027</v>
      </c>
      <c r="P552" s="17" t="s">
        <v>1028</v>
      </c>
      <c r="Q552" s="17" t="s">
        <v>1023</v>
      </c>
      <c r="R552" s="17" t="str">
        <f>VLOOKUP(A552,[2]Export!$A:$I,9,0)</f>
        <v>Não Comprou</v>
      </c>
      <c r="S552" s="17" t="s">
        <v>1023</v>
      </c>
      <c r="T552" s="20"/>
      <c r="U552" s="17"/>
    </row>
    <row r="553" spans="1:21" x14ac:dyDescent="0.35">
      <c r="A553" s="5">
        <v>14699069000160</v>
      </c>
      <c r="B553" s="7"/>
      <c r="C553" s="4"/>
      <c r="D553" s="6" t="s">
        <v>624</v>
      </c>
      <c r="E553" s="6" t="s">
        <v>303</v>
      </c>
      <c r="F553" s="6" t="s">
        <v>48</v>
      </c>
      <c r="G553" s="11" t="s">
        <v>20</v>
      </c>
      <c r="H553" s="6" t="s">
        <v>17</v>
      </c>
      <c r="I553" s="21" t="s">
        <v>1073</v>
      </c>
      <c r="J553" s="18">
        <v>1268.7695353529425</v>
      </c>
      <c r="K553" s="18">
        <f>VLOOKUP(A553,[1]Export!$A:$C,3,0)</f>
        <v>823.91000000000008</v>
      </c>
      <c r="L553" s="19">
        <f t="shared" si="18"/>
        <v>0.64937719344814449</v>
      </c>
      <c r="M553" s="18">
        <f>VLOOKUP(A553,[1]Export!$A:$G,7,0)</f>
        <v>1076.44</v>
      </c>
      <c r="N553" s="19">
        <f t="shared" si="19"/>
        <v>0.84841255248184944</v>
      </c>
      <c r="O553" s="17"/>
      <c r="P553" s="17"/>
      <c r="Q553" s="17"/>
      <c r="R553" s="17" t="str">
        <f>VLOOKUP(A553,[2]Export!$A:$I,9,0)</f>
        <v>Comprou Marcas</v>
      </c>
      <c r="S553" s="17"/>
      <c r="T553" s="20"/>
      <c r="U553" s="17"/>
    </row>
    <row r="554" spans="1:21" x14ac:dyDescent="0.35">
      <c r="A554" s="4">
        <v>15910375000166</v>
      </c>
      <c r="B554" s="7"/>
      <c r="C554" s="4"/>
      <c r="D554" s="1" t="s">
        <v>625</v>
      </c>
      <c r="E554" s="1" t="s">
        <v>275</v>
      </c>
      <c r="F554" s="1" t="s">
        <v>15</v>
      </c>
      <c r="G554" s="10" t="s">
        <v>33</v>
      </c>
      <c r="H554" s="1" t="s">
        <v>17</v>
      </c>
      <c r="I554" s="21" t="s">
        <v>1075</v>
      </c>
      <c r="J554" s="18">
        <v>9431.5649345696165</v>
      </c>
      <c r="K554" s="18">
        <f>VLOOKUP(A554,[1]Export!$A:$C,3,0)</f>
        <v>4293.7699999999995</v>
      </c>
      <c r="L554" s="19">
        <f t="shared" si="18"/>
        <v>0.45525530808381526</v>
      </c>
      <c r="M554" s="18">
        <f>VLOOKUP(A554,[1]Export!$A:$G,7,0)</f>
        <v>2280.8999999999996</v>
      </c>
      <c r="N554" s="19">
        <f t="shared" si="19"/>
        <v>0.24183685484047215</v>
      </c>
      <c r="O554" s="17" t="s">
        <v>1027</v>
      </c>
      <c r="P554" s="17" t="s">
        <v>1028</v>
      </c>
      <c r="Q554" s="17" t="s">
        <v>1023</v>
      </c>
      <c r="R554" s="17" t="str">
        <f>VLOOKUP(A554,[2]Export!$A:$I,9,0)</f>
        <v>Comprou Marcas</v>
      </c>
      <c r="S554" s="17" t="s">
        <v>1022</v>
      </c>
      <c r="T554" s="20"/>
      <c r="U554" s="17"/>
    </row>
    <row r="555" spans="1:21" x14ac:dyDescent="0.35">
      <c r="A555" s="5">
        <v>16825373000131</v>
      </c>
      <c r="B555" s="7"/>
      <c r="C555" s="4"/>
      <c r="D555" s="6" t="s">
        <v>626</v>
      </c>
      <c r="E555" s="6" t="s">
        <v>327</v>
      </c>
      <c r="F555" s="6" t="s">
        <v>15</v>
      </c>
      <c r="G555" s="11" t="s">
        <v>20</v>
      </c>
      <c r="H555" s="6" t="s">
        <v>17</v>
      </c>
      <c r="I555" s="21" t="s">
        <v>1071</v>
      </c>
      <c r="J555" s="18">
        <v>32504.206367615057</v>
      </c>
      <c r="K555" s="18">
        <f>VLOOKUP(A555,[1]Export!$A:$C,3,0)</f>
        <v>7701.9999999999982</v>
      </c>
      <c r="L555" s="19">
        <f t="shared" si="18"/>
        <v>0.23695394721815877</v>
      </c>
      <c r="M555" s="18">
        <f>VLOOKUP(A555,[1]Export!$A:$G,7,0)</f>
        <v>0</v>
      </c>
      <c r="N555" s="19">
        <f t="shared" si="19"/>
        <v>0</v>
      </c>
      <c r="O555" s="17" t="s">
        <v>1025</v>
      </c>
      <c r="P555" s="17" t="s">
        <v>1026</v>
      </c>
      <c r="Q555" s="17" t="s">
        <v>1023</v>
      </c>
      <c r="R555" s="17" t="str">
        <f>VLOOKUP(A555,[2]Export!$A:$I,9,0)</f>
        <v>Não Comprou</v>
      </c>
      <c r="S555" s="17" t="s">
        <v>1022</v>
      </c>
      <c r="T555" s="20">
        <v>2</v>
      </c>
      <c r="U555" s="17"/>
    </row>
    <row r="556" spans="1:21" x14ac:dyDescent="0.35">
      <c r="A556" s="5">
        <v>27545412000406</v>
      </c>
      <c r="B556" s="7" t="s">
        <v>991</v>
      </c>
      <c r="C556" s="4"/>
      <c r="D556" s="6" t="s">
        <v>11</v>
      </c>
      <c r="E556" s="6" t="s">
        <v>12</v>
      </c>
      <c r="F556" s="6" t="s">
        <v>8</v>
      </c>
      <c r="G556" s="11" t="s">
        <v>9</v>
      </c>
      <c r="H556" s="6" t="s">
        <v>10</v>
      </c>
      <c r="I556" s="21" t="s">
        <v>1068</v>
      </c>
      <c r="J556" s="18">
        <v>13334.273715960326</v>
      </c>
      <c r="K556" s="18">
        <f>VLOOKUP(A556,[1]Export!$A:$C,3,0)</f>
        <v>7532.0999999999976</v>
      </c>
      <c r="L556" s="19">
        <f t="shared" si="18"/>
        <v>0.56486766061990501</v>
      </c>
      <c r="M556" s="18">
        <f>VLOOKUP(A556,[1]Export!$A:$G,7,0)</f>
        <v>5909.5099999999993</v>
      </c>
      <c r="N556" s="19">
        <f t="shared" si="19"/>
        <v>0.44318199295149241</v>
      </c>
      <c r="O556" s="17" t="s">
        <v>1027</v>
      </c>
      <c r="P556" s="17" t="s">
        <v>1028</v>
      </c>
      <c r="Q556" s="17" t="s">
        <v>1023</v>
      </c>
      <c r="R556" s="17" t="str">
        <f>VLOOKUP(A556,[2]Export!$A:$I,9,0)</f>
        <v>Comprou Marcas</v>
      </c>
      <c r="S556" s="17" t="s">
        <v>1022</v>
      </c>
      <c r="T556" s="20"/>
      <c r="U556" s="17"/>
    </row>
    <row r="557" spans="1:21" x14ac:dyDescent="0.35">
      <c r="A557" s="5">
        <v>49835112000151</v>
      </c>
      <c r="B557" s="7"/>
      <c r="C557" s="4"/>
      <c r="D557" s="6" t="s">
        <v>627</v>
      </c>
      <c r="E557" s="6" t="s">
        <v>166</v>
      </c>
      <c r="F557" s="6" t="s">
        <v>8</v>
      </c>
      <c r="G557" s="11" t="s">
        <v>36</v>
      </c>
      <c r="H557" s="6" t="s">
        <v>17</v>
      </c>
      <c r="I557" s="21" t="s">
        <v>1070</v>
      </c>
      <c r="J557" s="18">
        <v>4801.7735588080486</v>
      </c>
      <c r="K557" s="18">
        <f>VLOOKUP(A557,[1]Export!$A:$C,3,0)</f>
        <v>428.77</v>
      </c>
      <c r="L557" s="19">
        <f t="shared" si="18"/>
        <v>8.9294089933394147E-2</v>
      </c>
      <c r="M557" s="18">
        <f>VLOOKUP(A557,[1]Export!$A:$G,7,0)</f>
        <v>0</v>
      </c>
      <c r="N557" s="19">
        <f t="shared" si="19"/>
        <v>0</v>
      </c>
      <c r="O557" s="17" t="s">
        <v>1025</v>
      </c>
      <c r="P557" s="17" t="s">
        <v>1026</v>
      </c>
      <c r="Q557" s="17" t="s">
        <v>1023</v>
      </c>
      <c r="R557" s="17" t="str">
        <f>VLOOKUP(A557,[2]Export!$A:$I,9,0)</f>
        <v>Não Comprou</v>
      </c>
      <c r="S557" s="17" t="s">
        <v>1023</v>
      </c>
      <c r="T557" s="20"/>
      <c r="U557" s="17"/>
    </row>
    <row r="558" spans="1:21" x14ac:dyDescent="0.35">
      <c r="A558" s="4">
        <v>51398846000162</v>
      </c>
      <c r="B558" s="7"/>
      <c r="C558" s="4"/>
      <c r="D558" s="1" t="s">
        <v>628</v>
      </c>
      <c r="E558" s="1" t="s">
        <v>390</v>
      </c>
      <c r="F558" s="1" t="s">
        <v>8</v>
      </c>
      <c r="G558" s="10" t="s">
        <v>16</v>
      </c>
      <c r="H558" s="1" t="s">
        <v>17</v>
      </c>
      <c r="I558" s="21" t="s">
        <v>1070</v>
      </c>
      <c r="J558" s="18">
        <v>2556.898695673382</v>
      </c>
      <c r="K558" s="18">
        <f>VLOOKUP(A558,[1]Export!$A:$C,3,0)</f>
        <v>1965.9099999999999</v>
      </c>
      <c r="L558" s="19">
        <f t="shared" si="18"/>
        <v>0.76886503298960773</v>
      </c>
      <c r="M558" s="18">
        <f>VLOOKUP(A558,[1]Export!$A:$G,7,0)</f>
        <v>0</v>
      </c>
      <c r="N558" s="19">
        <f t="shared" si="19"/>
        <v>0</v>
      </c>
      <c r="O558" s="17"/>
      <c r="P558" s="17"/>
      <c r="Q558" s="17"/>
      <c r="R558" s="17" t="str">
        <f>VLOOKUP(A558,[2]Export!$A:$I,9,0)</f>
        <v>Não Comprou</v>
      </c>
      <c r="S558" s="17"/>
      <c r="T558" s="20"/>
      <c r="U558" s="17"/>
    </row>
    <row r="559" spans="1:21" x14ac:dyDescent="0.35">
      <c r="A559" s="5">
        <v>55354724000125</v>
      </c>
      <c r="B559" s="7"/>
      <c r="C559" s="4"/>
      <c r="D559" s="6" t="s">
        <v>629</v>
      </c>
      <c r="E559" s="6" t="s">
        <v>50</v>
      </c>
      <c r="F559" s="6" t="s">
        <v>48</v>
      </c>
      <c r="G559" s="11" t="s">
        <v>20</v>
      </c>
      <c r="H559" s="6" t="s">
        <v>17</v>
      </c>
      <c r="I559" s="21" t="s">
        <v>1073</v>
      </c>
      <c r="J559" s="18">
        <v>6020.1422943845482</v>
      </c>
      <c r="K559" s="18">
        <f>VLOOKUP(A559,[1]Export!$A:$C,3,0)</f>
        <v>1735.33</v>
      </c>
      <c r="L559" s="19">
        <f t="shared" si="18"/>
        <v>0.28825398389979523</v>
      </c>
      <c r="M559" s="18">
        <f>VLOOKUP(A559,[1]Export!$A:$G,7,0)</f>
        <v>0</v>
      </c>
      <c r="N559" s="19">
        <f t="shared" si="19"/>
        <v>0</v>
      </c>
      <c r="O559" s="17" t="s">
        <v>1025</v>
      </c>
      <c r="P559" s="17" t="s">
        <v>1026</v>
      </c>
      <c r="Q559" s="17" t="s">
        <v>1023</v>
      </c>
      <c r="R559" s="17" t="str">
        <f>VLOOKUP(A559,[2]Export!$A:$I,9,0)</f>
        <v>Não Comprou</v>
      </c>
      <c r="S559" s="17" t="s">
        <v>1022</v>
      </c>
      <c r="T559" s="20">
        <v>2</v>
      </c>
      <c r="U559" s="17"/>
    </row>
    <row r="560" spans="1:21" x14ac:dyDescent="0.35">
      <c r="A560" s="4">
        <v>62028636000107</v>
      </c>
      <c r="B560" s="7"/>
      <c r="C560" s="4"/>
      <c r="D560" s="1" t="s">
        <v>630</v>
      </c>
      <c r="E560" s="1" t="s">
        <v>542</v>
      </c>
      <c r="F560" s="1" t="s">
        <v>15</v>
      </c>
      <c r="G560" s="10" t="s">
        <v>36</v>
      </c>
      <c r="H560" s="1" t="s">
        <v>17</v>
      </c>
      <c r="I560" s="21" t="s">
        <v>1075</v>
      </c>
      <c r="J560" s="18">
        <v>1429.4493362458838</v>
      </c>
      <c r="K560" s="18">
        <f>VLOOKUP(A560,[1]Export!$A:$C,3,0)</f>
        <v>409.76</v>
      </c>
      <c r="L560" s="19">
        <f t="shared" si="18"/>
        <v>0.28665583984678977</v>
      </c>
      <c r="M560" s="18">
        <f>VLOOKUP(A560,[1]Export!$A:$G,7,0)</f>
        <v>1575.1799999999998</v>
      </c>
      <c r="N560" s="19">
        <f t="shared" si="19"/>
        <v>1.1019488134758548</v>
      </c>
      <c r="O560" s="17" t="s">
        <v>1025</v>
      </c>
      <c r="P560" s="17" t="s">
        <v>1026</v>
      </c>
      <c r="Q560" s="17" t="s">
        <v>1023</v>
      </c>
      <c r="R560" s="17" t="str">
        <f>VLOOKUP(A560,[2]Export!$A:$I,9,0)</f>
        <v>Comprou Marcas</v>
      </c>
      <c r="S560" s="17" t="s">
        <v>1023</v>
      </c>
      <c r="T560" s="20"/>
      <c r="U560" s="17"/>
    </row>
    <row r="561" spans="1:21" x14ac:dyDescent="0.35">
      <c r="A561" s="5">
        <v>65675078000402</v>
      </c>
      <c r="B561" s="7"/>
      <c r="C561" s="4"/>
      <c r="D561" s="6" t="s">
        <v>380</v>
      </c>
      <c r="E561" s="6" t="s">
        <v>14</v>
      </c>
      <c r="F561" s="6" t="s">
        <v>15</v>
      </c>
      <c r="G561" s="11" t="s">
        <v>20</v>
      </c>
      <c r="H561" s="6" t="s">
        <v>17</v>
      </c>
      <c r="I561" s="21" t="s">
        <v>1069</v>
      </c>
      <c r="J561" s="18">
        <v>471.89040531614921</v>
      </c>
      <c r="K561" s="18">
        <f>VLOOKUP(A561,[1]Export!$A:$C,3,0)</f>
        <v>373.89</v>
      </c>
      <c r="L561" s="19">
        <f t="shared" si="18"/>
        <v>0.79232380185714402</v>
      </c>
      <c r="M561" s="18">
        <f>VLOOKUP(A561,[1]Export!$A:$G,7,0)</f>
        <v>748.54</v>
      </c>
      <c r="N561" s="19">
        <f t="shared" si="19"/>
        <v>1.5862581471613217</v>
      </c>
      <c r="O561" s="17"/>
      <c r="P561" s="17"/>
      <c r="Q561" s="17"/>
      <c r="R561" s="17" t="str">
        <f>VLOOKUP(A561,[2]Export!$A:$I,9,0)</f>
        <v>Comprou Marcas</v>
      </c>
      <c r="S561" s="17"/>
      <c r="T561" s="20"/>
      <c r="U561" s="17"/>
    </row>
    <row r="562" spans="1:21" x14ac:dyDescent="0.35">
      <c r="A562" s="4">
        <v>66160225000113</v>
      </c>
      <c r="B562" s="7"/>
      <c r="C562" s="4"/>
      <c r="D562" s="1" t="s">
        <v>631</v>
      </c>
      <c r="E562" s="1" t="s">
        <v>122</v>
      </c>
      <c r="F562" s="1" t="s">
        <v>8</v>
      </c>
      <c r="G562" s="10" t="s">
        <v>20</v>
      </c>
      <c r="H562" s="1" t="s">
        <v>17</v>
      </c>
      <c r="I562" s="21" t="s">
        <v>1068</v>
      </c>
      <c r="J562" s="18">
        <v>257.8090928955458</v>
      </c>
      <c r="K562" s="18">
        <f>VLOOKUP(A562,[1]Export!$A:$C,3,0)</f>
        <v>51.41</v>
      </c>
      <c r="L562" s="19">
        <f t="shared" si="18"/>
        <v>0.19941112015327297</v>
      </c>
      <c r="M562" s="18">
        <f>VLOOKUP(A562,[1]Export!$A:$G,7,0)</f>
        <v>0</v>
      </c>
      <c r="N562" s="19">
        <f t="shared" si="19"/>
        <v>0</v>
      </c>
      <c r="O562" s="17"/>
      <c r="P562" s="17"/>
      <c r="Q562" s="17"/>
      <c r="R562" s="17" t="str">
        <f>VLOOKUP(A562,[2]Export!$A:$I,9,0)</f>
        <v>Não Comprou</v>
      </c>
      <c r="S562" s="17"/>
      <c r="T562" s="20"/>
      <c r="U562" s="17"/>
    </row>
    <row r="563" spans="1:21" x14ac:dyDescent="0.35">
      <c r="A563" s="5">
        <v>46365701000125</v>
      </c>
      <c r="B563" s="7"/>
      <c r="C563" s="4"/>
      <c r="D563" s="6" t="s">
        <v>632</v>
      </c>
      <c r="E563" s="6" t="s">
        <v>52</v>
      </c>
      <c r="F563" s="6" t="s">
        <v>8</v>
      </c>
      <c r="G563" s="11" t="s">
        <v>20</v>
      </c>
      <c r="H563" s="6" t="s">
        <v>17</v>
      </c>
      <c r="I563" s="21" t="s">
        <v>1074</v>
      </c>
      <c r="J563" s="18">
        <v>2916.419152359801</v>
      </c>
      <c r="K563" s="18">
        <f>VLOOKUP(A563,[1]Export!$A:$C,3,0)</f>
        <v>109.45</v>
      </c>
      <c r="L563" s="19">
        <f t="shared" si="18"/>
        <v>3.7528899064950681E-2</v>
      </c>
      <c r="M563" s="18">
        <f>VLOOKUP(A563,[1]Export!$A:$G,7,0)</f>
        <v>0</v>
      </c>
      <c r="N563" s="19">
        <f t="shared" si="19"/>
        <v>0</v>
      </c>
      <c r="O563" s="17" t="s">
        <v>1027</v>
      </c>
      <c r="P563" s="17" t="s">
        <v>1026</v>
      </c>
      <c r="Q563" s="17" t="s">
        <v>1023</v>
      </c>
      <c r="R563" s="17" t="str">
        <f>VLOOKUP(A563,[2]Export!$A:$I,9,0)</f>
        <v>Não Comprou</v>
      </c>
      <c r="S563" s="17" t="s">
        <v>1022</v>
      </c>
      <c r="T563" s="20"/>
      <c r="U563" s="17"/>
    </row>
    <row r="564" spans="1:21" x14ac:dyDescent="0.35">
      <c r="A564" s="4">
        <v>47541257000114</v>
      </c>
      <c r="B564" s="7"/>
      <c r="C564" s="4"/>
      <c r="D564" s="1" t="s">
        <v>633</v>
      </c>
      <c r="E564" s="1" t="s">
        <v>343</v>
      </c>
      <c r="F564" s="1" t="s">
        <v>8</v>
      </c>
      <c r="G564" s="10" t="s">
        <v>20</v>
      </c>
      <c r="H564" s="1" t="s">
        <v>17</v>
      </c>
      <c r="I564" s="21" t="s">
        <v>1070</v>
      </c>
      <c r="J564" s="18">
        <v>4087.583248421176</v>
      </c>
      <c r="K564" s="18">
        <f>VLOOKUP(A564,[1]Export!$A:$C,3,0)</f>
        <v>1378.3200000000002</v>
      </c>
      <c r="L564" s="19">
        <f t="shared" si="18"/>
        <v>0.33719680217702591</v>
      </c>
      <c r="M564" s="18">
        <f>VLOOKUP(A564,[1]Export!$A:$G,7,0)</f>
        <v>0</v>
      </c>
      <c r="N564" s="19">
        <f t="shared" si="19"/>
        <v>0</v>
      </c>
      <c r="O564" s="17" t="s">
        <v>1025</v>
      </c>
      <c r="P564" s="17" t="s">
        <v>1026</v>
      </c>
      <c r="Q564" s="17" t="s">
        <v>1022</v>
      </c>
      <c r="R564" s="17" t="str">
        <f>VLOOKUP(A564,[2]Export!$A:$I,9,0)</f>
        <v>Não Comprou</v>
      </c>
      <c r="S564" s="17" t="s">
        <v>1022</v>
      </c>
      <c r="T564" s="20"/>
      <c r="U564" s="17"/>
    </row>
    <row r="565" spans="1:21" x14ac:dyDescent="0.35">
      <c r="A565" s="5">
        <v>48210177000149</v>
      </c>
      <c r="B565" s="7"/>
      <c r="C565" s="4"/>
      <c r="D565" s="6" t="s">
        <v>62</v>
      </c>
      <c r="E565" s="6" t="s">
        <v>390</v>
      </c>
      <c r="F565" s="6" t="s">
        <v>8</v>
      </c>
      <c r="G565" s="11" t="s">
        <v>62</v>
      </c>
      <c r="H565" s="6" t="s">
        <v>17</v>
      </c>
      <c r="I565" s="21" t="s">
        <v>1070</v>
      </c>
      <c r="J565" s="18">
        <v>2235.7067890232934</v>
      </c>
      <c r="K565" s="18">
        <f>VLOOKUP(A565,[1]Export!$A:$C,3,0)</f>
        <v>1551.8100000000002</v>
      </c>
      <c r="L565" s="19">
        <f t="shared" si="18"/>
        <v>0.69410264692085799</v>
      </c>
      <c r="M565" s="18">
        <f>VLOOKUP(A565,[1]Export!$A:$G,7,0)</f>
        <v>0</v>
      </c>
      <c r="N565" s="19">
        <f t="shared" si="19"/>
        <v>0</v>
      </c>
      <c r="O565" s="17"/>
      <c r="P565" s="17"/>
      <c r="Q565" s="17"/>
      <c r="R565" s="17" t="str">
        <f>VLOOKUP(A565,[2]Export!$A:$I,9,0)</f>
        <v>Não Comprou</v>
      </c>
      <c r="S565" s="17"/>
      <c r="T565" s="20"/>
      <c r="U565" s="17"/>
    </row>
    <row r="566" spans="1:21" x14ac:dyDescent="0.35">
      <c r="A566" s="4">
        <v>52619699000176</v>
      </c>
      <c r="B566" s="7"/>
      <c r="C566" s="4"/>
      <c r="D566" s="1" t="s">
        <v>634</v>
      </c>
      <c r="E566" s="1" t="s">
        <v>635</v>
      </c>
      <c r="F566" s="1" t="s">
        <v>48</v>
      </c>
      <c r="G566" s="10" t="s">
        <v>20</v>
      </c>
      <c r="H566" s="1" t="s">
        <v>17</v>
      </c>
      <c r="I566" s="21" t="s">
        <v>1073</v>
      </c>
      <c r="J566" s="18">
        <v>3007.8277459002402</v>
      </c>
      <c r="K566" s="18">
        <f>VLOOKUP(A566,[1]Export!$A:$C,3,0)</f>
        <v>2570.2600000000007</v>
      </c>
      <c r="L566" s="19">
        <f t="shared" si="18"/>
        <v>0.8545236686187706</v>
      </c>
      <c r="M566" s="18">
        <f>VLOOKUP(A566,[1]Export!$A:$G,7,0)</f>
        <v>2148.1999999999998</v>
      </c>
      <c r="N566" s="19">
        <f t="shared" si="19"/>
        <v>0.71420313311759998</v>
      </c>
      <c r="O566" s="17" t="s">
        <v>1025</v>
      </c>
      <c r="P566" s="17" t="s">
        <v>1026</v>
      </c>
      <c r="Q566" s="17" t="s">
        <v>1023</v>
      </c>
      <c r="R566" s="17" t="str">
        <f>VLOOKUP(A566,[2]Export!$A:$I,9,0)</f>
        <v>Não Comprou</v>
      </c>
      <c r="S566" s="17" t="s">
        <v>1023</v>
      </c>
      <c r="T566" s="20"/>
      <c r="U566" s="17"/>
    </row>
    <row r="567" spans="1:21" x14ac:dyDescent="0.35">
      <c r="A567" s="5">
        <v>52905500000176</v>
      </c>
      <c r="B567" s="7"/>
      <c r="C567" s="4"/>
      <c r="D567" s="6" t="s">
        <v>636</v>
      </c>
      <c r="E567" s="6" t="s">
        <v>89</v>
      </c>
      <c r="F567" s="6" t="s">
        <v>15</v>
      </c>
      <c r="G567" s="11" t="s">
        <v>74</v>
      </c>
      <c r="H567" s="6" t="s">
        <v>17</v>
      </c>
      <c r="I567" s="21" t="s">
        <v>1069</v>
      </c>
      <c r="J567" s="18">
        <v>4424.9283122645274</v>
      </c>
      <c r="K567" s="18">
        <f>VLOOKUP(A567,[1]Export!$A:$C,3,0)</f>
        <v>2684.2299999999996</v>
      </c>
      <c r="L567" s="19">
        <f t="shared" si="18"/>
        <v>0.60661547726324683</v>
      </c>
      <c r="M567" s="18">
        <f>VLOOKUP(A567,[1]Export!$A:$G,7,0)</f>
        <v>0</v>
      </c>
      <c r="N567" s="19">
        <f t="shared" si="19"/>
        <v>0</v>
      </c>
      <c r="O567" s="17" t="s">
        <v>1025</v>
      </c>
      <c r="P567" s="17" t="s">
        <v>1026</v>
      </c>
      <c r="Q567" s="17" t="s">
        <v>1023</v>
      </c>
      <c r="R567" s="17" t="str">
        <f>VLOOKUP(A567,[2]Export!$A:$I,9,0)</f>
        <v>Não Comprou</v>
      </c>
      <c r="S567" s="17" t="s">
        <v>1022</v>
      </c>
      <c r="T567" s="20"/>
      <c r="U567" s="17"/>
    </row>
    <row r="568" spans="1:21" x14ac:dyDescent="0.35">
      <c r="A568" s="4">
        <v>41008901000107</v>
      </c>
      <c r="B568" s="7"/>
      <c r="C568" s="4"/>
      <c r="D568" s="1" t="s">
        <v>637</v>
      </c>
      <c r="E568" s="1" t="s">
        <v>52</v>
      </c>
      <c r="F568" s="1" t="s">
        <v>8</v>
      </c>
      <c r="G568" s="10" t="s">
        <v>33</v>
      </c>
      <c r="H568" s="1" t="s">
        <v>17</v>
      </c>
      <c r="I568" s="21" t="s">
        <v>1074</v>
      </c>
      <c r="J568" s="18">
        <v>4027.575292132989</v>
      </c>
      <c r="K568" s="18">
        <f>VLOOKUP(A568,[1]Export!$A:$C,3,0)</f>
        <v>1977.4499999999998</v>
      </c>
      <c r="L568" s="19">
        <f t="shared" si="18"/>
        <v>0.49097778602985459</v>
      </c>
      <c r="M568" s="18">
        <f>VLOOKUP(A568,[1]Export!$A:$G,7,0)</f>
        <v>0</v>
      </c>
      <c r="N568" s="19">
        <f t="shared" si="19"/>
        <v>0</v>
      </c>
      <c r="O568" s="17" t="s">
        <v>1027</v>
      </c>
      <c r="P568" s="17" t="s">
        <v>1026</v>
      </c>
      <c r="Q568" s="17" t="s">
        <v>1023</v>
      </c>
      <c r="R568" s="17" t="str">
        <f>VLOOKUP(A568,[2]Export!$A:$I,9,0)</f>
        <v>Não Comprou</v>
      </c>
      <c r="S568" s="17" t="s">
        <v>1023</v>
      </c>
      <c r="T568" s="20"/>
      <c r="U568" s="17"/>
    </row>
    <row r="569" spans="1:21" x14ac:dyDescent="0.35">
      <c r="A569" s="5">
        <v>5123132000124</v>
      </c>
      <c r="B569" s="7"/>
      <c r="C569" s="4"/>
      <c r="D569" s="6" t="s">
        <v>140</v>
      </c>
      <c r="E569" s="6" t="s">
        <v>86</v>
      </c>
      <c r="F569" s="6" t="s">
        <v>48</v>
      </c>
      <c r="G569" s="11" t="s">
        <v>38</v>
      </c>
      <c r="H569" s="6" t="s">
        <v>17</v>
      </c>
      <c r="I569" s="21" t="s">
        <v>1075</v>
      </c>
      <c r="J569" s="18">
        <v>8189.3517243911665</v>
      </c>
      <c r="K569" s="18">
        <f>VLOOKUP(A569,[1]Export!$A:$C,3,0)</f>
        <v>2511.3200000000002</v>
      </c>
      <c r="L569" s="19">
        <f t="shared" si="18"/>
        <v>0.30665675190385144</v>
      </c>
      <c r="M569" s="18">
        <f>VLOOKUP(A569,[1]Export!$A:$G,7,0)</f>
        <v>1819.5500000000002</v>
      </c>
      <c r="N569" s="19">
        <f t="shared" si="19"/>
        <v>0.22218486410598925</v>
      </c>
      <c r="O569" s="17" t="s">
        <v>1027</v>
      </c>
      <c r="P569" s="17" t="s">
        <v>1028</v>
      </c>
      <c r="Q569" s="17" t="s">
        <v>1023</v>
      </c>
      <c r="R569" s="17" t="str">
        <f>VLOOKUP(A569,[2]Export!$A:$I,9,0)</f>
        <v>Comprou Marcas</v>
      </c>
      <c r="S569" s="17" t="s">
        <v>1022</v>
      </c>
      <c r="T569" s="20"/>
      <c r="U569" s="17"/>
    </row>
    <row r="570" spans="1:21" x14ac:dyDescent="0.35">
      <c r="A570" s="4">
        <v>51041632000134</v>
      </c>
      <c r="B570" s="7"/>
      <c r="C570" s="4"/>
      <c r="D570" s="1" t="s">
        <v>638</v>
      </c>
      <c r="E570" s="1" t="s">
        <v>52</v>
      </c>
      <c r="F570" s="1" t="s">
        <v>8</v>
      </c>
      <c r="G570" s="10" t="s">
        <v>16</v>
      </c>
      <c r="H570" s="1" t="s">
        <v>17</v>
      </c>
      <c r="I570" s="21" t="s">
        <v>1074</v>
      </c>
      <c r="J570" s="18">
        <v>1736.4930224574791</v>
      </c>
      <c r="K570" s="18">
        <f>VLOOKUP(A570,[1]Export!$A:$C,3,0)</f>
        <v>1001.9999999999999</v>
      </c>
      <c r="L570" s="19">
        <f t="shared" si="18"/>
        <v>0.57702506548628274</v>
      </c>
      <c r="M570" s="18">
        <f>VLOOKUP(A570,[1]Export!$A:$G,7,0)</f>
        <v>0</v>
      </c>
      <c r="N570" s="19">
        <f t="shared" si="19"/>
        <v>0</v>
      </c>
      <c r="O570" s="17" t="s">
        <v>1029</v>
      </c>
      <c r="P570" s="17" t="s">
        <v>1026</v>
      </c>
      <c r="Q570" s="17" t="s">
        <v>1022</v>
      </c>
      <c r="R570" s="17" t="str">
        <f>VLOOKUP(A570,[2]Export!$A:$I,9,0)</f>
        <v>Não Comprou</v>
      </c>
      <c r="S570" s="17" t="s">
        <v>1023</v>
      </c>
      <c r="T570" s="20"/>
      <c r="U570" s="17"/>
    </row>
    <row r="571" spans="1:21" x14ac:dyDescent="0.35">
      <c r="A571" s="5">
        <v>51954038000134</v>
      </c>
      <c r="B571" s="7"/>
      <c r="C571" s="4"/>
      <c r="D571" s="6" t="s">
        <v>639</v>
      </c>
      <c r="E571" s="6" t="s">
        <v>540</v>
      </c>
      <c r="F571" s="6" t="s">
        <v>8</v>
      </c>
      <c r="G571" s="11" t="s">
        <v>64</v>
      </c>
      <c r="H571" s="6" t="s">
        <v>17</v>
      </c>
      <c r="I571" s="21" t="s">
        <v>1074</v>
      </c>
      <c r="J571" s="18">
        <v>6570.2047317071001</v>
      </c>
      <c r="K571" s="18">
        <f>VLOOKUP(A571,[1]Export!$A:$C,3,0)</f>
        <v>1512.3</v>
      </c>
      <c r="L571" s="19">
        <f t="shared" si="18"/>
        <v>0.23017547576589251</v>
      </c>
      <c r="M571" s="18">
        <f>VLOOKUP(A571,[1]Export!$A:$G,7,0)</f>
        <v>137.85</v>
      </c>
      <c r="N571" s="19">
        <f t="shared" si="19"/>
        <v>2.0981081355768223E-2</v>
      </c>
      <c r="O571" s="17" t="s">
        <v>1029</v>
      </c>
      <c r="P571" s="17" t="s">
        <v>1026</v>
      </c>
      <c r="Q571" s="17" t="s">
        <v>1022</v>
      </c>
      <c r="R571" s="17" t="str">
        <f>VLOOKUP(A571,[2]Export!$A:$I,9,0)</f>
        <v>Comprou Marcas</v>
      </c>
      <c r="S571" s="17" t="s">
        <v>1022</v>
      </c>
      <c r="T571" s="20"/>
      <c r="U571" s="17"/>
    </row>
    <row r="572" spans="1:21" x14ac:dyDescent="0.35">
      <c r="A572" s="4">
        <v>36886133000154</v>
      </c>
      <c r="B572" s="7"/>
      <c r="C572" s="4"/>
      <c r="D572" s="1" t="s">
        <v>640</v>
      </c>
      <c r="E572" s="1" t="s">
        <v>149</v>
      </c>
      <c r="F572" s="1" t="s">
        <v>8</v>
      </c>
      <c r="G572" s="10" t="s">
        <v>20</v>
      </c>
      <c r="H572" s="1" t="s">
        <v>17</v>
      </c>
      <c r="I572" s="21" t="s">
        <v>1074</v>
      </c>
      <c r="J572" s="18">
        <v>6263.4390038535848</v>
      </c>
      <c r="K572" s="18">
        <f>VLOOKUP(A572,[1]Export!$A:$C,3,0)</f>
        <v>1386.28</v>
      </c>
      <c r="L572" s="19">
        <f t="shared" si="18"/>
        <v>0.22132888963189237</v>
      </c>
      <c r="M572" s="18">
        <f>VLOOKUP(A572,[1]Export!$A:$G,7,0)</f>
        <v>0</v>
      </c>
      <c r="N572" s="19">
        <f t="shared" si="19"/>
        <v>0</v>
      </c>
      <c r="O572" s="17" t="s">
        <v>1029</v>
      </c>
      <c r="P572" s="17" t="s">
        <v>1026</v>
      </c>
      <c r="Q572" s="17" t="s">
        <v>1023</v>
      </c>
      <c r="R572" s="17" t="str">
        <f>VLOOKUP(A572,[2]Export!$A:$I,9,0)</f>
        <v>Não Comprou</v>
      </c>
      <c r="S572" s="17" t="s">
        <v>1022</v>
      </c>
      <c r="T572" s="20"/>
      <c r="U572" s="17"/>
    </row>
    <row r="573" spans="1:21" x14ac:dyDescent="0.35">
      <c r="A573" s="5">
        <v>7217112000490</v>
      </c>
      <c r="B573" s="7" t="s">
        <v>1002</v>
      </c>
      <c r="C573" s="4"/>
      <c r="D573" s="6" t="s">
        <v>195</v>
      </c>
      <c r="E573" s="6" t="s">
        <v>364</v>
      </c>
      <c r="F573" s="6" t="s">
        <v>8</v>
      </c>
      <c r="G573" s="11" t="s">
        <v>20</v>
      </c>
      <c r="H573" s="6" t="s">
        <v>17</v>
      </c>
      <c r="I573" s="21" t="s">
        <v>1068</v>
      </c>
      <c r="J573" s="18">
        <v>8897.612492966362</v>
      </c>
      <c r="K573" s="18">
        <f>VLOOKUP(A573,[1]Export!$A:$C,3,0)</f>
        <v>2597.4899999999998</v>
      </c>
      <c r="L573" s="19">
        <f t="shared" si="18"/>
        <v>0.29193112220310086</v>
      </c>
      <c r="M573" s="18">
        <f>VLOOKUP(A573,[1]Export!$A:$G,7,0)</f>
        <v>1962.9800000000002</v>
      </c>
      <c r="N573" s="19">
        <f t="shared" si="19"/>
        <v>0.2206187335705789</v>
      </c>
      <c r="O573" s="17" t="s">
        <v>1027</v>
      </c>
      <c r="P573" s="17" t="s">
        <v>1028</v>
      </c>
      <c r="Q573" s="17" t="s">
        <v>1023</v>
      </c>
      <c r="R573" s="17" t="str">
        <f>VLOOKUP(A573,[2]Export!$A:$I,9,0)</f>
        <v>Comprou Marcas</v>
      </c>
      <c r="S573" s="17" t="s">
        <v>1022</v>
      </c>
      <c r="T573" s="20"/>
      <c r="U573" s="17"/>
    </row>
    <row r="574" spans="1:21" x14ac:dyDescent="0.35">
      <c r="A574" s="4">
        <v>8087667000770</v>
      </c>
      <c r="B574" s="7" t="s">
        <v>1001</v>
      </c>
      <c r="C574" s="4"/>
      <c r="D574" s="1" t="s">
        <v>218</v>
      </c>
      <c r="E574" s="1" t="s">
        <v>35</v>
      </c>
      <c r="F574" s="1" t="s">
        <v>8</v>
      </c>
      <c r="G574" s="10" t="s">
        <v>36</v>
      </c>
      <c r="H574" s="1" t="s">
        <v>17</v>
      </c>
      <c r="I574" s="21" t="s">
        <v>1072</v>
      </c>
      <c r="J574" s="18">
        <v>6436.2683542566438</v>
      </c>
      <c r="K574" s="18">
        <f>VLOOKUP(A574,[1]Export!$A:$C,3,0)</f>
        <v>1765.8700000000001</v>
      </c>
      <c r="L574" s="19">
        <f t="shared" si="18"/>
        <v>0.27436239491663478</v>
      </c>
      <c r="M574" s="18">
        <f>VLOOKUP(A574,[1]Export!$A:$G,7,0)</f>
        <v>2241.9899999999998</v>
      </c>
      <c r="N574" s="19">
        <f t="shared" si="19"/>
        <v>0.34833693634250873</v>
      </c>
      <c r="O574" s="17" t="s">
        <v>1025</v>
      </c>
      <c r="P574" s="17" t="s">
        <v>1026</v>
      </c>
      <c r="Q574" s="17" t="s">
        <v>1023</v>
      </c>
      <c r="R574" s="17" t="str">
        <f>VLOOKUP(A574,[2]Export!$A:$I,9,0)</f>
        <v>Comprou Marcas</v>
      </c>
      <c r="S574" s="17" t="s">
        <v>1022</v>
      </c>
      <c r="T574" s="20">
        <v>4</v>
      </c>
      <c r="U574" s="17"/>
    </row>
    <row r="575" spans="1:21" x14ac:dyDescent="0.35">
      <c r="A575" s="5">
        <v>11368538000170</v>
      </c>
      <c r="B575" s="7"/>
      <c r="C575" s="4"/>
      <c r="D575" s="6" t="s">
        <v>641</v>
      </c>
      <c r="E575" s="6" t="s">
        <v>270</v>
      </c>
      <c r="F575" s="6" t="s">
        <v>48</v>
      </c>
      <c r="G575" s="11" t="s">
        <v>9</v>
      </c>
      <c r="H575" s="6" t="s">
        <v>10</v>
      </c>
      <c r="I575" s="21" t="s">
        <v>1075</v>
      </c>
      <c r="J575" s="18">
        <v>25182.741858439247</v>
      </c>
      <c r="K575" s="18">
        <f>VLOOKUP(A575,[1]Export!$A:$C,3,0)</f>
        <v>15581.089999999997</v>
      </c>
      <c r="L575" s="19">
        <f t="shared" si="18"/>
        <v>0.61872095133987393</v>
      </c>
      <c r="M575" s="18">
        <f>VLOOKUP(A575,[1]Export!$A:$G,7,0)</f>
        <v>0</v>
      </c>
      <c r="N575" s="19">
        <f t="shared" si="19"/>
        <v>0</v>
      </c>
      <c r="O575" s="17" t="s">
        <v>1027</v>
      </c>
      <c r="P575" s="17" t="s">
        <v>1028</v>
      </c>
      <c r="Q575" s="17" t="s">
        <v>1023</v>
      </c>
      <c r="R575" s="17" t="str">
        <f>VLOOKUP(A575,[2]Export!$A:$I,9,0)</f>
        <v>Comprou SG</v>
      </c>
      <c r="S575" s="17" t="s">
        <v>1022</v>
      </c>
      <c r="T575" s="20">
        <v>6</v>
      </c>
      <c r="U575" s="17"/>
    </row>
    <row r="576" spans="1:21" x14ac:dyDescent="0.35">
      <c r="A576" s="5">
        <v>27545412000325</v>
      </c>
      <c r="B576" s="7" t="s">
        <v>991</v>
      </c>
      <c r="C576" s="4"/>
      <c r="D576" s="6" t="s">
        <v>123</v>
      </c>
      <c r="E576" s="6" t="s">
        <v>7</v>
      </c>
      <c r="F576" s="6" t="s">
        <v>8</v>
      </c>
      <c r="G576" s="11" t="s">
        <v>9</v>
      </c>
      <c r="H576" s="6" t="s">
        <v>10</v>
      </c>
      <c r="I576" s="21" t="s">
        <v>1068</v>
      </c>
      <c r="J576" s="18">
        <v>20886.82324633493</v>
      </c>
      <c r="K576" s="18">
        <f>VLOOKUP(A576,[1]Export!$A:$C,3,0)</f>
        <v>6975.8399999999983</v>
      </c>
      <c r="L576" s="19">
        <f t="shared" si="18"/>
        <v>0.33398281384049477</v>
      </c>
      <c r="M576" s="18">
        <f>VLOOKUP(A576,[1]Export!$A:$G,7,0)</f>
        <v>10378.279999999999</v>
      </c>
      <c r="N576" s="19">
        <f t="shared" si="19"/>
        <v>0.49688168840233304</v>
      </c>
      <c r="O576" s="17" t="s">
        <v>1027</v>
      </c>
      <c r="P576" s="17" t="s">
        <v>1028</v>
      </c>
      <c r="Q576" s="17" t="s">
        <v>1023</v>
      </c>
      <c r="R576" s="17" t="str">
        <f>VLOOKUP(A576,[2]Export!$A:$I,9,0)</f>
        <v>Comprou Marcas</v>
      </c>
      <c r="S576" s="17" t="s">
        <v>1022</v>
      </c>
      <c r="T576" s="20"/>
      <c r="U576" s="17">
        <v>9</v>
      </c>
    </row>
    <row r="577" spans="1:21" x14ac:dyDescent="0.35">
      <c r="A577" s="5">
        <v>11628018000159</v>
      </c>
      <c r="B577" s="7"/>
      <c r="C577" s="4"/>
      <c r="D577" s="6" t="s">
        <v>636</v>
      </c>
      <c r="E577" s="6" t="s">
        <v>334</v>
      </c>
      <c r="F577" s="6" t="s">
        <v>15</v>
      </c>
      <c r="G577" s="11" t="s">
        <v>20</v>
      </c>
      <c r="H577" s="6" t="s">
        <v>17</v>
      </c>
      <c r="I577" s="21" t="s">
        <v>1069</v>
      </c>
      <c r="J577" s="18">
        <v>6928.3468504087678</v>
      </c>
      <c r="K577" s="18">
        <f>VLOOKUP(A577,[1]Export!$A:$C,3,0)</f>
        <v>1997.62</v>
      </c>
      <c r="L577" s="19">
        <f t="shared" si="18"/>
        <v>0.28832563425749125</v>
      </c>
      <c r="M577" s="18">
        <f>VLOOKUP(A577,[1]Export!$A:$G,7,0)</f>
        <v>0</v>
      </c>
      <c r="N577" s="19">
        <f t="shared" si="19"/>
        <v>0</v>
      </c>
      <c r="O577" s="17"/>
      <c r="P577" s="17"/>
      <c r="Q577" s="17"/>
      <c r="R577" s="17" t="str">
        <f>VLOOKUP(A577,[2]Export!$A:$I,9,0)</f>
        <v>Não Comprou</v>
      </c>
      <c r="S577" s="17"/>
      <c r="T577" s="20"/>
      <c r="U577" s="17"/>
    </row>
    <row r="578" spans="1:21" x14ac:dyDescent="0.35">
      <c r="A578" s="4">
        <v>7236140000102</v>
      </c>
      <c r="B578" s="7"/>
      <c r="C578" s="4"/>
      <c r="D578" s="1" t="s">
        <v>393</v>
      </c>
      <c r="E578" s="1" t="s">
        <v>642</v>
      </c>
      <c r="F578" s="1" t="s">
        <v>8</v>
      </c>
      <c r="G578" s="10" t="s">
        <v>190</v>
      </c>
      <c r="H578" s="1" t="s">
        <v>17</v>
      </c>
      <c r="I578" s="21" t="s">
        <v>1072</v>
      </c>
      <c r="J578" s="18">
        <v>18449.683547141067</v>
      </c>
      <c r="K578" s="18">
        <f>VLOOKUP(A578,[1]Export!$A:$C,3,0)</f>
        <v>974.5</v>
      </c>
      <c r="L578" s="19">
        <f t="shared" si="18"/>
        <v>5.2819334137089141E-2</v>
      </c>
      <c r="M578" s="18">
        <f>VLOOKUP(A578,[1]Export!$A:$G,7,0)</f>
        <v>3608.0199999999995</v>
      </c>
      <c r="N578" s="19">
        <f t="shared" si="19"/>
        <v>0.19555999379507474</v>
      </c>
      <c r="O578" s="17" t="s">
        <v>1027</v>
      </c>
      <c r="P578" s="17" t="s">
        <v>1028</v>
      </c>
      <c r="Q578" s="17" t="s">
        <v>1023</v>
      </c>
      <c r="R578" s="17" t="str">
        <f>VLOOKUP(A578,[2]Export!$A:$I,9,0)</f>
        <v>Comprou Marcas</v>
      </c>
      <c r="S578" s="17" t="s">
        <v>1022</v>
      </c>
      <c r="T578" s="20">
        <v>1</v>
      </c>
      <c r="U578" s="17"/>
    </row>
    <row r="579" spans="1:21" x14ac:dyDescent="0.35">
      <c r="A579" s="5">
        <v>20884408000261</v>
      </c>
      <c r="B579" s="7"/>
      <c r="C579" s="4"/>
      <c r="D579" s="6" t="s">
        <v>104</v>
      </c>
      <c r="E579" s="6" t="s">
        <v>138</v>
      </c>
      <c r="F579" s="6" t="s">
        <v>15</v>
      </c>
      <c r="G579" s="11" t="s">
        <v>9</v>
      </c>
      <c r="H579" s="6" t="s">
        <v>10</v>
      </c>
      <c r="I579" s="21" t="s">
        <v>1071</v>
      </c>
      <c r="J579" s="18">
        <v>18510.00516771153</v>
      </c>
      <c r="K579" s="18">
        <f>VLOOKUP(A579,[1]Export!$A:$C,3,0)</f>
        <v>8193.8799999999992</v>
      </c>
      <c r="L579" s="19">
        <f t="shared" si="18"/>
        <v>0.4426730260612371</v>
      </c>
      <c r="M579" s="18">
        <f>VLOOKUP(A579,[1]Export!$A:$G,7,0)</f>
        <v>3916.17</v>
      </c>
      <c r="N579" s="19">
        <f t="shared" si="19"/>
        <v>0.21157044336385633</v>
      </c>
      <c r="O579" s="17" t="s">
        <v>1027</v>
      </c>
      <c r="P579" s="17" t="s">
        <v>1028</v>
      </c>
      <c r="Q579" s="17" t="s">
        <v>1023</v>
      </c>
      <c r="R579" s="17" t="str">
        <f>VLOOKUP(A579,[2]Export!$A:$I,9,0)</f>
        <v>Comprou Marcas</v>
      </c>
      <c r="S579" s="17" t="s">
        <v>1022</v>
      </c>
      <c r="T579" s="20"/>
      <c r="U579" s="17"/>
    </row>
    <row r="580" spans="1:21" x14ac:dyDescent="0.35">
      <c r="A580" s="4">
        <v>7966206000110</v>
      </c>
      <c r="B580" s="7"/>
      <c r="C580" s="4"/>
      <c r="D580" s="1" t="s">
        <v>643</v>
      </c>
      <c r="E580" s="1" t="s">
        <v>50</v>
      </c>
      <c r="F580" s="1" t="s">
        <v>48</v>
      </c>
      <c r="G580" s="10" t="s">
        <v>80</v>
      </c>
      <c r="H580" s="1" t="s">
        <v>17</v>
      </c>
      <c r="I580" s="21" t="s">
        <v>1073</v>
      </c>
      <c r="J580" s="18">
        <v>5447.1023643851786</v>
      </c>
      <c r="K580" s="18">
        <f>VLOOKUP(A580,[1]Export!$A:$C,3,0)</f>
        <v>2013.5099999999995</v>
      </c>
      <c r="L580" s="19">
        <f t="shared" si="18"/>
        <v>0.36964790916450252</v>
      </c>
      <c r="M580" s="18">
        <f>VLOOKUP(A580,[1]Export!$A:$G,7,0)</f>
        <v>0</v>
      </c>
      <c r="N580" s="19">
        <f t="shared" si="19"/>
        <v>0</v>
      </c>
      <c r="O580" s="17" t="s">
        <v>1027</v>
      </c>
      <c r="P580" s="17" t="s">
        <v>1028</v>
      </c>
      <c r="Q580" s="17" t="s">
        <v>1023</v>
      </c>
      <c r="R580" s="17" t="str">
        <f>VLOOKUP(A580,[2]Export!$A:$I,9,0)</f>
        <v>Comprou Marcas</v>
      </c>
      <c r="S580" s="17" t="s">
        <v>1023</v>
      </c>
      <c r="T580" s="20"/>
      <c r="U580" s="17"/>
    </row>
    <row r="581" spans="1:21" x14ac:dyDescent="0.35">
      <c r="A581" s="5">
        <v>19825473000156</v>
      </c>
      <c r="B581" s="7"/>
      <c r="C581" s="4"/>
      <c r="D581" s="6" t="s">
        <v>644</v>
      </c>
      <c r="E581" s="6" t="s">
        <v>260</v>
      </c>
      <c r="F581" s="6" t="s">
        <v>8</v>
      </c>
      <c r="G581" s="11" t="s">
        <v>33</v>
      </c>
      <c r="H581" s="6" t="s">
        <v>17</v>
      </c>
      <c r="I581" s="21" t="s">
        <v>1068</v>
      </c>
      <c r="J581" s="18">
        <v>2623.771096614928</v>
      </c>
      <c r="K581" s="18">
        <f>VLOOKUP(A581,[1]Export!$A:$C,3,0)</f>
        <v>547.2299999999999</v>
      </c>
      <c r="L581" s="19">
        <f t="shared" si="18"/>
        <v>0.2085662124664806</v>
      </c>
      <c r="M581" s="18">
        <f>VLOOKUP(A581,[1]Export!$A:$G,7,0)</f>
        <v>338.21</v>
      </c>
      <c r="N581" s="19">
        <f t="shared" si="19"/>
        <v>0.12890225082376408</v>
      </c>
      <c r="O581" s="17" t="s">
        <v>1027</v>
      </c>
      <c r="P581" s="17" t="s">
        <v>1026</v>
      </c>
      <c r="Q581" s="17" t="s">
        <v>1023</v>
      </c>
      <c r="R581" s="17" t="str">
        <f>VLOOKUP(A581,[2]Export!$A:$I,9,0)</f>
        <v>Comprou Marcas</v>
      </c>
      <c r="S581" s="17" t="s">
        <v>1022</v>
      </c>
      <c r="T581" s="20"/>
      <c r="U581" s="17"/>
    </row>
    <row r="582" spans="1:21" x14ac:dyDescent="0.35">
      <c r="A582" s="4">
        <v>21013882000361</v>
      </c>
      <c r="B582" s="7" t="s">
        <v>1008</v>
      </c>
      <c r="C582" s="4"/>
      <c r="D582" s="1" t="s">
        <v>90</v>
      </c>
      <c r="E582" s="1" t="s">
        <v>82</v>
      </c>
      <c r="F582" s="1" t="s">
        <v>8</v>
      </c>
      <c r="G582" s="10" t="s">
        <v>64</v>
      </c>
      <c r="H582" s="1" t="s">
        <v>17</v>
      </c>
      <c r="I582" s="21" t="s">
        <v>1072</v>
      </c>
      <c r="J582" s="18">
        <v>2370.78824373726</v>
      </c>
      <c r="K582" s="18">
        <f>VLOOKUP(A582,[1]Export!$A:$C,3,0)</f>
        <v>4521.71</v>
      </c>
      <c r="L582" s="19">
        <f t="shared" si="18"/>
        <v>1.9072601747307776</v>
      </c>
      <c r="M582" s="18">
        <f>VLOOKUP(A582,[1]Export!$A:$G,7,0)</f>
        <v>4348.9499999999989</v>
      </c>
      <c r="N582" s="19">
        <f t="shared" si="19"/>
        <v>1.8343898960560083</v>
      </c>
      <c r="O582" s="17" t="s">
        <v>1029</v>
      </c>
      <c r="P582" s="17" t="s">
        <v>1026</v>
      </c>
      <c r="Q582" s="17" t="s">
        <v>1022</v>
      </c>
      <c r="R582" s="17" t="str">
        <f>VLOOKUP(A582,[2]Export!$A:$I,9,0)</f>
        <v>Comprou Marcas</v>
      </c>
      <c r="S582" s="17" t="s">
        <v>1022</v>
      </c>
      <c r="T582" s="20">
        <v>4</v>
      </c>
      <c r="U582" s="17"/>
    </row>
    <row r="583" spans="1:21" x14ac:dyDescent="0.35">
      <c r="A583" s="5">
        <v>27545412000244</v>
      </c>
      <c r="B583" s="7" t="s">
        <v>991</v>
      </c>
      <c r="C583" s="4"/>
      <c r="D583" s="6" t="s">
        <v>790</v>
      </c>
      <c r="E583" s="6" t="s">
        <v>430</v>
      </c>
      <c r="F583" s="6" t="s">
        <v>8</v>
      </c>
      <c r="G583" s="11" t="s">
        <v>9</v>
      </c>
      <c r="H583" s="6" t="s">
        <v>10</v>
      </c>
      <c r="I583" s="21" t="s">
        <v>1068</v>
      </c>
      <c r="J583" s="18">
        <v>11208.494448730387</v>
      </c>
      <c r="K583" s="18">
        <f>VLOOKUP(A583,[1]Export!$A:$C,3,0)</f>
        <v>4704.170000000001</v>
      </c>
      <c r="L583" s="19">
        <f t="shared" si="18"/>
        <v>0.41969686665035139</v>
      </c>
      <c r="M583" s="18">
        <f>VLOOKUP(A583,[1]Export!$A:$G,7,0)</f>
        <v>2921.0600000000004</v>
      </c>
      <c r="N583" s="19">
        <f t="shared" si="19"/>
        <v>0.26061127240250148</v>
      </c>
      <c r="O583" s="17" t="s">
        <v>1027</v>
      </c>
      <c r="P583" s="17" t="s">
        <v>1028</v>
      </c>
      <c r="Q583" s="17" t="s">
        <v>1023</v>
      </c>
      <c r="R583" s="17" t="str">
        <f>VLOOKUP(A583,[2]Export!$A:$I,9,0)</f>
        <v>Comprou Marcas</v>
      </c>
      <c r="S583" s="17"/>
      <c r="T583" s="20"/>
      <c r="U583" s="17"/>
    </row>
    <row r="584" spans="1:21" x14ac:dyDescent="0.35">
      <c r="A584" s="4">
        <v>22836127000188</v>
      </c>
      <c r="B584" s="7"/>
      <c r="C584" s="4"/>
      <c r="D584" s="1" t="s">
        <v>645</v>
      </c>
      <c r="E584" s="1" t="s">
        <v>193</v>
      </c>
      <c r="F584" s="1" t="s">
        <v>194</v>
      </c>
      <c r="G584" s="10" t="s">
        <v>646</v>
      </c>
      <c r="H584" s="1" t="s">
        <v>17</v>
      </c>
      <c r="I584" s="21" t="s">
        <v>1070</v>
      </c>
      <c r="J584" s="18">
        <v>974.87370865869934</v>
      </c>
      <c r="K584" s="18">
        <f>VLOOKUP(A584,[1]Export!$A:$C,3,0)</f>
        <v>236.02999999999997</v>
      </c>
      <c r="L584" s="19">
        <f t="shared" si="18"/>
        <v>0.24211341213083576</v>
      </c>
      <c r="M584" s="18">
        <f>VLOOKUP(A584,[1]Export!$A:$G,7,0)</f>
        <v>0</v>
      </c>
      <c r="N584" s="19">
        <f t="shared" si="19"/>
        <v>0</v>
      </c>
      <c r="O584" s="17" t="s">
        <v>1025</v>
      </c>
      <c r="P584" s="17" t="s">
        <v>1026</v>
      </c>
      <c r="Q584" s="17" t="s">
        <v>1023</v>
      </c>
      <c r="R584" s="17" t="str">
        <f>VLOOKUP(A584,[2]Export!$A:$I,9,0)</f>
        <v>Não Comprou</v>
      </c>
      <c r="S584" s="17" t="s">
        <v>1023</v>
      </c>
      <c r="T584" s="20"/>
      <c r="U584" s="17"/>
    </row>
    <row r="585" spans="1:21" x14ac:dyDescent="0.35">
      <c r="A585" s="5">
        <v>27104567000164</v>
      </c>
      <c r="B585" s="7"/>
      <c r="C585" s="4"/>
      <c r="D585" s="6" t="s">
        <v>647</v>
      </c>
      <c r="E585" s="6" t="s">
        <v>14</v>
      </c>
      <c r="F585" s="6" t="s">
        <v>15</v>
      </c>
      <c r="G585" s="11" t="s">
        <v>36</v>
      </c>
      <c r="H585" s="6" t="s">
        <v>17</v>
      </c>
      <c r="I585" s="21" t="s">
        <v>1069</v>
      </c>
      <c r="J585" s="18">
        <v>3179.3592097864048</v>
      </c>
      <c r="K585" s="18">
        <f>VLOOKUP(A585,[1]Export!$A:$C,3,0)</f>
        <v>1396.6200000000001</v>
      </c>
      <c r="L585" s="19">
        <f t="shared" si="18"/>
        <v>0.43927719639261131</v>
      </c>
      <c r="M585" s="18">
        <f>VLOOKUP(A585,[1]Export!$A:$G,7,0)</f>
        <v>835.42999999999984</v>
      </c>
      <c r="N585" s="19">
        <f t="shared" si="19"/>
        <v>0.26276678565556788</v>
      </c>
      <c r="O585" s="17" t="s">
        <v>1025</v>
      </c>
      <c r="P585" s="17" t="s">
        <v>1026</v>
      </c>
      <c r="Q585" s="17" t="s">
        <v>1022</v>
      </c>
      <c r="R585" s="17" t="str">
        <f>VLOOKUP(A585,[2]Export!$A:$I,9,0)</f>
        <v>Comprou Marcas</v>
      </c>
      <c r="S585" s="17" t="s">
        <v>1023</v>
      </c>
      <c r="T585" s="20"/>
      <c r="U585" s="17"/>
    </row>
    <row r="586" spans="1:21" x14ac:dyDescent="0.35">
      <c r="A586" s="4">
        <v>27855189000150</v>
      </c>
      <c r="B586" s="7"/>
      <c r="C586" s="4"/>
      <c r="D586" s="1" t="s">
        <v>648</v>
      </c>
      <c r="E586" s="1" t="s">
        <v>174</v>
      </c>
      <c r="F586" s="1" t="s">
        <v>48</v>
      </c>
      <c r="G586" s="10" t="s">
        <v>486</v>
      </c>
      <c r="H586" s="1" t="s">
        <v>17</v>
      </c>
      <c r="I586" s="21" t="s">
        <v>1075</v>
      </c>
      <c r="J586" s="18">
        <v>4782.0080793479729</v>
      </c>
      <c r="K586" s="18">
        <f>VLOOKUP(A586,[1]Export!$A:$C,3,0)</f>
        <v>126.78</v>
      </c>
      <c r="L586" s="19">
        <f t="shared" si="18"/>
        <v>2.6511874906176749E-2</v>
      </c>
      <c r="M586" s="18">
        <f>VLOOKUP(A586,[1]Export!$A:$G,7,0)</f>
        <v>0</v>
      </c>
      <c r="N586" s="19">
        <f t="shared" si="19"/>
        <v>0</v>
      </c>
      <c r="O586" s="17" t="s">
        <v>1027</v>
      </c>
      <c r="P586" s="17" t="s">
        <v>1028</v>
      </c>
      <c r="Q586" s="17" t="s">
        <v>1023</v>
      </c>
      <c r="R586" s="17" t="str">
        <f>VLOOKUP(A586,[2]Export!$A:$I,9,0)</f>
        <v>Comprou SG</v>
      </c>
      <c r="S586" s="17" t="s">
        <v>1023</v>
      </c>
      <c r="T586" s="20"/>
      <c r="U586" s="17"/>
    </row>
    <row r="587" spans="1:21" x14ac:dyDescent="0.35">
      <c r="A587" s="5">
        <v>28031224000180</v>
      </c>
      <c r="B587" s="7"/>
      <c r="C587" s="4"/>
      <c r="D587" s="6" t="s">
        <v>649</v>
      </c>
      <c r="E587" s="6" t="s">
        <v>43</v>
      </c>
      <c r="F587" s="6" t="s">
        <v>8</v>
      </c>
      <c r="G587" s="11" t="s">
        <v>16</v>
      </c>
      <c r="H587" s="6" t="s">
        <v>17</v>
      </c>
      <c r="I587" s="21" t="s">
        <v>1070</v>
      </c>
      <c r="J587" s="18">
        <v>6586.4923201018946</v>
      </c>
      <c r="K587" s="18">
        <f>VLOOKUP(A587,[1]Export!$A:$C,3,0)</f>
        <v>2908.8200000000006</v>
      </c>
      <c r="L587" s="19">
        <f t="shared" si="18"/>
        <v>0.44163415952407892</v>
      </c>
      <c r="M587" s="18">
        <f>VLOOKUP(A587,[1]Export!$A:$G,7,0)</f>
        <v>1475.8599999999997</v>
      </c>
      <c r="N587" s="19">
        <f t="shared" si="19"/>
        <v>0.22407374491209728</v>
      </c>
      <c r="O587" s="17" t="s">
        <v>1031</v>
      </c>
      <c r="P587" s="17" t="s">
        <v>1026</v>
      </c>
      <c r="Q587" s="17" t="s">
        <v>1023</v>
      </c>
      <c r="R587" s="17" t="str">
        <f>VLOOKUP(A587,[2]Export!$A:$I,9,0)</f>
        <v>Comprou Marcas</v>
      </c>
      <c r="S587" s="17" t="s">
        <v>1022</v>
      </c>
      <c r="T587" s="20"/>
      <c r="U587" s="17"/>
    </row>
    <row r="588" spans="1:21" x14ac:dyDescent="0.35">
      <c r="A588" s="4">
        <v>17684597000133</v>
      </c>
      <c r="B588" s="7"/>
      <c r="C588" s="4"/>
      <c r="D588" s="1" t="s">
        <v>505</v>
      </c>
      <c r="E588" s="1" t="s">
        <v>52</v>
      </c>
      <c r="F588" s="1" t="s">
        <v>8</v>
      </c>
      <c r="G588" s="10" t="s">
        <v>36</v>
      </c>
      <c r="H588" s="1" t="s">
        <v>17</v>
      </c>
      <c r="I588" s="21" t="s">
        <v>1074</v>
      </c>
      <c r="J588" s="18">
        <v>6061.5963289834635</v>
      </c>
      <c r="K588" s="18">
        <f>VLOOKUP(A588,[1]Export!$A:$C,3,0)</f>
        <v>3859.8000000000006</v>
      </c>
      <c r="L588" s="19">
        <f t="shared" si="18"/>
        <v>0.63676295657373372</v>
      </c>
      <c r="M588" s="18">
        <f>VLOOKUP(A588,[1]Export!$A:$G,7,0)</f>
        <v>3393.68</v>
      </c>
      <c r="N588" s="19">
        <f t="shared" si="19"/>
        <v>0.55986572114232547</v>
      </c>
      <c r="O588" s="17" t="s">
        <v>1025</v>
      </c>
      <c r="P588" s="17" t="s">
        <v>1026</v>
      </c>
      <c r="Q588" s="17" t="s">
        <v>1023</v>
      </c>
      <c r="R588" s="17" t="str">
        <f>VLOOKUP(A588,[2]Export!$A:$I,9,0)</f>
        <v>Comprou Marcas</v>
      </c>
      <c r="S588" s="17" t="s">
        <v>1023</v>
      </c>
      <c r="T588" s="20"/>
      <c r="U588" s="17"/>
    </row>
    <row r="589" spans="1:21" x14ac:dyDescent="0.35">
      <c r="A589" s="5">
        <v>18919955000293</v>
      </c>
      <c r="B589" s="7"/>
      <c r="C589" s="4"/>
      <c r="D589" s="6" t="s">
        <v>650</v>
      </c>
      <c r="E589" s="6" t="s">
        <v>203</v>
      </c>
      <c r="F589" s="6" t="s">
        <v>8</v>
      </c>
      <c r="G589" s="11" t="s">
        <v>20</v>
      </c>
      <c r="H589" s="6" t="s">
        <v>17</v>
      </c>
      <c r="I589" s="21" t="s">
        <v>1074</v>
      </c>
      <c r="J589" s="18">
        <v>6816.0045420352717</v>
      </c>
      <c r="K589" s="18">
        <f>VLOOKUP(A589,[1]Export!$A:$C,3,0)</f>
        <v>805.24</v>
      </c>
      <c r="L589" s="19">
        <f t="shared" ref="L589:L652" si="20">K589/J589</f>
        <v>0.11813959263582795</v>
      </c>
      <c r="M589" s="18">
        <f>VLOOKUP(A589,[1]Export!$A:$G,7,0)</f>
        <v>0</v>
      </c>
      <c r="N589" s="19">
        <f t="shared" ref="N589:N652" si="21">M589/J589</f>
        <v>0</v>
      </c>
      <c r="O589" s="17" t="s">
        <v>1030</v>
      </c>
      <c r="P589" s="17" t="s">
        <v>1026</v>
      </c>
      <c r="Q589" s="17" t="s">
        <v>1023</v>
      </c>
      <c r="R589" s="17" t="str">
        <f>VLOOKUP(A589,[2]Export!$A:$I,9,0)</f>
        <v>Não Comprou</v>
      </c>
      <c r="S589" s="17" t="s">
        <v>1022</v>
      </c>
      <c r="T589" s="20">
        <v>4</v>
      </c>
      <c r="U589" s="17"/>
    </row>
    <row r="590" spans="1:21" x14ac:dyDescent="0.35">
      <c r="A590" s="4">
        <v>19023460000163</v>
      </c>
      <c r="B590" s="7"/>
      <c r="C590" s="4"/>
      <c r="D590" s="1" t="s">
        <v>651</v>
      </c>
      <c r="E590" s="1" t="s">
        <v>52</v>
      </c>
      <c r="F590" s="1" t="s">
        <v>8</v>
      </c>
      <c r="G590" s="10" t="s">
        <v>20</v>
      </c>
      <c r="H590" s="1" t="s">
        <v>17</v>
      </c>
      <c r="I590" s="21" t="s">
        <v>1074</v>
      </c>
      <c r="J590" s="18">
        <v>3408.5836317369358</v>
      </c>
      <c r="K590" s="18">
        <f>VLOOKUP(A590,[1]Export!$A:$C,3,0)</f>
        <v>467.45000000000005</v>
      </c>
      <c r="L590" s="19">
        <f t="shared" si="20"/>
        <v>0.13713907314687135</v>
      </c>
      <c r="M590" s="18">
        <f>VLOOKUP(A590,[1]Export!$A:$G,7,0)</f>
        <v>84.639999999999986</v>
      </c>
      <c r="N590" s="19">
        <f t="shared" si="21"/>
        <v>2.483142828356228E-2</v>
      </c>
      <c r="O590" s="17" t="s">
        <v>1027</v>
      </c>
      <c r="P590" s="17" t="s">
        <v>1026</v>
      </c>
      <c r="Q590" s="17" t="s">
        <v>1023</v>
      </c>
      <c r="R590" s="17" t="str">
        <f>VLOOKUP(A590,[2]Export!$A:$I,9,0)</f>
        <v>Comprou Marcas</v>
      </c>
      <c r="S590" s="17" t="s">
        <v>1022</v>
      </c>
      <c r="T590" s="20"/>
      <c r="U590" s="17"/>
    </row>
    <row r="591" spans="1:21" x14ac:dyDescent="0.35">
      <c r="A591" s="5">
        <v>19325814000124</v>
      </c>
      <c r="B591" s="7"/>
      <c r="C591" s="4"/>
      <c r="D591" s="6" t="s">
        <v>528</v>
      </c>
      <c r="E591" s="6" t="s">
        <v>61</v>
      </c>
      <c r="F591" s="6" t="s">
        <v>8</v>
      </c>
      <c r="G591" s="11" t="s">
        <v>20</v>
      </c>
      <c r="H591" s="6" t="s">
        <v>17</v>
      </c>
      <c r="I591" s="21" t="s">
        <v>1068</v>
      </c>
      <c r="J591" s="18">
        <v>42.235412853310542</v>
      </c>
      <c r="K591" s="18">
        <f>VLOOKUP(A591,[1]Export!$A:$C,3,0)</f>
        <v>32.32</v>
      </c>
      <c r="L591" s="19">
        <f t="shared" si="20"/>
        <v>0.7652346175057374</v>
      </c>
      <c r="M591" s="18">
        <f>VLOOKUP(A591,[1]Export!$A:$G,7,0)</f>
        <v>0</v>
      </c>
      <c r="N591" s="19">
        <f t="shared" si="21"/>
        <v>0</v>
      </c>
      <c r="O591" s="17"/>
      <c r="P591" s="17"/>
      <c r="Q591" s="17"/>
      <c r="R591" s="17" t="str">
        <f>VLOOKUP(A591,[2]Export!$A:$I,9,0)</f>
        <v>Não Comprou</v>
      </c>
      <c r="S591" s="17"/>
      <c r="T591" s="20"/>
      <c r="U591" s="17"/>
    </row>
    <row r="592" spans="1:21" x14ac:dyDescent="0.35">
      <c r="A592" s="4">
        <v>27545412000678</v>
      </c>
      <c r="B592" s="7" t="s">
        <v>991</v>
      </c>
      <c r="C592" s="4"/>
      <c r="D592" s="1" t="s">
        <v>791</v>
      </c>
      <c r="E592" s="1" t="s">
        <v>388</v>
      </c>
      <c r="F592" s="1" t="s">
        <v>8</v>
      </c>
      <c r="G592" s="10" t="s">
        <v>9</v>
      </c>
      <c r="H592" s="1" t="s">
        <v>10</v>
      </c>
      <c r="I592" s="21" t="s">
        <v>1072</v>
      </c>
      <c r="J592" s="18">
        <v>3328.7114366937781</v>
      </c>
      <c r="K592" s="18">
        <f>VLOOKUP(A592,[1]Export!$A:$C,3,0)</f>
        <v>14029.6</v>
      </c>
      <c r="L592" s="19">
        <f t="shared" si="20"/>
        <v>4.2147240056154622</v>
      </c>
      <c r="M592" s="18">
        <f>VLOOKUP(A592,[1]Export!$A:$G,7,0)</f>
        <v>1583.53</v>
      </c>
      <c r="N592" s="19">
        <f t="shared" si="21"/>
        <v>0.47571861668274595</v>
      </c>
      <c r="O592" s="17" t="s">
        <v>1027</v>
      </c>
      <c r="P592" s="17" t="s">
        <v>1028</v>
      </c>
      <c r="Q592" s="17" t="s">
        <v>1023</v>
      </c>
      <c r="R592" s="17" t="str">
        <f>VLOOKUP(A592,[2]Export!$A:$I,9,0)</f>
        <v>Comprou Marcas</v>
      </c>
      <c r="S592" s="17" t="s">
        <v>1022</v>
      </c>
      <c r="T592" s="20"/>
      <c r="U592" s="17"/>
    </row>
    <row r="593" spans="1:21" x14ac:dyDescent="0.35">
      <c r="A593" s="4">
        <v>27545412000597</v>
      </c>
      <c r="B593" s="7" t="s">
        <v>991</v>
      </c>
      <c r="C593" s="4"/>
      <c r="D593" s="1" t="s">
        <v>880</v>
      </c>
      <c r="E593" s="1" t="s">
        <v>35</v>
      </c>
      <c r="F593" s="1" t="s">
        <v>8</v>
      </c>
      <c r="G593" s="10" t="s">
        <v>9</v>
      </c>
      <c r="H593" s="1" t="s">
        <v>10</v>
      </c>
      <c r="I593" s="21" t="s">
        <v>1072</v>
      </c>
      <c r="J593" s="18">
        <v>3160.2269284939721</v>
      </c>
      <c r="K593" s="18">
        <f>VLOOKUP(A593,[1]Export!$A:$C,3,0)</f>
        <v>2091.6999999999998</v>
      </c>
      <c r="L593" s="19">
        <f t="shared" si="20"/>
        <v>0.66188284807661391</v>
      </c>
      <c r="M593" s="18">
        <f>VLOOKUP(A593,[1]Export!$A:$G,7,0)</f>
        <v>1795.5099999999998</v>
      </c>
      <c r="N593" s="19">
        <f t="shared" si="21"/>
        <v>0.56815856602287174</v>
      </c>
      <c r="O593" s="17" t="s">
        <v>1027</v>
      </c>
      <c r="P593" s="17" t="s">
        <v>1028</v>
      </c>
      <c r="Q593" s="17" t="s">
        <v>1023</v>
      </c>
      <c r="R593" s="17" t="str">
        <f>VLOOKUP(A593,[2]Export!$A:$I,9,0)</f>
        <v>Comprou Marcas</v>
      </c>
      <c r="S593" s="17" t="s">
        <v>1022</v>
      </c>
      <c r="T593" s="20"/>
      <c r="U593" s="17"/>
    </row>
    <row r="594" spans="1:21" x14ac:dyDescent="0.35">
      <c r="A594" s="4">
        <v>19825473000237</v>
      </c>
      <c r="B594" s="7"/>
      <c r="C594" s="4"/>
      <c r="D594" s="1" t="s">
        <v>644</v>
      </c>
      <c r="E594" s="1" t="s">
        <v>260</v>
      </c>
      <c r="F594" s="1" t="s">
        <v>8</v>
      </c>
      <c r="G594" s="10" t="s">
        <v>33</v>
      </c>
      <c r="H594" s="1" t="s">
        <v>17</v>
      </c>
      <c r="I594" s="21" t="s">
        <v>1068</v>
      </c>
      <c r="J594" s="18">
        <v>6199.5663513429699</v>
      </c>
      <c r="K594" s="18">
        <f>VLOOKUP(A594,[1]Export!$A:$C,3,0)</f>
        <v>124.46</v>
      </c>
      <c r="L594" s="19">
        <f t="shared" si="20"/>
        <v>2.0075597702577871E-2</v>
      </c>
      <c r="M594" s="18">
        <f>VLOOKUP(A594,[1]Export!$A:$G,7,0)</f>
        <v>174.54000000000002</v>
      </c>
      <c r="N594" s="19">
        <f t="shared" si="21"/>
        <v>2.81535820585565E-2</v>
      </c>
      <c r="O594" s="17" t="s">
        <v>1027</v>
      </c>
      <c r="P594" s="17" t="s">
        <v>1026</v>
      </c>
      <c r="Q594" s="17" t="s">
        <v>1023</v>
      </c>
      <c r="R594" s="17" t="str">
        <f>VLOOKUP(A594,[2]Export!$A:$I,9,0)</f>
        <v>Comprou Marcas</v>
      </c>
      <c r="S594" s="17" t="s">
        <v>1022</v>
      </c>
      <c r="T594" s="20"/>
      <c r="U594" s="17"/>
    </row>
    <row r="595" spans="1:21" x14ac:dyDescent="0.35">
      <c r="A595" s="5">
        <v>43080555000101</v>
      </c>
      <c r="B595" s="7"/>
      <c r="C595" s="4"/>
      <c r="D595" s="6" t="s">
        <v>53</v>
      </c>
      <c r="E595" s="6" t="s">
        <v>652</v>
      </c>
      <c r="F595" s="6" t="s">
        <v>48</v>
      </c>
      <c r="G595" s="11" t="s">
        <v>352</v>
      </c>
      <c r="H595" s="6" t="s">
        <v>17</v>
      </c>
      <c r="I595" s="21" t="s">
        <v>1073</v>
      </c>
      <c r="J595" s="18">
        <v>5581.3357902594344</v>
      </c>
      <c r="K595" s="18">
        <f>VLOOKUP(A595,[1]Export!$A:$C,3,0)</f>
        <v>2722.1300000000006</v>
      </c>
      <c r="L595" s="19">
        <f t="shared" si="20"/>
        <v>0.48772016275219826</v>
      </c>
      <c r="M595" s="18">
        <f>VLOOKUP(A595,[1]Export!$A:$G,7,0)</f>
        <v>866.79</v>
      </c>
      <c r="N595" s="19">
        <f t="shared" si="21"/>
        <v>0.15530153220896056</v>
      </c>
      <c r="O595" s="17" t="s">
        <v>1025</v>
      </c>
      <c r="P595" s="17" t="s">
        <v>1026</v>
      </c>
      <c r="Q595" s="17" t="s">
        <v>1022</v>
      </c>
      <c r="R595" s="17" t="str">
        <f>VLOOKUP(A595,[2]Export!$A:$I,9,0)</f>
        <v>Comprou Marcas</v>
      </c>
      <c r="S595" s="17" t="s">
        <v>1022</v>
      </c>
      <c r="T595" s="20">
        <v>1</v>
      </c>
      <c r="U595" s="17"/>
    </row>
    <row r="596" spans="1:21" x14ac:dyDescent="0.35">
      <c r="A596" s="4">
        <v>44192893000190</v>
      </c>
      <c r="B596" s="7"/>
      <c r="C596" s="4"/>
      <c r="D596" s="1" t="s">
        <v>653</v>
      </c>
      <c r="E596" s="1" t="s">
        <v>275</v>
      </c>
      <c r="F596" s="1" t="s">
        <v>15</v>
      </c>
      <c r="G596" s="10" t="s">
        <v>33</v>
      </c>
      <c r="H596" s="1" t="s">
        <v>17</v>
      </c>
      <c r="I596" s="21" t="s">
        <v>1075</v>
      </c>
      <c r="J596" s="18">
        <v>2879.2510701126866</v>
      </c>
      <c r="K596" s="18">
        <f>VLOOKUP(A596,[1]Export!$A:$C,3,0)</f>
        <v>571.88</v>
      </c>
      <c r="L596" s="19">
        <f t="shared" si="20"/>
        <v>0.19862109488687907</v>
      </c>
      <c r="M596" s="18">
        <f>VLOOKUP(A596,[1]Export!$A:$G,7,0)</f>
        <v>0</v>
      </c>
      <c r="N596" s="19">
        <f t="shared" si="21"/>
        <v>0</v>
      </c>
      <c r="O596" s="17" t="s">
        <v>1027</v>
      </c>
      <c r="P596" s="17" t="s">
        <v>1028</v>
      </c>
      <c r="Q596" s="17" t="s">
        <v>1023</v>
      </c>
      <c r="R596" s="17" t="str">
        <f>VLOOKUP(A596,[2]Export!$A:$I,9,0)</f>
        <v>Não Comprou</v>
      </c>
      <c r="S596" s="17" t="s">
        <v>1022</v>
      </c>
      <c r="T596" s="20"/>
      <c r="U596" s="17"/>
    </row>
    <row r="597" spans="1:21" x14ac:dyDescent="0.35">
      <c r="A597" s="5">
        <v>33687112000111</v>
      </c>
      <c r="B597" s="7"/>
      <c r="C597" s="4"/>
      <c r="D597" s="6" t="s">
        <v>654</v>
      </c>
      <c r="E597" s="6" t="s">
        <v>149</v>
      </c>
      <c r="F597" s="6" t="s">
        <v>8</v>
      </c>
      <c r="G597" s="11" t="s">
        <v>16</v>
      </c>
      <c r="H597" s="6" t="s">
        <v>17</v>
      </c>
      <c r="I597" s="21" t="s">
        <v>1074</v>
      </c>
      <c r="J597" s="18">
        <v>4745.9255958807889</v>
      </c>
      <c r="K597" s="18">
        <f>VLOOKUP(A597,[1]Export!$A:$C,3,0)</f>
        <v>2179.1800000000003</v>
      </c>
      <c r="L597" s="19">
        <f t="shared" si="20"/>
        <v>0.45916859756322614</v>
      </c>
      <c r="M597" s="18">
        <f>VLOOKUP(A597,[1]Export!$A:$G,7,0)</f>
        <v>1757.3800000000003</v>
      </c>
      <c r="N597" s="19">
        <f t="shared" si="21"/>
        <v>0.37029236225812573</v>
      </c>
      <c r="O597" s="17" t="s">
        <v>1025</v>
      </c>
      <c r="P597" s="17" t="s">
        <v>1026</v>
      </c>
      <c r="Q597" s="17" t="s">
        <v>1023</v>
      </c>
      <c r="R597" s="17" t="str">
        <f>VLOOKUP(A597,[2]Export!$A:$I,9,0)</f>
        <v>Comprou Marcas</v>
      </c>
      <c r="S597" s="17" t="s">
        <v>1022</v>
      </c>
      <c r="T597" s="20"/>
      <c r="U597" s="17"/>
    </row>
    <row r="598" spans="1:21" x14ac:dyDescent="0.35">
      <c r="A598" s="4">
        <v>33694076000113</v>
      </c>
      <c r="B598" s="7"/>
      <c r="C598" s="4"/>
      <c r="D598" s="1" t="s">
        <v>655</v>
      </c>
      <c r="E598" s="1" t="s">
        <v>166</v>
      </c>
      <c r="F598" s="1" t="s">
        <v>8</v>
      </c>
      <c r="G598" s="10" t="s">
        <v>20</v>
      </c>
      <c r="H598" s="1" t="s">
        <v>17</v>
      </c>
      <c r="I598" s="21" t="s">
        <v>1070</v>
      </c>
      <c r="J598" s="18">
        <v>1816.0963346801018</v>
      </c>
      <c r="K598" s="18">
        <f>VLOOKUP(A598,[1]Export!$A:$C,3,0)</f>
        <v>577.09</v>
      </c>
      <c r="L598" s="19">
        <f t="shared" si="20"/>
        <v>0.31776398034614839</v>
      </c>
      <c r="M598" s="18">
        <f>VLOOKUP(A598,[1]Export!$A:$G,7,0)</f>
        <v>0</v>
      </c>
      <c r="N598" s="19">
        <f t="shared" si="21"/>
        <v>0</v>
      </c>
      <c r="O598" s="17" t="s">
        <v>1025</v>
      </c>
      <c r="P598" s="17" t="s">
        <v>1026</v>
      </c>
      <c r="Q598" s="17" t="s">
        <v>1023</v>
      </c>
      <c r="R598" s="17" t="str">
        <f>VLOOKUP(A598,[2]Export!$A:$I,9,0)</f>
        <v>Não Comprou</v>
      </c>
      <c r="S598" s="17" t="s">
        <v>1022</v>
      </c>
      <c r="T598" s="20"/>
      <c r="U598" s="17"/>
    </row>
    <row r="599" spans="1:21" x14ac:dyDescent="0.35">
      <c r="A599" s="5">
        <v>36883544000196</v>
      </c>
      <c r="B599" s="7"/>
      <c r="C599" s="4"/>
      <c r="D599" s="6" t="s">
        <v>656</v>
      </c>
      <c r="E599" s="6" t="s">
        <v>291</v>
      </c>
      <c r="F599" s="6" t="s">
        <v>8</v>
      </c>
      <c r="G599" s="11" t="s">
        <v>20</v>
      </c>
      <c r="H599" s="6" t="s">
        <v>17</v>
      </c>
      <c r="I599" s="21" t="s">
        <v>1068</v>
      </c>
      <c r="J599" s="18">
        <v>8427.9918123484204</v>
      </c>
      <c r="K599" s="18">
        <f>VLOOKUP(A599,[1]Export!$A:$C,3,0)</f>
        <v>1280.97</v>
      </c>
      <c r="L599" s="19">
        <f t="shared" si="20"/>
        <v>0.15198994357388487</v>
      </c>
      <c r="M599" s="18">
        <f>VLOOKUP(A599,[1]Export!$A:$G,7,0)</f>
        <v>0</v>
      </c>
      <c r="N599" s="19">
        <f t="shared" si="21"/>
        <v>0</v>
      </c>
      <c r="O599" s="17" t="s">
        <v>1025</v>
      </c>
      <c r="P599" s="17" t="s">
        <v>1026</v>
      </c>
      <c r="Q599" s="17" t="s">
        <v>1023</v>
      </c>
      <c r="R599" s="17" t="str">
        <f>VLOOKUP(A599,[2]Export!$A:$I,9,0)</f>
        <v>Não Comprou</v>
      </c>
      <c r="S599" s="17" t="s">
        <v>1022</v>
      </c>
      <c r="T599" s="20"/>
      <c r="U599" s="17"/>
    </row>
    <row r="600" spans="1:21" x14ac:dyDescent="0.35">
      <c r="A600" s="4">
        <v>37963302000175</v>
      </c>
      <c r="B600" s="7"/>
      <c r="C600" s="4"/>
      <c r="D600" s="1" t="s">
        <v>616</v>
      </c>
      <c r="E600" s="1" t="s">
        <v>45</v>
      </c>
      <c r="F600" s="1" t="s">
        <v>8</v>
      </c>
      <c r="G600" s="10" t="s">
        <v>20</v>
      </c>
      <c r="H600" s="1" t="s">
        <v>17</v>
      </c>
      <c r="I600" s="21" t="s">
        <v>1070</v>
      </c>
      <c r="J600" s="18">
        <v>1675.4408104986771</v>
      </c>
      <c r="K600" s="18">
        <f>VLOOKUP(A600,[1]Export!$A:$C,3,0)</f>
        <v>466.4</v>
      </c>
      <c r="L600" s="19">
        <f t="shared" si="20"/>
        <v>0.27837450125210988</v>
      </c>
      <c r="M600" s="18">
        <f>VLOOKUP(A600,[1]Export!$A:$G,7,0)</f>
        <v>0</v>
      </c>
      <c r="N600" s="19">
        <f t="shared" si="21"/>
        <v>0</v>
      </c>
      <c r="O600" s="17" t="s">
        <v>1025</v>
      </c>
      <c r="P600" s="17" t="s">
        <v>1026</v>
      </c>
      <c r="Q600" s="17" t="s">
        <v>1023</v>
      </c>
      <c r="R600" s="17" t="str">
        <f>VLOOKUP(A600,[2]Export!$A:$I,9,0)</f>
        <v>Não Comprou</v>
      </c>
      <c r="S600" s="17" t="s">
        <v>1023</v>
      </c>
      <c r="T600" s="20">
        <v>2</v>
      </c>
      <c r="U600" s="17"/>
    </row>
    <row r="601" spans="1:21" x14ac:dyDescent="0.35">
      <c r="A601" s="5">
        <v>48669698000169</v>
      </c>
      <c r="B601" s="7"/>
      <c r="C601" s="4"/>
      <c r="D601" s="6" t="s">
        <v>286</v>
      </c>
      <c r="E601" s="6" t="s">
        <v>7</v>
      </c>
      <c r="F601" s="6" t="s">
        <v>8</v>
      </c>
      <c r="G601" s="11" t="s">
        <v>74</v>
      </c>
      <c r="H601" s="6" t="s">
        <v>17</v>
      </c>
      <c r="I601" s="21" t="s">
        <v>1068</v>
      </c>
      <c r="J601" s="18">
        <v>4681.0697844560536</v>
      </c>
      <c r="K601" s="18">
        <f>VLOOKUP(A601,[1]Export!$A:$C,3,0)</f>
        <v>1611.41</v>
      </c>
      <c r="L601" s="19">
        <f t="shared" si="20"/>
        <v>0.34423968754980822</v>
      </c>
      <c r="M601" s="18">
        <f>VLOOKUP(A601,[1]Export!$A:$G,7,0)</f>
        <v>0</v>
      </c>
      <c r="N601" s="19">
        <f t="shared" si="21"/>
        <v>0</v>
      </c>
      <c r="O601" s="17"/>
      <c r="P601" s="17"/>
      <c r="Q601" s="17"/>
      <c r="R601" s="17" t="str">
        <f>VLOOKUP(A601,[2]Export!$A:$I,9,0)</f>
        <v>Não Comprou</v>
      </c>
      <c r="S601" s="17"/>
      <c r="T601" s="20"/>
      <c r="U601" s="17"/>
    </row>
    <row r="602" spans="1:21" x14ac:dyDescent="0.35">
      <c r="A602" s="4">
        <v>49465956000158</v>
      </c>
      <c r="B602" s="7"/>
      <c r="C602" s="4"/>
      <c r="D602" s="1" t="s">
        <v>657</v>
      </c>
      <c r="E602" s="1" t="s">
        <v>334</v>
      </c>
      <c r="F602" s="1" t="s">
        <v>15</v>
      </c>
      <c r="G602" s="10" t="s">
        <v>16</v>
      </c>
      <c r="H602" s="1" t="s">
        <v>17</v>
      </c>
      <c r="I602" s="21" t="s">
        <v>1069</v>
      </c>
      <c r="J602" s="18">
        <v>2341.7390189694893</v>
      </c>
      <c r="K602" s="18">
        <f>VLOOKUP(A602,[1]Export!$A:$C,3,0)</f>
        <v>0</v>
      </c>
      <c r="L602" s="19">
        <f t="shared" si="20"/>
        <v>0</v>
      </c>
      <c r="M602" s="18">
        <f>VLOOKUP(A602,[1]Export!$A:$G,7,0)</f>
        <v>0</v>
      </c>
      <c r="N602" s="19">
        <f t="shared" si="21"/>
        <v>0</v>
      </c>
      <c r="O602" s="17" t="s">
        <v>1029</v>
      </c>
      <c r="P602" s="17" t="s">
        <v>1026</v>
      </c>
      <c r="Q602" s="17" t="s">
        <v>1022</v>
      </c>
      <c r="R602" s="17" t="str">
        <f>VLOOKUP(A602,[2]Export!$A:$I,9,0)</f>
        <v>Não Comprou</v>
      </c>
      <c r="S602" s="17" t="s">
        <v>1022</v>
      </c>
      <c r="T602" s="20"/>
      <c r="U602" s="17"/>
    </row>
    <row r="603" spans="1:21" x14ac:dyDescent="0.35">
      <c r="A603" s="5">
        <v>49760647000100</v>
      </c>
      <c r="B603" s="7"/>
      <c r="C603" s="4"/>
      <c r="D603" s="6" t="s">
        <v>658</v>
      </c>
      <c r="E603" s="6" t="s">
        <v>35</v>
      </c>
      <c r="F603" s="6" t="s">
        <v>8</v>
      </c>
      <c r="G603" s="11" t="s">
        <v>33</v>
      </c>
      <c r="H603" s="6" t="s">
        <v>17</v>
      </c>
      <c r="I603" s="21" t="s">
        <v>1072</v>
      </c>
      <c r="J603" s="18">
        <v>5856.8797575753833</v>
      </c>
      <c r="K603" s="18">
        <f>VLOOKUP(A603,[1]Export!$A:$C,3,0)</f>
        <v>591.9</v>
      </c>
      <c r="L603" s="19">
        <f t="shared" si="20"/>
        <v>0.10106063714803551</v>
      </c>
      <c r="M603" s="18">
        <f>VLOOKUP(A603,[1]Export!$A:$G,7,0)</f>
        <v>0</v>
      </c>
      <c r="N603" s="19">
        <f t="shared" si="21"/>
        <v>0</v>
      </c>
      <c r="O603" s="17" t="s">
        <v>1027</v>
      </c>
      <c r="P603" s="17" t="s">
        <v>1026</v>
      </c>
      <c r="Q603" s="17" t="s">
        <v>1023</v>
      </c>
      <c r="R603" s="17" t="str">
        <f>VLOOKUP(A603,[2]Export!$A:$I,9,0)</f>
        <v>Comprou Marcas</v>
      </c>
      <c r="S603" s="17" t="s">
        <v>1023</v>
      </c>
      <c r="T603" s="20"/>
      <c r="U603" s="17"/>
    </row>
    <row r="604" spans="1:21" x14ac:dyDescent="0.35">
      <c r="A604" s="4">
        <v>50038493000127</v>
      </c>
      <c r="B604" s="7"/>
      <c r="C604" s="4"/>
      <c r="D604" s="1" t="s">
        <v>659</v>
      </c>
      <c r="E604" s="1" t="s">
        <v>327</v>
      </c>
      <c r="F604" s="1" t="s">
        <v>15</v>
      </c>
      <c r="G604" s="10" t="s">
        <v>20</v>
      </c>
      <c r="H604" s="1" t="s">
        <v>17</v>
      </c>
      <c r="I604" s="21" t="s">
        <v>1071</v>
      </c>
      <c r="J604" s="18">
        <v>5334.5720511806494</v>
      </c>
      <c r="K604" s="18">
        <f>VLOOKUP(A604,[1]Export!$A:$C,3,0)</f>
        <v>1365.3100000000002</v>
      </c>
      <c r="L604" s="19">
        <f t="shared" si="20"/>
        <v>0.25593618136581908</v>
      </c>
      <c r="M604" s="18">
        <f>VLOOKUP(A604,[1]Export!$A:$G,7,0)</f>
        <v>2247.0800000000004</v>
      </c>
      <c r="N604" s="19">
        <f t="shared" si="21"/>
        <v>0.42122966536794187</v>
      </c>
      <c r="O604" s="17" t="s">
        <v>1027</v>
      </c>
      <c r="P604" s="17" t="s">
        <v>1028</v>
      </c>
      <c r="Q604" s="17" t="s">
        <v>1022</v>
      </c>
      <c r="R604" s="17" t="str">
        <f>VLOOKUP(A604,[2]Export!$A:$I,9,0)</f>
        <v>Comprou Marcas</v>
      </c>
      <c r="S604" s="17" t="s">
        <v>1022</v>
      </c>
      <c r="T604" s="20">
        <v>4</v>
      </c>
      <c r="U604" s="17"/>
    </row>
    <row r="605" spans="1:21" x14ac:dyDescent="0.35">
      <c r="A605" s="4">
        <v>33587172000162</v>
      </c>
      <c r="B605" s="7"/>
      <c r="C605" s="4"/>
      <c r="D605" s="1" t="s">
        <v>314</v>
      </c>
      <c r="E605" s="1" t="s">
        <v>100</v>
      </c>
      <c r="F605" s="1" t="s">
        <v>15</v>
      </c>
      <c r="G605" s="10" t="s">
        <v>38</v>
      </c>
      <c r="H605" s="1" t="s">
        <v>17</v>
      </c>
      <c r="I605" s="21" t="s">
        <v>1075</v>
      </c>
      <c r="J605" s="18">
        <v>4557.0627623930668</v>
      </c>
      <c r="K605" s="18">
        <f>VLOOKUP(A605,[1]Export!$A:$C,3,0)</f>
        <v>842.58000000000015</v>
      </c>
      <c r="L605" s="19">
        <f t="shared" si="20"/>
        <v>0.1848954126665425</v>
      </c>
      <c r="M605" s="18">
        <f>VLOOKUP(A605,[1]Export!$A:$G,7,0)</f>
        <v>0</v>
      </c>
      <c r="N605" s="19">
        <f t="shared" si="21"/>
        <v>0</v>
      </c>
      <c r="O605" s="17" t="s">
        <v>1027</v>
      </c>
      <c r="P605" s="17" t="s">
        <v>1028</v>
      </c>
      <c r="Q605" s="17" t="s">
        <v>1023</v>
      </c>
      <c r="R605" s="17" t="str">
        <f>VLOOKUP(A605,[2]Export!$A:$I,9,0)</f>
        <v>Comprou Marcas</v>
      </c>
      <c r="S605" s="17" t="s">
        <v>1022</v>
      </c>
      <c r="T605" s="20">
        <v>4</v>
      </c>
      <c r="U605" s="17"/>
    </row>
    <row r="606" spans="1:21" x14ac:dyDescent="0.35">
      <c r="A606" s="4">
        <v>430268000163</v>
      </c>
      <c r="B606" s="7"/>
      <c r="C606" s="4"/>
      <c r="D606" s="1" t="s">
        <v>661</v>
      </c>
      <c r="E606" s="1" t="s">
        <v>588</v>
      </c>
      <c r="F606" s="1" t="s">
        <v>8</v>
      </c>
      <c r="G606" s="10" t="s">
        <v>20</v>
      </c>
      <c r="H606" s="1" t="s">
        <v>17</v>
      </c>
      <c r="I606" s="21" t="s">
        <v>1068</v>
      </c>
      <c r="J606" s="18">
        <v>2151.3606046240184</v>
      </c>
      <c r="K606" s="18">
        <f>VLOOKUP(A606,[1]Export!$A:$C,3,0)</f>
        <v>203.14</v>
      </c>
      <c r="L606" s="19">
        <f t="shared" si="20"/>
        <v>9.4423965728191658E-2</v>
      </c>
      <c r="M606" s="18">
        <f>VLOOKUP(A606,[1]Export!$A:$G,7,0)</f>
        <v>1204.72</v>
      </c>
      <c r="N606" s="19">
        <f t="shared" si="21"/>
        <v>0.55998050601588589</v>
      </c>
      <c r="O606" s="17" t="s">
        <v>1025</v>
      </c>
      <c r="P606" s="17" t="s">
        <v>1026</v>
      </c>
      <c r="Q606" s="17" t="s">
        <v>1023</v>
      </c>
      <c r="R606" s="17" t="str">
        <f>VLOOKUP(A606,[2]Export!$A:$I,9,0)</f>
        <v>Comprou Marcas</v>
      </c>
      <c r="S606" s="17" t="s">
        <v>1023</v>
      </c>
      <c r="T606" s="20"/>
      <c r="U606" s="17"/>
    </row>
    <row r="607" spans="1:21" x14ac:dyDescent="0.35">
      <c r="A607" s="5">
        <v>1559060000101</v>
      </c>
      <c r="B607" s="7"/>
      <c r="C607" s="4"/>
      <c r="D607" s="6" t="s">
        <v>662</v>
      </c>
      <c r="E607" s="6" t="s">
        <v>110</v>
      </c>
      <c r="F607" s="6" t="s">
        <v>15</v>
      </c>
      <c r="G607" s="11" t="s">
        <v>20</v>
      </c>
      <c r="H607" s="6" t="s">
        <v>17</v>
      </c>
      <c r="I607" s="21" t="s">
        <v>1071</v>
      </c>
      <c r="J607" s="18">
        <v>2403.0817177273989</v>
      </c>
      <c r="K607" s="18">
        <f>VLOOKUP(A607,[1]Export!$A:$C,3,0)</f>
        <v>541.30000000000007</v>
      </c>
      <c r="L607" s="19">
        <f t="shared" si="20"/>
        <v>0.22525243149530055</v>
      </c>
      <c r="M607" s="18">
        <f>VLOOKUP(A607,[1]Export!$A:$G,7,0)</f>
        <v>453.49</v>
      </c>
      <c r="N607" s="19">
        <f t="shared" si="21"/>
        <v>0.18871185139258051</v>
      </c>
      <c r="O607" s="17" t="s">
        <v>1025</v>
      </c>
      <c r="P607" s="17" t="s">
        <v>1026</v>
      </c>
      <c r="Q607" s="17" t="s">
        <v>1023</v>
      </c>
      <c r="R607" s="17" t="str">
        <f>VLOOKUP(A607,[2]Export!$A:$I,9,0)</f>
        <v>Comprou Marcas</v>
      </c>
      <c r="S607" s="17" t="s">
        <v>1022</v>
      </c>
      <c r="T607" s="20"/>
      <c r="U607" s="17"/>
    </row>
    <row r="608" spans="1:21" x14ac:dyDescent="0.35">
      <c r="A608" s="4">
        <v>4114403000384</v>
      </c>
      <c r="B608" s="7" t="s">
        <v>1000</v>
      </c>
      <c r="C608" s="4"/>
      <c r="D608" s="1" t="s">
        <v>104</v>
      </c>
      <c r="E608" s="1" t="s">
        <v>203</v>
      </c>
      <c r="F608" s="1" t="s">
        <v>8</v>
      </c>
      <c r="G608" s="10" t="s">
        <v>9</v>
      </c>
      <c r="H608" s="1" t="s">
        <v>10</v>
      </c>
      <c r="I608" s="21" t="s">
        <v>1074</v>
      </c>
      <c r="J608" s="18">
        <v>14525.135025598316</v>
      </c>
      <c r="K608" s="18">
        <f>VLOOKUP(A608,[1]Export!$A:$C,3,0)</f>
        <v>7413.2599999999993</v>
      </c>
      <c r="L608" s="19">
        <f t="shared" si="20"/>
        <v>0.51037460147084823</v>
      </c>
      <c r="M608" s="18">
        <f>VLOOKUP(A608,[1]Export!$A:$G,7,0)</f>
        <v>5293.6</v>
      </c>
      <c r="N608" s="19">
        <f t="shared" si="21"/>
        <v>0.36444411640035324</v>
      </c>
      <c r="O608" s="17" t="s">
        <v>1027</v>
      </c>
      <c r="P608" s="17" t="s">
        <v>1026</v>
      </c>
      <c r="Q608" s="17" t="s">
        <v>1023</v>
      </c>
      <c r="R608" s="17" t="str">
        <f>VLOOKUP(A608,[2]Export!$A:$I,9,0)</f>
        <v>Comprou Marcas</v>
      </c>
      <c r="S608" s="17" t="s">
        <v>1022</v>
      </c>
      <c r="T608" s="20"/>
      <c r="U608" s="17"/>
    </row>
    <row r="609" spans="1:21" x14ac:dyDescent="0.35">
      <c r="A609" s="5">
        <v>21987208000116</v>
      </c>
      <c r="B609" s="7"/>
      <c r="C609" s="4"/>
      <c r="D609" s="6" t="s">
        <v>663</v>
      </c>
      <c r="E609" s="6" t="s">
        <v>226</v>
      </c>
      <c r="F609" s="6" t="s">
        <v>15</v>
      </c>
      <c r="G609" s="11" t="s">
        <v>36</v>
      </c>
      <c r="H609" s="6" t="s">
        <v>17</v>
      </c>
      <c r="I609" s="21" t="s">
        <v>1071</v>
      </c>
      <c r="J609" s="18">
        <v>11727.19154028441</v>
      </c>
      <c r="K609" s="18">
        <f>VLOOKUP(A609,[1]Export!$A:$C,3,0)</f>
        <v>4042.5299999999988</v>
      </c>
      <c r="L609" s="19">
        <f t="shared" si="20"/>
        <v>0.34471424689478203</v>
      </c>
      <c r="M609" s="18">
        <f>VLOOKUP(A609,[1]Export!$A:$G,7,0)</f>
        <v>15396.279999999999</v>
      </c>
      <c r="N609" s="19">
        <f t="shared" si="21"/>
        <v>1.3128701741684528</v>
      </c>
      <c r="O609" s="17" t="s">
        <v>1027</v>
      </c>
      <c r="P609" s="17" t="s">
        <v>1028</v>
      </c>
      <c r="Q609" s="17" t="s">
        <v>1023</v>
      </c>
      <c r="R609" s="17" t="str">
        <f>VLOOKUP(A609,[2]Export!$A:$I,9,0)</f>
        <v>Comprou Marcas</v>
      </c>
      <c r="S609" s="17" t="s">
        <v>1022</v>
      </c>
      <c r="T609" s="20"/>
      <c r="U609" s="17"/>
    </row>
    <row r="610" spans="1:21" x14ac:dyDescent="0.35">
      <c r="A610" s="4">
        <v>22954090000192</v>
      </c>
      <c r="B610" s="7"/>
      <c r="C610" s="4"/>
      <c r="D610" s="1" t="s">
        <v>664</v>
      </c>
      <c r="E610" s="1" t="s">
        <v>588</v>
      </c>
      <c r="F610" s="1" t="s">
        <v>8</v>
      </c>
      <c r="G610" s="10" t="s">
        <v>20</v>
      </c>
      <c r="H610" s="1" t="s">
        <v>17</v>
      </c>
      <c r="I610" s="21" t="s">
        <v>1068</v>
      </c>
      <c r="J610" s="18">
        <v>3306.4772634320307</v>
      </c>
      <c r="K610" s="18">
        <f>VLOOKUP(A610,[1]Export!$A:$C,3,0)</f>
        <v>272.04000000000002</v>
      </c>
      <c r="L610" s="19">
        <f t="shared" si="20"/>
        <v>8.2274873929612372E-2</v>
      </c>
      <c r="M610" s="18">
        <f>VLOOKUP(A610,[1]Export!$A:$G,7,0)</f>
        <v>0</v>
      </c>
      <c r="N610" s="19">
        <f t="shared" si="21"/>
        <v>0</v>
      </c>
      <c r="O610" s="17" t="s">
        <v>1025</v>
      </c>
      <c r="P610" s="17" t="s">
        <v>1026</v>
      </c>
      <c r="Q610" s="17" t="s">
        <v>1023</v>
      </c>
      <c r="R610" s="17" t="str">
        <f>VLOOKUP(A610,[2]Export!$A:$I,9,0)</f>
        <v>Não Comprou</v>
      </c>
      <c r="S610" s="17" t="s">
        <v>1023</v>
      </c>
      <c r="T610" s="20"/>
      <c r="U610" s="17"/>
    </row>
    <row r="611" spans="1:21" x14ac:dyDescent="0.35">
      <c r="A611" s="5">
        <v>7771697000143</v>
      </c>
      <c r="B611" s="7"/>
      <c r="C611" s="4"/>
      <c r="D611" s="6" t="s">
        <v>665</v>
      </c>
      <c r="E611" s="6" t="s">
        <v>606</v>
      </c>
      <c r="F611" s="6" t="s">
        <v>48</v>
      </c>
      <c r="G611" s="11" t="s">
        <v>20</v>
      </c>
      <c r="H611" s="6" t="s">
        <v>17</v>
      </c>
      <c r="I611" s="21" t="s">
        <v>1073</v>
      </c>
      <c r="J611" s="18">
        <v>3190.176816188281</v>
      </c>
      <c r="K611" s="18">
        <f>VLOOKUP(A611,[1]Export!$A:$C,3,0)</f>
        <v>1966.2899999999997</v>
      </c>
      <c r="L611" s="19">
        <f t="shared" si="20"/>
        <v>0.61635768588820161</v>
      </c>
      <c r="M611" s="18">
        <f>VLOOKUP(A611,[1]Export!$A:$G,7,0)</f>
        <v>1061.9599999999998</v>
      </c>
      <c r="N611" s="19">
        <f t="shared" si="21"/>
        <v>0.33288437011114058</v>
      </c>
      <c r="O611" s="17" t="s">
        <v>1025</v>
      </c>
      <c r="P611" s="17" t="s">
        <v>1026</v>
      </c>
      <c r="Q611" s="17" t="s">
        <v>1023</v>
      </c>
      <c r="R611" s="17" t="str">
        <f>VLOOKUP(A611,[2]Export!$A:$I,9,0)</f>
        <v>Não Comprou</v>
      </c>
      <c r="S611" s="17" t="s">
        <v>1022</v>
      </c>
      <c r="T611" s="20"/>
      <c r="U611" s="17"/>
    </row>
    <row r="612" spans="1:21" x14ac:dyDescent="0.35">
      <c r="A612" s="4">
        <v>8600885000171</v>
      </c>
      <c r="B612" s="7"/>
      <c r="C612" s="4"/>
      <c r="D612" s="1" t="s">
        <v>666</v>
      </c>
      <c r="E612" s="1" t="s">
        <v>26</v>
      </c>
      <c r="F612" s="1" t="s">
        <v>8</v>
      </c>
      <c r="G612" s="10" t="s">
        <v>36</v>
      </c>
      <c r="H612" s="1" t="s">
        <v>17</v>
      </c>
      <c r="I612" s="21" t="s">
        <v>1068</v>
      </c>
      <c r="J612" s="18">
        <v>5307.0296745043024</v>
      </c>
      <c r="K612" s="18">
        <f>VLOOKUP(A612,[1]Export!$A:$C,3,0)</f>
        <v>1526.9399999999998</v>
      </c>
      <c r="L612" s="19">
        <f t="shared" si="20"/>
        <v>0.28772026795622208</v>
      </c>
      <c r="M612" s="18">
        <f>VLOOKUP(A612,[1]Export!$A:$G,7,0)</f>
        <v>1457.3999999999999</v>
      </c>
      <c r="N612" s="19">
        <f t="shared" si="21"/>
        <v>0.27461689294890307</v>
      </c>
      <c r="O612" s="17" t="s">
        <v>1025</v>
      </c>
      <c r="P612" s="17" t="s">
        <v>1026</v>
      </c>
      <c r="Q612" s="17" t="s">
        <v>1023</v>
      </c>
      <c r="R612" s="17" t="str">
        <f>VLOOKUP(A612,[2]Export!$A:$I,9,0)</f>
        <v>Comprou Marcas</v>
      </c>
      <c r="S612" s="17" t="s">
        <v>1023</v>
      </c>
      <c r="T612" s="20"/>
      <c r="U612" s="17"/>
    </row>
    <row r="613" spans="1:21" x14ac:dyDescent="0.35">
      <c r="A613" s="5">
        <v>8954952000407</v>
      </c>
      <c r="B613" s="7" t="s">
        <v>227</v>
      </c>
      <c r="C613" s="4"/>
      <c r="D613" s="6" t="s">
        <v>227</v>
      </c>
      <c r="E613" s="6" t="s">
        <v>35</v>
      </c>
      <c r="F613" s="6" t="s">
        <v>8</v>
      </c>
      <c r="G613" s="11" t="s">
        <v>16</v>
      </c>
      <c r="H613" s="6" t="s">
        <v>17</v>
      </c>
      <c r="I613" s="21" t="s">
        <v>1072</v>
      </c>
      <c r="J613" s="18">
        <v>10882.49991008221</v>
      </c>
      <c r="K613" s="18">
        <f>VLOOKUP(A613,[1]Export!$A:$C,3,0)</f>
        <v>2691.2499999999995</v>
      </c>
      <c r="L613" s="19">
        <f t="shared" si="20"/>
        <v>0.24730071419588637</v>
      </c>
      <c r="M613" s="18">
        <f>VLOOKUP(A613,[1]Export!$A:$G,7,0)</f>
        <v>2181.8999999999996</v>
      </c>
      <c r="N613" s="19">
        <f t="shared" si="21"/>
        <v>0.2004962111673031</v>
      </c>
      <c r="O613" s="17" t="s">
        <v>1027</v>
      </c>
      <c r="P613" s="17" t="s">
        <v>1028</v>
      </c>
      <c r="Q613" s="17" t="s">
        <v>1023</v>
      </c>
      <c r="R613" s="17" t="str">
        <f>VLOOKUP(A613,[2]Export!$A:$I,9,0)</f>
        <v>Comprou Marcas e SG</v>
      </c>
      <c r="S613" s="17" t="s">
        <v>1022</v>
      </c>
      <c r="T613" s="20"/>
      <c r="U613" s="17"/>
    </row>
    <row r="614" spans="1:21" x14ac:dyDescent="0.35">
      <c r="A614" s="4">
        <v>13565587000128</v>
      </c>
      <c r="B614" s="7"/>
      <c r="C614" s="4"/>
      <c r="D614" s="1" t="s">
        <v>80</v>
      </c>
      <c r="E614" s="1" t="s">
        <v>206</v>
      </c>
      <c r="F614" s="1" t="s">
        <v>48</v>
      </c>
      <c r="G614" s="10" t="s">
        <v>80</v>
      </c>
      <c r="H614" s="1" t="s">
        <v>17</v>
      </c>
      <c r="I614" s="21" t="s">
        <v>1075</v>
      </c>
      <c r="J614" s="18">
        <v>10818.855231194353</v>
      </c>
      <c r="K614" s="18">
        <f>VLOOKUP(A614,[1]Export!$A:$C,3,0)</f>
        <v>9661.659999999998</v>
      </c>
      <c r="L614" s="19">
        <f t="shared" si="20"/>
        <v>0.89303903172141752</v>
      </c>
      <c r="M614" s="18">
        <f>VLOOKUP(A614,[1]Export!$A:$G,7,0)</f>
        <v>8259.369999999999</v>
      </c>
      <c r="N614" s="19">
        <f t="shared" si="21"/>
        <v>0.76342365467517226</v>
      </c>
      <c r="O614" s="17" t="s">
        <v>1027</v>
      </c>
      <c r="P614" s="17" t="s">
        <v>1028</v>
      </c>
      <c r="Q614" s="17" t="s">
        <v>1023</v>
      </c>
      <c r="R614" s="17" t="str">
        <f>VLOOKUP(A614,[2]Export!$A:$I,9,0)</f>
        <v>Comprou Marcas e SG</v>
      </c>
      <c r="S614" s="17" t="s">
        <v>1022</v>
      </c>
      <c r="T614" s="20"/>
      <c r="U614" s="17"/>
    </row>
    <row r="615" spans="1:21" x14ac:dyDescent="0.35">
      <c r="A615" s="5">
        <v>17660742000146</v>
      </c>
      <c r="B615" s="7"/>
      <c r="C615" s="4"/>
      <c r="D615" s="6" t="s">
        <v>667</v>
      </c>
      <c r="E615" s="6" t="s">
        <v>14</v>
      </c>
      <c r="F615" s="6" t="s">
        <v>15</v>
      </c>
      <c r="G615" s="11" t="s">
        <v>36</v>
      </c>
      <c r="H615" s="6" t="s">
        <v>17</v>
      </c>
      <c r="I615" s="21" t="s">
        <v>1069</v>
      </c>
      <c r="J615" s="18">
        <v>4679.4826963835321</v>
      </c>
      <c r="K615" s="18">
        <f>VLOOKUP(A615,[1]Export!$A:$C,3,0)</f>
        <v>1157.45</v>
      </c>
      <c r="L615" s="19">
        <f t="shared" si="20"/>
        <v>0.2473457164174403</v>
      </c>
      <c r="M615" s="18">
        <f>VLOOKUP(A615,[1]Export!$A:$G,7,0)</f>
        <v>1363.05</v>
      </c>
      <c r="N615" s="19">
        <f t="shared" si="21"/>
        <v>0.2912821968662076</v>
      </c>
      <c r="O615" s="17" t="s">
        <v>1025</v>
      </c>
      <c r="P615" s="17" t="s">
        <v>1026</v>
      </c>
      <c r="Q615" s="17" t="s">
        <v>1022</v>
      </c>
      <c r="R615" s="17" t="str">
        <f>VLOOKUP(A615,[2]Export!$A:$I,9,0)</f>
        <v>Comprou Marcas</v>
      </c>
      <c r="S615" s="17" t="s">
        <v>1022</v>
      </c>
      <c r="T615" s="20"/>
      <c r="U615" s="17"/>
    </row>
    <row r="616" spans="1:21" x14ac:dyDescent="0.35">
      <c r="A616" s="4">
        <v>13117848000147</v>
      </c>
      <c r="B616" s="7"/>
      <c r="C616" s="4"/>
      <c r="D616" s="1" t="s">
        <v>668</v>
      </c>
      <c r="E616" s="1" t="s">
        <v>146</v>
      </c>
      <c r="F616" s="1" t="s">
        <v>8</v>
      </c>
      <c r="G616" s="10" t="s">
        <v>20</v>
      </c>
      <c r="H616" s="1" t="s">
        <v>17</v>
      </c>
      <c r="I616" s="21" t="s">
        <v>1074</v>
      </c>
      <c r="J616" s="18">
        <v>1398.5805511619703</v>
      </c>
      <c r="K616" s="18">
        <f>VLOOKUP(A616,[1]Export!$A:$C,3,0)</f>
        <v>415.38000000000005</v>
      </c>
      <c r="L616" s="19">
        <f t="shared" si="20"/>
        <v>0.29700112707479992</v>
      </c>
      <c r="M616" s="18">
        <f>VLOOKUP(A616,[1]Export!$A:$G,7,0)</f>
        <v>137.85</v>
      </c>
      <c r="N616" s="19">
        <f t="shared" si="21"/>
        <v>9.8564219190286392E-2</v>
      </c>
      <c r="O616" s="17" t="s">
        <v>1025</v>
      </c>
      <c r="P616" s="17" t="s">
        <v>1026</v>
      </c>
      <c r="Q616" s="17" t="s">
        <v>1023</v>
      </c>
      <c r="R616" s="17" t="str">
        <f>VLOOKUP(A616,[2]Export!$A:$I,9,0)</f>
        <v>Comprou Marcas</v>
      </c>
      <c r="S616" s="17" t="s">
        <v>1022</v>
      </c>
      <c r="T616" s="20"/>
      <c r="U616" s="17"/>
    </row>
    <row r="617" spans="1:21" x14ac:dyDescent="0.35">
      <c r="A617" s="5">
        <v>14492828000119</v>
      </c>
      <c r="B617" s="7"/>
      <c r="C617" s="4"/>
      <c r="D617" s="6" t="s">
        <v>134</v>
      </c>
      <c r="E617" s="6" t="s">
        <v>219</v>
      </c>
      <c r="F617" s="6" t="s">
        <v>8</v>
      </c>
      <c r="G617" s="11" t="s">
        <v>20</v>
      </c>
      <c r="H617" s="6" t="s">
        <v>17</v>
      </c>
      <c r="I617" s="21" t="s">
        <v>1072</v>
      </c>
      <c r="J617" s="18">
        <v>2875.5145535776346</v>
      </c>
      <c r="K617" s="18">
        <f>VLOOKUP(A617,[1]Export!$A:$C,3,0)</f>
        <v>420.52000000000004</v>
      </c>
      <c r="L617" s="19">
        <f t="shared" si="20"/>
        <v>0.14624165246418275</v>
      </c>
      <c r="M617" s="18">
        <f>VLOOKUP(A617,[1]Export!$A:$G,7,0)</f>
        <v>748.31999999999994</v>
      </c>
      <c r="N617" s="19">
        <f t="shared" si="21"/>
        <v>0.26023864113953488</v>
      </c>
      <c r="O617" s="17" t="s">
        <v>1025</v>
      </c>
      <c r="P617" s="17" t="s">
        <v>1026</v>
      </c>
      <c r="Q617" s="17" t="s">
        <v>1023</v>
      </c>
      <c r="R617" s="17" t="str">
        <f>VLOOKUP(A617,[2]Export!$A:$I,9,0)</f>
        <v>Comprou Marcas</v>
      </c>
      <c r="S617" s="17" t="s">
        <v>1022</v>
      </c>
      <c r="T617" s="20">
        <v>4</v>
      </c>
      <c r="U617" s="17"/>
    </row>
    <row r="618" spans="1:21" x14ac:dyDescent="0.35">
      <c r="A618" s="4">
        <v>16022063000189</v>
      </c>
      <c r="B618" s="7"/>
      <c r="C618" s="4"/>
      <c r="D618" s="1" t="s">
        <v>669</v>
      </c>
      <c r="E618" s="1" t="s">
        <v>94</v>
      </c>
      <c r="F618" s="1" t="s">
        <v>15</v>
      </c>
      <c r="G618" s="10" t="s">
        <v>20</v>
      </c>
      <c r="H618" s="1" t="s">
        <v>17</v>
      </c>
      <c r="I618" s="21" t="s">
        <v>1071</v>
      </c>
      <c r="J618" s="18">
        <v>1543.9521425716241</v>
      </c>
      <c r="K618" s="18">
        <f>VLOOKUP(A618,[1]Export!$A:$C,3,0)</f>
        <v>639.27</v>
      </c>
      <c r="L618" s="19">
        <f t="shared" si="20"/>
        <v>0.41404780781302242</v>
      </c>
      <c r="M618" s="18">
        <f>VLOOKUP(A618,[1]Export!$A:$G,7,0)</f>
        <v>357.24</v>
      </c>
      <c r="N618" s="19">
        <f t="shared" si="21"/>
        <v>0.23138022879710315</v>
      </c>
      <c r="O618" s="17" t="s">
        <v>1025</v>
      </c>
      <c r="P618" s="17" t="s">
        <v>1026</v>
      </c>
      <c r="Q618" s="17" t="s">
        <v>1023</v>
      </c>
      <c r="R618" s="17" t="str">
        <f>VLOOKUP(A618,[2]Export!$A:$I,9,0)</f>
        <v>Comprou Marcas</v>
      </c>
      <c r="S618" s="17" t="s">
        <v>1023</v>
      </c>
      <c r="T618" s="20"/>
      <c r="U618" s="17"/>
    </row>
    <row r="619" spans="1:21" x14ac:dyDescent="0.35">
      <c r="A619" s="5">
        <v>4114403000201</v>
      </c>
      <c r="B619" s="7" t="s">
        <v>1000</v>
      </c>
      <c r="C619" s="4"/>
      <c r="D619" s="6" t="s">
        <v>104</v>
      </c>
      <c r="E619" s="6" t="s">
        <v>203</v>
      </c>
      <c r="F619" s="6" t="s">
        <v>8</v>
      </c>
      <c r="G619" s="11" t="s">
        <v>9</v>
      </c>
      <c r="H619" s="6" t="s">
        <v>10</v>
      </c>
      <c r="I619" s="21" t="s">
        <v>1074</v>
      </c>
      <c r="J619" s="18">
        <v>16089.111922314987</v>
      </c>
      <c r="K619" s="18">
        <f>VLOOKUP(A619,[1]Export!$A:$C,3,0)</f>
        <v>7008.8500000000013</v>
      </c>
      <c r="L619" s="19">
        <f t="shared" si="20"/>
        <v>0.43562690307840995</v>
      </c>
      <c r="M619" s="18">
        <f>VLOOKUP(A619,[1]Export!$A:$G,7,0)</f>
        <v>5285.5999999999995</v>
      </c>
      <c r="N619" s="19">
        <f t="shared" si="21"/>
        <v>0.32852030774110491</v>
      </c>
      <c r="O619" s="17" t="s">
        <v>1027</v>
      </c>
      <c r="P619" s="17" t="s">
        <v>1028</v>
      </c>
      <c r="Q619" s="17" t="s">
        <v>1023</v>
      </c>
      <c r="R619" s="17" t="str">
        <f>VLOOKUP(A619,[2]Export!$A:$I,9,0)</f>
        <v>Comprou Marcas</v>
      </c>
      <c r="S619" s="17"/>
      <c r="T619" s="20"/>
      <c r="U619" s="17"/>
    </row>
    <row r="620" spans="1:21" x14ac:dyDescent="0.35">
      <c r="A620" s="4">
        <v>27785214000339</v>
      </c>
      <c r="B620" s="7" t="s">
        <v>1010</v>
      </c>
      <c r="C620" s="4"/>
      <c r="D620" s="1" t="s">
        <v>670</v>
      </c>
      <c r="E620" s="1" t="s">
        <v>259</v>
      </c>
      <c r="F620" s="1" t="s">
        <v>15</v>
      </c>
      <c r="G620" s="10" t="s">
        <v>36</v>
      </c>
      <c r="H620" s="1" t="s">
        <v>17</v>
      </c>
      <c r="I620" s="21" t="s">
        <v>1071</v>
      </c>
      <c r="J620" s="18">
        <v>10332.478372547859</v>
      </c>
      <c r="K620" s="18">
        <f>VLOOKUP(A620,[1]Export!$A:$C,3,0)</f>
        <v>4041.4799999999996</v>
      </c>
      <c r="L620" s="19">
        <f t="shared" si="20"/>
        <v>0.39114333021375797</v>
      </c>
      <c r="M620" s="18">
        <f>VLOOKUP(A620,[1]Export!$A:$G,7,0)</f>
        <v>6625.4000000000005</v>
      </c>
      <c r="N620" s="19">
        <f t="shared" si="21"/>
        <v>0.64122079535176035</v>
      </c>
      <c r="O620" s="17" t="s">
        <v>1027</v>
      </c>
      <c r="P620" s="17" t="s">
        <v>1028</v>
      </c>
      <c r="Q620" s="17" t="s">
        <v>1023</v>
      </c>
      <c r="R620" s="17" t="str">
        <f>VLOOKUP(A620,[2]Export!$A:$I,9,0)</f>
        <v>Comprou Marcas</v>
      </c>
      <c r="S620" s="17" t="s">
        <v>1022</v>
      </c>
      <c r="T620" s="20">
        <v>1</v>
      </c>
      <c r="U620" s="17"/>
    </row>
    <row r="621" spans="1:21" x14ac:dyDescent="0.35">
      <c r="A621" s="5">
        <v>51190802000142</v>
      </c>
      <c r="B621" s="7"/>
      <c r="C621" s="4"/>
      <c r="D621" s="6" t="s">
        <v>671</v>
      </c>
      <c r="E621" s="6" t="s">
        <v>672</v>
      </c>
      <c r="F621" s="6" t="s">
        <v>15</v>
      </c>
      <c r="G621" s="11" t="s">
        <v>33</v>
      </c>
      <c r="H621" s="6" t="s">
        <v>17</v>
      </c>
      <c r="I621" s="21" t="s">
        <v>1075</v>
      </c>
      <c r="J621" s="18">
        <v>3519.7957878372426</v>
      </c>
      <c r="K621" s="18">
        <f>VLOOKUP(A621,[1]Export!$A:$C,3,0)</f>
        <v>837.70999999999992</v>
      </c>
      <c r="L621" s="19">
        <f t="shared" si="20"/>
        <v>0.23799960295842484</v>
      </c>
      <c r="M621" s="18">
        <f>VLOOKUP(A621,[1]Export!$A:$G,7,0)</f>
        <v>2618.59</v>
      </c>
      <c r="N621" s="19">
        <f t="shared" si="21"/>
        <v>0.74396077438600683</v>
      </c>
      <c r="O621" s="17" t="s">
        <v>1027</v>
      </c>
      <c r="P621" s="17" t="s">
        <v>1028</v>
      </c>
      <c r="Q621" s="17" t="s">
        <v>1023</v>
      </c>
      <c r="R621" s="17" t="str">
        <f>VLOOKUP(A621,[2]Export!$A:$I,9,0)</f>
        <v>Comprou Marcas</v>
      </c>
      <c r="S621" s="17" t="s">
        <v>1022</v>
      </c>
      <c r="T621" s="20"/>
      <c r="U621" s="17"/>
    </row>
    <row r="622" spans="1:21" x14ac:dyDescent="0.35">
      <c r="A622" s="4">
        <v>55299135000191</v>
      </c>
      <c r="B622" s="7"/>
      <c r="C622" s="4">
        <v>39952</v>
      </c>
      <c r="D622" s="1" t="s">
        <v>673</v>
      </c>
      <c r="E622" s="1" t="s">
        <v>270</v>
      </c>
      <c r="F622" s="1" t="s">
        <v>48</v>
      </c>
      <c r="G622" s="10" t="s">
        <v>80</v>
      </c>
      <c r="H622" s="1" t="s">
        <v>17</v>
      </c>
      <c r="I622" s="21" t="s">
        <v>1075</v>
      </c>
      <c r="J622" s="18">
        <v>32850.665121876693</v>
      </c>
      <c r="K622" s="18">
        <f>VLOOKUP(A622,[1]Export!$A:$C,3,0)</f>
        <v>10008.600000000004</v>
      </c>
      <c r="L622" s="19">
        <f t="shared" si="20"/>
        <v>0.30466963036723538</v>
      </c>
      <c r="M622" s="18">
        <f>VLOOKUP(A622,[1]Export!$A:$G,7,0)</f>
        <v>5691.6399999999994</v>
      </c>
      <c r="N622" s="19">
        <f t="shared" si="21"/>
        <v>0.17325798363241321</v>
      </c>
      <c r="O622" s="17" t="s">
        <v>1027</v>
      </c>
      <c r="P622" s="17" t="s">
        <v>1028</v>
      </c>
      <c r="Q622" s="17" t="s">
        <v>1023</v>
      </c>
      <c r="R622" s="17" t="str">
        <f>VLOOKUP(A622,[2]Export!$A:$I,9,0)</f>
        <v>Comprou Marcas e SG</v>
      </c>
      <c r="S622" s="17" t="s">
        <v>1022</v>
      </c>
      <c r="T622" s="20"/>
      <c r="U622" s="17"/>
    </row>
    <row r="623" spans="1:21" x14ac:dyDescent="0.35">
      <c r="A623" s="5">
        <v>55312241000168</v>
      </c>
      <c r="B623" s="7"/>
      <c r="C623" s="4"/>
      <c r="D623" s="6" t="s">
        <v>548</v>
      </c>
      <c r="E623" s="6" t="s">
        <v>125</v>
      </c>
      <c r="F623" s="6" t="s">
        <v>15</v>
      </c>
      <c r="G623" s="11" t="s">
        <v>16</v>
      </c>
      <c r="H623" s="6" t="s">
        <v>17</v>
      </c>
      <c r="I623" s="21" t="s">
        <v>1069</v>
      </c>
      <c r="J623" s="18">
        <v>6232.8560013422612</v>
      </c>
      <c r="K623" s="18">
        <f>VLOOKUP(A623,[1]Export!$A:$C,3,0)</f>
        <v>272.05</v>
      </c>
      <c r="L623" s="19">
        <f t="shared" si="20"/>
        <v>4.3647727452938649E-2</v>
      </c>
      <c r="M623" s="18">
        <f>VLOOKUP(A623,[1]Export!$A:$G,7,0)</f>
        <v>0</v>
      </c>
      <c r="N623" s="19">
        <f t="shared" si="21"/>
        <v>0</v>
      </c>
      <c r="O623" s="17" t="s">
        <v>1029</v>
      </c>
      <c r="P623" s="17" t="s">
        <v>1026</v>
      </c>
      <c r="Q623" s="17" t="s">
        <v>1022</v>
      </c>
      <c r="R623" s="17" t="str">
        <f>VLOOKUP(A623,[2]Export!$A:$I,9,0)</f>
        <v>Não Comprou</v>
      </c>
      <c r="S623" s="17" t="s">
        <v>1023</v>
      </c>
      <c r="T623" s="20"/>
      <c r="U623" s="17"/>
    </row>
    <row r="624" spans="1:21" x14ac:dyDescent="0.35">
      <c r="A624" s="4">
        <v>42411000000124</v>
      </c>
      <c r="B624" s="7"/>
      <c r="C624" s="4"/>
      <c r="D624" s="1" t="s">
        <v>674</v>
      </c>
      <c r="E624" s="1" t="s">
        <v>113</v>
      </c>
      <c r="F624" s="1" t="s">
        <v>8</v>
      </c>
      <c r="G624" s="10" t="s">
        <v>20</v>
      </c>
      <c r="H624" s="1" t="s">
        <v>17</v>
      </c>
      <c r="I624" s="21" t="s">
        <v>1074</v>
      </c>
      <c r="J624" s="18">
        <v>3241.4268099944538</v>
      </c>
      <c r="K624" s="18">
        <f>VLOOKUP(A624,[1]Export!$A:$C,3,0)</f>
        <v>2147.7599999999998</v>
      </c>
      <c r="L624" s="19">
        <f t="shared" si="20"/>
        <v>0.66259709871520267</v>
      </c>
      <c r="M624" s="18">
        <f>VLOOKUP(A624,[1]Export!$A:$G,7,0)</f>
        <v>2030.8799999999999</v>
      </c>
      <c r="N624" s="19">
        <f t="shared" si="21"/>
        <v>0.62653890371304566</v>
      </c>
      <c r="O624" s="17" t="s">
        <v>1025</v>
      </c>
      <c r="P624" s="17" t="s">
        <v>1026</v>
      </c>
      <c r="Q624" s="17" t="s">
        <v>1023</v>
      </c>
      <c r="R624" s="17" t="str">
        <f>VLOOKUP(A624,[2]Export!$A:$I,9,0)</f>
        <v>Comprou Marcas</v>
      </c>
      <c r="S624" s="17" t="s">
        <v>1023</v>
      </c>
      <c r="T624" s="20"/>
      <c r="U624" s="17"/>
    </row>
    <row r="625" spans="1:21" x14ac:dyDescent="0.35">
      <c r="A625" s="5">
        <v>35720208000160</v>
      </c>
      <c r="B625" s="7"/>
      <c r="C625" s="4"/>
      <c r="D625" s="6" t="s">
        <v>150</v>
      </c>
      <c r="E625" s="6" t="s">
        <v>61</v>
      </c>
      <c r="F625" s="6" t="s">
        <v>8</v>
      </c>
      <c r="G625" s="11" t="s">
        <v>33</v>
      </c>
      <c r="H625" s="6" t="s">
        <v>17</v>
      </c>
      <c r="I625" s="21" t="s">
        <v>1068</v>
      </c>
      <c r="J625" s="18">
        <v>1364.4968462293882</v>
      </c>
      <c r="K625" s="18">
        <f>VLOOKUP(A625,[1]Export!$A:$C,3,0)</f>
        <v>26.5</v>
      </c>
      <c r="L625" s="19">
        <f t="shared" si="20"/>
        <v>1.9421078233511017E-2</v>
      </c>
      <c r="M625" s="18">
        <f>VLOOKUP(A625,[1]Export!$A:$G,7,0)</f>
        <v>0</v>
      </c>
      <c r="N625" s="19">
        <f t="shared" si="21"/>
        <v>0</v>
      </c>
      <c r="O625" s="17" t="s">
        <v>1027</v>
      </c>
      <c r="P625" s="17" t="s">
        <v>1026</v>
      </c>
      <c r="Q625" s="17" t="s">
        <v>1023</v>
      </c>
      <c r="R625" s="17" t="str">
        <f>VLOOKUP(A625,[2]Export!$A:$I,9,0)</f>
        <v>Não Comprou</v>
      </c>
      <c r="S625" s="17" t="s">
        <v>1022</v>
      </c>
      <c r="T625" s="20"/>
      <c r="U625" s="17"/>
    </row>
    <row r="626" spans="1:21" x14ac:dyDescent="0.35">
      <c r="A626" s="4">
        <v>39834323000116</v>
      </c>
      <c r="B626" s="7"/>
      <c r="C626" s="4"/>
      <c r="D626" s="1" t="s">
        <v>675</v>
      </c>
      <c r="E626" s="1" t="s">
        <v>676</v>
      </c>
      <c r="F626" s="1" t="s">
        <v>15</v>
      </c>
      <c r="G626" s="10" t="s">
        <v>677</v>
      </c>
      <c r="H626" s="1" t="s">
        <v>17</v>
      </c>
      <c r="I626" s="21" t="s">
        <v>1075</v>
      </c>
      <c r="J626" s="18">
        <v>6265.6825807518117</v>
      </c>
      <c r="K626" s="18">
        <f>VLOOKUP(A626,[1]Export!$A:$C,3,0)</f>
        <v>2994.4800000000005</v>
      </c>
      <c r="L626" s="19">
        <f t="shared" si="20"/>
        <v>0.47791760297577929</v>
      </c>
      <c r="M626" s="18">
        <f>VLOOKUP(A626,[1]Export!$A:$G,7,0)</f>
        <v>0</v>
      </c>
      <c r="N626" s="19">
        <f t="shared" si="21"/>
        <v>0</v>
      </c>
      <c r="O626" s="17" t="s">
        <v>1027</v>
      </c>
      <c r="P626" s="17" t="s">
        <v>1026</v>
      </c>
      <c r="Q626" s="17" t="s">
        <v>1023</v>
      </c>
      <c r="R626" s="17" t="str">
        <f>VLOOKUP(A626,[2]Export!$A:$I,9,0)</f>
        <v>Não Comprou</v>
      </c>
      <c r="S626" s="17" t="s">
        <v>1023</v>
      </c>
      <c r="T626" s="20"/>
      <c r="U626" s="17"/>
    </row>
    <row r="627" spans="1:21" x14ac:dyDescent="0.35">
      <c r="A627" s="5">
        <v>42327542000113</v>
      </c>
      <c r="B627" s="7"/>
      <c r="C627" s="4"/>
      <c r="D627" s="6" t="s">
        <v>658</v>
      </c>
      <c r="E627" s="6" t="s">
        <v>43</v>
      </c>
      <c r="F627" s="6" t="s">
        <v>8</v>
      </c>
      <c r="G627" s="11" t="s">
        <v>20</v>
      </c>
      <c r="H627" s="6" t="s">
        <v>17</v>
      </c>
      <c r="I627" s="21" t="s">
        <v>1070</v>
      </c>
      <c r="J627" s="18">
        <v>1953.9215384038462</v>
      </c>
      <c r="K627" s="18">
        <f>VLOOKUP(A627,[1]Export!$A:$C,3,0)</f>
        <v>824.93</v>
      </c>
      <c r="L627" s="19">
        <f t="shared" si="20"/>
        <v>0.42219197843219602</v>
      </c>
      <c r="M627" s="18">
        <f>VLOOKUP(A627,[1]Export!$A:$G,7,0)</f>
        <v>0</v>
      </c>
      <c r="N627" s="19">
        <f t="shared" si="21"/>
        <v>0</v>
      </c>
      <c r="O627" s="17" t="s">
        <v>1029</v>
      </c>
      <c r="P627" s="17" t="s">
        <v>1026</v>
      </c>
      <c r="Q627" s="17" t="s">
        <v>1022</v>
      </c>
      <c r="R627" s="17" t="str">
        <f>VLOOKUP(A627,[2]Export!$A:$I,9,0)</f>
        <v>Não Comprou</v>
      </c>
      <c r="S627" s="17" t="s">
        <v>1023</v>
      </c>
      <c r="T627" s="20"/>
      <c r="U627" s="17"/>
    </row>
    <row r="628" spans="1:21" x14ac:dyDescent="0.35">
      <c r="A628" s="4">
        <v>35008629000162</v>
      </c>
      <c r="B628" s="7"/>
      <c r="C628" s="4"/>
      <c r="D628" s="1" t="s">
        <v>678</v>
      </c>
      <c r="E628" s="1" t="s">
        <v>14</v>
      </c>
      <c r="F628" s="1" t="s">
        <v>15</v>
      </c>
      <c r="G628" s="10" t="s">
        <v>16</v>
      </c>
      <c r="H628" s="1" t="s">
        <v>17</v>
      </c>
      <c r="I628" s="21" t="s">
        <v>1069</v>
      </c>
      <c r="J628" s="18">
        <v>3518.1780258312774</v>
      </c>
      <c r="K628" s="18">
        <f>VLOOKUP(A628,[1]Export!$A:$C,3,0)</f>
        <v>735.63</v>
      </c>
      <c r="L628" s="19">
        <f t="shared" si="20"/>
        <v>0.20909402383814413</v>
      </c>
      <c r="M628" s="18">
        <f>VLOOKUP(A628,[1]Export!$A:$G,7,0)</f>
        <v>115.8</v>
      </c>
      <c r="N628" s="19">
        <f t="shared" si="21"/>
        <v>3.2914764161952464E-2</v>
      </c>
      <c r="O628" s="17" t="s">
        <v>1029</v>
      </c>
      <c r="P628" s="17" t="s">
        <v>1026</v>
      </c>
      <c r="Q628" s="17" t="s">
        <v>1022</v>
      </c>
      <c r="R628" s="17" t="str">
        <f>VLOOKUP(A628,[2]Export!$A:$I,9,0)</f>
        <v>Comprou Marcas</v>
      </c>
      <c r="S628" s="17" t="s">
        <v>1023</v>
      </c>
      <c r="T628" s="20"/>
      <c r="U628" s="17"/>
    </row>
    <row r="629" spans="1:21" x14ac:dyDescent="0.35">
      <c r="A629" s="5">
        <v>43000736000172</v>
      </c>
      <c r="B629" s="7"/>
      <c r="C629" s="4"/>
      <c r="D629" s="6" t="s">
        <v>679</v>
      </c>
      <c r="E629" s="6" t="s">
        <v>272</v>
      </c>
      <c r="F629" s="6" t="s">
        <v>48</v>
      </c>
      <c r="G629" s="11" t="s">
        <v>20</v>
      </c>
      <c r="H629" s="6" t="s">
        <v>17</v>
      </c>
      <c r="I629" s="21" t="s">
        <v>1073</v>
      </c>
      <c r="J629" s="18">
        <v>5029.3193575847308</v>
      </c>
      <c r="K629" s="18">
        <f>VLOOKUP(A629,[1]Export!$A:$C,3,0)</f>
        <v>3072.4599999999996</v>
      </c>
      <c r="L629" s="19">
        <f t="shared" si="20"/>
        <v>0.61090970398736244</v>
      </c>
      <c r="M629" s="18">
        <f>VLOOKUP(A629,[1]Export!$A:$G,7,0)</f>
        <v>1054.18</v>
      </c>
      <c r="N629" s="19">
        <f t="shared" si="21"/>
        <v>0.20960689211556793</v>
      </c>
      <c r="O629" s="17" t="s">
        <v>1025</v>
      </c>
      <c r="P629" s="17" t="s">
        <v>1026</v>
      </c>
      <c r="Q629" s="17" t="s">
        <v>1023</v>
      </c>
      <c r="R629" s="17" t="str">
        <f>VLOOKUP(A629,[2]Export!$A:$I,9,0)</f>
        <v>Comprou Marcas</v>
      </c>
      <c r="S629" s="17" t="s">
        <v>1022</v>
      </c>
      <c r="T629" s="20"/>
      <c r="U629" s="17"/>
    </row>
    <row r="630" spans="1:21" x14ac:dyDescent="0.35">
      <c r="A630" s="4">
        <v>2917723000185</v>
      </c>
      <c r="B630" s="7"/>
      <c r="C630" s="4">
        <v>13683</v>
      </c>
      <c r="D630" s="1" t="s">
        <v>680</v>
      </c>
      <c r="E630" s="1" t="s">
        <v>443</v>
      </c>
      <c r="F630" s="1" t="s">
        <v>15</v>
      </c>
      <c r="G630" s="10" t="s">
        <v>36</v>
      </c>
      <c r="H630" s="1" t="s">
        <v>17</v>
      </c>
      <c r="I630" s="21" t="s">
        <v>1071</v>
      </c>
      <c r="J630" s="18">
        <v>21972.539655355031</v>
      </c>
      <c r="K630" s="18">
        <f>VLOOKUP(A630,[1]Export!$A:$C,3,0)</f>
        <v>2364.4199999999996</v>
      </c>
      <c r="L630" s="19">
        <f t="shared" si="20"/>
        <v>0.10760795233898944</v>
      </c>
      <c r="M630" s="18">
        <f>VLOOKUP(A630,[1]Export!$A:$G,7,0)</f>
        <v>27991.37</v>
      </c>
      <c r="N630" s="19">
        <f t="shared" si="21"/>
        <v>1.273925110117077</v>
      </c>
      <c r="O630" s="17" t="s">
        <v>1027</v>
      </c>
      <c r="P630" s="17" t="s">
        <v>1028</v>
      </c>
      <c r="Q630" s="17" t="s">
        <v>1023</v>
      </c>
      <c r="R630" s="17" t="str">
        <f>VLOOKUP(A630,[2]Export!$A:$I,9,0)</f>
        <v>Comprou Marcas e SG</v>
      </c>
      <c r="S630" s="17" t="s">
        <v>1022</v>
      </c>
      <c r="T630" s="20"/>
      <c r="U630" s="17"/>
    </row>
    <row r="631" spans="1:21" x14ac:dyDescent="0.35">
      <c r="A631" s="5">
        <v>3377845000199</v>
      </c>
      <c r="B631" s="7"/>
      <c r="C631" s="4"/>
      <c r="D631" s="6" t="s">
        <v>681</v>
      </c>
      <c r="E631" s="6" t="s">
        <v>71</v>
      </c>
      <c r="F631" s="6" t="s">
        <v>15</v>
      </c>
      <c r="G631" s="11" t="s">
        <v>20</v>
      </c>
      <c r="H631" s="6" t="s">
        <v>17</v>
      </c>
      <c r="I631" s="21" t="s">
        <v>1071</v>
      </c>
      <c r="J631" s="18">
        <v>15131.227902875977</v>
      </c>
      <c r="K631" s="18">
        <f>VLOOKUP(A631,[1]Export!$A:$C,3,0)</f>
        <v>3531.85</v>
      </c>
      <c r="L631" s="19">
        <f t="shared" si="20"/>
        <v>0.23341463248522645</v>
      </c>
      <c r="M631" s="18">
        <f>VLOOKUP(A631,[1]Export!$A:$G,7,0)</f>
        <v>518.91000000000008</v>
      </c>
      <c r="N631" s="19">
        <f t="shared" si="21"/>
        <v>3.4293978210543731E-2</v>
      </c>
      <c r="O631" s="17" t="s">
        <v>1025</v>
      </c>
      <c r="P631" s="17" t="s">
        <v>1026</v>
      </c>
      <c r="Q631" s="17" t="s">
        <v>1023</v>
      </c>
      <c r="R631" s="17" t="str">
        <f>VLOOKUP(A631,[2]Export!$A:$I,9,0)</f>
        <v>Comprou Marcas</v>
      </c>
      <c r="S631" s="17" t="s">
        <v>1022</v>
      </c>
      <c r="T631" s="20"/>
      <c r="U631" s="17"/>
    </row>
    <row r="632" spans="1:21" x14ac:dyDescent="0.35">
      <c r="A632" s="4">
        <v>19631038000271</v>
      </c>
      <c r="B632" s="7"/>
      <c r="C632" s="4"/>
      <c r="D632" s="1" t="s">
        <v>682</v>
      </c>
      <c r="E632" s="1" t="s">
        <v>683</v>
      </c>
      <c r="F632" s="1" t="s">
        <v>48</v>
      </c>
      <c r="G632" s="10" t="s">
        <v>87</v>
      </c>
      <c r="H632" s="1" t="s">
        <v>17</v>
      </c>
      <c r="I632" s="21" t="s">
        <v>1073</v>
      </c>
      <c r="J632" s="18">
        <v>1643.9902043485929</v>
      </c>
      <c r="K632" s="18">
        <f>VLOOKUP(A632,[1]Export!$A:$C,3,0)</f>
        <v>1170.9599999999998</v>
      </c>
      <c r="L632" s="19">
        <f t="shared" si="20"/>
        <v>0.71226701771253897</v>
      </c>
      <c r="M632" s="18">
        <f>VLOOKUP(A632,[1]Export!$A:$G,7,0)</f>
        <v>0</v>
      </c>
      <c r="N632" s="19">
        <f t="shared" si="21"/>
        <v>0</v>
      </c>
      <c r="O632" s="17"/>
      <c r="P632" s="17"/>
      <c r="Q632" s="17"/>
      <c r="R632" s="17" t="str">
        <f>VLOOKUP(A632,[2]Export!$A:$I,9,0)</f>
        <v>Comprou Marcas</v>
      </c>
      <c r="S632" s="17"/>
      <c r="T632" s="20"/>
      <c r="U632" s="17"/>
    </row>
    <row r="633" spans="1:21" x14ac:dyDescent="0.35">
      <c r="A633" s="5">
        <v>16465328000113</v>
      </c>
      <c r="B633" s="7"/>
      <c r="C633" s="4"/>
      <c r="D633" s="6" t="s">
        <v>684</v>
      </c>
      <c r="E633" s="6" t="s">
        <v>61</v>
      </c>
      <c r="F633" s="6" t="s">
        <v>8</v>
      </c>
      <c r="G633" s="11" t="s">
        <v>36</v>
      </c>
      <c r="H633" s="6" t="s">
        <v>17</v>
      </c>
      <c r="I633" s="21" t="s">
        <v>1068</v>
      </c>
      <c r="J633" s="18">
        <v>2136.669474542246</v>
      </c>
      <c r="K633" s="18">
        <f>VLOOKUP(A633,[1]Export!$A:$C,3,0)</f>
        <v>1014.5600000000001</v>
      </c>
      <c r="L633" s="19">
        <f t="shared" si="20"/>
        <v>0.47483244932740781</v>
      </c>
      <c r="M633" s="18">
        <f>VLOOKUP(A633,[1]Export!$A:$G,7,0)</f>
        <v>825.66</v>
      </c>
      <c r="N633" s="19">
        <f t="shared" si="21"/>
        <v>0.38642382915911083</v>
      </c>
      <c r="O633" s="17" t="s">
        <v>1025</v>
      </c>
      <c r="P633" s="17" t="s">
        <v>1026</v>
      </c>
      <c r="Q633" s="17" t="s">
        <v>1023</v>
      </c>
      <c r="R633" s="17" t="str">
        <f>VLOOKUP(A633,[2]Export!$A:$I,9,0)</f>
        <v>Comprou Marcas</v>
      </c>
      <c r="S633" s="17" t="s">
        <v>1023</v>
      </c>
      <c r="T633" s="20"/>
      <c r="U633" s="17"/>
    </row>
    <row r="634" spans="1:21" x14ac:dyDescent="0.35">
      <c r="A634" s="4">
        <v>17710409000102</v>
      </c>
      <c r="B634" s="7"/>
      <c r="C634" s="4"/>
      <c r="D634" s="1" t="s">
        <v>685</v>
      </c>
      <c r="E634" s="1" t="s">
        <v>182</v>
      </c>
      <c r="F634" s="1" t="s">
        <v>8</v>
      </c>
      <c r="G634" s="10" t="s">
        <v>33</v>
      </c>
      <c r="H634" s="1" t="s">
        <v>17</v>
      </c>
      <c r="I634" s="21" t="s">
        <v>1074</v>
      </c>
      <c r="J634" s="18">
        <v>5020.8615570718684</v>
      </c>
      <c r="K634" s="18">
        <f>VLOOKUP(A634,[1]Export!$A:$C,3,0)</f>
        <v>2556.3799999999997</v>
      </c>
      <c r="L634" s="19">
        <f t="shared" si="20"/>
        <v>0.50915166071435414</v>
      </c>
      <c r="M634" s="18">
        <f>VLOOKUP(A634,[1]Export!$A:$G,7,0)</f>
        <v>4518.0199999999995</v>
      </c>
      <c r="N634" s="19">
        <f t="shared" si="21"/>
        <v>0.8998495474619056</v>
      </c>
      <c r="O634" s="17" t="s">
        <v>1025</v>
      </c>
      <c r="P634" s="17" t="s">
        <v>1026</v>
      </c>
      <c r="Q634" s="17" t="s">
        <v>1023</v>
      </c>
      <c r="R634" s="17" t="str">
        <f>VLOOKUP(A634,[2]Export!$A:$I,9,0)</f>
        <v>Comprou Marcas</v>
      </c>
      <c r="S634" s="17" t="s">
        <v>1022</v>
      </c>
      <c r="T634" s="20"/>
      <c r="U634" s="17">
        <v>7</v>
      </c>
    </row>
    <row r="635" spans="1:21" x14ac:dyDescent="0.35">
      <c r="A635" s="5">
        <v>18332251000210</v>
      </c>
      <c r="B635" s="7" t="s">
        <v>998</v>
      </c>
      <c r="C635" s="4"/>
      <c r="D635" s="6" t="s">
        <v>25</v>
      </c>
      <c r="E635" s="6" t="s">
        <v>19</v>
      </c>
      <c r="F635" s="6" t="s">
        <v>15</v>
      </c>
      <c r="G635" s="11" t="s">
        <v>9</v>
      </c>
      <c r="H635" s="6" t="s">
        <v>10</v>
      </c>
      <c r="I635" s="21" t="s">
        <v>1069</v>
      </c>
      <c r="J635" s="18">
        <v>16229.818798225613</v>
      </c>
      <c r="K635" s="18">
        <f>VLOOKUP(A635,[1]Export!$A:$C,3,0)</f>
        <v>6765.9400000000005</v>
      </c>
      <c r="L635" s="19">
        <f t="shared" si="20"/>
        <v>0.41688327418293253</v>
      </c>
      <c r="M635" s="18">
        <f>VLOOKUP(A635,[1]Export!$A:$G,7,0)</f>
        <v>5742.52</v>
      </c>
      <c r="N635" s="19">
        <f t="shared" si="21"/>
        <v>0.35382526887039695</v>
      </c>
      <c r="O635" s="17" t="s">
        <v>1027</v>
      </c>
      <c r="P635" s="17" t="s">
        <v>1028</v>
      </c>
      <c r="Q635" s="17" t="s">
        <v>1023</v>
      </c>
      <c r="R635" s="17" t="str">
        <f>VLOOKUP(A635,[2]Export!$A:$I,9,0)</f>
        <v>Comprou Marcas</v>
      </c>
      <c r="S635" s="17" t="s">
        <v>1022</v>
      </c>
      <c r="T635" s="20"/>
      <c r="U635" s="17"/>
    </row>
    <row r="636" spans="1:21" x14ac:dyDescent="0.35">
      <c r="A636" s="4">
        <v>4114403000112</v>
      </c>
      <c r="B636" s="7" t="s">
        <v>1000</v>
      </c>
      <c r="C636" s="4"/>
      <c r="D636" s="1" t="s">
        <v>104</v>
      </c>
      <c r="E636" s="1" t="s">
        <v>203</v>
      </c>
      <c r="F636" s="1" t="s">
        <v>8</v>
      </c>
      <c r="G636" s="10" t="s">
        <v>9</v>
      </c>
      <c r="H636" s="1" t="s">
        <v>10</v>
      </c>
      <c r="I636" s="21" t="s">
        <v>1074</v>
      </c>
      <c r="J636" s="18">
        <v>67104.952149285629</v>
      </c>
      <c r="K636" s="18">
        <f>VLOOKUP(A636,[1]Export!$A:$C,3,0)</f>
        <v>29409.199999999993</v>
      </c>
      <c r="L636" s="19">
        <f t="shared" si="20"/>
        <v>0.43825677625959042</v>
      </c>
      <c r="M636" s="18">
        <f>VLOOKUP(A636,[1]Export!$A:$G,7,0)</f>
        <v>27773.610000000008</v>
      </c>
      <c r="N636" s="19">
        <f t="shared" si="21"/>
        <v>0.41388316525750884</v>
      </c>
      <c r="O636" s="17" t="s">
        <v>1027</v>
      </c>
      <c r="P636" s="17" t="s">
        <v>1028</v>
      </c>
      <c r="Q636" s="17" t="s">
        <v>1023</v>
      </c>
      <c r="R636" s="17" t="str">
        <f>VLOOKUP(A636,[2]Export!$A:$I,9,0)</f>
        <v>Comprou Marcas</v>
      </c>
      <c r="S636" s="17" t="s">
        <v>1022</v>
      </c>
      <c r="T636" s="20"/>
      <c r="U636" s="17"/>
    </row>
    <row r="637" spans="1:21" x14ac:dyDescent="0.35">
      <c r="A637" s="5">
        <v>33792896000148</v>
      </c>
      <c r="B637" s="7"/>
      <c r="C637" s="4"/>
      <c r="D637" s="6" t="s">
        <v>687</v>
      </c>
      <c r="E637" s="6" t="s">
        <v>14</v>
      </c>
      <c r="F637" s="6" t="s">
        <v>15</v>
      </c>
      <c r="G637" s="11" t="s">
        <v>36</v>
      </c>
      <c r="H637" s="6" t="s">
        <v>17</v>
      </c>
      <c r="I637" s="21" t="s">
        <v>1069</v>
      </c>
      <c r="J637" s="18">
        <v>5437.3395123134687</v>
      </c>
      <c r="K637" s="18">
        <f>VLOOKUP(A637,[1]Export!$A:$C,3,0)</f>
        <v>1599.9099999999999</v>
      </c>
      <c r="L637" s="19">
        <f t="shared" si="20"/>
        <v>0.29424500647362983</v>
      </c>
      <c r="M637" s="18">
        <f>VLOOKUP(A637,[1]Export!$A:$G,7,0)</f>
        <v>430.88</v>
      </c>
      <c r="N637" s="19">
        <f t="shared" si="21"/>
        <v>7.9244637754222191E-2</v>
      </c>
      <c r="O637" s="17" t="s">
        <v>1025</v>
      </c>
      <c r="P637" s="17" t="s">
        <v>1026</v>
      </c>
      <c r="Q637" s="17" t="s">
        <v>1023</v>
      </c>
      <c r="R637" s="17" t="str">
        <f>VLOOKUP(A637,[2]Export!$A:$I,9,0)</f>
        <v>Comprou Marcas</v>
      </c>
      <c r="S637" s="17" t="s">
        <v>1022</v>
      </c>
      <c r="T637" s="20"/>
      <c r="U637" s="17"/>
    </row>
    <row r="638" spans="1:21" x14ac:dyDescent="0.35">
      <c r="A638" s="4">
        <v>37830039000146</v>
      </c>
      <c r="B638" s="7"/>
      <c r="C638" s="4"/>
      <c r="D638" s="1" t="s">
        <v>688</v>
      </c>
      <c r="E638" s="1" t="s">
        <v>50</v>
      </c>
      <c r="F638" s="1" t="s">
        <v>48</v>
      </c>
      <c r="G638" s="10" t="s">
        <v>20</v>
      </c>
      <c r="H638" s="1" t="s">
        <v>17</v>
      </c>
      <c r="I638" s="21" t="s">
        <v>1073</v>
      </c>
      <c r="J638" s="18">
        <v>1104.1972939744292</v>
      </c>
      <c r="K638" s="18">
        <f>VLOOKUP(A638,[1]Export!$A:$C,3,0)</f>
        <v>382.81000000000006</v>
      </c>
      <c r="L638" s="19">
        <f t="shared" si="20"/>
        <v>0.34668623269499255</v>
      </c>
      <c r="M638" s="18">
        <f>VLOOKUP(A638,[1]Export!$A:$G,7,0)</f>
        <v>0</v>
      </c>
      <c r="N638" s="19">
        <f t="shared" si="21"/>
        <v>0</v>
      </c>
      <c r="O638" s="17"/>
      <c r="P638" s="17"/>
      <c r="Q638" s="17"/>
      <c r="R638" s="17" t="str">
        <f>VLOOKUP(A638,[2]Export!$A:$I,9,0)</f>
        <v>Não Comprou</v>
      </c>
      <c r="S638" s="17"/>
      <c r="T638" s="20"/>
      <c r="U638" s="17"/>
    </row>
    <row r="639" spans="1:21" x14ac:dyDescent="0.35">
      <c r="A639" s="5">
        <v>41955400000138</v>
      </c>
      <c r="B639" s="7"/>
      <c r="C639" s="4"/>
      <c r="D639" s="6" t="s">
        <v>689</v>
      </c>
      <c r="E639" s="6" t="s">
        <v>443</v>
      </c>
      <c r="F639" s="6" t="s">
        <v>15</v>
      </c>
      <c r="G639" s="11" t="s">
        <v>20</v>
      </c>
      <c r="H639" s="6" t="s">
        <v>17</v>
      </c>
      <c r="I639" s="21" t="s">
        <v>1071</v>
      </c>
      <c r="J639" s="18">
        <v>4001.8294435399039</v>
      </c>
      <c r="K639" s="18">
        <f>VLOOKUP(A639,[1]Export!$A:$C,3,0)</f>
        <v>1283.1600000000001</v>
      </c>
      <c r="L639" s="19">
        <f t="shared" si="20"/>
        <v>0.32064335027355723</v>
      </c>
      <c r="M639" s="18">
        <f>VLOOKUP(A639,[1]Export!$A:$G,7,0)</f>
        <v>0</v>
      </c>
      <c r="N639" s="19">
        <f t="shared" si="21"/>
        <v>0</v>
      </c>
      <c r="O639" s="17" t="s">
        <v>1025</v>
      </c>
      <c r="P639" s="17" t="s">
        <v>1026</v>
      </c>
      <c r="Q639" s="17" t="s">
        <v>1023</v>
      </c>
      <c r="R639" s="17" t="str">
        <f>VLOOKUP(A639,[2]Export!$A:$I,9,0)</f>
        <v>Não Comprou</v>
      </c>
      <c r="S639" s="17" t="s">
        <v>1022</v>
      </c>
      <c r="T639" s="20"/>
      <c r="U639" s="17"/>
    </row>
    <row r="640" spans="1:21" x14ac:dyDescent="0.35">
      <c r="A640" s="4">
        <v>19713710000278</v>
      </c>
      <c r="B640" s="7" t="s">
        <v>1009</v>
      </c>
      <c r="C640" s="4"/>
      <c r="D640" s="1" t="s">
        <v>59</v>
      </c>
      <c r="E640" s="1" t="s">
        <v>329</v>
      </c>
      <c r="F640" s="1" t="s">
        <v>8</v>
      </c>
      <c r="G640" s="10" t="s">
        <v>9</v>
      </c>
      <c r="H640" s="1" t="s">
        <v>10</v>
      </c>
      <c r="I640" s="21" t="s">
        <v>1072</v>
      </c>
      <c r="J640" s="18">
        <v>12822.970477566594</v>
      </c>
      <c r="K640" s="18">
        <f>VLOOKUP(A640,[1]Export!$A:$C,3,0)</f>
        <v>5391.9600000000009</v>
      </c>
      <c r="L640" s="19">
        <f t="shared" si="20"/>
        <v>0.42049227278757872</v>
      </c>
      <c r="M640" s="18">
        <f>VLOOKUP(A640,[1]Export!$A:$G,7,0)</f>
        <v>2817.6099999999997</v>
      </c>
      <c r="N640" s="19">
        <f t="shared" si="21"/>
        <v>0.21973145808370415</v>
      </c>
      <c r="O640" s="17" t="s">
        <v>1027</v>
      </c>
      <c r="P640" s="17" t="s">
        <v>1028</v>
      </c>
      <c r="Q640" s="17" t="s">
        <v>1023</v>
      </c>
      <c r="R640" s="17" t="str">
        <f>VLOOKUP(A640,[2]Export!$A:$I,9,0)</f>
        <v>Comprou Marcas</v>
      </c>
      <c r="S640" s="17" t="s">
        <v>1022</v>
      </c>
      <c r="T640" s="20"/>
      <c r="U640" s="17"/>
    </row>
    <row r="641" spans="1:21" x14ac:dyDescent="0.35">
      <c r="A641" s="5">
        <v>19713710000359</v>
      </c>
      <c r="B641" s="7" t="s">
        <v>1009</v>
      </c>
      <c r="C641" s="4">
        <v>13471</v>
      </c>
      <c r="D641" s="6" t="s">
        <v>59</v>
      </c>
      <c r="E641" s="6" t="s">
        <v>329</v>
      </c>
      <c r="F641" s="6" t="s">
        <v>8</v>
      </c>
      <c r="G641" s="11" t="s">
        <v>9</v>
      </c>
      <c r="H641" s="6" t="s">
        <v>10</v>
      </c>
      <c r="I641" s="21" t="s">
        <v>1072</v>
      </c>
      <c r="J641" s="18">
        <v>11943.124296136326</v>
      </c>
      <c r="K641" s="18">
        <f>VLOOKUP(A641,[1]Export!$A:$C,3,0)</f>
        <v>10108.709999999999</v>
      </c>
      <c r="L641" s="19">
        <f t="shared" si="20"/>
        <v>0.8464041526613123</v>
      </c>
      <c r="M641" s="18">
        <f>VLOOKUP(A641,[1]Export!$A:$G,7,0)</f>
        <v>2110.62</v>
      </c>
      <c r="N641" s="19">
        <f t="shared" si="21"/>
        <v>0.17672260186413688</v>
      </c>
      <c r="O641" s="17" t="s">
        <v>1027</v>
      </c>
      <c r="P641" s="17" t="s">
        <v>1028</v>
      </c>
      <c r="Q641" s="17" t="s">
        <v>1023</v>
      </c>
      <c r="R641" s="17" t="str">
        <f>VLOOKUP(A641,[2]Export!$A:$I,9,0)</f>
        <v>Comprou Marcas</v>
      </c>
      <c r="S641" s="17" t="s">
        <v>1022</v>
      </c>
      <c r="T641" s="20"/>
      <c r="U641" s="17"/>
    </row>
    <row r="642" spans="1:21" x14ac:dyDescent="0.35">
      <c r="A642" s="5">
        <v>19713710000197</v>
      </c>
      <c r="B642" s="7" t="s">
        <v>1009</v>
      </c>
      <c r="C642" s="4"/>
      <c r="D642" s="6" t="s">
        <v>59</v>
      </c>
      <c r="E642" s="6" t="s">
        <v>329</v>
      </c>
      <c r="F642" s="6" t="s">
        <v>8</v>
      </c>
      <c r="G642" s="11" t="s">
        <v>9</v>
      </c>
      <c r="H642" s="6" t="s">
        <v>10</v>
      </c>
      <c r="I642" s="21" t="s">
        <v>1072</v>
      </c>
      <c r="J642" s="18">
        <v>63199.571668195022</v>
      </c>
      <c r="K642" s="18">
        <f>VLOOKUP(A642,[1]Export!$A:$C,3,0)</f>
        <v>21896.579999999991</v>
      </c>
      <c r="L642" s="19">
        <f t="shared" si="20"/>
        <v>0.34646722156535398</v>
      </c>
      <c r="M642" s="18">
        <f>VLOOKUP(A642,[1]Export!$A:$G,7,0)</f>
        <v>11492.910000000002</v>
      </c>
      <c r="N642" s="19">
        <f t="shared" si="21"/>
        <v>0.18185107424998215</v>
      </c>
      <c r="O642" s="17" t="s">
        <v>1027</v>
      </c>
      <c r="P642" s="17" t="s">
        <v>1028</v>
      </c>
      <c r="Q642" s="17" t="s">
        <v>1023</v>
      </c>
      <c r="R642" s="17" t="str">
        <f>VLOOKUP(A642,[2]Export!$A:$I,9,0)</f>
        <v>Comprou Marcas</v>
      </c>
      <c r="S642" s="17" t="s">
        <v>1022</v>
      </c>
      <c r="T642" s="20"/>
      <c r="U642" s="17"/>
    </row>
    <row r="643" spans="1:21" x14ac:dyDescent="0.35">
      <c r="A643" s="5">
        <v>21013882000280</v>
      </c>
      <c r="B643" s="7" t="s">
        <v>1008</v>
      </c>
      <c r="C643" s="4"/>
      <c r="D643" s="6" t="s">
        <v>90</v>
      </c>
      <c r="E643" s="6" t="s">
        <v>82</v>
      </c>
      <c r="F643" s="6" t="s">
        <v>8</v>
      </c>
      <c r="G643" s="11" t="s">
        <v>64</v>
      </c>
      <c r="H643" s="6" t="s">
        <v>17</v>
      </c>
      <c r="I643" s="21" t="s">
        <v>1072</v>
      </c>
      <c r="J643" s="18">
        <v>3849.873337183195</v>
      </c>
      <c r="K643" s="18">
        <f>VLOOKUP(A643,[1]Export!$A:$C,3,0)</f>
        <v>5199.1000000000004</v>
      </c>
      <c r="L643" s="19">
        <f t="shared" si="20"/>
        <v>1.3504600137842413</v>
      </c>
      <c r="M643" s="18">
        <f>VLOOKUP(A643,[1]Export!$A:$G,7,0)</f>
        <v>4514.38</v>
      </c>
      <c r="N643" s="19">
        <f t="shared" si="21"/>
        <v>1.1726048117996004</v>
      </c>
      <c r="O643" s="17" t="s">
        <v>1029</v>
      </c>
      <c r="P643" s="17" t="s">
        <v>1026</v>
      </c>
      <c r="Q643" s="17" t="s">
        <v>1022</v>
      </c>
      <c r="R643" s="17" t="str">
        <f>VLOOKUP(A643,[2]Export!$A:$I,9,0)</f>
        <v>Comprou Marcas</v>
      </c>
      <c r="S643" s="17" t="s">
        <v>1022</v>
      </c>
      <c r="T643" s="20">
        <v>4</v>
      </c>
      <c r="U643" s="17"/>
    </row>
    <row r="644" spans="1:21" x14ac:dyDescent="0.35">
      <c r="A644" s="4">
        <v>37836714000144</v>
      </c>
      <c r="B644" s="7"/>
      <c r="C644" s="4"/>
      <c r="D644" s="1" t="s">
        <v>670</v>
      </c>
      <c r="E644" s="1" t="s">
        <v>690</v>
      </c>
      <c r="F644" s="1" t="s">
        <v>48</v>
      </c>
      <c r="G644" s="10" t="s">
        <v>20</v>
      </c>
      <c r="H644" s="1" t="s">
        <v>17</v>
      </c>
      <c r="I644" s="21" t="s">
        <v>1073</v>
      </c>
      <c r="J644" s="18">
        <v>7131.5040313877271</v>
      </c>
      <c r="K644" s="18">
        <f>VLOOKUP(A644,[1]Export!$A:$C,3,0)</f>
        <v>2278.1199999999994</v>
      </c>
      <c r="L644" s="19">
        <f t="shared" si="20"/>
        <v>0.31944453652039762</v>
      </c>
      <c r="M644" s="18">
        <f>VLOOKUP(A644,[1]Export!$A:$G,7,0)</f>
        <v>0</v>
      </c>
      <c r="N644" s="19">
        <f t="shared" si="21"/>
        <v>0</v>
      </c>
      <c r="O644" s="17" t="s">
        <v>1025</v>
      </c>
      <c r="P644" s="17" t="s">
        <v>1026</v>
      </c>
      <c r="Q644" s="17" t="s">
        <v>1023</v>
      </c>
      <c r="R644" s="17" t="str">
        <f>VLOOKUP(A644,[2]Export!$A:$I,9,0)</f>
        <v>Não Comprou</v>
      </c>
      <c r="S644" s="17" t="s">
        <v>1023</v>
      </c>
      <c r="T644" s="20">
        <v>16</v>
      </c>
      <c r="U644" s="17"/>
    </row>
    <row r="645" spans="1:21" x14ac:dyDescent="0.35">
      <c r="A645" s="5">
        <v>38662089000124</v>
      </c>
      <c r="B645" s="7"/>
      <c r="C645" s="4"/>
      <c r="D645" s="6" t="s">
        <v>550</v>
      </c>
      <c r="E645" s="6" t="s">
        <v>232</v>
      </c>
      <c r="F645" s="6" t="s">
        <v>8</v>
      </c>
      <c r="G645" s="11" t="s">
        <v>550</v>
      </c>
      <c r="H645" s="6" t="s">
        <v>17</v>
      </c>
      <c r="I645" s="21" t="s">
        <v>1070</v>
      </c>
      <c r="J645" s="18">
        <v>2297.6050862287952</v>
      </c>
      <c r="K645" s="18">
        <f>VLOOKUP(A645,[1]Export!$A:$C,3,0)</f>
        <v>1392.7000000000003</v>
      </c>
      <c r="L645" s="19">
        <f t="shared" si="20"/>
        <v>0.60615290606181893</v>
      </c>
      <c r="M645" s="18">
        <f>VLOOKUP(A645,[1]Export!$A:$G,7,0)</f>
        <v>2018.61</v>
      </c>
      <c r="N645" s="19">
        <f t="shared" si="21"/>
        <v>0.87857134896635891</v>
      </c>
      <c r="O645" s="17" t="s">
        <v>1027</v>
      </c>
      <c r="P645" s="17" t="s">
        <v>1026</v>
      </c>
      <c r="Q645" s="17" t="s">
        <v>1023</v>
      </c>
      <c r="R645" s="17" t="str">
        <f>VLOOKUP(A645,[2]Export!$A:$I,9,0)</f>
        <v>Comprou Marcas</v>
      </c>
      <c r="S645" s="17" t="s">
        <v>1022</v>
      </c>
      <c r="T645" s="20"/>
      <c r="U645" s="17"/>
    </row>
    <row r="646" spans="1:21" x14ac:dyDescent="0.35">
      <c r="A646" s="4">
        <v>38872460000344</v>
      </c>
      <c r="B646" s="7" t="s">
        <v>308</v>
      </c>
      <c r="C646" s="4"/>
      <c r="D646" s="1" t="s">
        <v>308</v>
      </c>
      <c r="E646" s="1" t="s">
        <v>166</v>
      </c>
      <c r="F646" s="1" t="s">
        <v>8</v>
      </c>
      <c r="G646" s="10" t="s">
        <v>74</v>
      </c>
      <c r="H646" s="1" t="s">
        <v>17</v>
      </c>
      <c r="I646" s="21" t="s">
        <v>1070</v>
      </c>
      <c r="J646" s="18">
        <v>1903.7938782984259</v>
      </c>
      <c r="K646" s="18">
        <f>VLOOKUP(A646,[1]Export!$A:$C,3,0)</f>
        <v>375.95</v>
      </c>
      <c r="L646" s="19">
        <f t="shared" si="20"/>
        <v>0.19747410908580967</v>
      </c>
      <c r="M646" s="18">
        <f>VLOOKUP(A646,[1]Export!$A:$G,7,0)</f>
        <v>529.2399999999999</v>
      </c>
      <c r="N646" s="19">
        <f t="shared" si="21"/>
        <v>0.27799227953869898</v>
      </c>
      <c r="O646" s="17" t="s">
        <v>1029</v>
      </c>
      <c r="P646" s="17" t="s">
        <v>1026</v>
      </c>
      <c r="Q646" s="17" t="s">
        <v>1022</v>
      </c>
      <c r="R646" s="17" t="str">
        <f>VLOOKUP(A646,[2]Export!$A:$I,9,0)</f>
        <v>Comprou Marcas e SG</v>
      </c>
      <c r="S646" s="17" t="s">
        <v>1022</v>
      </c>
      <c r="T646" s="20"/>
      <c r="U646" s="17"/>
    </row>
    <row r="647" spans="1:21" x14ac:dyDescent="0.35">
      <c r="A647" s="4">
        <v>19713710000430</v>
      </c>
      <c r="B647" s="7" t="s">
        <v>1009</v>
      </c>
      <c r="C647" s="4"/>
      <c r="D647" s="1" t="s">
        <v>59</v>
      </c>
      <c r="E647" s="1" t="s">
        <v>436</v>
      </c>
      <c r="F647" s="1" t="s">
        <v>8</v>
      </c>
      <c r="G647" s="10" t="s">
        <v>9</v>
      </c>
      <c r="H647" s="1" t="s">
        <v>10</v>
      </c>
      <c r="I647" s="21" t="s">
        <v>1072</v>
      </c>
      <c r="J647" s="18">
        <v>8874.6897094542037</v>
      </c>
      <c r="K647" s="18">
        <f>VLOOKUP(A647,[1]Export!$A:$C,3,0)</f>
        <v>4846.0499999999993</v>
      </c>
      <c r="L647" s="19">
        <f t="shared" si="20"/>
        <v>0.54605289409020175</v>
      </c>
      <c r="M647" s="18">
        <f>VLOOKUP(A647,[1]Export!$A:$G,7,0)</f>
        <v>2717.54</v>
      </c>
      <c r="N647" s="19">
        <f t="shared" si="21"/>
        <v>0.30621239603509803</v>
      </c>
      <c r="O647" s="17" t="s">
        <v>1027</v>
      </c>
      <c r="P647" s="17" t="s">
        <v>1028</v>
      </c>
      <c r="Q647" s="17" t="s">
        <v>1023</v>
      </c>
      <c r="R647" s="17" t="str">
        <f>VLOOKUP(A647,[2]Export!$A:$I,9,0)</f>
        <v>Comprou Marcas</v>
      </c>
      <c r="S647" s="17" t="s">
        <v>1022</v>
      </c>
      <c r="T647" s="20"/>
      <c r="U647" s="17"/>
    </row>
    <row r="648" spans="1:21" x14ac:dyDescent="0.35">
      <c r="A648" s="4">
        <v>23019388000178</v>
      </c>
      <c r="B648" s="7"/>
      <c r="C648" s="4"/>
      <c r="D648" s="1" t="s">
        <v>692</v>
      </c>
      <c r="E648" s="1" t="s">
        <v>100</v>
      </c>
      <c r="F648" s="1" t="s">
        <v>15</v>
      </c>
      <c r="G648" s="10" t="s">
        <v>197</v>
      </c>
      <c r="H648" s="1" t="s">
        <v>17</v>
      </c>
      <c r="I648" s="21" t="s">
        <v>1075</v>
      </c>
      <c r="J648" s="18">
        <v>5561.2478892780064</v>
      </c>
      <c r="K648" s="18">
        <f>VLOOKUP(A648,[1]Export!$A:$C,3,0)</f>
        <v>1833.4700000000003</v>
      </c>
      <c r="L648" s="19">
        <f t="shared" si="20"/>
        <v>0.32968679629169201</v>
      </c>
      <c r="M648" s="18">
        <f>VLOOKUP(A648,[1]Export!$A:$G,7,0)</f>
        <v>0</v>
      </c>
      <c r="N648" s="19">
        <f t="shared" si="21"/>
        <v>0</v>
      </c>
      <c r="O648" s="17" t="s">
        <v>1025</v>
      </c>
      <c r="P648" s="17" t="s">
        <v>1026</v>
      </c>
      <c r="Q648" s="17" t="s">
        <v>1022</v>
      </c>
      <c r="R648" s="17" t="str">
        <f>VLOOKUP(A648,[2]Export!$A:$I,9,0)</f>
        <v>Não Comprou</v>
      </c>
      <c r="S648" s="17" t="s">
        <v>1022</v>
      </c>
      <c r="T648" s="20"/>
      <c r="U648" s="17"/>
    </row>
    <row r="649" spans="1:21" x14ac:dyDescent="0.35">
      <c r="A649" s="5">
        <v>23312338000184</v>
      </c>
      <c r="B649" s="7"/>
      <c r="C649" s="4"/>
      <c r="D649" s="6" t="s">
        <v>693</v>
      </c>
      <c r="E649" s="6" t="s">
        <v>14</v>
      </c>
      <c r="F649" s="6" t="s">
        <v>15</v>
      </c>
      <c r="G649" s="11" t="s">
        <v>694</v>
      </c>
      <c r="H649" s="6" t="s">
        <v>17</v>
      </c>
      <c r="I649" s="21" t="s">
        <v>1069</v>
      </c>
      <c r="J649" s="18">
        <v>2432.3726812038121</v>
      </c>
      <c r="K649" s="18">
        <f>VLOOKUP(A649,[1]Export!$A:$C,3,0)</f>
        <v>692.91</v>
      </c>
      <c r="L649" s="19">
        <f t="shared" si="20"/>
        <v>0.28486999765885795</v>
      </c>
      <c r="M649" s="18">
        <f>VLOOKUP(A649,[1]Export!$A:$G,7,0)</f>
        <v>636.83000000000004</v>
      </c>
      <c r="N649" s="19">
        <f t="shared" si="21"/>
        <v>0.26181432019900208</v>
      </c>
      <c r="O649" s="17" t="s">
        <v>1025</v>
      </c>
      <c r="P649" s="17" t="s">
        <v>1026</v>
      </c>
      <c r="Q649" s="17" t="s">
        <v>1022</v>
      </c>
      <c r="R649" s="17" t="str">
        <f>VLOOKUP(A649,[2]Export!$A:$I,9,0)</f>
        <v>Comprou Marcas</v>
      </c>
      <c r="S649" s="17" t="s">
        <v>1023</v>
      </c>
      <c r="T649" s="20"/>
      <c r="U649" s="17"/>
    </row>
    <row r="650" spans="1:21" x14ac:dyDescent="0.35">
      <c r="A650" s="4">
        <v>55284053000173</v>
      </c>
      <c r="B650" s="7"/>
      <c r="C650" s="4">
        <v>112129</v>
      </c>
      <c r="D650" s="1" t="s">
        <v>695</v>
      </c>
      <c r="E650" s="1" t="s">
        <v>520</v>
      </c>
      <c r="F650" s="1" t="s">
        <v>48</v>
      </c>
      <c r="G650" s="10" t="s">
        <v>20</v>
      </c>
      <c r="H650" s="1" t="s">
        <v>17</v>
      </c>
      <c r="I650" s="21" t="s">
        <v>1073</v>
      </c>
      <c r="J650" s="18">
        <v>13628.538399186074</v>
      </c>
      <c r="K650" s="18">
        <f>VLOOKUP(A650,[1]Export!$A:$C,3,0)</f>
        <v>6638.8</v>
      </c>
      <c r="L650" s="19">
        <f t="shared" si="20"/>
        <v>0.48712487029397689</v>
      </c>
      <c r="M650" s="18">
        <f>VLOOKUP(A650,[1]Export!$A:$G,7,0)</f>
        <v>3836.4</v>
      </c>
      <c r="N650" s="19">
        <f t="shared" si="21"/>
        <v>0.2814975375663995</v>
      </c>
      <c r="O650" s="17" t="s">
        <v>1025</v>
      </c>
      <c r="P650" s="17" t="s">
        <v>1026</v>
      </c>
      <c r="Q650" s="17" t="s">
        <v>1023</v>
      </c>
      <c r="R650" s="17" t="str">
        <f>VLOOKUP(A650,[2]Export!$A:$I,9,0)</f>
        <v>Comprou Marcas</v>
      </c>
      <c r="S650" s="17" t="s">
        <v>1022</v>
      </c>
      <c r="T650" s="20"/>
      <c r="U650" s="17"/>
    </row>
    <row r="651" spans="1:21" x14ac:dyDescent="0.35">
      <c r="A651" s="5">
        <v>57680804000104</v>
      </c>
      <c r="B651" s="7"/>
      <c r="C651" s="4"/>
      <c r="D651" s="6" t="s">
        <v>696</v>
      </c>
      <c r="E651" s="6" t="s">
        <v>329</v>
      </c>
      <c r="F651" s="6" t="s">
        <v>8</v>
      </c>
      <c r="G651" s="11" t="s">
        <v>33</v>
      </c>
      <c r="H651" s="6" t="s">
        <v>17</v>
      </c>
      <c r="I651" s="21" t="s">
        <v>1072</v>
      </c>
      <c r="J651" s="18">
        <v>3603.9490685588703</v>
      </c>
      <c r="K651" s="18">
        <f>VLOOKUP(A651,[1]Export!$A:$C,3,0)</f>
        <v>1026.0900000000001</v>
      </c>
      <c r="L651" s="19">
        <f t="shared" si="20"/>
        <v>0.28471268058466431</v>
      </c>
      <c r="M651" s="18">
        <f>VLOOKUP(A651,[1]Export!$A:$G,7,0)</f>
        <v>0</v>
      </c>
      <c r="N651" s="19">
        <f t="shared" si="21"/>
        <v>0</v>
      </c>
      <c r="O651" s="17" t="s">
        <v>1025</v>
      </c>
      <c r="P651" s="17" t="s">
        <v>1026</v>
      </c>
      <c r="Q651" s="17" t="s">
        <v>1022</v>
      </c>
      <c r="R651" s="17" t="str">
        <f>VLOOKUP(A651,[2]Export!$A:$I,9,0)</f>
        <v>Não Comprou</v>
      </c>
      <c r="S651" s="17" t="s">
        <v>1023</v>
      </c>
      <c r="T651" s="20"/>
      <c r="U651" s="17"/>
    </row>
    <row r="652" spans="1:21" x14ac:dyDescent="0.35">
      <c r="A652" s="4">
        <v>37203809000120</v>
      </c>
      <c r="B652" s="7"/>
      <c r="C652" s="4"/>
      <c r="D652" s="1" t="s">
        <v>697</v>
      </c>
      <c r="E652" s="1" t="s">
        <v>186</v>
      </c>
      <c r="F652" s="1" t="s">
        <v>15</v>
      </c>
      <c r="G652" s="10" t="s">
        <v>20</v>
      </c>
      <c r="H652" s="1" t="s">
        <v>17</v>
      </c>
      <c r="I652" s="21" t="s">
        <v>1069</v>
      </c>
      <c r="J652" s="18">
        <v>755.02905519001797</v>
      </c>
      <c r="K652" s="18">
        <f>VLOOKUP(A652,[1]Export!$A:$C,3,0)</f>
        <v>384.18</v>
      </c>
      <c r="L652" s="19">
        <f t="shared" si="20"/>
        <v>0.50882810053357952</v>
      </c>
      <c r="M652" s="18">
        <f>VLOOKUP(A652,[1]Export!$A:$G,7,0)</f>
        <v>0</v>
      </c>
      <c r="N652" s="19">
        <f t="shared" si="21"/>
        <v>0</v>
      </c>
      <c r="O652" s="17"/>
      <c r="P652" s="17"/>
      <c r="Q652" s="17"/>
      <c r="R652" s="17" t="str">
        <f>VLOOKUP(A652,[2]Export!$A:$I,9,0)</f>
        <v>Não Comprou</v>
      </c>
      <c r="S652" s="17"/>
      <c r="T652" s="20"/>
      <c r="U652" s="17"/>
    </row>
    <row r="653" spans="1:21" x14ac:dyDescent="0.35">
      <c r="A653" s="5">
        <v>38872460000182</v>
      </c>
      <c r="B653" s="7" t="s">
        <v>308</v>
      </c>
      <c r="C653" s="4">
        <v>153614</v>
      </c>
      <c r="D653" s="6" t="s">
        <v>308</v>
      </c>
      <c r="E653" s="6" t="s">
        <v>166</v>
      </c>
      <c r="F653" s="6" t="s">
        <v>8</v>
      </c>
      <c r="G653" s="11" t="s">
        <v>74</v>
      </c>
      <c r="H653" s="6" t="s">
        <v>17</v>
      </c>
      <c r="I653" s="21" t="s">
        <v>1070</v>
      </c>
      <c r="J653" s="18">
        <v>6207.4491525196781</v>
      </c>
      <c r="K653" s="18">
        <f>VLOOKUP(A653,[1]Export!$A:$C,3,0)</f>
        <v>8710.5400000000027</v>
      </c>
      <c r="L653" s="19">
        <f t="shared" ref="L653:L716" si="22">K653/J653</f>
        <v>1.4032398471543324</v>
      </c>
      <c r="M653" s="18">
        <f>VLOOKUP(A653,[1]Export!$A:$G,7,0)</f>
        <v>10161.209999999999</v>
      </c>
      <c r="N653" s="19">
        <f t="shared" ref="N653:N716" si="23">M653/J653</f>
        <v>1.6369380965247926</v>
      </c>
      <c r="O653" s="17" t="s">
        <v>1029</v>
      </c>
      <c r="P653" s="17" t="s">
        <v>1026</v>
      </c>
      <c r="Q653" s="17" t="s">
        <v>1022</v>
      </c>
      <c r="R653" s="17" t="str">
        <f>VLOOKUP(A653,[2]Export!$A:$I,9,0)</f>
        <v>Comprou Marcas e SG</v>
      </c>
      <c r="S653" s="17" t="s">
        <v>1022</v>
      </c>
      <c r="T653" s="20"/>
      <c r="U653" s="17"/>
    </row>
    <row r="654" spans="1:21" x14ac:dyDescent="0.35">
      <c r="A654" s="4">
        <v>41196111000100</v>
      </c>
      <c r="B654" s="7"/>
      <c r="C654" s="4"/>
      <c r="D654" s="1" t="s">
        <v>616</v>
      </c>
      <c r="E654" s="1" t="s">
        <v>19</v>
      </c>
      <c r="F654" s="1" t="s">
        <v>15</v>
      </c>
      <c r="G654" s="10" t="s">
        <v>36</v>
      </c>
      <c r="H654" s="1" t="s">
        <v>17</v>
      </c>
      <c r="I654" s="21" t="s">
        <v>1069</v>
      </c>
      <c r="J654" s="18">
        <v>3813.6797737231977</v>
      </c>
      <c r="K654" s="18">
        <f>VLOOKUP(A654,[1]Export!$A:$C,3,0)</f>
        <v>819.19</v>
      </c>
      <c r="L654" s="19">
        <f t="shared" si="22"/>
        <v>0.21480303764472755</v>
      </c>
      <c r="M654" s="18">
        <f>VLOOKUP(A654,[1]Export!$A:$G,7,0)</f>
        <v>0</v>
      </c>
      <c r="N654" s="19">
        <f t="shared" si="23"/>
        <v>0</v>
      </c>
      <c r="O654" s="17"/>
      <c r="P654" s="17"/>
      <c r="Q654" s="17"/>
      <c r="R654" s="17" t="str">
        <f>VLOOKUP(A654,[2]Export!$A:$I,9,0)</f>
        <v>Não Comprou</v>
      </c>
      <c r="S654" s="17"/>
      <c r="T654" s="20"/>
      <c r="U654" s="17"/>
    </row>
    <row r="655" spans="1:21" x14ac:dyDescent="0.35">
      <c r="A655" s="5">
        <v>55283212000115</v>
      </c>
      <c r="B655" s="7"/>
      <c r="C655" s="4"/>
      <c r="D655" s="6" t="s">
        <v>698</v>
      </c>
      <c r="E655" s="6" t="s">
        <v>699</v>
      </c>
      <c r="F655" s="6" t="s">
        <v>48</v>
      </c>
      <c r="G655" s="11" t="s">
        <v>103</v>
      </c>
      <c r="H655" s="6" t="s">
        <v>17</v>
      </c>
      <c r="I655" s="21" t="s">
        <v>1073</v>
      </c>
      <c r="J655" s="18">
        <v>4184.4284808221228</v>
      </c>
      <c r="K655" s="18">
        <f>VLOOKUP(A655,[1]Export!$A:$C,3,0)</f>
        <v>1233.3500000000001</v>
      </c>
      <c r="L655" s="19">
        <f t="shared" si="22"/>
        <v>0.29474753975426565</v>
      </c>
      <c r="M655" s="18">
        <f>VLOOKUP(A655,[1]Export!$A:$G,7,0)</f>
        <v>0</v>
      </c>
      <c r="N655" s="19">
        <f t="shared" si="23"/>
        <v>0</v>
      </c>
      <c r="O655" s="17"/>
      <c r="P655" s="17"/>
      <c r="Q655" s="17"/>
      <c r="R655" s="17" t="str">
        <f>VLOOKUP(A655,[2]Export!$A:$I,9,0)</f>
        <v>Não Comprou</v>
      </c>
      <c r="S655" s="17"/>
      <c r="T655" s="20"/>
      <c r="U655" s="17"/>
    </row>
    <row r="656" spans="1:21" x14ac:dyDescent="0.35">
      <c r="A656" s="4">
        <v>8821476000103</v>
      </c>
      <c r="B656" s="7"/>
      <c r="C656" s="4"/>
      <c r="D656" s="1" t="s">
        <v>700</v>
      </c>
      <c r="E656" s="1" t="s">
        <v>14</v>
      </c>
      <c r="F656" s="1" t="s">
        <v>15</v>
      </c>
      <c r="G656" s="10" t="s">
        <v>20</v>
      </c>
      <c r="H656" s="1" t="s">
        <v>17</v>
      </c>
      <c r="I656" s="21" t="s">
        <v>1069</v>
      </c>
      <c r="J656" s="18">
        <v>4152.3570436110786</v>
      </c>
      <c r="K656" s="18">
        <f>VLOOKUP(A656,[1]Export!$A:$C,3,0)</f>
        <v>1300.81</v>
      </c>
      <c r="L656" s="19">
        <f t="shared" si="22"/>
        <v>0.31327026706469258</v>
      </c>
      <c r="M656" s="18">
        <f>VLOOKUP(A656,[1]Export!$A:$G,7,0)</f>
        <v>395.6</v>
      </c>
      <c r="N656" s="19">
        <f t="shared" si="23"/>
        <v>9.5271190758675281E-2</v>
      </c>
      <c r="O656" s="17" t="s">
        <v>1029</v>
      </c>
      <c r="P656" s="17" t="s">
        <v>1026</v>
      </c>
      <c r="Q656" s="17" t="s">
        <v>1022</v>
      </c>
      <c r="R656" s="17" t="str">
        <f>VLOOKUP(A656,[2]Export!$A:$I,9,0)</f>
        <v>Comprou Marcas</v>
      </c>
      <c r="S656" s="17" t="s">
        <v>1023</v>
      </c>
      <c r="T656" s="20"/>
      <c r="U656" s="17"/>
    </row>
    <row r="657" spans="1:21" x14ac:dyDescent="0.35">
      <c r="A657" s="5">
        <v>9115230000170</v>
      </c>
      <c r="B657" s="7"/>
      <c r="C657" s="4"/>
      <c r="D657" s="6" t="s">
        <v>701</v>
      </c>
      <c r="E657" s="6" t="s">
        <v>354</v>
      </c>
      <c r="F657" s="6" t="s">
        <v>48</v>
      </c>
      <c r="G657" s="11" t="s">
        <v>80</v>
      </c>
      <c r="H657" s="6" t="s">
        <v>17</v>
      </c>
      <c r="I657" s="21" t="s">
        <v>1075</v>
      </c>
      <c r="J657" s="18">
        <v>4326.4751219144609</v>
      </c>
      <c r="K657" s="18">
        <f>VLOOKUP(A657,[1]Export!$A:$C,3,0)</f>
        <v>1165.8800000000001</v>
      </c>
      <c r="L657" s="19">
        <f t="shared" si="22"/>
        <v>0.26947572033746015</v>
      </c>
      <c r="M657" s="18">
        <f>VLOOKUP(A657,[1]Export!$A:$G,7,0)</f>
        <v>0</v>
      </c>
      <c r="N657" s="19">
        <f t="shared" si="23"/>
        <v>0</v>
      </c>
      <c r="O657" s="17" t="s">
        <v>1025</v>
      </c>
      <c r="P657" s="17" t="s">
        <v>1026</v>
      </c>
      <c r="Q657" s="17" t="s">
        <v>1022</v>
      </c>
      <c r="R657" s="17" t="str">
        <f>VLOOKUP(A657,[2]Export!$A:$I,9,0)</f>
        <v>Não Comprou</v>
      </c>
      <c r="S657" s="17" t="s">
        <v>1023</v>
      </c>
      <c r="T657" s="20"/>
      <c r="U657" s="17"/>
    </row>
    <row r="658" spans="1:21" x14ac:dyDescent="0.35">
      <c r="A658" s="4">
        <v>9496232000319</v>
      </c>
      <c r="B658" s="7"/>
      <c r="C658" s="4"/>
      <c r="D658" s="1" t="s">
        <v>702</v>
      </c>
      <c r="E658" s="1" t="s">
        <v>474</v>
      </c>
      <c r="F658" s="1" t="s">
        <v>8</v>
      </c>
      <c r="G658" s="10" t="s">
        <v>279</v>
      </c>
      <c r="H658" s="1" t="s">
        <v>17</v>
      </c>
      <c r="I658" s="21" t="s">
        <v>1068</v>
      </c>
      <c r="J658" s="18">
        <v>5322.3223908754489</v>
      </c>
      <c r="K658" s="18">
        <f>VLOOKUP(A658,[1]Export!$A:$C,3,0)</f>
        <v>219.5</v>
      </c>
      <c r="L658" s="19">
        <f t="shared" si="22"/>
        <v>4.1241394992589928E-2</v>
      </c>
      <c r="M658" s="18">
        <f>VLOOKUP(A658,[1]Export!$A:$G,7,0)</f>
        <v>91.61</v>
      </c>
      <c r="N658" s="19">
        <f t="shared" si="23"/>
        <v>1.72124109123971E-2</v>
      </c>
      <c r="O658" s="17" t="s">
        <v>1029</v>
      </c>
      <c r="P658" s="17" t="s">
        <v>1026</v>
      </c>
      <c r="Q658" s="17" t="s">
        <v>1022</v>
      </c>
      <c r="R658" s="17" t="str">
        <f>VLOOKUP(A658,[2]Export!$A:$I,9,0)</f>
        <v>Comprou Marcas</v>
      </c>
      <c r="S658" s="17" t="s">
        <v>1022</v>
      </c>
      <c r="T658" s="20"/>
      <c r="U658" s="17"/>
    </row>
    <row r="659" spans="1:21" x14ac:dyDescent="0.35">
      <c r="A659" s="5">
        <v>9607825000143</v>
      </c>
      <c r="B659" s="7"/>
      <c r="C659" s="4"/>
      <c r="D659" s="6" t="s">
        <v>703</v>
      </c>
      <c r="E659" s="6" t="s">
        <v>152</v>
      </c>
      <c r="F659" s="6" t="s">
        <v>8</v>
      </c>
      <c r="G659" s="11" t="s">
        <v>20</v>
      </c>
      <c r="H659" s="6" t="s">
        <v>17</v>
      </c>
      <c r="I659" s="21" t="s">
        <v>1070</v>
      </c>
      <c r="J659" s="18">
        <v>512.20382468211551</v>
      </c>
      <c r="K659" s="18">
        <f>VLOOKUP(A659,[1]Export!$A:$C,3,0)</f>
        <v>29.8</v>
      </c>
      <c r="L659" s="19">
        <f t="shared" si="22"/>
        <v>5.8179963842508418E-2</v>
      </c>
      <c r="M659" s="18">
        <f>VLOOKUP(A659,[1]Export!$A:$G,7,0)</f>
        <v>0</v>
      </c>
      <c r="N659" s="19">
        <f t="shared" si="23"/>
        <v>0</v>
      </c>
      <c r="O659" s="17" t="s">
        <v>1025</v>
      </c>
      <c r="P659" s="17" t="s">
        <v>1026</v>
      </c>
      <c r="Q659" s="17" t="s">
        <v>1023</v>
      </c>
      <c r="R659" s="17" t="str">
        <f>VLOOKUP(A659,[2]Export!$A:$I,9,0)</f>
        <v>Não Comprou</v>
      </c>
      <c r="S659" s="17" t="s">
        <v>1023</v>
      </c>
      <c r="T659" s="20"/>
      <c r="U659" s="17"/>
    </row>
    <row r="660" spans="1:21" x14ac:dyDescent="0.35">
      <c r="A660" s="4">
        <v>9433797000195</v>
      </c>
      <c r="B660" s="7"/>
      <c r="C660" s="4"/>
      <c r="D660" s="1" t="s">
        <v>704</v>
      </c>
      <c r="E660" s="1" t="s">
        <v>216</v>
      </c>
      <c r="F660" s="1" t="s">
        <v>15</v>
      </c>
      <c r="G660" s="10" t="s">
        <v>103</v>
      </c>
      <c r="H660" s="1" t="s">
        <v>17</v>
      </c>
      <c r="I660" s="21" t="s">
        <v>1075</v>
      </c>
      <c r="J660" s="18">
        <v>11081.78194013581</v>
      </c>
      <c r="K660" s="18">
        <f>VLOOKUP(A660,[1]Export!$A:$C,3,0)</f>
        <v>4042.4800000000005</v>
      </c>
      <c r="L660" s="19">
        <f t="shared" si="22"/>
        <v>0.3647860986470971</v>
      </c>
      <c r="M660" s="18">
        <f>VLOOKUP(A660,[1]Export!$A:$G,7,0)</f>
        <v>3484.4100000000003</v>
      </c>
      <c r="N660" s="19">
        <f t="shared" si="23"/>
        <v>0.31442686914639811</v>
      </c>
      <c r="O660" s="17" t="s">
        <v>1025</v>
      </c>
      <c r="P660" s="17" t="s">
        <v>1026</v>
      </c>
      <c r="Q660" s="17" t="s">
        <v>1023</v>
      </c>
      <c r="R660" s="17" t="str">
        <f>VLOOKUP(A660,[2]Export!$A:$I,9,0)</f>
        <v>Comprou Marcas</v>
      </c>
      <c r="S660" s="17" t="s">
        <v>1023</v>
      </c>
      <c r="T660" s="20"/>
      <c r="U660" s="17"/>
    </row>
    <row r="661" spans="1:21" x14ac:dyDescent="0.35">
      <c r="A661" s="5">
        <v>9496232000238</v>
      </c>
      <c r="B661" s="7"/>
      <c r="C661" s="4"/>
      <c r="D661" s="6" t="s">
        <v>702</v>
      </c>
      <c r="E661" s="6" t="s">
        <v>474</v>
      </c>
      <c r="F661" s="6" t="s">
        <v>8</v>
      </c>
      <c r="G661" s="11" t="s">
        <v>279</v>
      </c>
      <c r="H661" s="6" t="s">
        <v>17</v>
      </c>
      <c r="I661" s="21" t="s">
        <v>1068</v>
      </c>
      <c r="J661" s="18">
        <v>7204.2443582709921</v>
      </c>
      <c r="K661" s="18">
        <f>VLOOKUP(A661,[1]Export!$A:$C,3,0)</f>
        <v>1225.75</v>
      </c>
      <c r="L661" s="19">
        <f t="shared" si="22"/>
        <v>0.17014275738617202</v>
      </c>
      <c r="M661" s="18">
        <f>VLOOKUP(A661,[1]Export!$A:$G,7,0)</f>
        <v>1084.8600000000001</v>
      </c>
      <c r="N661" s="19">
        <f t="shared" si="23"/>
        <v>0.15058623028999601</v>
      </c>
      <c r="O661" s="17" t="s">
        <v>1029</v>
      </c>
      <c r="P661" s="17" t="s">
        <v>1026</v>
      </c>
      <c r="Q661" s="17" t="s">
        <v>1022</v>
      </c>
      <c r="R661" s="17" t="str">
        <f>VLOOKUP(A661,[2]Export!$A:$I,9,0)</f>
        <v>Comprou Marcas</v>
      </c>
      <c r="S661" s="17" t="s">
        <v>1022</v>
      </c>
      <c r="T661" s="20">
        <v>4</v>
      </c>
      <c r="U661" s="17"/>
    </row>
    <row r="662" spans="1:21" x14ac:dyDescent="0.35">
      <c r="A662" s="4">
        <v>1678322000157</v>
      </c>
      <c r="B662" s="7"/>
      <c r="C662" s="4"/>
      <c r="D662" s="1" t="s">
        <v>25</v>
      </c>
      <c r="E662" s="1" t="s">
        <v>26</v>
      </c>
      <c r="F662" s="1" t="s">
        <v>8</v>
      </c>
      <c r="G662" s="10" t="s">
        <v>9</v>
      </c>
      <c r="H662" s="1" t="s">
        <v>10</v>
      </c>
      <c r="I662" s="21" t="s">
        <v>1068</v>
      </c>
      <c r="J662" s="18">
        <v>7836.4485258110672</v>
      </c>
      <c r="K662" s="18">
        <f>VLOOKUP(A662,[1]Export!$A:$C,3,0)</f>
        <v>1829.5700000000004</v>
      </c>
      <c r="L662" s="19">
        <f t="shared" si="22"/>
        <v>0.23346928062806885</v>
      </c>
      <c r="M662" s="18">
        <f>VLOOKUP(A662,[1]Export!$A:$G,7,0)</f>
        <v>4114.67</v>
      </c>
      <c r="N662" s="19">
        <f t="shared" si="23"/>
        <v>0.52506820997387138</v>
      </c>
      <c r="O662" s="17" t="s">
        <v>1027</v>
      </c>
      <c r="P662" s="17" t="s">
        <v>1028</v>
      </c>
      <c r="Q662" s="17" t="s">
        <v>1023</v>
      </c>
      <c r="R662" s="17" t="str">
        <f>VLOOKUP(A662,[2]Export!$A:$I,9,0)</f>
        <v>Comprou Marcas</v>
      </c>
      <c r="S662" s="17" t="s">
        <v>1022</v>
      </c>
      <c r="T662" s="20"/>
      <c r="U662" s="17"/>
    </row>
    <row r="663" spans="1:21" x14ac:dyDescent="0.35">
      <c r="A663" s="5">
        <v>32162131000161</v>
      </c>
      <c r="B663" s="7"/>
      <c r="C663" s="4"/>
      <c r="D663" s="6" t="s">
        <v>151</v>
      </c>
      <c r="E663" s="6" t="s">
        <v>152</v>
      </c>
      <c r="F663" s="6" t="s">
        <v>8</v>
      </c>
      <c r="G663" s="11" t="s">
        <v>9</v>
      </c>
      <c r="H663" s="6" t="s">
        <v>10</v>
      </c>
      <c r="I663" s="21" t="s">
        <v>1070</v>
      </c>
      <c r="J663" s="18">
        <v>12946.150585468897</v>
      </c>
      <c r="K663" s="18">
        <f>VLOOKUP(A663,[1]Export!$A:$C,3,0)</f>
        <v>4443.6400000000003</v>
      </c>
      <c r="L663" s="19">
        <f t="shared" si="22"/>
        <v>0.34324025281983511</v>
      </c>
      <c r="M663" s="18">
        <f>VLOOKUP(A663,[1]Export!$A:$G,7,0)</f>
        <v>3036.24</v>
      </c>
      <c r="N663" s="19">
        <f t="shared" si="23"/>
        <v>0.23452840131551969</v>
      </c>
      <c r="O663" s="17" t="s">
        <v>1027</v>
      </c>
      <c r="P663" s="17" t="s">
        <v>1028</v>
      </c>
      <c r="Q663" s="17" t="s">
        <v>1023</v>
      </c>
      <c r="R663" s="17" t="str">
        <f>VLOOKUP(A663,[2]Export!$A:$I,9,0)</f>
        <v>Comprou Marcas</v>
      </c>
      <c r="S663" s="17" t="s">
        <v>1022</v>
      </c>
      <c r="T663" s="20"/>
      <c r="U663" s="17"/>
    </row>
    <row r="664" spans="1:21" x14ac:dyDescent="0.35">
      <c r="A664" s="4">
        <v>8856967000343</v>
      </c>
      <c r="B664" s="7"/>
      <c r="C664" s="4"/>
      <c r="D664" s="1" t="s">
        <v>480</v>
      </c>
      <c r="E664" s="1" t="s">
        <v>35</v>
      </c>
      <c r="F664" s="1" t="s">
        <v>8</v>
      </c>
      <c r="G664" s="10" t="s">
        <v>64</v>
      </c>
      <c r="H664" s="1" t="s">
        <v>17</v>
      </c>
      <c r="I664" s="21" t="s">
        <v>1072</v>
      </c>
      <c r="J664" s="18">
        <v>7354.8853372779786</v>
      </c>
      <c r="K664" s="18">
        <f>VLOOKUP(A664,[1]Export!$A:$C,3,0)</f>
        <v>2004.73</v>
      </c>
      <c r="L664" s="19">
        <f t="shared" si="22"/>
        <v>0.27257121057198491</v>
      </c>
      <c r="M664" s="18">
        <f>VLOOKUP(A664,[1]Export!$A:$G,7,0)</f>
        <v>0</v>
      </c>
      <c r="N664" s="19">
        <f t="shared" si="23"/>
        <v>0</v>
      </c>
      <c r="O664" s="17" t="s">
        <v>1025</v>
      </c>
      <c r="P664" s="17" t="s">
        <v>1026</v>
      </c>
      <c r="Q664" s="17" t="s">
        <v>1023</v>
      </c>
      <c r="R664" s="17" t="str">
        <f>VLOOKUP(A664,[2]Export!$A:$I,9,0)</f>
        <v>Não Comprou</v>
      </c>
      <c r="S664" s="17" t="s">
        <v>1022</v>
      </c>
      <c r="T664" s="20"/>
      <c r="U664" s="17"/>
    </row>
    <row r="665" spans="1:21" x14ac:dyDescent="0.35">
      <c r="A665" s="5">
        <v>9272038000198</v>
      </c>
      <c r="B665" s="7"/>
      <c r="C665" s="4"/>
      <c r="D665" s="6" t="s">
        <v>707</v>
      </c>
      <c r="E665" s="6" t="s">
        <v>82</v>
      </c>
      <c r="F665" s="6" t="s">
        <v>8</v>
      </c>
      <c r="G665" s="11" t="s">
        <v>16</v>
      </c>
      <c r="H665" s="6" t="s">
        <v>17</v>
      </c>
      <c r="I665" s="21" t="s">
        <v>1072</v>
      </c>
      <c r="J665" s="18">
        <v>5665.5810128856174</v>
      </c>
      <c r="K665" s="18">
        <f>VLOOKUP(A665,[1]Export!$A:$C,3,0)</f>
        <v>1889.2399999999998</v>
      </c>
      <c r="L665" s="19">
        <f t="shared" si="22"/>
        <v>0.33345918021526344</v>
      </c>
      <c r="M665" s="18">
        <f>VLOOKUP(A665,[1]Export!$A:$G,7,0)</f>
        <v>1941.2600000000002</v>
      </c>
      <c r="N665" s="19">
        <f t="shared" si="23"/>
        <v>0.34264093931140693</v>
      </c>
      <c r="O665" s="17" t="s">
        <v>1031</v>
      </c>
      <c r="P665" s="17" t="s">
        <v>1026</v>
      </c>
      <c r="Q665" s="17" t="s">
        <v>1023</v>
      </c>
      <c r="R665" s="17" t="str">
        <f>VLOOKUP(A665,[2]Export!$A:$I,9,0)</f>
        <v>Comprou Marcas</v>
      </c>
      <c r="S665" s="17" t="s">
        <v>1022</v>
      </c>
      <c r="T665" s="20"/>
      <c r="U665" s="17"/>
    </row>
    <row r="666" spans="1:21" x14ac:dyDescent="0.35">
      <c r="A666" s="4">
        <v>27769234000154</v>
      </c>
      <c r="B666" s="7"/>
      <c r="C666" s="4"/>
      <c r="D666" s="1" t="s">
        <v>25</v>
      </c>
      <c r="E666" s="1" t="s">
        <v>122</v>
      </c>
      <c r="F666" s="1" t="s">
        <v>8</v>
      </c>
      <c r="G666" s="10" t="s">
        <v>9</v>
      </c>
      <c r="H666" s="1" t="s">
        <v>10</v>
      </c>
      <c r="I666" s="21" t="s">
        <v>1068</v>
      </c>
      <c r="J666" s="18">
        <v>10993.01560772956</v>
      </c>
      <c r="K666" s="18">
        <f>VLOOKUP(A666,[1]Export!$A:$C,3,0)</f>
        <v>4516.26</v>
      </c>
      <c r="L666" s="19">
        <f t="shared" si="22"/>
        <v>0.41082994522671884</v>
      </c>
      <c r="M666" s="18">
        <f>VLOOKUP(A666,[1]Export!$A:$G,7,0)</f>
        <v>4676.5500000000011</v>
      </c>
      <c r="N666" s="19">
        <f t="shared" si="23"/>
        <v>0.42541102158644817</v>
      </c>
      <c r="O666" s="17" t="s">
        <v>1027</v>
      </c>
      <c r="P666" s="17" t="s">
        <v>1028</v>
      </c>
      <c r="Q666" s="17" t="s">
        <v>1023</v>
      </c>
      <c r="R666" s="17" t="str">
        <f>VLOOKUP(A666,[2]Export!$A:$I,9,0)</f>
        <v>Comprou Marcas e SG</v>
      </c>
      <c r="S666" s="17" t="s">
        <v>1022</v>
      </c>
      <c r="T666" s="20"/>
      <c r="U666" s="17"/>
    </row>
    <row r="667" spans="1:21" x14ac:dyDescent="0.35">
      <c r="A667" s="4">
        <v>9492647000152</v>
      </c>
      <c r="B667" s="7"/>
      <c r="C667" s="4"/>
      <c r="D667" s="1" t="s">
        <v>104</v>
      </c>
      <c r="E667" s="1" t="s">
        <v>219</v>
      </c>
      <c r="F667" s="1" t="s">
        <v>8</v>
      </c>
      <c r="G667" s="10" t="s">
        <v>9</v>
      </c>
      <c r="H667" s="1" t="s">
        <v>10</v>
      </c>
      <c r="I667" s="21" t="s">
        <v>1072</v>
      </c>
      <c r="J667" s="18">
        <v>23813.550620309437</v>
      </c>
      <c r="K667" s="18">
        <f>VLOOKUP(A667,[1]Export!$A:$C,3,0)</f>
        <v>11470.12</v>
      </c>
      <c r="L667" s="19">
        <f t="shared" si="22"/>
        <v>0.48166357814015709</v>
      </c>
      <c r="M667" s="18">
        <f>VLOOKUP(A667,[1]Export!$A:$G,7,0)</f>
        <v>17517.48</v>
      </c>
      <c r="N667" s="19">
        <f t="shared" si="23"/>
        <v>0.73560974922656763</v>
      </c>
      <c r="O667" s="17" t="s">
        <v>1027</v>
      </c>
      <c r="P667" s="17" t="s">
        <v>1028</v>
      </c>
      <c r="Q667" s="17" t="s">
        <v>1023</v>
      </c>
      <c r="R667" s="17" t="str">
        <f>VLOOKUP(A667,[2]Export!$A:$I,9,0)</f>
        <v>Comprou Marcas</v>
      </c>
      <c r="S667" s="17" t="s">
        <v>1022</v>
      </c>
      <c r="T667" s="20"/>
      <c r="U667" s="17"/>
    </row>
    <row r="668" spans="1:21" x14ac:dyDescent="0.35">
      <c r="A668" s="4">
        <v>11964668000175</v>
      </c>
      <c r="B668" s="7"/>
      <c r="C668" s="4"/>
      <c r="D668" s="1" t="s">
        <v>708</v>
      </c>
      <c r="E668" s="1" t="s">
        <v>544</v>
      </c>
      <c r="F668" s="1" t="s">
        <v>15</v>
      </c>
      <c r="G668" s="10" t="s">
        <v>16</v>
      </c>
      <c r="H668" s="1" t="s">
        <v>17</v>
      </c>
      <c r="I668" s="21" t="s">
        <v>1075</v>
      </c>
      <c r="J668" s="18">
        <v>1598.3417616929667</v>
      </c>
      <c r="K668" s="18">
        <f>VLOOKUP(A668,[1]Export!$A:$C,3,0)</f>
        <v>908.37</v>
      </c>
      <c r="L668" s="19">
        <f t="shared" si="22"/>
        <v>0.5683202565125075</v>
      </c>
      <c r="M668" s="18">
        <f>VLOOKUP(A668,[1]Export!$A:$G,7,0)</f>
        <v>0</v>
      </c>
      <c r="N668" s="19">
        <f t="shared" si="23"/>
        <v>0</v>
      </c>
      <c r="O668" s="17" t="s">
        <v>1029</v>
      </c>
      <c r="P668" s="17" t="s">
        <v>1026</v>
      </c>
      <c r="Q668" s="17" t="s">
        <v>1022</v>
      </c>
      <c r="R668" s="17" t="str">
        <f>VLOOKUP(A668,[2]Export!$A:$I,9,0)</f>
        <v>Não Comprou</v>
      </c>
      <c r="S668" s="17" t="s">
        <v>1023</v>
      </c>
      <c r="T668" s="20"/>
      <c r="U668" s="17"/>
    </row>
    <row r="669" spans="1:21" x14ac:dyDescent="0.35">
      <c r="A669" s="5">
        <v>13938314000262</v>
      </c>
      <c r="B669" s="7" t="s">
        <v>997</v>
      </c>
      <c r="C669" s="4"/>
      <c r="D669" s="6" t="s">
        <v>247</v>
      </c>
      <c r="E669" s="6" t="s">
        <v>14</v>
      </c>
      <c r="F669" s="6" t="s">
        <v>15</v>
      </c>
      <c r="G669" s="11" t="s">
        <v>9</v>
      </c>
      <c r="H669" s="6" t="s">
        <v>10</v>
      </c>
      <c r="I669" s="21" t="s">
        <v>1069</v>
      </c>
      <c r="J669" s="18">
        <v>4501.1340202046877</v>
      </c>
      <c r="K669" s="18">
        <f>VLOOKUP(A669,[1]Export!$A:$C,3,0)</f>
        <v>1640.24</v>
      </c>
      <c r="L669" s="19">
        <f t="shared" si="22"/>
        <v>0.36440594584326785</v>
      </c>
      <c r="M669" s="18">
        <f>VLOOKUP(A669,[1]Export!$A:$G,7,0)</f>
        <v>1087.56</v>
      </c>
      <c r="N669" s="19">
        <f t="shared" si="23"/>
        <v>0.24161911089920035</v>
      </c>
      <c r="O669" s="17" t="s">
        <v>1027</v>
      </c>
      <c r="P669" s="17" t="s">
        <v>1028</v>
      </c>
      <c r="Q669" s="17" t="s">
        <v>1023</v>
      </c>
      <c r="R669" s="17" t="str">
        <f>VLOOKUP(A669,[2]Export!$A:$I,9,0)</f>
        <v>Comprou Marcas</v>
      </c>
      <c r="S669" s="17" t="s">
        <v>1022</v>
      </c>
      <c r="T669" s="20"/>
      <c r="U669" s="17"/>
    </row>
    <row r="670" spans="1:21" x14ac:dyDescent="0.35">
      <c r="A670" s="4">
        <v>29710511000189</v>
      </c>
      <c r="B670" s="7"/>
      <c r="C670" s="4"/>
      <c r="D670" s="1" t="s">
        <v>709</v>
      </c>
      <c r="E670" s="1" t="s">
        <v>35</v>
      </c>
      <c r="F670" s="1" t="s">
        <v>8</v>
      </c>
      <c r="G670" s="10" t="s">
        <v>279</v>
      </c>
      <c r="H670" s="1" t="s">
        <v>17</v>
      </c>
      <c r="I670" s="21" t="s">
        <v>1072</v>
      </c>
      <c r="J670" s="18">
        <v>4856.2176635139431</v>
      </c>
      <c r="K670" s="18">
        <f>VLOOKUP(A670,[1]Export!$A:$C,3,0)</f>
        <v>174.74</v>
      </c>
      <c r="L670" s="19">
        <f t="shared" si="22"/>
        <v>3.5982736382034142E-2</v>
      </c>
      <c r="M670" s="18">
        <f>VLOOKUP(A670,[1]Export!$A:$G,7,0)</f>
        <v>0</v>
      </c>
      <c r="N670" s="19">
        <f t="shared" si="23"/>
        <v>0</v>
      </c>
      <c r="O670" s="17" t="s">
        <v>1025</v>
      </c>
      <c r="P670" s="17" t="s">
        <v>1026</v>
      </c>
      <c r="Q670" s="17" t="s">
        <v>1023</v>
      </c>
      <c r="R670" s="17" t="str">
        <f>VLOOKUP(A670,[2]Export!$A:$I,9,0)</f>
        <v>Não Comprou</v>
      </c>
      <c r="S670" s="17" t="s">
        <v>1022</v>
      </c>
      <c r="T670" s="20"/>
      <c r="U670" s="17"/>
    </row>
    <row r="671" spans="1:21" x14ac:dyDescent="0.35">
      <c r="A671" s="5">
        <v>33184266000271</v>
      </c>
      <c r="B671" s="7"/>
      <c r="C671" s="4"/>
      <c r="D671" s="6" t="s">
        <v>471</v>
      </c>
      <c r="E671" s="6" t="s">
        <v>710</v>
      </c>
      <c r="F671" s="6" t="s">
        <v>8</v>
      </c>
      <c r="G671" s="11" t="s">
        <v>20</v>
      </c>
      <c r="H671" s="6" t="s">
        <v>17</v>
      </c>
      <c r="I671" s="21" t="s">
        <v>1072</v>
      </c>
      <c r="J671" s="18">
        <v>5147.1140701712256</v>
      </c>
      <c r="K671" s="18">
        <f>VLOOKUP(A671,[1]Export!$A:$C,3,0)</f>
        <v>3145.51</v>
      </c>
      <c r="L671" s="19">
        <f t="shared" si="22"/>
        <v>0.61112109759311406</v>
      </c>
      <c r="M671" s="18">
        <f>VLOOKUP(A671,[1]Export!$A:$G,7,0)</f>
        <v>4734.9399999999996</v>
      </c>
      <c r="N671" s="19">
        <f t="shared" si="23"/>
        <v>0.91992132590185349</v>
      </c>
      <c r="O671" s="17" t="s">
        <v>1025</v>
      </c>
      <c r="P671" s="17" t="s">
        <v>1026</v>
      </c>
      <c r="Q671" s="17" t="s">
        <v>1023</v>
      </c>
      <c r="R671" s="17" t="str">
        <f>VLOOKUP(A671,[2]Export!$A:$I,9,0)</f>
        <v>Comprou Marcas</v>
      </c>
      <c r="S671" s="17" t="s">
        <v>1022</v>
      </c>
      <c r="T671" s="20"/>
      <c r="U671" s="17"/>
    </row>
    <row r="672" spans="1:21" x14ac:dyDescent="0.35">
      <c r="A672" s="4">
        <v>33964781000193</v>
      </c>
      <c r="B672" s="7"/>
      <c r="C672" s="4"/>
      <c r="D672" s="1" t="s">
        <v>711</v>
      </c>
      <c r="E672" s="1" t="s">
        <v>354</v>
      </c>
      <c r="F672" s="1" t="s">
        <v>48</v>
      </c>
      <c r="G672" s="10" t="s">
        <v>103</v>
      </c>
      <c r="H672" s="1" t="s">
        <v>17</v>
      </c>
      <c r="I672" s="21" t="s">
        <v>1075</v>
      </c>
      <c r="J672" s="18">
        <v>7421.1532234245515</v>
      </c>
      <c r="K672" s="18">
        <f>VLOOKUP(A672,[1]Export!$A:$C,3,0)</f>
        <v>3046.2</v>
      </c>
      <c r="L672" s="19">
        <f t="shared" si="22"/>
        <v>0.41047528710023129</v>
      </c>
      <c r="M672" s="18">
        <f>VLOOKUP(A672,[1]Export!$A:$G,7,0)</f>
        <v>0</v>
      </c>
      <c r="N672" s="19">
        <f t="shared" si="23"/>
        <v>0</v>
      </c>
      <c r="O672" s="17"/>
      <c r="P672" s="17"/>
      <c r="Q672" s="17"/>
      <c r="R672" s="17" t="str">
        <f>VLOOKUP(A672,[2]Export!$A:$I,9,0)</f>
        <v>Comprou SG</v>
      </c>
      <c r="S672" s="17"/>
      <c r="T672" s="20"/>
      <c r="U672" s="17"/>
    </row>
    <row r="673" spans="1:21" x14ac:dyDescent="0.35">
      <c r="A673" s="5">
        <v>35835186000183</v>
      </c>
      <c r="B673" s="7"/>
      <c r="C673" s="4"/>
      <c r="D673" s="6" t="s">
        <v>150</v>
      </c>
      <c r="E673" s="6" t="s">
        <v>71</v>
      </c>
      <c r="F673" s="6" t="s">
        <v>15</v>
      </c>
      <c r="G673" s="11" t="s">
        <v>33</v>
      </c>
      <c r="H673" s="6" t="s">
        <v>17</v>
      </c>
      <c r="I673" s="21" t="s">
        <v>1071</v>
      </c>
      <c r="J673" s="18">
        <v>2000.304745571533</v>
      </c>
      <c r="K673" s="18">
        <f>VLOOKUP(A673,[1]Export!$A:$C,3,0)</f>
        <v>926.52</v>
      </c>
      <c r="L673" s="19">
        <f t="shared" si="22"/>
        <v>0.4631894225373504</v>
      </c>
      <c r="M673" s="18">
        <f>VLOOKUP(A673,[1]Export!$A:$G,7,0)</f>
        <v>0</v>
      </c>
      <c r="N673" s="19">
        <f t="shared" si="23"/>
        <v>0</v>
      </c>
      <c r="O673" s="17" t="s">
        <v>1027</v>
      </c>
      <c r="P673" s="17" t="s">
        <v>1026</v>
      </c>
      <c r="Q673" s="17" t="s">
        <v>1023</v>
      </c>
      <c r="R673" s="17" t="str">
        <f>VLOOKUP(A673,[2]Export!$A:$I,9,0)</f>
        <v>Não Comprou</v>
      </c>
      <c r="S673" s="17" t="s">
        <v>1022</v>
      </c>
      <c r="T673" s="20"/>
      <c r="U673" s="17"/>
    </row>
    <row r="674" spans="1:21" x14ac:dyDescent="0.35">
      <c r="A674" s="4">
        <v>36199591000115</v>
      </c>
      <c r="B674" s="7"/>
      <c r="C674" s="4"/>
      <c r="D674" s="1" t="s">
        <v>712</v>
      </c>
      <c r="E674" s="1" t="s">
        <v>14</v>
      </c>
      <c r="F674" s="1" t="s">
        <v>15</v>
      </c>
      <c r="G674" s="10" t="s">
        <v>20</v>
      </c>
      <c r="H674" s="1" t="s">
        <v>17</v>
      </c>
      <c r="I674" s="21" t="s">
        <v>1069</v>
      </c>
      <c r="J674" s="18">
        <v>2480.0667032985402</v>
      </c>
      <c r="K674" s="18">
        <f>VLOOKUP(A674,[1]Export!$A:$C,3,0)</f>
        <v>1373.6000000000001</v>
      </c>
      <c r="L674" s="19">
        <f t="shared" si="22"/>
        <v>0.55385607095691558</v>
      </c>
      <c r="M674" s="18">
        <f>VLOOKUP(A674,[1]Export!$A:$G,7,0)</f>
        <v>1109.4100000000001</v>
      </c>
      <c r="N674" s="19">
        <f t="shared" si="23"/>
        <v>0.44733071030890487</v>
      </c>
      <c r="O674" s="17" t="s">
        <v>1025</v>
      </c>
      <c r="P674" s="17" t="s">
        <v>1026</v>
      </c>
      <c r="Q674" s="17" t="s">
        <v>1023</v>
      </c>
      <c r="R674" s="17" t="str">
        <f>VLOOKUP(A674,[2]Export!$A:$I,9,0)</f>
        <v>Comprou Marcas</v>
      </c>
      <c r="S674" s="17" t="s">
        <v>1022</v>
      </c>
      <c r="T674" s="20"/>
      <c r="U674" s="17"/>
    </row>
    <row r="675" spans="1:21" x14ac:dyDescent="0.35">
      <c r="A675" s="5">
        <v>21082444000274</v>
      </c>
      <c r="B675" s="7"/>
      <c r="C675" s="4"/>
      <c r="D675" s="6" t="s">
        <v>713</v>
      </c>
      <c r="E675" s="6" t="s">
        <v>32</v>
      </c>
      <c r="F675" s="6" t="s">
        <v>15</v>
      </c>
      <c r="G675" s="11" t="s">
        <v>36</v>
      </c>
      <c r="H675" s="6" t="s">
        <v>17</v>
      </c>
      <c r="I675" s="21" t="s">
        <v>1069</v>
      </c>
      <c r="J675" s="18">
        <v>1446.8688066987625</v>
      </c>
      <c r="K675" s="18">
        <f>VLOOKUP(A675,[1]Export!$A:$C,3,0)</f>
        <v>430.72999999999996</v>
      </c>
      <c r="L675" s="19">
        <f t="shared" si="22"/>
        <v>0.2976980345459046</v>
      </c>
      <c r="M675" s="18">
        <f>VLOOKUP(A675,[1]Export!$A:$G,7,0)</f>
        <v>462.21999999999997</v>
      </c>
      <c r="N675" s="19">
        <f t="shared" si="23"/>
        <v>0.3194622745752746</v>
      </c>
      <c r="O675" s="17" t="s">
        <v>1025</v>
      </c>
      <c r="P675" s="17" t="s">
        <v>1026</v>
      </c>
      <c r="Q675" s="17" t="s">
        <v>1022</v>
      </c>
      <c r="R675" s="17" t="str">
        <f>VLOOKUP(A675,[2]Export!$A:$I,9,0)</f>
        <v>Comprou Marcas</v>
      </c>
      <c r="S675" s="17" t="s">
        <v>1022</v>
      </c>
      <c r="T675" s="20"/>
      <c r="U675" s="17"/>
    </row>
    <row r="676" spans="1:21" x14ac:dyDescent="0.35">
      <c r="A676" s="4">
        <v>21082444000355</v>
      </c>
      <c r="B676" s="7"/>
      <c r="C676" s="4"/>
      <c r="D676" s="1" t="s">
        <v>471</v>
      </c>
      <c r="E676" s="1" t="s">
        <v>32</v>
      </c>
      <c r="F676" s="1" t="s">
        <v>15</v>
      </c>
      <c r="G676" s="10" t="s">
        <v>36</v>
      </c>
      <c r="H676" s="1" t="s">
        <v>17</v>
      </c>
      <c r="I676" s="21" t="s">
        <v>1069</v>
      </c>
      <c r="J676" s="18">
        <v>1075.5054574711828</v>
      </c>
      <c r="K676" s="18">
        <f>VLOOKUP(A676,[1]Export!$A:$C,3,0)</f>
        <v>988.42000000000007</v>
      </c>
      <c r="L676" s="19">
        <f t="shared" si="22"/>
        <v>0.91902834442519221</v>
      </c>
      <c r="M676" s="18">
        <f>VLOOKUP(A676,[1]Export!$A:$G,7,0)</f>
        <v>917.29</v>
      </c>
      <c r="N676" s="19">
        <f t="shared" si="23"/>
        <v>0.85289199941096339</v>
      </c>
      <c r="O676" s="17" t="s">
        <v>1025</v>
      </c>
      <c r="P676" s="17" t="s">
        <v>1026</v>
      </c>
      <c r="Q676" s="17" t="s">
        <v>1022</v>
      </c>
      <c r="R676" s="17" t="str">
        <f>VLOOKUP(A676,[2]Export!$A:$I,9,0)</f>
        <v>Comprou Marcas</v>
      </c>
      <c r="S676" s="17" t="s">
        <v>1022</v>
      </c>
      <c r="T676" s="20"/>
      <c r="U676" s="17"/>
    </row>
    <row r="677" spans="1:21" x14ac:dyDescent="0.35">
      <c r="A677" s="5">
        <v>49674943000199</v>
      </c>
      <c r="B677" s="7"/>
      <c r="C677" s="4"/>
      <c r="D677" s="6" t="s">
        <v>714</v>
      </c>
      <c r="E677" s="6" t="s">
        <v>94</v>
      </c>
      <c r="F677" s="6" t="s">
        <v>15</v>
      </c>
      <c r="G677" s="11" t="s">
        <v>20</v>
      </c>
      <c r="H677" s="6" t="s">
        <v>17</v>
      </c>
      <c r="I677" s="21" t="s">
        <v>1071</v>
      </c>
      <c r="J677" s="18">
        <v>2373.3354204323919</v>
      </c>
      <c r="K677" s="18">
        <f>VLOOKUP(A677,[1]Export!$A:$C,3,0)</f>
        <v>428.28999999999996</v>
      </c>
      <c r="L677" s="19">
        <f t="shared" si="22"/>
        <v>0.18045911096796041</v>
      </c>
      <c r="M677" s="18">
        <f>VLOOKUP(A677,[1]Export!$A:$G,7,0)</f>
        <v>119.08</v>
      </c>
      <c r="N677" s="19">
        <f t="shared" si="23"/>
        <v>5.0174113180472872E-2</v>
      </c>
      <c r="O677" s="17" t="s">
        <v>1025</v>
      </c>
      <c r="P677" s="17" t="s">
        <v>1026</v>
      </c>
      <c r="Q677" s="17" t="s">
        <v>1023</v>
      </c>
      <c r="R677" s="17" t="str">
        <f>VLOOKUP(A677,[2]Export!$A:$I,9,0)</f>
        <v>Comprou Marcas</v>
      </c>
      <c r="S677" s="17" t="s">
        <v>1023</v>
      </c>
      <c r="T677" s="20"/>
      <c r="U677" s="17"/>
    </row>
    <row r="678" spans="1:21" x14ac:dyDescent="0.35">
      <c r="A678" s="4">
        <v>65675078000232</v>
      </c>
      <c r="B678" s="7"/>
      <c r="C678" s="4"/>
      <c r="D678" s="1" t="s">
        <v>380</v>
      </c>
      <c r="E678" s="1" t="s">
        <v>14</v>
      </c>
      <c r="F678" s="1" t="s">
        <v>15</v>
      </c>
      <c r="G678" s="10" t="s">
        <v>20</v>
      </c>
      <c r="H678" s="1" t="s">
        <v>17</v>
      </c>
      <c r="I678" s="21" t="s">
        <v>1069</v>
      </c>
      <c r="J678" s="18">
        <v>489.35469433829854</v>
      </c>
      <c r="K678" s="18">
        <f>VLOOKUP(A678,[1]Export!$A:$C,3,0)</f>
        <v>766.57000000000016</v>
      </c>
      <c r="L678" s="19">
        <f t="shared" si="22"/>
        <v>1.5664915630094238</v>
      </c>
      <c r="M678" s="18">
        <f>VLOOKUP(A678,[1]Export!$A:$G,7,0)</f>
        <v>884.56999999999982</v>
      </c>
      <c r="N678" s="19">
        <f t="shared" si="23"/>
        <v>1.807625450893259</v>
      </c>
      <c r="O678" s="17"/>
      <c r="P678" s="17"/>
      <c r="Q678" s="17"/>
      <c r="R678" s="17" t="str">
        <f>VLOOKUP(A678,[2]Export!$A:$I,9,0)</f>
        <v>Comprou Marcas</v>
      </c>
      <c r="S678" s="17"/>
      <c r="T678" s="20"/>
      <c r="U678" s="17"/>
    </row>
    <row r="679" spans="1:21" x14ac:dyDescent="0.35">
      <c r="A679" s="5">
        <v>74413980000190</v>
      </c>
      <c r="B679" s="7"/>
      <c r="C679" s="4"/>
      <c r="D679" s="6" t="s">
        <v>715</v>
      </c>
      <c r="E679" s="6" t="s">
        <v>458</v>
      </c>
      <c r="F679" s="6" t="s">
        <v>48</v>
      </c>
      <c r="G679" s="11" t="s">
        <v>80</v>
      </c>
      <c r="H679" s="6" t="s">
        <v>17</v>
      </c>
      <c r="I679" s="21" t="s">
        <v>1075</v>
      </c>
      <c r="J679" s="18">
        <v>7652.5988944354558</v>
      </c>
      <c r="K679" s="18">
        <f>VLOOKUP(A679,[1]Export!$A:$C,3,0)</f>
        <v>938.17000000000007</v>
      </c>
      <c r="L679" s="19">
        <f t="shared" si="22"/>
        <v>0.1225949527659401</v>
      </c>
      <c r="M679" s="18">
        <f>VLOOKUP(A679,[1]Export!$A:$G,7,0)</f>
        <v>0</v>
      </c>
      <c r="N679" s="19">
        <f t="shared" si="23"/>
        <v>0</v>
      </c>
      <c r="O679" s="17" t="s">
        <v>1029</v>
      </c>
      <c r="P679" s="17" t="s">
        <v>1026</v>
      </c>
      <c r="Q679" s="17" t="s">
        <v>1022</v>
      </c>
      <c r="R679" s="17" t="str">
        <f>VLOOKUP(A679,[2]Export!$A:$I,9,0)</f>
        <v>Comprou SG</v>
      </c>
      <c r="S679" s="17" t="s">
        <v>1022</v>
      </c>
      <c r="T679" s="20"/>
      <c r="U679" s="17"/>
    </row>
    <row r="680" spans="1:21" x14ac:dyDescent="0.35">
      <c r="A680" s="4">
        <v>39999923000134</v>
      </c>
      <c r="B680" s="7"/>
      <c r="C680" s="4"/>
      <c r="D680" s="1" t="s">
        <v>716</v>
      </c>
      <c r="E680" s="1" t="s">
        <v>43</v>
      </c>
      <c r="F680" s="1" t="s">
        <v>8</v>
      </c>
      <c r="G680" s="10" t="s">
        <v>16</v>
      </c>
      <c r="H680" s="1" t="s">
        <v>17</v>
      </c>
      <c r="I680" s="21" t="s">
        <v>1070</v>
      </c>
      <c r="J680" s="18">
        <v>3849.2311169447385</v>
      </c>
      <c r="K680" s="18">
        <f>VLOOKUP(A680,[1]Export!$A:$C,3,0)</f>
        <v>1256.17</v>
      </c>
      <c r="L680" s="19">
        <f t="shared" si="22"/>
        <v>0.32634309601993022</v>
      </c>
      <c r="M680" s="18">
        <f>VLOOKUP(A680,[1]Export!$A:$G,7,0)</f>
        <v>0</v>
      </c>
      <c r="N680" s="19">
        <f t="shared" si="23"/>
        <v>0</v>
      </c>
      <c r="O680" s="17" t="s">
        <v>1027</v>
      </c>
      <c r="P680" s="17" t="s">
        <v>1026</v>
      </c>
      <c r="Q680" s="17" t="s">
        <v>1023</v>
      </c>
      <c r="R680" s="17" t="str">
        <f>VLOOKUP(A680,[2]Export!$A:$I,9,0)</f>
        <v>Não Comprou</v>
      </c>
      <c r="S680" s="17" t="s">
        <v>1022</v>
      </c>
      <c r="T680" s="20"/>
      <c r="U680" s="17"/>
    </row>
    <row r="681" spans="1:21" x14ac:dyDescent="0.35">
      <c r="A681" s="5">
        <v>41195400000187</v>
      </c>
      <c r="B681" s="7"/>
      <c r="C681" s="4"/>
      <c r="D681" s="6" t="s">
        <v>717</v>
      </c>
      <c r="E681" s="6" t="s">
        <v>100</v>
      </c>
      <c r="F681" s="6" t="s">
        <v>15</v>
      </c>
      <c r="G681" s="11" t="s">
        <v>16</v>
      </c>
      <c r="H681" s="6" t="s">
        <v>17</v>
      </c>
      <c r="I681" s="21" t="s">
        <v>1075</v>
      </c>
      <c r="J681" s="18">
        <v>453.68366385390942</v>
      </c>
      <c r="K681" s="18">
        <f>VLOOKUP(A681,[1]Export!$A:$C,3,0)</f>
        <v>843.48000000000013</v>
      </c>
      <c r="L681" s="19">
        <f t="shared" si="22"/>
        <v>1.8591808945353803</v>
      </c>
      <c r="M681" s="18">
        <f>VLOOKUP(A681,[1]Export!$A:$G,7,0)</f>
        <v>625.78</v>
      </c>
      <c r="N681" s="19">
        <f t="shared" si="23"/>
        <v>1.3793311283994287</v>
      </c>
      <c r="O681" s="17" t="s">
        <v>1029</v>
      </c>
      <c r="P681" s="17" t="s">
        <v>1026</v>
      </c>
      <c r="Q681" s="17" t="s">
        <v>1023</v>
      </c>
      <c r="R681" s="17" t="str">
        <f>VLOOKUP(A681,[2]Export!$A:$I,9,0)</f>
        <v>Não Comprou</v>
      </c>
      <c r="S681" s="17" t="s">
        <v>1023</v>
      </c>
      <c r="T681" s="20"/>
      <c r="U681" s="17"/>
    </row>
    <row r="682" spans="1:21" x14ac:dyDescent="0.35">
      <c r="A682" s="4">
        <v>44692168001071</v>
      </c>
      <c r="B682" s="7" t="s">
        <v>509</v>
      </c>
      <c r="C682" s="4"/>
      <c r="D682" s="1" t="s">
        <v>509</v>
      </c>
      <c r="E682" s="1" t="s">
        <v>458</v>
      </c>
      <c r="F682" s="1" t="s">
        <v>48</v>
      </c>
      <c r="G682" s="10" t="s">
        <v>509</v>
      </c>
      <c r="H682" s="1" t="s">
        <v>17</v>
      </c>
      <c r="I682" s="21" t="s">
        <v>1075</v>
      </c>
      <c r="J682" s="18">
        <v>2871.404575178562</v>
      </c>
      <c r="K682" s="18">
        <f>VLOOKUP(A682,[1]Export!$A:$C,3,0)</f>
        <v>1365.23</v>
      </c>
      <c r="L682" s="19">
        <f t="shared" si="22"/>
        <v>0.4754572071806013</v>
      </c>
      <c r="M682" s="18">
        <f>VLOOKUP(A682,[1]Export!$A:$G,7,0)</f>
        <v>692.93999999999994</v>
      </c>
      <c r="N682" s="19">
        <f t="shared" si="23"/>
        <v>0.24132440478434097</v>
      </c>
      <c r="O682" s="17" t="s">
        <v>1025</v>
      </c>
      <c r="P682" s="17" t="s">
        <v>1026</v>
      </c>
      <c r="Q682" s="17" t="s">
        <v>1023</v>
      </c>
      <c r="R682" s="17" t="str">
        <f>VLOOKUP(A682,[2]Export!$A:$I,9,0)</f>
        <v>Comprou Marcas</v>
      </c>
      <c r="S682" s="17" t="s">
        <v>1022</v>
      </c>
      <c r="T682" s="20"/>
      <c r="U682" s="17"/>
    </row>
    <row r="683" spans="1:21" x14ac:dyDescent="0.35">
      <c r="A683" s="5">
        <v>44944266000168</v>
      </c>
      <c r="B683" s="7"/>
      <c r="C683" s="4"/>
      <c r="D683" s="6" t="s">
        <v>77</v>
      </c>
      <c r="E683" s="6" t="s">
        <v>71</v>
      </c>
      <c r="F683" s="6" t="s">
        <v>15</v>
      </c>
      <c r="G683" s="11" t="s">
        <v>74</v>
      </c>
      <c r="H683" s="6" t="s">
        <v>17</v>
      </c>
      <c r="I683" s="21" t="s">
        <v>1071</v>
      </c>
      <c r="J683" s="18">
        <v>4203.9350165169099</v>
      </c>
      <c r="K683" s="18">
        <f>VLOOKUP(A683,[1]Export!$A:$C,3,0)</f>
        <v>974.07</v>
      </c>
      <c r="L683" s="19">
        <f t="shared" si="22"/>
        <v>0.23170434275814453</v>
      </c>
      <c r="M683" s="18">
        <f>VLOOKUP(A683,[1]Export!$A:$G,7,0)</f>
        <v>0</v>
      </c>
      <c r="N683" s="19">
        <f t="shared" si="23"/>
        <v>0</v>
      </c>
      <c r="O683" s="17" t="s">
        <v>1029</v>
      </c>
      <c r="P683" s="17" t="s">
        <v>1026</v>
      </c>
      <c r="Q683" s="17" t="s">
        <v>1022</v>
      </c>
      <c r="R683" s="17" t="str">
        <f>VLOOKUP(A683,[2]Export!$A:$I,9,0)</f>
        <v>Comprou SG</v>
      </c>
      <c r="S683" s="17" t="s">
        <v>1022</v>
      </c>
      <c r="T683" s="20"/>
      <c r="U683" s="17"/>
    </row>
    <row r="684" spans="1:21" x14ac:dyDescent="0.35">
      <c r="A684" s="4">
        <v>33202736000100</v>
      </c>
      <c r="B684" s="7"/>
      <c r="C684" s="4"/>
      <c r="D684" s="1" t="s">
        <v>718</v>
      </c>
      <c r="E684" s="1" t="s">
        <v>14</v>
      </c>
      <c r="F684" s="1" t="s">
        <v>15</v>
      </c>
      <c r="G684" s="10" t="s">
        <v>20</v>
      </c>
      <c r="H684" s="1" t="s">
        <v>17</v>
      </c>
      <c r="I684" s="21" t="s">
        <v>1069</v>
      </c>
      <c r="J684" s="18">
        <v>4346.0036595198653</v>
      </c>
      <c r="K684" s="18">
        <f>VLOOKUP(A684,[1]Export!$A:$C,3,0)</f>
        <v>731.2</v>
      </c>
      <c r="L684" s="19">
        <f t="shared" si="22"/>
        <v>0.16824652192786718</v>
      </c>
      <c r="M684" s="18">
        <f>VLOOKUP(A684,[1]Export!$A:$G,7,0)</f>
        <v>862.45</v>
      </c>
      <c r="N684" s="19">
        <f t="shared" si="23"/>
        <v>0.19844668057534059</v>
      </c>
      <c r="O684" s="17" t="s">
        <v>1025</v>
      </c>
      <c r="P684" s="17" t="s">
        <v>1026</v>
      </c>
      <c r="Q684" s="17" t="s">
        <v>1023</v>
      </c>
      <c r="R684" s="17" t="str">
        <f>VLOOKUP(A684,[2]Export!$A:$I,9,0)</f>
        <v>Comprou Marcas e SG</v>
      </c>
      <c r="S684" s="17" t="s">
        <v>1023</v>
      </c>
      <c r="T684" s="20"/>
      <c r="U684" s="17"/>
    </row>
    <row r="685" spans="1:21" x14ac:dyDescent="0.35">
      <c r="A685" s="5">
        <v>53494508000150</v>
      </c>
      <c r="B685" s="7" t="s">
        <v>1007</v>
      </c>
      <c r="C685" s="4"/>
      <c r="D685" s="6" t="s">
        <v>537</v>
      </c>
      <c r="E685" s="6" t="s">
        <v>61</v>
      </c>
      <c r="F685" s="6" t="s">
        <v>8</v>
      </c>
      <c r="G685" s="11" t="s">
        <v>36</v>
      </c>
      <c r="H685" s="6" t="s">
        <v>17</v>
      </c>
      <c r="I685" s="21" t="s">
        <v>1068</v>
      </c>
      <c r="J685" s="18">
        <v>10835.85288479771</v>
      </c>
      <c r="K685" s="18">
        <f>VLOOKUP(A685,[1]Export!$A:$C,3,0)</f>
        <v>5974.5599999999995</v>
      </c>
      <c r="L685" s="19">
        <f t="shared" si="22"/>
        <v>0.55136961192801726</v>
      </c>
      <c r="M685" s="18">
        <f>VLOOKUP(A685,[1]Export!$A:$G,7,0)</f>
        <v>6025.22</v>
      </c>
      <c r="N685" s="19">
        <f t="shared" si="23"/>
        <v>0.55604483228571278</v>
      </c>
      <c r="O685" s="17" t="s">
        <v>1025</v>
      </c>
      <c r="P685" s="17" t="s">
        <v>1026</v>
      </c>
      <c r="Q685" s="17" t="s">
        <v>1023</v>
      </c>
      <c r="R685" s="17" t="str">
        <f>VLOOKUP(A685,[2]Export!$A:$I,9,0)</f>
        <v>Comprou Marcas</v>
      </c>
      <c r="S685" s="17" t="s">
        <v>1022</v>
      </c>
      <c r="T685" s="20">
        <v>4</v>
      </c>
      <c r="U685" s="17"/>
    </row>
    <row r="686" spans="1:21" x14ac:dyDescent="0.35">
      <c r="A686" s="4">
        <v>54172723000105</v>
      </c>
      <c r="B686" s="7"/>
      <c r="C686" s="4"/>
      <c r="D686" s="1" t="s">
        <v>719</v>
      </c>
      <c r="E686" s="1" t="s">
        <v>14</v>
      </c>
      <c r="F686" s="1" t="s">
        <v>15</v>
      </c>
      <c r="G686" s="10" t="s">
        <v>16</v>
      </c>
      <c r="H686" s="1" t="s">
        <v>17</v>
      </c>
      <c r="I686" s="21" t="s">
        <v>1069</v>
      </c>
      <c r="J686" s="18">
        <v>1981.267294002891</v>
      </c>
      <c r="K686" s="18">
        <f>VLOOKUP(A686,[1]Export!$A:$C,3,0)</f>
        <v>348.7</v>
      </c>
      <c r="L686" s="19">
        <f t="shared" si="22"/>
        <v>0.1759984637385788</v>
      </c>
      <c r="M686" s="18">
        <f>VLOOKUP(A686,[1]Export!$A:$G,7,0)</f>
        <v>933.19999999999982</v>
      </c>
      <c r="N686" s="19">
        <f t="shared" si="23"/>
        <v>0.4710116614879315</v>
      </c>
      <c r="O686" s="17" t="s">
        <v>1027</v>
      </c>
      <c r="P686" s="17" t="s">
        <v>1028</v>
      </c>
      <c r="Q686" s="17" t="s">
        <v>1023</v>
      </c>
      <c r="R686" s="17" t="str">
        <f>VLOOKUP(A686,[2]Export!$A:$I,9,0)</f>
        <v>Comprou Marcas</v>
      </c>
      <c r="S686" s="17" t="s">
        <v>1023</v>
      </c>
      <c r="T686" s="20">
        <v>4</v>
      </c>
      <c r="U686" s="17"/>
    </row>
    <row r="687" spans="1:21" x14ac:dyDescent="0.35">
      <c r="A687" s="5">
        <v>62343168000157</v>
      </c>
      <c r="B687" s="7"/>
      <c r="C687" s="4"/>
      <c r="D687" s="6" t="s">
        <v>344</v>
      </c>
      <c r="E687" s="6" t="s">
        <v>14</v>
      </c>
      <c r="F687" s="6" t="s">
        <v>15</v>
      </c>
      <c r="G687" s="11" t="s">
        <v>9</v>
      </c>
      <c r="H687" s="6" t="s">
        <v>10</v>
      </c>
      <c r="I687" s="21" t="s">
        <v>1069</v>
      </c>
      <c r="J687" s="18">
        <v>5523.2603082210744</v>
      </c>
      <c r="K687" s="18">
        <f>VLOOKUP(A687,[1]Export!$A:$C,3,0)</f>
        <v>3671.74</v>
      </c>
      <c r="L687" s="19">
        <f t="shared" si="22"/>
        <v>0.66477764854479393</v>
      </c>
      <c r="M687" s="18">
        <f>VLOOKUP(A687,[1]Export!$A:$G,7,0)</f>
        <v>0</v>
      </c>
      <c r="N687" s="19">
        <f t="shared" si="23"/>
        <v>0</v>
      </c>
      <c r="O687" s="17" t="s">
        <v>1029</v>
      </c>
      <c r="P687" s="17" t="s">
        <v>1026</v>
      </c>
      <c r="Q687" s="17" t="s">
        <v>1022</v>
      </c>
      <c r="R687" s="17" t="str">
        <f>VLOOKUP(A687,[2]Export!$A:$I,9,0)</f>
        <v>Não Comprou</v>
      </c>
      <c r="S687" s="17" t="s">
        <v>1022</v>
      </c>
      <c r="T687" s="20"/>
      <c r="U687" s="17"/>
    </row>
    <row r="688" spans="1:21" x14ac:dyDescent="0.35">
      <c r="A688" s="4">
        <v>26437890000197</v>
      </c>
      <c r="B688" s="7"/>
      <c r="C688" s="4"/>
      <c r="D688" s="1" t="s">
        <v>308</v>
      </c>
      <c r="E688" s="1" t="s">
        <v>127</v>
      </c>
      <c r="F688" s="1" t="s">
        <v>8</v>
      </c>
      <c r="G688" s="10" t="s">
        <v>33</v>
      </c>
      <c r="H688" s="1" t="s">
        <v>17</v>
      </c>
      <c r="I688" s="21" t="s">
        <v>1070</v>
      </c>
      <c r="J688" s="18">
        <v>4955.906999191001</v>
      </c>
      <c r="K688" s="18">
        <f>VLOOKUP(A688,[1]Export!$A:$C,3,0)</f>
        <v>2539.69</v>
      </c>
      <c r="L688" s="19">
        <f t="shared" si="22"/>
        <v>0.5124571547477742</v>
      </c>
      <c r="M688" s="18">
        <f>VLOOKUP(A688,[1]Export!$A:$G,7,0)</f>
        <v>0</v>
      </c>
      <c r="N688" s="19">
        <f t="shared" si="23"/>
        <v>0</v>
      </c>
      <c r="O688" s="17" t="s">
        <v>1025</v>
      </c>
      <c r="P688" s="17" t="s">
        <v>1026</v>
      </c>
      <c r="Q688" s="17" t="s">
        <v>1023</v>
      </c>
      <c r="R688" s="17" t="str">
        <f>VLOOKUP(A688,[2]Export!$A:$I,9,0)</f>
        <v>Não Comprou</v>
      </c>
      <c r="S688" s="17" t="s">
        <v>1022</v>
      </c>
      <c r="T688" s="20"/>
      <c r="U688" s="17"/>
    </row>
    <row r="689" spans="1:21" x14ac:dyDescent="0.35">
      <c r="A689" s="5">
        <v>28059864000106</v>
      </c>
      <c r="B689" s="7"/>
      <c r="C689" s="4"/>
      <c r="D689" s="6" t="s">
        <v>720</v>
      </c>
      <c r="E689" s="6" t="s">
        <v>86</v>
      </c>
      <c r="F689" s="6" t="s">
        <v>48</v>
      </c>
      <c r="G689" s="11" t="s">
        <v>9</v>
      </c>
      <c r="H689" s="6" t="s">
        <v>10</v>
      </c>
      <c r="I689" s="21" t="s">
        <v>1075</v>
      </c>
      <c r="J689" s="18">
        <v>2197.3178995416542</v>
      </c>
      <c r="K689" s="18">
        <f>VLOOKUP(A689,[1]Export!$A:$C,3,0)</f>
        <v>413.60999999999996</v>
      </c>
      <c r="L689" s="19">
        <f t="shared" si="22"/>
        <v>0.1882340284427102</v>
      </c>
      <c r="M689" s="18">
        <f>VLOOKUP(A689,[1]Export!$A:$G,7,0)</f>
        <v>227.95999999999998</v>
      </c>
      <c r="N689" s="19">
        <f t="shared" si="23"/>
        <v>0.10374466072822276</v>
      </c>
      <c r="O689" s="17" t="s">
        <v>1027</v>
      </c>
      <c r="P689" s="17" t="s">
        <v>1028</v>
      </c>
      <c r="Q689" s="17" t="s">
        <v>1023</v>
      </c>
      <c r="R689" s="17" t="str">
        <f>VLOOKUP(A689,[2]Export!$A:$I,9,0)</f>
        <v>Comprou Marcas</v>
      </c>
      <c r="S689" s="17" t="s">
        <v>1023</v>
      </c>
      <c r="T689" s="20"/>
      <c r="U689" s="17"/>
    </row>
    <row r="690" spans="1:21" x14ac:dyDescent="0.35">
      <c r="A690" s="4">
        <v>29601304000196</v>
      </c>
      <c r="B690" s="7"/>
      <c r="C690" s="4"/>
      <c r="D690" s="1" t="s">
        <v>282</v>
      </c>
      <c r="E690" s="1" t="s">
        <v>180</v>
      </c>
      <c r="F690" s="1" t="s">
        <v>15</v>
      </c>
      <c r="G690" s="10" t="s">
        <v>36</v>
      </c>
      <c r="H690" s="1" t="s">
        <v>17</v>
      </c>
      <c r="I690" s="21" t="s">
        <v>1071</v>
      </c>
      <c r="J690" s="18">
        <v>3706.73101922767</v>
      </c>
      <c r="K690" s="18">
        <f>VLOOKUP(A690,[1]Export!$A:$C,3,0)</f>
        <v>1469.5500000000002</v>
      </c>
      <c r="L690" s="19">
        <f t="shared" si="22"/>
        <v>0.39645444796968132</v>
      </c>
      <c r="M690" s="18">
        <f>VLOOKUP(A690,[1]Export!$A:$G,7,0)</f>
        <v>4708.41</v>
      </c>
      <c r="N690" s="19">
        <f t="shared" si="23"/>
        <v>1.2702324435132708</v>
      </c>
      <c r="O690" s="17"/>
      <c r="P690" s="17"/>
      <c r="Q690" s="17"/>
      <c r="R690" s="17" t="str">
        <f>VLOOKUP(A690,[2]Export!$A:$I,9,0)</f>
        <v>Comprou Marcas</v>
      </c>
      <c r="S690" s="17"/>
      <c r="T690" s="20"/>
      <c r="U690" s="17"/>
    </row>
    <row r="691" spans="1:21" x14ac:dyDescent="0.35">
      <c r="A691" s="5">
        <v>32203543000100</v>
      </c>
      <c r="B691" s="7"/>
      <c r="C691" s="4"/>
      <c r="D691" s="6" t="s">
        <v>721</v>
      </c>
      <c r="E691" s="6" t="s">
        <v>259</v>
      </c>
      <c r="F691" s="6" t="s">
        <v>15</v>
      </c>
      <c r="G691" s="11" t="s">
        <v>16</v>
      </c>
      <c r="H691" s="6" t="s">
        <v>17</v>
      </c>
      <c r="I691" s="21" t="s">
        <v>1071</v>
      </c>
      <c r="J691" s="18">
        <v>1375.883266687149</v>
      </c>
      <c r="K691" s="18">
        <f>VLOOKUP(A691,[1]Export!$A:$C,3,0)</f>
        <v>34.659999999999997</v>
      </c>
      <c r="L691" s="19">
        <f t="shared" si="22"/>
        <v>2.5191090581001344E-2</v>
      </c>
      <c r="M691" s="18">
        <f>VLOOKUP(A691,[1]Export!$A:$G,7,0)</f>
        <v>0</v>
      </c>
      <c r="N691" s="19">
        <f t="shared" si="23"/>
        <v>0</v>
      </c>
      <c r="O691" s="17" t="s">
        <v>1025</v>
      </c>
      <c r="P691" s="17" t="s">
        <v>1026</v>
      </c>
      <c r="Q691" s="17" t="s">
        <v>1023</v>
      </c>
      <c r="R691" s="17" t="str">
        <f>VLOOKUP(A691,[2]Export!$A:$I,9,0)</f>
        <v>Não Comprou</v>
      </c>
      <c r="S691" s="17" t="s">
        <v>1023</v>
      </c>
      <c r="T691" s="20"/>
      <c r="U691" s="17"/>
    </row>
    <row r="692" spans="1:21" x14ac:dyDescent="0.35">
      <c r="A692" s="4">
        <v>42038804000120</v>
      </c>
      <c r="B692" s="7"/>
      <c r="C692" s="4"/>
      <c r="D692" s="1" t="s">
        <v>722</v>
      </c>
      <c r="E692" s="1" t="s">
        <v>182</v>
      </c>
      <c r="F692" s="1" t="s">
        <v>8</v>
      </c>
      <c r="G692" s="10" t="s">
        <v>16</v>
      </c>
      <c r="H692" s="1" t="s">
        <v>17</v>
      </c>
      <c r="I692" s="21" t="s">
        <v>1074</v>
      </c>
      <c r="J692" s="18">
        <v>3616.9622072327211</v>
      </c>
      <c r="K692" s="18">
        <f>VLOOKUP(A692,[1]Export!$A:$C,3,0)</f>
        <v>993.59</v>
      </c>
      <c r="L692" s="19">
        <f t="shared" si="22"/>
        <v>0.27470289792167324</v>
      </c>
      <c r="M692" s="18">
        <f>VLOOKUP(A692,[1]Export!$A:$G,7,0)</f>
        <v>0</v>
      </c>
      <c r="N692" s="19">
        <f t="shared" si="23"/>
        <v>0</v>
      </c>
      <c r="O692" s="17" t="s">
        <v>1029</v>
      </c>
      <c r="P692" s="17" t="s">
        <v>1026</v>
      </c>
      <c r="Q692" s="17" t="s">
        <v>1022</v>
      </c>
      <c r="R692" s="17" t="str">
        <f>VLOOKUP(A692,[2]Export!$A:$I,9,0)</f>
        <v>Não Comprou</v>
      </c>
      <c r="S692" s="17" t="s">
        <v>1023</v>
      </c>
      <c r="T692" s="20"/>
      <c r="U692" s="17"/>
    </row>
    <row r="693" spans="1:21" x14ac:dyDescent="0.35">
      <c r="A693" s="5">
        <v>42070773000194</v>
      </c>
      <c r="B693" s="7"/>
      <c r="C693" s="4"/>
      <c r="D693" s="6" t="s">
        <v>283</v>
      </c>
      <c r="E693" s="6" t="s">
        <v>221</v>
      </c>
      <c r="F693" s="6" t="s">
        <v>15</v>
      </c>
      <c r="G693" s="11" t="s">
        <v>190</v>
      </c>
      <c r="H693" s="6" t="s">
        <v>17</v>
      </c>
      <c r="I693" s="21" t="s">
        <v>1075</v>
      </c>
      <c r="J693" s="18">
        <v>20810.913353827404</v>
      </c>
      <c r="K693" s="18">
        <f>VLOOKUP(A693,[1]Export!$A:$C,3,0)</f>
        <v>7971.4000000000015</v>
      </c>
      <c r="L693" s="19">
        <f t="shared" si="22"/>
        <v>0.38303941131608021</v>
      </c>
      <c r="M693" s="18">
        <f>VLOOKUP(A693,[1]Export!$A:$G,7,0)</f>
        <v>5832.1099999999988</v>
      </c>
      <c r="N693" s="19">
        <f t="shared" si="23"/>
        <v>0.28024286588687353</v>
      </c>
      <c r="O693" s="17" t="s">
        <v>1027</v>
      </c>
      <c r="P693" s="17" t="s">
        <v>1028</v>
      </c>
      <c r="Q693" s="17" t="s">
        <v>1023</v>
      </c>
      <c r="R693" s="17" t="str">
        <f>VLOOKUP(A693,[2]Export!$A:$I,9,0)</f>
        <v>Comprou Marcas</v>
      </c>
      <c r="S693" s="17" t="s">
        <v>1022</v>
      </c>
      <c r="T693" s="20"/>
      <c r="U693" s="17"/>
    </row>
    <row r="694" spans="1:21" x14ac:dyDescent="0.35">
      <c r="A694" s="4">
        <v>42438050000103</v>
      </c>
      <c r="B694" s="7"/>
      <c r="C694" s="4"/>
      <c r="D694" s="1" t="s">
        <v>723</v>
      </c>
      <c r="E694" s="1" t="s">
        <v>270</v>
      </c>
      <c r="F694" s="1" t="s">
        <v>48</v>
      </c>
      <c r="G694" s="10" t="s">
        <v>80</v>
      </c>
      <c r="H694" s="1" t="s">
        <v>17</v>
      </c>
      <c r="I694" s="21" t="s">
        <v>1075</v>
      </c>
      <c r="J694" s="18">
        <v>4476.7852247262517</v>
      </c>
      <c r="K694" s="18">
        <f>VLOOKUP(A694,[1]Export!$A:$C,3,0)</f>
        <v>1265.4099999999999</v>
      </c>
      <c r="L694" s="19">
        <f t="shared" si="22"/>
        <v>0.28266042181583051</v>
      </c>
      <c r="M694" s="18">
        <f>VLOOKUP(A694,[1]Export!$A:$G,7,0)</f>
        <v>0</v>
      </c>
      <c r="N694" s="19">
        <f t="shared" si="23"/>
        <v>0</v>
      </c>
      <c r="O694" s="17" t="s">
        <v>1027</v>
      </c>
      <c r="P694" s="17" t="s">
        <v>1028</v>
      </c>
      <c r="Q694" s="17" t="s">
        <v>1023</v>
      </c>
      <c r="R694" s="17" t="str">
        <f>VLOOKUP(A694,[2]Export!$A:$I,9,0)</f>
        <v>Não Comprou</v>
      </c>
      <c r="S694" s="17" t="s">
        <v>1022</v>
      </c>
      <c r="T694" s="20"/>
      <c r="U694" s="17"/>
    </row>
    <row r="695" spans="1:21" x14ac:dyDescent="0.35">
      <c r="A695" s="5">
        <v>46237162000149</v>
      </c>
      <c r="B695" s="7"/>
      <c r="C695" s="4"/>
      <c r="D695" s="6" t="s">
        <v>724</v>
      </c>
      <c r="E695" s="6" t="s">
        <v>14</v>
      </c>
      <c r="F695" s="6" t="s">
        <v>15</v>
      </c>
      <c r="G695" s="11" t="s">
        <v>16</v>
      </c>
      <c r="H695" s="6" t="s">
        <v>17</v>
      </c>
      <c r="I695" s="21" t="s">
        <v>1069</v>
      </c>
      <c r="J695" s="18">
        <v>2720.1152433028274</v>
      </c>
      <c r="K695" s="18">
        <f>VLOOKUP(A695,[1]Export!$A:$C,3,0)</f>
        <v>131.29</v>
      </c>
      <c r="L695" s="19">
        <f t="shared" si="22"/>
        <v>4.8266337363186355E-2</v>
      </c>
      <c r="M695" s="18">
        <f>VLOOKUP(A695,[1]Export!$A:$G,7,0)</f>
        <v>0</v>
      </c>
      <c r="N695" s="19">
        <f t="shared" si="23"/>
        <v>0</v>
      </c>
      <c r="O695" s="17" t="s">
        <v>1029</v>
      </c>
      <c r="P695" s="17" t="s">
        <v>1026</v>
      </c>
      <c r="Q695" s="17" t="s">
        <v>1023</v>
      </c>
      <c r="R695" s="17" t="str">
        <f>VLOOKUP(A695,[2]Export!$A:$I,9,0)</f>
        <v>Comprou Marcas</v>
      </c>
      <c r="S695" s="17" t="s">
        <v>1023</v>
      </c>
      <c r="T695" s="20"/>
      <c r="U695" s="17"/>
    </row>
    <row r="696" spans="1:21" x14ac:dyDescent="0.35">
      <c r="A696" s="4">
        <v>12804850000121</v>
      </c>
      <c r="B696" s="7"/>
      <c r="C696" s="4"/>
      <c r="D696" s="1" t="s">
        <v>725</v>
      </c>
      <c r="E696" s="1" t="s">
        <v>43</v>
      </c>
      <c r="F696" s="1" t="s">
        <v>8</v>
      </c>
      <c r="G696" s="10" t="s">
        <v>36</v>
      </c>
      <c r="H696" s="1" t="s">
        <v>17</v>
      </c>
      <c r="I696" s="21" t="s">
        <v>1070</v>
      </c>
      <c r="J696" s="18">
        <v>2839.3548192621001</v>
      </c>
      <c r="K696" s="18">
        <f>VLOOKUP(A696,[1]Export!$A:$C,3,0)</f>
        <v>650.78000000000009</v>
      </c>
      <c r="L696" s="19">
        <f t="shared" si="22"/>
        <v>0.22919995612564079</v>
      </c>
      <c r="M696" s="18">
        <f>VLOOKUP(A696,[1]Export!$A:$G,7,0)</f>
        <v>0</v>
      </c>
      <c r="N696" s="19">
        <f t="shared" si="23"/>
        <v>0</v>
      </c>
      <c r="O696" s="17" t="s">
        <v>1025</v>
      </c>
      <c r="P696" s="17" t="s">
        <v>1026</v>
      </c>
      <c r="Q696" s="17" t="s">
        <v>1023</v>
      </c>
      <c r="R696" s="17" t="str">
        <f>VLOOKUP(A696,[2]Export!$A:$I,9,0)</f>
        <v>Não Comprou</v>
      </c>
      <c r="S696" s="17" t="s">
        <v>1022</v>
      </c>
      <c r="T696" s="20">
        <v>1</v>
      </c>
      <c r="U696" s="17"/>
    </row>
    <row r="697" spans="1:21" x14ac:dyDescent="0.35">
      <c r="A697" s="5">
        <v>12909312000100</v>
      </c>
      <c r="B697" s="7"/>
      <c r="C697" s="4"/>
      <c r="D697" s="6" t="s">
        <v>552</v>
      </c>
      <c r="E697" s="6" t="s">
        <v>260</v>
      </c>
      <c r="F697" s="6" t="s">
        <v>8</v>
      </c>
      <c r="G697" s="11" t="s">
        <v>36</v>
      </c>
      <c r="H697" s="6" t="s">
        <v>17</v>
      </c>
      <c r="I697" s="21" t="s">
        <v>1068</v>
      </c>
      <c r="J697" s="18">
        <v>3807.186581878876</v>
      </c>
      <c r="K697" s="18">
        <f>VLOOKUP(A697,[1]Export!$A:$C,3,0)</f>
        <v>1617.0500000000002</v>
      </c>
      <c r="L697" s="19">
        <f t="shared" si="22"/>
        <v>0.42473621011817431</v>
      </c>
      <c r="M697" s="18">
        <f>VLOOKUP(A697,[1]Export!$A:$G,7,0)</f>
        <v>1446.1299999999999</v>
      </c>
      <c r="N697" s="19">
        <f t="shared" si="23"/>
        <v>0.37984216662329262</v>
      </c>
      <c r="O697" s="17" t="s">
        <v>1025</v>
      </c>
      <c r="P697" s="17" t="s">
        <v>1026</v>
      </c>
      <c r="Q697" s="17" t="s">
        <v>1022</v>
      </c>
      <c r="R697" s="17" t="str">
        <f>VLOOKUP(A697,[2]Export!$A:$I,9,0)</f>
        <v>Comprou Marcas</v>
      </c>
      <c r="S697" s="17" t="s">
        <v>1022</v>
      </c>
      <c r="T697" s="20"/>
      <c r="U697" s="17"/>
    </row>
    <row r="698" spans="1:21" x14ac:dyDescent="0.35">
      <c r="A698" s="4">
        <v>13234023000102</v>
      </c>
      <c r="B698" s="7"/>
      <c r="C698" s="4"/>
      <c r="D698" s="1" t="s">
        <v>632</v>
      </c>
      <c r="E698" s="1" t="s">
        <v>52</v>
      </c>
      <c r="F698" s="1" t="s">
        <v>8</v>
      </c>
      <c r="G698" s="10" t="s">
        <v>33</v>
      </c>
      <c r="H698" s="1" t="s">
        <v>17</v>
      </c>
      <c r="I698" s="21" t="s">
        <v>1074</v>
      </c>
      <c r="J698" s="18">
        <v>5214.8995321757593</v>
      </c>
      <c r="K698" s="18">
        <f>VLOOKUP(A698,[1]Export!$A:$C,3,0)</f>
        <v>3457.65</v>
      </c>
      <c r="L698" s="19">
        <f t="shared" si="22"/>
        <v>0.66303290766512624</v>
      </c>
      <c r="M698" s="18">
        <f>VLOOKUP(A698,[1]Export!$A:$G,7,0)</f>
        <v>2632.2100000000005</v>
      </c>
      <c r="N698" s="19">
        <f t="shared" si="23"/>
        <v>0.50474797908557034</v>
      </c>
      <c r="O698" s="17" t="s">
        <v>1025</v>
      </c>
      <c r="P698" s="17" t="s">
        <v>1026</v>
      </c>
      <c r="Q698" s="17" t="s">
        <v>1023</v>
      </c>
      <c r="R698" s="17" t="str">
        <f>VLOOKUP(A698,[2]Export!$A:$I,9,0)</f>
        <v>Comprou Marcas</v>
      </c>
      <c r="S698" s="17" t="s">
        <v>1023</v>
      </c>
      <c r="T698" s="20"/>
      <c r="U698" s="17"/>
    </row>
    <row r="699" spans="1:21" x14ac:dyDescent="0.35">
      <c r="A699" s="5">
        <v>13938314000181</v>
      </c>
      <c r="B699" s="7" t="s">
        <v>997</v>
      </c>
      <c r="C699" s="4"/>
      <c r="D699" s="6" t="s">
        <v>559</v>
      </c>
      <c r="E699" s="6" t="s">
        <v>14</v>
      </c>
      <c r="F699" s="6" t="s">
        <v>15</v>
      </c>
      <c r="G699" s="11" t="s">
        <v>9</v>
      </c>
      <c r="H699" s="6" t="s">
        <v>10</v>
      </c>
      <c r="I699" s="21" t="s">
        <v>1069</v>
      </c>
      <c r="J699" s="18">
        <v>5734.4490425187623</v>
      </c>
      <c r="K699" s="18">
        <f>VLOOKUP(A699,[1]Export!$A:$C,3,0)</f>
        <v>2004.12</v>
      </c>
      <c r="L699" s="19">
        <f t="shared" si="22"/>
        <v>0.34948780347339581</v>
      </c>
      <c r="M699" s="18">
        <f>VLOOKUP(A699,[1]Export!$A:$G,7,0)</f>
        <v>1056.74</v>
      </c>
      <c r="N699" s="19">
        <f t="shared" si="23"/>
        <v>0.18427925545500085</v>
      </c>
      <c r="O699" s="17" t="s">
        <v>1027</v>
      </c>
      <c r="P699" s="17" t="s">
        <v>1028</v>
      </c>
      <c r="Q699" s="17" t="s">
        <v>1023</v>
      </c>
      <c r="R699" s="17" t="str">
        <f>VLOOKUP(A699,[2]Export!$A:$I,9,0)</f>
        <v>Comprou Marcas</v>
      </c>
      <c r="S699" s="17" t="s">
        <v>1022</v>
      </c>
      <c r="T699" s="20"/>
      <c r="U699" s="17"/>
    </row>
    <row r="700" spans="1:21" x14ac:dyDescent="0.35">
      <c r="A700" s="4">
        <v>38335229000150</v>
      </c>
      <c r="B700" s="7"/>
      <c r="C700" s="4"/>
      <c r="D700" s="1" t="s">
        <v>726</v>
      </c>
      <c r="E700" s="1" t="s">
        <v>316</v>
      </c>
      <c r="F700" s="1" t="s">
        <v>48</v>
      </c>
      <c r="G700" s="10" t="s">
        <v>486</v>
      </c>
      <c r="H700" s="1" t="s">
        <v>17</v>
      </c>
      <c r="I700" s="21" t="s">
        <v>1073</v>
      </c>
      <c r="J700" s="18">
        <v>2607.1299808243421</v>
      </c>
      <c r="K700" s="18">
        <f>VLOOKUP(A700,[1]Export!$A:$C,3,0)</f>
        <v>1543.6400000000006</v>
      </c>
      <c r="L700" s="19">
        <f t="shared" si="22"/>
        <v>0.59208402011161743</v>
      </c>
      <c r="M700" s="18">
        <f>VLOOKUP(A700,[1]Export!$A:$G,7,0)</f>
        <v>705.46999999999991</v>
      </c>
      <c r="N700" s="19">
        <f t="shared" si="23"/>
        <v>0.2705925692960422</v>
      </c>
      <c r="O700" s="17" t="s">
        <v>1027</v>
      </c>
      <c r="P700" s="17" t="s">
        <v>1028</v>
      </c>
      <c r="Q700" s="17" t="s">
        <v>1023</v>
      </c>
      <c r="R700" s="17" t="str">
        <f>VLOOKUP(A700,[2]Export!$A:$I,9,0)</f>
        <v>Comprou Marcas e SG</v>
      </c>
      <c r="S700" s="17" t="s">
        <v>1023</v>
      </c>
      <c r="T700" s="20"/>
      <c r="U700" s="17"/>
    </row>
    <row r="701" spans="1:21" x14ac:dyDescent="0.35">
      <c r="A701" s="5">
        <v>41140364000154</v>
      </c>
      <c r="B701" s="7"/>
      <c r="C701" s="4"/>
      <c r="D701" s="6" t="s">
        <v>727</v>
      </c>
      <c r="E701" s="6" t="s">
        <v>193</v>
      </c>
      <c r="F701" s="6" t="s">
        <v>194</v>
      </c>
      <c r="G701" s="11" t="s">
        <v>20</v>
      </c>
      <c r="H701" s="6" t="s">
        <v>17</v>
      </c>
      <c r="I701" s="21" t="s">
        <v>1070</v>
      </c>
      <c r="J701" s="18">
        <v>1910.0371128396732</v>
      </c>
      <c r="K701" s="18">
        <f>VLOOKUP(A701,[1]Export!$A:$C,3,0)</f>
        <v>20.12</v>
      </c>
      <c r="L701" s="19">
        <f t="shared" si="22"/>
        <v>1.0533826732867705E-2</v>
      </c>
      <c r="M701" s="18">
        <f>VLOOKUP(A701,[1]Export!$A:$G,7,0)</f>
        <v>0</v>
      </c>
      <c r="N701" s="19">
        <f t="shared" si="23"/>
        <v>0</v>
      </c>
      <c r="O701" s="17" t="s">
        <v>1025</v>
      </c>
      <c r="P701" s="17" t="s">
        <v>1026</v>
      </c>
      <c r="Q701" s="17" t="s">
        <v>1023</v>
      </c>
      <c r="R701" s="17" t="str">
        <f>VLOOKUP(A701,[2]Export!$A:$I,9,0)</f>
        <v>Não Comprou</v>
      </c>
      <c r="S701" s="17" t="s">
        <v>1023</v>
      </c>
      <c r="T701" s="20"/>
      <c r="U701" s="17"/>
    </row>
    <row r="702" spans="1:21" x14ac:dyDescent="0.35">
      <c r="A702" s="4">
        <v>55557060000100</v>
      </c>
      <c r="B702" s="7"/>
      <c r="C702" s="4"/>
      <c r="D702" s="1" t="s">
        <v>728</v>
      </c>
      <c r="E702" s="1" t="s">
        <v>377</v>
      </c>
      <c r="F702" s="1" t="s">
        <v>48</v>
      </c>
      <c r="G702" s="10" t="s">
        <v>20</v>
      </c>
      <c r="H702" s="1" t="s">
        <v>17</v>
      </c>
      <c r="I702" s="21" t="s">
        <v>1073</v>
      </c>
      <c r="J702" s="18">
        <v>9160.8874009266656</v>
      </c>
      <c r="K702" s="18">
        <f>VLOOKUP(A702,[1]Export!$A:$C,3,0)</f>
        <v>3823.94</v>
      </c>
      <c r="L702" s="19">
        <f t="shared" si="22"/>
        <v>0.41742025992080101</v>
      </c>
      <c r="M702" s="18">
        <f>VLOOKUP(A702,[1]Export!$A:$G,7,0)</f>
        <v>2283.5700000000006</v>
      </c>
      <c r="N702" s="19">
        <f t="shared" si="23"/>
        <v>0.24927388582125865</v>
      </c>
      <c r="O702" s="17" t="s">
        <v>1025</v>
      </c>
      <c r="P702" s="17" t="s">
        <v>1026</v>
      </c>
      <c r="Q702" s="17" t="s">
        <v>1023</v>
      </c>
      <c r="R702" s="17" t="str">
        <f>VLOOKUP(A702,[2]Export!$A:$I,9,0)</f>
        <v>Comprou Marcas e SG</v>
      </c>
      <c r="S702" s="17" t="s">
        <v>1022</v>
      </c>
      <c r="T702" s="20"/>
      <c r="U702" s="17"/>
    </row>
    <row r="703" spans="1:21" x14ac:dyDescent="0.35">
      <c r="A703" s="5">
        <v>56129324000189</v>
      </c>
      <c r="B703" s="7"/>
      <c r="C703" s="4"/>
      <c r="D703" s="6" t="s">
        <v>729</v>
      </c>
      <c r="E703" s="6" t="s">
        <v>14</v>
      </c>
      <c r="F703" s="6" t="s">
        <v>15</v>
      </c>
      <c r="G703" s="11" t="s">
        <v>20</v>
      </c>
      <c r="H703" s="6" t="s">
        <v>17</v>
      </c>
      <c r="I703" s="21" t="s">
        <v>1069</v>
      </c>
      <c r="J703" s="18">
        <v>2928.0320810963522</v>
      </c>
      <c r="K703" s="18">
        <f>VLOOKUP(A703,[1]Export!$A:$C,3,0)</f>
        <v>253.66000000000003</v>
      </c>
      <c r="L703" s="19">
        <f t="shared" si="22"/>
        <v>8.6631564468727176E-2</v>
      </c>
      <c r="M703" s="18">
        <f>VLOOKUP(A703,[1]Export!$A:$G,7,0)</f>
        <v>0</v>
      </c>
      <c r="N703" s="19">
        <f t="shared" si="23"/>
        <v>0</v>
      </c>
      <c r="O703" s="17" t="s">
        <v>1025</v>
      </c>
      <c r="P703" s="17" t="s">
        <v>1026</v>
      </c>
      <c r="Q703" s="17" t="s">
        <v>1023</v>
      </c>
      <c r="R703" s="17" t="str">
        <f>VLOOKUP(A703,[2]Export!$A:$I,9,0)</f>
        <v>Não Comprou</v>
      </c>
      <c r="S703" s="17" t="s">
        <v>1023</v>
      </c>
      <c r="T703" s="20"/>
      <c r="U703" s="17"/>
    </row>
    <row r="704" spans="1:21" x14ac:dyDescent="0.35">
      <c r="A704" s="4">
        <v>49672071000120</v>
      </c>
      <c r="B704" s="7"/>
      <c r="C704" s="4"/>
      <c r="D704" s="1" t="s">
        <v>548</v>
      </c>
      <c r="E704" s="1" t="s">
        <v>730</v>
      </c>
      <c r="F704" s="1" t="s">
        <v>15</v>
      </c>
      <c r="G704" s="10" t="s">
        <v>16</v>
      </c>
      <c r="H704" s="1" t="s">
        <v>17</v>
      </c>
      <c r="I704" s="21" t="s">
        <v>1071</v>
      </c>
      <c r="J704" s="18">
        <v>6654.204705856665</v>
      </c>
      <c r="K704" s="18">
        <f>VLOOKUP(A704,[1]Export!$A:$C,3,0)</f>
        <v>1264.07</v>
      </c>
      <c r="L704" s="19">
        <f t="shared" si="22"/>
        <v>0.18996560158232509</v>
      </c>
      <c r="M704" s="18">
        <f>VLOOKUP(A704,[1]Export!$A:$G,7,0)</f>
        <v>0</v>
      </c>
      <c r="N704" s="19">
        <f t="shared" si="23"/>
        <v>0</v>
      </c>
      <c r="O704" s="17" t="s">
        <v>1029</v>
      </c>
      <c r="P704" s="17" t="s">
        <v>1026</v>
      </c>
      <c r="Q704" s="17" t="s">
        <v>1022</v>
      </c>
      <c r="R704" s="17" t="str">
        <f>VLOOKUP(A704,[2]Export!$A:$I,9,0)</f>
        <v>Não Comprou</v>
      </c>
      <c r="S704" s="17" t="s">
        <v>1022</v>
      </c>
      <c r="T704" s="20"/>
      <c r="U704" s="17"/>
    </row>
    <row r="705" spans="1:21" x14ac:dyDescent="0.35">
      <c r="A705" s="5">
        <v>51601157000103</v>
      </c>
      <c r="B705" s="7"/>
      <c r="C705" s="4"/>
      <c r="D705" s="6" t="s">
        <v>731</v>
      </c>
      <c r="E705" s="6" t="s">
        <v>52</v>
      </c>
      <c r="F705" s="6" t="s">
        <v>8</v>
      </c>
      <c r="G705" s="11" t="s">
        <v>33</v>
      </c>
      <c r="H705" s="6" t="s">
        <v>17</v>
      </c>
      <c r="I705" s="21" t="s">
        <v>1074</v>
      </c>
      <c r="J705" s="18">
        <v>6715.260804255845</v>
      </c>
      <c r="K705" s="18">
        <f>VLOOKUP(A705,[1]Export!$A:$C,3,0)</f>
        <v>436.14</v>
      </c>
      <c r="L705" s="19">
        <f t="shared" si="22"/>
        <v>6.4947589187242458E-2</v>
      </c>
      <c r="M705" s="18">
        <f>VLOOKUP(A705,[1]Export!$A:$G,7,0)</f>
        <v>0</v>
      </c>
      <c r="N705" s="19">
        <f t="shared" si="23"/>
        <v>0</v>
      </c>
      <c r="O705" s="17" t="s">
        <v>1029</v>
      </c>
      <c r="P705" s="17" t="s">
        <v>1026</v>
      </c>
      <c r="Q705" s="17" t="s">
        <v>1023</v>
      </c>
      <c r="R705" s="17" t="str">
        <f>VLOOKUP(A705,[2]Export!$A:$I,9,0)</f>
        <v>Não Comprou</v>
      </c>
      <c r="S705" s="17" t="s">
        <v>1023</v>
      </c>
      <c r="T705" s="20"/>
      <c r="U705" s="17"/>
    </row>
    <row r="706" spans="1:21" x14ac:dyDescent="0.35">
      <c r="A706" s="4">
        <v>52286494000116</v>
      </c>
      <c r="B706" s="7"/>
      <c r="C706" s="4"/>
      <c r="D706" s="1" t="s">
        <v>732</v>
      </c>
      <c r="E706" s="1" t="s">
        <v>330</v>
      </c>
      <c r="F706" s="1" t="s">
        <v>15</v>
      </c>
      <c r="G706" s="10" t="s">
        <v>33</v>
      </c>
      <c r="H706" s="1" t="s">
        <v>17</v>
      </c>
      <c r="I706" s="21" t="s">
        <v>1071</v>
      </c>
      <c r="J706" s="18">
        <v>4828.3343698852977</v>
      </c>
      <c r="K706" s="18">
        <f>VLOOKUP(A706,[1]Export!$A:$C,3,0)</f>
        <v>2026.3400000000004</v>
      </c>
      <c r="L706" s="19">
        <f t="shared" si="22"/>
        <v>0.41967681704863746</v>
      </c>
      <c r="M706" s="18">
        <f>VLOOKUP(A706,[1]Export!$A:$G,7,0)</f>
        <v>1111.74</v>
      </c>
      <c r="N706" s="19">
        <f t="shared" si="23"/>
        <v>0.23025331611953184</v>
      </c>
      <c r="O706" s="17" t="s">
        <v>1027</v>
      </c>
      <c r="P706" s="17" t="s">
        <v>1026</v>
      </c>
      <c r="Q706" s="17" t="s">
        <v>1023</v>
      </c>
      <c r="R706" s="17" t="str">
        <f>VLOOKUP(A706,[2]Export!$A:$I,9,0)</f>
        <v>Comprou Marcas</v>
      </c>
      <c r="S706" s="17" t="s">
        <v>1022</v>
      </c>
      <c r="T706" s="20"/>
      <c r="U706" s="17"/>
    </row>
    <row r="707" spans="1:21" x14ac:dyDescent="0.35">
      <c r="A707" s="5">
        <v>54806695000122</v>
      </c>
      <c r="B707" s="7"/>
      <c r="C707" s="4"/>
      <c r="D707" s="6" t="s">
        <v>77</v>
      </c>
      <c r="E707" s="6" t="s">
        <v>35</v>
      </c>
      <c r="F707" s="6" t="s">
        <v>8</v>
      </c>
      <c r="G707" s="11" t="s">
        <v>74</v>
      </c>
      <c r="H707" s="6" t="s">
        <v>17</v>
      </c>
      <c r="I707" s="21" t="s">
        <v>1072</v>
      </c>
      <c r="J707" s="18">
        <v>788.4851189042131</v>
      </c>
      <c r="K707" s="18">
        <f>VLOOKUP(A707,[1]Export!$A:$C,3,0)</f>
        <v>23.85</v>
      </c>
      <c r="L707" s="19">
        <f t="shared" si="22"/>
        <v>3.0247875867518245E-2</v>
      </c>
      <c r="M707" s="18">
        <f>VLOOKUP(A707,[1]Export!$A:$G,7,0)</f>
        <v>0</v>
      </c>
      <c r="N707" s="19">
        <f t="shared" si="23"/>
        <v>0</v>
      </c>
      <c r="O707" s="17" t="s">
        <v>1029</v>
      </c>
      <c r="P707" s="17" t="s">
        <v>1026</v>
      </c>
      <c r="Q707" s="17" t="s">
        <v>1022</v>
      </c>
      <c r="R707" s="17" t="str">
        <f>VLOOKUP(A707,[2]Export!$A:$I,9,0)</f>
        <v>Não Comprou</v>
      </c>
      <c r="S707" s="17" t="s">
        <v>1023</v>
      </c>
      <c r="T707" s="20"/>
      <c r="U707" s="17"/>
    </row>
    <row r="708" spans="1:21" x14ac:dyDescent="0.35">
      <c r="A708" s="4">
        <v>779082000114</v>
      </c>
      <c r="B708" s="7"/>
      <c r="C708" s="4"/>
      <c r="D708" s="1" t="s">
        <v>733</v>
      </c>
      <c r="E708" s="1" t="s">
        <v>30</v>
      </c>
      <c r="F708" s="1" t="s">
        <v>15</v>
      </c>
      <c r="G708" s="10" t="s">
        <v>16</v>
      </c>
      <c r="H708" s="1" t="s">
        <v>17</v>
      </c>
      <c r="I708" s="21" t="s">
        <v>1071</v>
      </c>
      <c r="J708" s="18">
        <v>8021.2298793451791</v>
      </c>
      <c r="K708" s="18">
        <f>VLOOKUP(A708,[1]Export!$A:$C,3,0)</f>
        <v>2109.02</v>
      </c>
      <c r="L708" s="19">
        <f t="shared" si="22"/>
        <v>0.26292975413044412</v>
      </c>
      <c r="M708" s="18">
        <f>VLOOKUP(A708,[1]Export!$A:$G,7,0)</f>
        <v>0</v>
      </c>
      <c r="N708" s="19">
        <f t="shared" si="23"/>
        <v>0</v>
      </c>
      <c r="O708" s="17" t="s">
        <v>1027</v>
      </c>
      <c r="P708" s="17" t="s">
        <v>1026</v>
      </c>
      <c r="Q708" s="17" t="s">
        <v>1023</v>
      </c>
      <c r="R708" s="17" t="str">
        <f>VLOOKUP(A708,[2]Export!$A:$I,9,0)</f>
        <v>Não Comprou</v>
      </c>
      <c r="S708" s="17" t="s">
        <v>1022</v>
      </c>
      <c r="T708" s="20"/>
      <c r="U708" s="17"/>
    </row>
    <row r="709" spans="1:21" x14ac:dyDescent="0.35">
      <c r="A709" s="5">
        <v>2351409000188</v>
      </c>
      <c r="B709" s="7"/>
      <c r="C709" s="4"/>
      <c r="D709" s="6" t="s">
        <v>734</v>
      </c>
      <c r="E709" s="6" t="s">
        <v>374</v>
      </c>
      <c r="F709" s="6" t="s">
        <v>48</v>
      </c>
      <c r="G709" s="11" t="s">
        <v>80</v>
      </c>
      <c r="H709" s="6" t="s">
        <v>17</v>
      </c>
      <c r="I709" s="21" t="s">
        <v>1073</v>
      </c>
      <c r="J709" s="18">
        <v>5965.0356958507136</v>
      </c>
      <c r="K709" s="18">
        <f>VLOOKUP(A709,[1]Export!$A:$C,3,0)</f>
        <v>3026.7400000000007</v>
      </c>
      <c r="L709" s="19">
        <f t="shared" si="22"/>
        <v>0.50741356034221297</v>
      </c>
      <c r="M709" s="18">
        <f>VLOOKUP(A709,[1]Export!$A:$G,7,0)</f>
        <v>2669.6200000000003</v>
      </c>
      <c r="N709" s="19">
        <f t="shared" si="23"/>
        <v>0.44754468139343934</v>
      </c>
      <c r="O709" s="17" t="s">
        <v>1027</v>
      </c>
      <c r="P709" s="17" t="s">
        <v>1028</v>
      </c>
      <c r="Q709" s="17" t="s">
        <v>1023</v>
      </c>
      <c r="R709" s="17" t="str">
        <f>VLOOKUP(A709,[2]Export!$A:$I,9,0)</f>
        <v>Comprou Marcas</v>
      </c>
      <c r="S709" s="17" t="s">
        <v>1022</v>
      </c>
      <c r="T709" s="20"/>
      <c r="U709" s="17"/>
    </row>
    <row r="710" spans="1:21" x14ac:dyDescent="0.35">
      <c r="A710" s="4">
        <v>2703345000137</v>
      </c>
      <c r="B710" s="7"/>
      <c r="C710" s="4"/>
      <c r="D710" s="1" t="s">
        <v>66</v>
      </c>
      <c r="E710" s="1" t="s">
        <v>35</v>
      </c>
      <c r="F710" s="1" t="s">
        <v>8</v>
      </c>
      <c r="G710" s="10" t="s">
        <v>20</v>
      </c>
      <c r="H710" s="1" t="s">
        <v>17</v>
      </c>
      <c r="I710" s="21" t="s">
        <v>1072</v>
      </c>
      <c r="J710" s="18">
        <v>5038.3400169693587</v>
      </c>
      <c r="K710" s="18">
        <f>VLOOKUP(A710,[1]Export!$A:$C,3,0)</f>
        <v>291.60000000000002</v>
      </c>
      <c r="L710" s="19">
        <f t="shared" si="22"/>
        <v>5.7876205063151345E-2</v>
      </c>
      <c r="M710" s="18">
        <f>VLOOKUP(A710,[1]Export!$A:$G,7,0)</f>
        <v>0</v>
      </c>
      <c r="N710" s="19">
        <f t="shared" si="23"/>
        <v>0</v>
      </c>
      <c r="O710" s="17" t="s">
        <v>1027</v>
      </c>
      <c r="P710" s="17" t="s">
        <v>1028</v>
      </c>
      <c r="Q710" s="17" t="s">
        <v>1023</v>
      </c>
      <c r="R710" s="17" t="str">
        <f>VLOOKUP(A710,[2]Export!$A:$I,9,0)</f>
        <v>Não Comprou</v>
      </c>
      <c r="S710" s="17" t="s">
        <v>1022</v>
      </c>
      <c r="T710" s="20">
        <v>1</v>
      </c>
      <c r="U710" s="17"/>
    </row>
    <row r="711" spans="1:21" x14ac:dyDescent="0.35">
      <c r="A711" s="5">
        <v>3484949000100</v>
      </c>
      <c r="B711" s="7"/>
      <c r="C711" s="4"/>
      <c r="D711" s="6" t="s">
        <v>735</v>
      </c>
      <c r="E711" s="6" t="s">
        <v>178</v>
      </c>
      <c r="F711" s="6" t="s">
        <v>15</v>
      </c>
      <c r="G711" s="11" t="s">
        <v>20</v>
      </c>
      <c r="H711" s="6" t="s">
        <v>17</v>
      </c>
      <c r="I711" s="21" t="s">
        <v>1075</v>
      </c>
      <c r="J711" s="18">
        <v>6071.82457293471</v>
      </c>
      <c r="K711" s="18">
        <f>VLOOKUP(A711,[1]Export!$A:$C,3,0)</f>
        <v>1335.0100000000002</v>
      </c>
      <c r="L711" s="19">
        <f t="shared" si="22"/>
        <v>0.21986965927026883</v>
      </c>
      <c r="M711" s="18">
        <f>VLOOKUP(A711,[1]Export!$A:$G,7,0)</f>
        <v>883.63</v>
      </c>
      <c r="N711" s="19">
        <f t="shared" si="23"/>
        <v>0.14552956683544513</v>
      </c>
      <c r="O711" s="17" t="s">
        <v>1027</v>
      </c>
      <c r="P711" s="17" t="s">
        <v>1028</v>
      </c>
      <c r="Q711" s="17" t="s">
        <v>1023</v>
      </c>
      <c r="R711" s="17" t="str">
        <f>VLOOKUP(A711,[2]Export!$A:$I,9,0)</f>
        <v>Comprou Marcas</v>
      </c>
      <c r="S711" s="17" t="s">
        <v>1022</v>
      </c>
      <c r="T711" s="20">
        <v>4</v>
      </c>
      <c r="U711" s="17"/>
    </row>
    <row r="712" spans="1:21" x14ac:dyDescent="0.35">
      <c r="A712" s="4">
        <v>4050862000260</v>
      </c>
      <c r="B712" s="7" t="s">
        <v>997</v>
      </c>
      <c r="C712" s="4"/>
      <c r="D712" s="1" t="s">
        <v>247</v>
      </c>
      <c r="E712" s="1" t="s">
        <v>14</v>
      </c>
      <c r="F712" s="1" t="s">
        <v>15</v>
      </c>
      <c r="G712" s="10" t="s">
        <v>9</v>
      </c>
      <c r="H712" s="1" t="s">
        <v>10</v>
      </c>
      <c r="I712" s="21" t="s">
        <v>1069</v>
      </c>
      <c r="J712" s="18">
        <v>9696.8797485826108</v>
      </c>
      <c r="K712" s="18">
        <f>VLOOKUP(A712,[1]Export!$A:$C,3,0)</f>
        <v>3972.5799999999995</v>
      </c>
      <c r="L712" s="19">
        <f t="shared" si="22"/>
        <v>0.40967611262588566</v>
      </c>
      <c r="M712" s="18">
        <f>VLOOKUP(A712,[1]Export!$A:$G,7,0)</f>
        <v>1324.78</v>
      </c>
      <c r="N712" s="19">
        <f t="shared" si="23"/>
        <v>0.13661920476982739</v>
      </c>
      <c r="O712" s="17" t="s">
        <v>1027</v>
      </c>
      <c r="P712" s="17" t="s">
        <v>1028</v>
      </c>
      <c r="Q712" s="17" t="s">
        <v>1023</v>
      </c>
      <c r="R712" s="17" t="str">
        <f>VLOOKUP(A712,[2]Export!$A:$I,9,0)</f>
        <v>Comprou Marcas</v>
      </c>
      <c r="S712" s="17" t="s">
        <v>1022</v>
      </c>
      <c r="T712" s="20"/>
      <c r="U712" s="17"/>
    </row>
    <row r="713" spans="1:21" x14ac:dyDescent="0.35">
      <c r="A713" s="5">
        <v>4248248000127</v>
      </c>
      <c r="B713" s="7" t="s">
        <v>1006</v>
      </c>
      <c r="C713" s="4">
        <v>11583</v>
      </c>
      <c r="D713" s="6" t="s">
        <v>736</v>
      </c>
      <c r="E713" s="6" t="s">
        <v>379</v>
      </c>
      <c r="F713" s="6" t="s">
        <v>15</v>
      </c>
      <c r="G713" s="11" t="s">
        <v>87</v>
      </c>
      <c r="H713" s="6" t="s">
        <v>17</v>
      </c>
      <c r="I713" s="21" t="s">
        <v>1075</v>
      </c>
      <c r="J713" s="18">
        <v>35859.292894229729</v>
      </c>
      <c r="K713" s="18">
        <f>VLOOKUP(A713,[1]Export!$A:$C,3,0)</f>
        <v>12817.419999999998</v>
      </c>
      <c r="L713" s="19">
        <f t="shared" si="22"/>
        <v>0.35743649596789745</v>
      </c>
      <c r="M713" s="18">
        <f>VLOOKUP(A713,[1]Export!$A:$G,7,0)</f>
        <v>7700.3099999999986</v>
      </c>
      <c r="N713" s="19">
        <f t="shared" si="23"/>
        <v>0.21473680539972634</v>
      </c>
      <c r="O713" s="17" t="s">
        <v>1027</v>
      </c>
      <c r="P713" s="17" t="s">
        <v>1028</v>
      </c>
      <c r="Q713" s="17" t="s">
        <v>1023</v>
      </c>
      <c r="R713" s="17" t="str">
        <f>VLOOKUP(A713,[2]Export!$A:$I,9,0)</f>
        <v>Comprou Marcas e SG</v>
      </c>
      <c r="S713" s="17" t="s">
        <v>1022</v>
      </c>
      <c r="T713" s="20">
        <v>7</v>
      </c>
      <c r="U713" s="17"/>
    </row>
    <row r="714" spans="1:21" x14ac:dyDescent="0.35">
      <c r="A714" s="4">
        <v>2608021000110</v>
      </c>
      <c r="B714" s="7" t="s">
        <v>1003</v>
      </c>
      <c r="C714" s="4"/>
      <c r="D714" s="1" t="s">
        <v>737</v>
      </c>
      <c r="E714" s="1" t="s">
        <v>146</v>
      </c>
      <c r="F714" s="1" t="s">
        <v>8</v>
      </c>
      <c r="G714" s="10" t="s">
        <v>36</v>
      </c>
      <c r="H714" s="1" t="s">
        <v>17</v>
      </c>
      <c r="I714" s="21" t="s">
        <v>1074</v>
      </c>
      <c r="J714" s="18">
        <v>4180.2552141041697</v>
      </c>
      <c r="K714" s="18">
        <f>VLOOKUP(A714,[1]Export!$A:$C,3,0)</f>
        <v>903.93000000000006</v>
      </c>
      <c r="L714" s="19">
        <f t="shared" si="22"/>
        <v>0.21623799354406464</v>
      </c>
      <c r="M714" s="18">
        <f>VLOOKUP(A714,[1]Export!$A:$G,7,0)</f>
        <v>137.85</v>
      </c>
      <c r="N714" s="19">
        <f t="shared" si="23"/>
        <v>3.2976455488864527E-2</v>
      </c>
      <c r="O714" s="17" t="s">
        <v>1025</v>
      </c>
      <c r="P714" s="17" t="s">
        <v>1026</v>
      </c>
      <c r="Q714" s="17" t="s">
        <v>1023</v>
      </c>
      <c r="R714" s="17" t="str">
        <f>VLOOKUP(A714,[2]Export!$A:$I,9,0)</f>
        <v>Comprou Marcas</v>
      </c>
      <c r="S714" s="17" t="s">
        <v>1023</v>
      </c>
      <c r="T714" s="20"/>
      <c r="U714" s="17"/>
    </row>
    <row r="715" spans="1:21" x14ac:dyDescent="0.35">
      <c r="A715" s="5">
        <v>3577994000100</v>
      </c>
      <c r="B715" s="7"/>
      <c r="C715" s="4"/>
      <c r="D715" s="6" t="s">
        <v>738</v>
      </c>
      <c r="E715" s="6" t="s">
        <v>642</v>
      </c>
      <c r="F715" s="6" t="s">
        <v>8</v>
      </c>
      <c r="G715" s="11" t="s">
        <v>16</v>
      </c>
      <c r="H715" s="6" t="s">
        <v>17</v>
      </c>
      <c r="I715" s="21" t="s">
        <v>1072</v>
      </c>
      <c r="J715" s="18">
        <v>4559.649433259111</v>
      </c>
      <c r="K715" s="18">
        <f>VLOOKUP(A715,[1]Export!$A:$C,3,0)</f>
        <v>2459.4699999999998</v>
      </c>
      <c r="L715" s="19">
        <f t="shared" si="22"/>
        <v>0.53939892441293202</v>
      </c>
      <c r="M715" s="18">
        <f>VLOOKUP(A715,[1]Export!$A:$G,7,0)</f>
        <v>1888.0099999999998</v>
      </c>
      <c r="N715" s="19">
        <f t="shared" si="23"/>
        <v>0.41406911378502681</v>
      </c>
      <c r="O715" s="17" t="s">
        <v>1027</v>
      </c>
      <c r="P715" s="17" t="s">
        <v>1028</v>
      </c>
      <c r="Q715" s="17" t="s">
        <v>1023</v>
      </c>
      <c r="R715" s="17" t="str">
        <f>VLOOKUP(A715,[2]Export!$A:$I,9,0)</f>
        <v>Comprou Marcas</v>
      </c>
      <c r="S715" s="17" t="s">
        <v>1022</v>
      </c>
      <c r="T715" s="20"/>
      <c r="U715" s="17"/>
    </row>
    <row r="716" spans="1:21" x14ac:dyDescent="0.35">
      <c r="A716" s="4">
        <v>62145174000108</v>
      </c>
      <c r="B716" s="7"/>
      <c r="C716" s="4"/>
      <c r="D716" s="1" t="s">
        <v>739</v>
      </c>
      <c r="E716" s="1" t="s">
        <v>166</v>
      </c>
      <c r="F716" s="1" t="s">
        <v>8</v>
      </c>
      <c r="G716" s="10" t="s">
        <v>20</v>
      </c>
      <c r="H716" s="1" t="s">
        <v>17</v>
      </c>
      <c r="I716" s="21" t="s">
        <v>1070</v>
      </c>
      <c r="J716" s="18">
        <v>2067.748870956168</v>
      </c>
      <c r="K716" s="18">
        <f>VLOOKUP(A716,[1]Export!$A:$C,3,0)</f>
        <v>1313.04</v>
      </c>
      <c r="L716" s="19">
        <f t="shared" si="22"/>
        <v>0.63500941455856008</v>
      </c>
      <c r="M716" s="18">
        <f>VLOOKUP(A716,[1]Export!$A:$G,7,0)</f>
        <v>0</v>
      </c>
      <c r="N716" s="19">
        <f t="shared" si="23"/>
        <v>0</v>
      </c>
      <c r="O716" s="17" t="s">
        <v>1025</v>
      </c>
      <c r="P716" s="17" t="s">
        <v>1026</v>
      </c>
      <c r="Q716" s="17" t="s">
        <v>1023</v>
      </c>
      <c r="R716" s="17" t="str">
        <f>VLOOKUP(A716,[2]Export!$A:$I,9,0)</f>
        <v>Não Comprou</v>
      </c>
      <c r="S716" s="17" t="s">
        <v>1023</v>
      </c>
      <c r="T716" s="20"/>
      <c r="U716" s="17"/>
    </row>
    <row r="717" spans="1:21" x14ac:dyDescent="0.35">
      <c r="A717" s="4">
        <v>4383728000109</v>
      </c>
      <c r="B717" s="7"/>
      <c r="C717" s="4"/>
      <c r="D717" s="1" t="s">
        <v>355</v>
      </c>
      <c r="E717" s="1" t="s">
        <v>356</v>
      </c>
      <c r="F717" s="1" t="s">
        <v>48</v>
      </c>
      <c r="G717" s="10" t="s">
        <v>38</v>
      </c>
      <c r="H717" s="1" t="s">
        <v>17</v>
      </c>
      <c r="I717" s="21" t="s">
        <v>1075</v>
      </c>
      <c r="J717" s="18">
        <v>7699.421640208483</v>
      </c>
      <c r="K717" s="18">
        <f>VLOOKUP(A717,[1]Export!$A:$C,3,0)</f>
        <v>3274.4799999999996</v>
      </c>
      <c r="L717" s="19">
        <f t="shared" ref="L717:L780" si="24">K717/J717</f>
        <v>0.42528908702697493</v>
      </c>
      <c r="M717" s="18">
        <f>VLOOKUP(A717,[1]Export!$A:$G,7,0)</f>
        <v>3055.8199999999997</v>
      </c>
      <c r="N717" s="19">
        <f t="shared" ref="N717:N780" si="25">M717/J717</f>
        <v>0.39688955129326503</v>
      </c>
      <c r="O717" s="17" t="s">
        <v>1027</v>
      </c>
      <c r="P717" s="17" t="s">
        <v>1028</v>
      </c>
      <c r="Q717" s="17" t="s">
        <v>1023</v>
      </c>
      <c r="R717" s="17" t="str">
        <f>VLOOKUP(A717,[2]Export!$A:$I,9,0)</f>
        <v>Comprou Marcas e SG</v>
      </c>
      <c r="S717" s="17" t="s">
        <v>1022</v>
      </c>
      <c r="T717" s="20"/>
      <c r="U717" s="17"/>
    </row>
    <row r="718" spans="1:21" x14ac:dyDescent="0.35">
      <c r="A718" s="4">
        <v>55497176000192</v>
      </c>
      <c r="B718" s="7"/>
      <c r="C718" s="4"/>
      <c r="D718" s="1" t="s">
        <v>740</v>
      </c>
      <c r="E718" s="1" t="s">
        <v>422</v>
      </c>
      <c r="F718" s="1" t="s">
        <v>48</v>
      </c>
      <c r="G718" s="10" t="s">
        <v>87</v>
      </c>
      <c r="H718" s="1" t="s">
        <v>17</v>
      </c>
      <c r="I718" s="21" t="s">
        <v>1073</v>
      </c>
      <c r="J718" s="18">
        <v>3173.1513959558229</v>
      </c>
      <c r="K718" s="18">
        <f>VLOOKUP(A718,[1]Export!$A:$C,3,0)</f>
        <v>1748.41</v>
      </c>
      <c r="L718" s="19">
        <f t="shared" si="24"/>
        <v>0.55100112847699179</v>
      </c>
      <c r="M718" s="18">
        <f>VLOOKUP(A718,[1]Export!$A:$G,7,0)</f>
        <v>1212.46</v>
      </c>
      <c r="N718" s="19">
        <f t="shared" si="25"/>
        <v>0.38209963809015812</v>
      </c>
      <c r="O718" s="17" t="s">
        <v>1027</v>
      </c>
      <c r="P718" s="17" t="s">
        <v>1026</v>
      </c>
      <c r="Q718" s="17" t="s">
        <v>1023</v>
      </c>
      <c r="R718" s="17" t="str">
        <f>VLOOKUP(A718,[2]Export!$A:$I,9,0)</f>
        <v>Comprou Marcas</v>
      </c>
      <c r="S718" s="17" t="s">
        <v>1022</v>
      </c>
      <c r="T718" s="20"/>
      <c r="U718" s="17"/>
    </row>
    <row r="719" spans="1:21" x14ac:dyDescent="0.35">
      <c r="A719" s="5">
        <v>9492647000829</v>
      </c>
      <c r="B719" s="7"/>
      <c r="C719" s="4"/>
      <c r="D719" s="6" t="s">
        <v>104</v>
      </c>
      <c r="E719" s="6" t="s">
        <v>290</v>
      </c>
      <c r="F719" s="6" t="s">
        <v>8</v>
      </c>
      <c r="G719" s="11" t="s">
        <v>9</v>
      </c>
      <c r="H719" s="6" t="s">
        <v>10</v>
      </c>
      <c r="I719" s="21" t="s">
        <v>1072</v>
      </c>
      <c r="J719" s="18">
        <v>15368.611101298686</v>
      </c>
      <c r="K719" s="18">
        <f>VLOOKUP(A719,[1]Export!$A:$C,3,0)</f>
        <v>6114.9999999999991</v>
      </c>
      <c r="L719" s="19">
        <f t="shared" si="24"/>
        <v>0.39788891525033554</v>
      </c>
      <c r="M719" s="18">
        <f>VLOOKUP(A719,[1]Export!$A:$G,7,0)</f>
        <v>9202.7700000000023</v>
      </c>
      <c r="N719" s="19">
        <f t="shared" si="25"/>
        <v>0.59880297180675912</v>
      </c>
      <c r="O719" s="17" t="s">
        <v>1027</v>
      </c>
      <c r="P719" s="17" t="s">
        <v>1028</v>
      </c>
      <c r="Q719" s="17" t="s">
        <v>1023</v>
      </c>
      <c r="R719" s="17" t="str">
        <f>VLOOKUP(A719,[2]Export!$A:$I,9,0)</f>
        <v>Comprou Marcas</v>
      </c>
      <c r="S719" s="17" t="s">
        <v>1022</v>
      </c>
      <c r="T719" s="20"/>
      <c r="U719" s="17"/>
    </row>
    <row r="720" spans="1:21" x14ac:dyDescent="0.35">
      <c r="A720" s="4">
        <v>9571632000180</v>
      </c>
      <c r="B720" s="7"/>
      <c r="C720" s="4"/>
      <c r="D720" s="1" t="s">
        <v>104</v>
      </c>
      <c r="E720" s="1" t="s">
        <v>291</v>
      </c>
      <c r="F720" s="1" t="s">
        <v>8</v>
      </c>
      <c r="G720" s="10" t="s">
        <v>9</v>
      </c>
      <c r="H720" s="1" t="s">
        <v>10</v>
      </c>
      <c r="I720" s="21" t="s">
        <v>1068</v>
      </c>
      <c r="J720" s="18">
        <v>9110.9575967773198</v>
      </c>
      <c r="K720" s="18">
        <f>VLOOKUP(A720,[1]Export!$A:$C,3,0)</f>
        <v>4260.4199999999992</v>
      </c>
      <c r="L720" s="19">
        <f t="shared" si="24"/>
        <v>0.46761495207781151</v>
      </c>
      <c r="M720" s="18">
        <f>VLOOKUP(A720,[1]Export!$A:$G,7,0)</f>
        <v>3769.06</v>
      </c>
      <c r="N720" s="19">
        <f t="shared" si="25"/>
        <v>0.41368428729524237</v>
      </c>
      <c r="O720" s="17" t="s">
        <v>1029</v>
      </c>
      <c r="P720" s="17" t="s">
        <v>1026</v>
      </c>
      <c r="Q720" s="17" t="s">
        <v>1022</v>
      </c>
      <c r="R720" s="17" t="str">
        <f>VLOOKUP(A720,[2]Export!$A:$I,9,0)</f>
        <v>Comprou Marcas</v>
      </c>
      <c r="S720" s="17" t="s">
        <v>1022</v>
      </c>
      <c r="T720" s="20"/>
      <c r="U720" s="17"/>
    </row>
    <row r="721" spans="1:21" x14ac:dyDescent="0.35">
      <c r="A721" s="5">
        <v>62569939000129</v>
      </c>
      <c r="B721" s="7"/>
      <c r="C721" s="4"/>
      <c r="D721" s="6" t="s">
        <v>741</v>
      </c>
      <c r="E721" s="6" t="s">
        <v>166</v>
      </c>
      <c r="F721" s="6" t="s">
        <v>8</v>
      </c>
      <c r="G721" s="11" t="s">
        <v>486</v>
      </c>
      <c r="H721" s="6" t="s">
        <v>17</v>
      </c>
      <c r="I721" s="21" t="s">
        <v>1070</v>
      </c>
      <c r="J721" s="18">
        <v>701.75541114768964</v>
      </c>
      <c r="K721" s="18">
        <f>VLOOKUP(A721,[1]Export!$A:$C,3,0)</f>
        <v>116.36000000000001</v>
      </c>
      <c r="L721" s="19">
        <f t="shared" si="24"/>
        <v>0.16581275776655349</v>
      </c>
      <c r="M721" s="18">
        <f>VLOOKUP(A721,[1]Export!$A:$G,7,0)</f>
        <v>0</v>
      </c>
      <c r="N721" s="19">
        <f t="shared" si="25"/>
        <v>0</v>
      </c>
      <c r="O721" s="17"/>
      <c r="P721" s="17"/>
      <c r="Q721" s="17"/>
      <c r="R721" s="17" t="str">
        <f>VLOOKUP(A721,[2]Export!$A:$I,9,0)</f>
        <v>Não Comprou</v>
      </c>
      <c r="S721" s="17"/>
      <c r="T721" s="20"/>
      <c r="U721" s="17"/>
    </row>
    <row r="722" spans="1:21" x14ac:dyDescent="0.35">
      <c r="A722" s="4">
        <v>49340554000127</v>
      </c>
      <c r="B722" s="7"/>
      <c r="C722" s="4"/>
      <c r="D722" s="1" t="s">
        <v>742</v>
      </c>
      <c r="E722" s="1" t="s">
        <v>588</v>
      </c>
      <c r="F722" s="1" t="s">
        <v>8</v>
      </c>
      <c r="G722" s="10" t="s">
        <v>33</v>
      </c>
      <c r="H722" s="1" t="s">
        <v>17</v>
      </c>
      <c r="I722" s="21" t="s">
        <v>1068</v>
      </c>
      <c r="J722" s="18">
        <v>7047.6976686977323</v>
      </c>
      <c r="K722" s="18">
        <f>VLOOKUP(A722,[1]Export!$A:$C,3,0)</f>
        <v>2548.4800000000005</v>
      </c>
      <c r="L722" s="19">
        <f t="shared" si="24"/>
        <v>0.3616046146983638</v>
      </c>
      <c r="M722" s="18">
        <f>VLOOKUP(A722,[1]Export!$A:$G,7,0)</f>
        <v>2670.2</v>
      </c>
      <c r="N722" s="19">
        <f t="shared" si="25"/>
        <v>0.37887550311070556</v>
      </c>
      <c r="O722" s="17" t="s">
        <v>1027</v>
      </c>
      <c r="P722" s="17" t="s">
        <v>1026</v>
      </c>
      <c r="Q722" s="17" t="s">
        <v>1023</v>
      </c>
      <c r="R722" s="17" t="str">
        <f>VLOOKUP(A722,[2]Export!$A:$I,9,0)</f>
        <v>Comprou Marcas</v>
      </c>
      <c r="S722" s="17" t="s">
        <v>1022</v>
      </c>
      <c r="T722" s="20"/>
      <c r="U722" s="17"/>
    </row>
    <row r="723" spans="1:21" x14ac:dyDescent="0.35">
      <c r="A723" s="5">
        <v>49560389000208</v>
      </c>
      <c r="B723" s="7"/>
      <c r="C723" s="4"/>
      <c r="D723" s="6" t="s">
        <v>743</v>
      </c>
      <c r="E723" s="6" t="s">
        <v>14</v>
      </c>
      <c r="F723" s="6" t="s">
        <v>15</v>
      </c>
      <c r="G723" s="11" t="s">
        <v>36</v>
      </c>
      <c r="H723" s="6" t="s">
        <v>17</v>
      </c>
      <c r="I723" s="21" t="s">
        <v>1069</v>
      </c>
      <c r="J723" s="18">
        <v>2067.1661373761171</v>
      </c>
      <c r="K723" s="18">
        <f>VLOOKUP(A723,[1]Export!$A:$C,3,0)</f>
        <v>394.54999999999995</v>
      </c>
      <c r="L723" s="19">
        <f t="shared" si="24"/>
        <v>0.1908651621493799</v>
      </c>
      <c r="M723" s="18">
        <f>VLOOKUP(A723,[1]Export!$A:$G,7,0)</f>
        <v>0</v>
      </c>
      <c r="N723" s="19">
        <f t="shared" si="25"/>
        <v>0</v>
      </c>
      <c r="O723" s="17" t="s">
        <v>1025</v>
      </c>
      <c r="P723" s="17" t="s">
        <v>1026</v>
      </c>
      <c r="Q723" s="17" t="s">
        <v>1022</v>
      </c>
      <c r="R723" s="17" t="str">
        <f>VLOOKUP(A723,[2]Export!$A:$I,9,0)</f>
        <v>Não Comprou</v>
      </c>
      <c r="S723" s="17" t="s">
        <v>1023</v>
      </c>
      <c r="T723" s="20"/>
      <c r="U723" s="17"/>
    </row>
    <row r="724" spans="1:21" x14ac:dyDescent="0.35">
      <c r="A724" s="4">
        <v>52852354000168</v>
      </c>
      <c r="B724" s="7"/>
      <c r="C724" s="4"/>
      <c r="D724" s="1" t="s">
        <v>597</v>
      </c>
      <c r="E724" s="1" t="s">
        <v>379</v>
      </c>
      <c r="F724" s="1" t="s">
        <v>15</v>
      </c>
      <c r="G724" s="10" t="s">
        <v>36</v>
      </c>
      <c r="H724" s="1" t="s">
        <v>17</v>
      </c>
      <c r="I724" s="21" t="s">
        <v>1075</v>
      </c>
      <c r="J724" s="18">
        <v>6412.0350027199156</v>
      </c>
      <c r="K724" s="18">
        <f>VLOOKUP(A724,[1]Export!$A:$C,3,0)</f>
        <v>3463.1899999999996</v>
      </c>
      <c r="L724" s="19">
        <f t="shared" si="24"/>
        <v>0.54010778146578298</v>
      </c>
      <c r="M724" s="18">
        <f>VLOOKUP(A724,[1]Export!$A:$G,7,0)</f>
        <v>2148.46</v>
      </c>
      <c r="N724" s="19">
        <f t="shared" si="25"/>
        <v>0.33506679222565794</v>
      </c>
      <c r="O724" s="17" t="s">
        <v>1025</v>
      </c>
      <c r="P724" s="17" t="s">
        <v>1026</v>
      </c>
      <c r="Q724" s="17" t="s">
        <v>1022</v>
      </c>
      <c r="R724" s="17" t="str">
        <f>VLOOKUP(A724,[2]Export!$A:$I,9,0)</f>
        <v>Comprou Marcas</v>
      </c>
      <c r="S724" s="17" t="s">
        <v>1023</v>
      </c>
      <c r="T724" s="20"/>
      <c r="U724" s="17"/>
    </row>
    <row r="725" spans="1:21" x14ac:dyDescent="0.35">
      <c r="A725" s="5">
        <v>50357285000190</v>
      </c>
      <c r="B725" s="7"/>
      <c r="C725" s="4"/>
      <c r="D725" s="6" t="s">
        <v>69</v>
      </c>
      <c r="E725" s="6" t="s">
        <v>14</v>
      </c>
      <c r="F725" s="6" t="s">
        <v>15</v>
      </c>
      <c r="G725" s="11" t="s">
        <v>64</v>
      </c>
      <c r="H725" s="6" t="s">
        <v>17</v>
      </c>
      <c r="I725" s="21" t="s">
        <v>1069</v>
      </c>
      <c r="J725" s="18">
        <v>15557.601534356538</v>
      </c>
      <c r="K725" s="18">
        <f>VLOOKUP(A725,[1]Export!$A:$C,3,0)</f>
        <v>5317.6099999999988</v>
      </c>
      <c r="L725" s="19">
        <f t="shared" si="24"/>
        <v>0.34180140095868156</v>
      </c>
      <c r="M725" s="18">
        <f>VLOOKUP(A725,[1]Export!$A:$G,7,0)</f>
        <v>0</v>
      </c>
      <c r="N725" s="19">
        <f t="shared" si="25"/>
        <v>0</v>
      </c>
      <c r="O725" s="17" t="s">
        <v>1025</v>
      </c>
      <c r="P725" s="17" t="s">
        <v>1026</v>
      </c>
      <c r="Q725" s="17" t="s">
        <v>1022</v>
      </c>
      <c r="R725" s="17" t="str">
        <f>VLOOKUP(A725,[2]Export!$A:$I,9,0)</f>
        <v>Não Comprou</v>
      </c>
      <c r="S725" s="17" t="s">
        <v>1023</v>
      </c>
      <c r="T725" s="20"/>
      <c r="U725" s="17"/>
    </row>
    <row r="726" spans="1:21" x14ac:dyDescent="0.35">
      <c r="A726" s="4">
        <v>50963555000107</v>
      </c>
      <c r="B726" s="7"/>
      <c r="C726" s="4"/>
      <c r="D726" s="1" t="s">
        <v>744</v>
      </c>
      <c r="E726" s="1" t="s">
        <v>388</v>
      </c>
      <c r="F726" s="1" t="s">
        <v>8</v>
      </c>
      <c r="G726" s="10" t="s">
        <v>20</v>
      </c>
      <c r="H726" s="1" t="s">
        <v>17</v>
      </c>
      <c r="I726" s="21" t="s">
        <v>1072</v>
      </c>
      <c r="J726" s="18">
        <v>9994.7287875194343</v>
      </c>
      <c r="K726" s="18">
        <f>VLOOKUP(A726,[1]Export!$A:$C,3,0)</f>
        <v>1798.5900000000001</v>
      </c>
      <c r="L726" s="19">
        <f t="shared" si="24"/>
        <v>0.17995385750195905</v>
      </c>
      <c r="M726" s="18">
        <f>VLOOKUP(A726,[1]Export!$A:$G,7,0)</f>
        <v>2171.02</v>
      </c>
      <c r="N726" s="19">
        <f t="shared" si="25"/>
        <v>0.21721649943227922</v>
      </c>
      <c r="O726" s="17" t="s">
        <v>1025</v>
      </c>
      <c r="P726" s="17" t="s">
        <v>1026</v>
      </c>
      <c r="Q726" s="17" t="s">
        <v>1023</v>
      </c>
      <c r="R726" s="17" t="str">
        <f>VLOOKUP(A726,[2]Export!$A:$I,9,0)</f>
        <v>Comprou Marcas</v>
      </c>
      <c r="S726" s="17" t="s">
        <v>1022</v>
      </c>
      <c r="T726" s="20"/>
      <c r="U726" s="17"/>
    </row>
    <row r="727" spans="1:21" x14ac:dyDescent="0.35">
      <c r="A727" s="5">
        <v>52834325000173</v>
      </c>
      <c r="B727" s="7"/>
      <c r="C727" s="4"/>
      <c r="D727" s="6" t="s">
        <v>745</v>
      </c>
      <c r="E727" s="6" t="s">
        <v>127</v>
      </c>
      <c r="F727" s="6" t="s">
        <v>8</v>
      </c>
      <c r="G727" s="11" t="s">
        <v>74</v>
      </c>
      <c r="H727" s="6" t="s">
        <v>17</v>
      </c>
      <c r="I727" s="21" t="s">
        <v>1070</v>
      </c>
      <c r="J727" s="18">
        <v>4776.9568039854239</v>
      </c>
      <c r="K727" s="18">
        <f>VLOOKUP(A727,[1]Export!$A:$C,3,0)</f>
        <v>1192.7000000000003</v>
      </c>
      <c r="L727" s="19">
        <f t="shared" si="24"/>
        <v>0.24967778628538748</v>
      </c>
      <c r="M727" s="18">
        <f>VLOOKUP(A727,[1]Export!$A:$G,7,0)</f>
        <v>0</v>
      </c>
      <c r="N727" s="19">
        <f t="shared" si="25"/>
        <v>0</v>
      </c>
      <c r="O727" s="17" t="s">
        <v>1027</v>
      </c>
      <c r="P727" s="17" t="s">
        <v>1026</v>
      </c>
      <c r="Q727" s="17" t="s">
        <v>1023</v>
      </c>
      <c r="R727" s="17" t="str">
        <f>VLOOKUP(A727,[2]Export!$A:$I,9,0)</f>
        <v>Não Comprou</v>
      </c>
      <c r="S727" s="17" t="s">
        <v>1022</v>
      </c>
      <c r="T727" s="20">
        <v>4</v>
      </c>
      <c r="U727" s="17"/>
    </row>
    <row r="728" spans="1:21" x14ac:dyDescent="0.35">
      <c r="A728" s="4">
        <v>56193995000109</v>
      </c>
      <c r="B728" s="7"/>
      <c r="C728" s="4"/>
      <c r="D728" s="1" t="s">
        <v>746</v>
      </c>
      <c r="E728" s="1" t="s">
        <v>186</v>
      </c>
      <c r="F728" s="1" t="s">
        <v>15</v>
      </c>
      <c r="G728" s="10" t="s">
        <v>20</v>
      </c>
      <c r="H728" s="1" t="s">
        <v>17</v>
      </c>
      <c r="I728" s="21" t="s">
        <v>1069</v>
      </c>
      <c r="J728" s="18">
        <v>2202.0601050805026</v>
      </c>
      <c r="K728" s="18">
        <f>VLOOKUP(A728,[1]Export!$A:$C,3,0)</f>
        <v>581.98</v>
      </c>
      <c r="L728" s="19">
        <f t="shared" si="24"/>
        <v>0.26428888051569516</v>
      </c>
      <c r="M728" s="18">
        <f>VLOOKUP(A728,[1]Export!$A:$G,7,0)</f>
        <v>0</v>
      </c>
      <c r="N728" s="19">
        <f t="shared" si="25"/>
        <v>0</v>
      </c>
      <c r="O728" s="17"/>
      <c r="P728" s="17"/>
      <c r="Q728" s="17"/>
      <c r="R728" s="17" t="str">
        <f>VLOOKUP(A728,[2]Export!$A:$I,9,0)</f>
        <v>Não Comprou</v>
      </c>
      <c r="S728" s="17"/>
      <c r="T728" s="20"/>
      <c r="U728" s="17"/>
    </row>
    <row r="729" spans="1:21" x14ac:dyDescent="0.35">
      <c r="A729" s="5">
        <v>73706830000102</v>
      </c>
      <c r="B729" s="7"/>
      <c r="C729" s="4">
        <v>1372</v>
      </c>
      <c r="D729" s="6" t="s">
        <v>747</v>
      </c>
      <c r="E729" s="6" t="s">
        <v>293</v>
      </c>
      <c r="F729" s="6" t="s">
        <v>15</v>
      </c>
      <c r="G729" s="11" t="s">
        <v>20</v>
      </c>
      <c r="H729" s="6" t="s">
        <v>17</v>
      </c>
      <c r="I729" s="21" t="s">
        <v>1069</v>
      </c>
      <c r="J729" s="18">
        <v>24891.470686369972</v>
      </c>
      <c r="K729" s="18">
        <f>VLOOKUP(A729,[1]Export!$A:$C,3,0)</f>
        <v>12787.68</v>
      </c>
      <c r="L729" s="19">
        <f t="shared" si="24"/>
        <v>0.51373742279528123</v>
      </c>
      <c r="M729" s="18">
        <f>VLOOKUP(A729,[1]Export!$A:$G,7,0)</f>
        <v>10215.18</v>
      </c>
      <c r="N729" s="19">
        <f t="shared" si="25"/>
        <v>0.41038876845447347</v>
      </c>
      <c r="O729" s="17" t="s">
        <v>1025</v>
      </c>
      <c r="P729" s="17" t="s">
        <v>1026</v>
      </c>
      <c r="Q729" s="17" t="s">
        <v>1023</v>
      </c>
      <c r="R729" s="17" t="str">
        <f>VLOOKUP(A729,[2]Export!$A:$I,9,0)</f>
        <v>Comprou Marcas e SG</v>
      </c>
      <c r="S729" s="17" t="s">
        <v>1022</v>
      </c>
      <c r="T729" s="20"/>
      <c r="U729" s="17"/>
    </row>
    <row r="730" spans="1:21" x14ac:dyDescent="0.35">
      <c r="A730" s="4">
        <v>7542034000157</v>
      </c>
      <c r="B730" s="7"/>
      <c r="C730" s="4"/>
      <c r="D730" s="1" t="s">
        <v>142</v>
      </c>
      <c r="E730" s="1" t="s">
        <v>377</v>
      </c>
      <c r="F730" s="1" t="s">
        <v>48</v>
      </c>
      <c r="G730" s="10" t="s">
        <v>352</v>
      </c>
      <c r="H730" s="1" t="s">
        <v>17</v>
      </c>
      <c r="I730" s="21" t="s">
        <v>1073</v>
      </c>
      <c r="J730" s="18">
        <v>10514.823674811149</v>
      </c>
      <c r="K730" s="18">
        <f>VLOOKUP(A730,[1]Export!$A:$C,3,0)</f>
        <v>4948.9000000000005</v>
      </c>
      <c r="L730" s="19">
        <f t="shared" si="24"/>
        <v>0.47065934275772675</v>
      </c>
      <c r="M730" s="18">
        <f>VLOOKUP(A730,[1]Export!$A:$G,7,0)</f>
        <v>919.55</v>
      </c>
      <c r="N730" s="19">
        <f t="shared" si="25"/>
        <v>8.7452726592347305E-2</v>
      </c>
      <c r="O730" s="17" t="s">
        <v>1025</v>
      </c>
      <c r="P730" s="17" t="s">
        <v>1026</v>
      </c>
      <c r="Q730" s="17" t="s">
        <v>1022</v>
      </c>
      <c r="R730" s="17" t="str">
        <f>VLOOKUP(A730,[2]Export!$A:$I,9,0)</f>
        <v>Comprou Marcas e SG</v>
      </c>
      <c r="S730" s="17" t="s">
        <v>1022</v>
      </c>
      <c r="T730" s="20"/>
      <c r="U730" s="17"/>
    </row>
    <row r="731" spans="1:21" x14ac:dyDescent="0.35">
      <c r="A731" s="5">
        <v>7863592000114</v>
      </c>
      <c r="B731" s="7"/>
      <c r="C731" s="4"/>
      <c r="D731" s="6" t="s">
        <v>748</v>
      </c>
      <c r="E731" s="6" t="s">
        <v>50</v>
      </c>
      <c r="F731" s="6" t="s">
        <v>48</v>
      </c>
      <c r="G731" s="11" t="s">
        <v>20</v>
      </c>
      <c r="H731" s="6" t="s">
        <v>17</v>
      </c>
      <c r="I731" s="21" t="s">
        <v>1073</v>
      </c>
      <c r="J731" s="18">
        <v>3440.7009839334632</v>
      </c>
      <c r="K731" s="18">
        <f>VLOOKUP(A731,[1]Export!$A:$C,3,0)</f>
        <v>1024.3800000000001</v>
      </c>
      <c r="L731" s="19">
        <f t="shared" si="24"/>
        <v>0.29772421514784259</v>
      </c>
      <c r="M731" s="18">
        <f>VLOOKUP(A731,[1]Export!$A:$G,7,0)</f>
        <v>0</v>
      </c>
      <c r="N731" s="19">
        <f t="shared" si="25"/>
        <v>0</v>
      </c>
      <c r="O731" s="17" t="s">
        <v>1025</v>
      </c>
      <c r="P731" s="17" t="s">
        <v>1026</v>
      </c>
      <c r="Q731" s="17" t="s">
        <v>1023</v>
      </c>
      <c r="R731" s="17" t="str">
        <f>VLOOKUP(A731,[2]Export!$A:$I,9,0)</f>
        <v>Não Comprou</v>
      </c>
      <c r="S731" s="17" t="s">
        <v>1023</v>
      </c>
      <c r="T731" s="20"/>
      <c r="U731" s="17"/>
    </row>
    <row r="732" spans="1:21" x14ac:dyDescent="0.35">
      <c r="A732" s="4">
        <v>8986750000358</v>
      </c>
      <c r="B732" s="7"/>
      <c r="C732" s="4"/>
      <c r="D732" s="1" t="s">
        <v>289</v>
      </c>
      <c r="E732" s="1" t="s">
        <v>14</v>
      </c>
      <c r="F732" s="1" t="s">
        <v>15</v>
      </c>
      <c r="G732" s="10" t="s">
        <v>36</v>
      </c>
      <c r="H732" s="1" t="s">
        <v>17</v>
      </c>
      <c r="I732" s="21" t="s">
        <v>1069</v>
      </c>
      <c r="J732" s="18">
        <v>2338.3007894439406</v>
      </c>
      <c r="K732" s="18">
        <f>VLOOKUP(A732,[1]Export!$A:$C,3,0)</f>
        <v>588.43000000000006</v>
      </c>
      <c r="L732" s="19">
        <f t="shared" si="24"/>
        <v>0.25164854866252329</v>
      </c>
      <c r="M732" s="18">
        <f>VLOOKUP(A732,[1]Export!$A:$G,7,0)</f>
        <v>0</v>
      </c>
      <c r="N732" s="19">
        <f t="shared" si="25"/>
        <v>0</v>
      </c>
      <c r="O732" s="17" t="s">
        <v>1025</v>
      </c>
      <c r="P732" s="17" t="s">
        <v>1026</v>
      </c>
      <c r="Q732" s="17" t="s">
        <v>1022</v>
      </c>
      <c r="R732" s="17" t="str">
        <f>VLOOKUP(A732,[2]Export!$A:$I,9,0)</f>
        <v>Não Comprou</v>
      </c>
      <c r="S732" s="17" t="s">
        <v>1023</v>
      </c>
      <c r="T732" s="20"/>
      <c r="U732" s="17"/>
    </row>
    <row r="733" spans="1:21" x14ac:dyDescent="0.35">
      <c r="A733" s="5">
        <v>9267822000108</v>
      </c>
      <c r="B733" s="7"/>
      <c r="C733" s="4"/>
      <c r="D733" s="6" t="s">
        <v>749</v>
      </c>
      <c r="E733" s="6" t="s">
        <v>52</v>
      </c>
      <c r="F733" s="6" t="s">
        <v>8</v>
      </c>
      <c r="G733" s="11" t="s">
        <v>16</v>
      </c>
      <c r="H733" s="6" t="s">
        <v>17</v>
      </c>
      <c r="I733" s="21" t="s">
        <v>1074</v>
      </c>
      <c r="J733" s="18">
        <v>3512.7989134551331</v>
      </c>
      <c r="K733" s="18">
        <f>VLOOKUP(A733,[1]Export!$A:$C,3,0)</f>
        <v>909.74</v>
      </c>
      <c r="L733" s="19">
        <f t="shared" si="24"/>
        <v>0.25897867268046787</v>
      </c>
      <c r="M733" s="18">
        <f>VLOOKUP(A733,[1]Export!$A:$G,7,0)</f>
        <v>0</v>
      </c>
      <c r="N733" s="19">
        <f t="shared" si="25"/>
        <v>0</v>
      </c>
      <c r="O733" s="17"/>
      <c r="P733" s="17"/>
      <c r="Q733" s="17"/>
      <c r="R733" s="17" t="str">
        <f>VLOOKUP(A733,[2]Export!$A:$I,9,0)</f>
        <v>Não Comprou</v>
      </c>
      <c r="S733" s="17"/>
      <c r="T733" s="20"/>
      <c r="U733" s="17"/>
    </row>
    <row r="734" spans="1:21" x14ac:dyDescent="0.35">
      <c r="A734" s="4">
        <v>10272710000124</v>
      </c>
      <c r="B734" s="7"/>
      <c r="C734" s="4"/>
      <c r="D734" s="1" t="s">
        <v>750</v>
      </c>
      <c r="E734" s="1" t="s">
        <v>327</v>
      </c>
      <c r="F734" s="1" t="s">
        <v>15</v>
      </c>
      <c r="G734" s="10" t="s">
        <v>20</v>
      </c>
      <c r="H734" s="1" t="s">
        <v>17</v>
      </c>
      <c r="I734" s="21" t="s">
        <v>1071</v>
      </c>
      <c r="J734" s="18">
        <v>2327.5496009490448</v>
      </c>
      <c r="K734" s="18">
        <f>VLOOKUP(A734,[1]Export!$A:$C,3,0)</f>
        <v>874.73</v>
      </c>
      <c r="L734" s="19">
        <f t="shared" si="24"/>
        <v>0.37581583638146054</v>
      </c>
      <c r="M734" s="18">
        <f>VLOOKUP(A734,[1]Export!$A:$G,7,0)</f>
        <v>557.9</v>
      </c>
      <c r="N734" s="19">
        <f t="shared" si="25"/>
        <v>0.23969414004003159</v>
      </c>
      <c r="O734" s="17" t="s">
        <v>1027</v>
      </c>
      <c r="P734" s="17" t="s">
        <v>1026</v>
      </c>
      <c r="Q734" s="17" t="s">
        <v>1023</v>
      </c>
      <c r="R734" s="17" t="str">
        <f>VLOOKUP(A734,[2]Export!$A:$I,9,0)</f>
        <v>Comprou Marcas</v>
      </c>
      <c r="S734" s="17" t="s">
        <v>1023</v>
      </c>
      <c r="T734" s="20"/>
      <c r="U734" s="17"/>
    </row>
    <row r="735" spans="1:21" x14ac:dyDescent="0.35">
      <c r="A735" s="5">
        <v>48798235000105</v>
      </c>
      <c r="B735" s="7"/>
      <c r="C735" s="4"/>
      <c r="D735" s="6" t="s">
        <v>751</v>
      </c>
      <c r="E735" s="6" t="s">
        <v>50</v>
      </c>
      <c r="F735" s="6" t="s">
        <v>48</v>
      </c>
      <c r="G735" s="11" t="s">
        <v>87</v>
      </c>
      <c r="H735" s="6" t="s">
        <v>17</v>
      </c>
      <c r="I735" s="21" t="s">
        <v>1073</v>
      </c>
      <c r="J735" s="18">
        <v>9864.7310076468966</v>
      </c>
      <c r="K735" s="18">
        <f>VLOOKUP(A735,[1]Export!$A:$C,3,0)</f>
        <v>2894.6400000000003</v>
      </c>
      <c r="L735" s="19">
        <f t="shared" si="24"/>
        <v>0.2934332418954097</v>
      </c>
      <c r="M735" s="18">
        <f>VLOOKUP(A735,[1]Export!$A:$G,7,0)</f>
        <v>0</v>
      </c>
      <c r="N735" s="19">
        <f t="shared" si="25"/>
        <v>0</v>
      </c>
      <c r="O735" s="17" t="s">
        <v>1025</v>
      </c>
      <c r="P735" s="17" t="s">
        <v>1026</v>
      </c>
      <c r="Q735" s="17" t="s">
        <v>1023</v>
      </c>
      <c r="R735" s="17" t="str">
        <f>VLOOKUP(A735,[2]Export!$A:$I,9,0)</f>
        <v>Não Comprou</v>
      </c>
      <c r="S735" s="17" t="s">
        <v>1023</v>
      </c>
      <c r="T735" s="20"/>
      <c r="U735" s="17"/>
    </row>
    <row r="736" spans="1:21" x14ac:dyDescent="0.35">
      <c r="A736" s="4">
        <v>49581378000115</v>
      </c>
      <c r="B736" s="7"/>
      <c r="C736" s="4"/>
      <c r="D736" s="1" t="s">
        <v>752</v>
      </c>
      <c r="E736" s="1" t="s">
        <v>52</v>
      </c>
      <c r="F736" s="1" t="s">
        <v>8</v>
      </c>
      <c r="G736" s="10" t="s">
        <v>20</v>
      </c>
      <c r="H736" s="1" t="s">
        <v>17</v>
      </c>
      <c r="I736" s="21" t="s">
        <v>1074</v>
      </c>
      <c r="J736" s="18">
        <v>782.59317317021282</v>
      </c>
      <c r="K736" s="18">
        <f>VLOOKUP(A736,[1]Export!$A:$C,3,0)</f>
        <v>1002.12</v>
      </c>
      <c r="L736" s="19">
        <f t="shared" si="24"/>
        <v>1.2805120647047101</v>
      </c>
      <c r="M736" s="18">
        <f>VLOOKUP(A736,[1]Export!$A:$G,7,0)</f>
        <v>0</v>
      </c>
      <c r="N736" s="19">
        <f t="shared" si="25"/>
        <v>0</v>
      </c>
      <c r="O736" s="17" t="s">
        <v>1027</v>
      </c>
      <c r="P736" s="17" t="s">
        <v>1028</v>
      </c>
      <c r="Q736" s="17" t="s">
        <v>1023</v>
      </c>
      <c r="R736" s="17" t="str">
        <f>VLOOKUP(A736,[2]Export!$A:$I,9,0)</f>
        <v>Não Comprou</v>
      </c>
      <c r="S736" s="17" t="s">
        <v>1023</v>
      </c>
      <c r="T736" s="20"/>
      <c r="U736" s="17"/>
    </row>
    <row r="737" spans="1:21" x14ac:dyDescent="0.35">
      <c r="A737" s="5">
        <v>52330020000124</v>
      </c>
      <c r="B737" s="7"/>
      <c r="C737" s="4"/>
      <c r="D737" s="6" t="s">
        <v>150</v>
      </c>
      <c r="E737" s="6" t="s">
        <v>182</v>
      </c>
      <c r="F737" s="6" t="s">
        <v>8</v>
      </c>
      <c r="G737" s="11" t="s">
        <v>33</v>
      </c>
      <c r="H737" s="6" t="s">
        <v>17</v>
      </c>
      <c r="I737" s="21" t="s">
        <v>1074</v>
      </c>
      <c r="J737" s="18">
        <v>4948.2955009265588</v>
      </c>
      <c r="K737" s="18">
        <f>VLOOKUP(A737,[1]Export!$A:$C,3,0)</f>
        <v>2742.18</v>
      </c>
      <c r="L737" s="19">
        <f t="shared" si="24"/>
        <v>0.55416658109575956</v>
      </c>
      <c r="M737" s="18">
        <f>VLOOKUP(A737,[1]Export!$A:$G,7,0)</f>
        <v>2298.9100000000003</v>
      </c>
      <c r="N737" s="19">
        <f t="shared" si="25"/>
        <v>0.46458623976064767</v>
      </c>
      <c r="O737" s="17" t="s">
        <v>1027</v>
      </c>
      <c r="P737" s="17" t="s">
        <v>1026</v>
      </c>
      <c r="Q737" s="17" t="s">
        <v>1023</v>
      </c>
      <c r="R737" s="17" t="str">
        <f>VLOOKUP(A737,[2]Export!$A:$I,9,0)</f>
        <v>Comprou Marcas</v>
      </c>
      <c r="S737" s="17" t="s">
        <v>1022</v>
      </c>
      <c r="T737" s="20"/>
      <c r="U737" s="17"/>
    </row>
    <row r="738" spans="1:21" x14ac:dyDescent="0.35">
      <c r="A738" s="4">
        <v>52331882000171</v>
      </c>
      <c r="B738" s="7" t="s">
        <v>346</v>
      </c>
      <c r="C738" s="4"/>
      <c r="D738" s="1" t="s">
        <v>346</v>
      </c>
      <c r="E738" s="1" t="s">
        <v>52</v>
      </c>
      <c r="F738" s="1" t="s">
        <v>8</v>
      </c>
      <c r="G738" s="10" t="s">
        <v>36</v>
      </c>
      <c r="H738" s="1" t="s">
        <v>17</v>
      </c>
      <c r="I738" s="21" t="s">
        <v>1074</v>
      </c>
      <c r="J738" s="18">
        <v>1506.2253021473473</v>
      </c>
      <c r="K738" s="18">
        <f>VLOOKUP(A738,[1]Export!$A:$C,3,0)</f>
        <v>827.67000000000007</v>
      </c>
      <c r="L738" s="19">
        <f t="shared" si="24"/>
        <v>0.54949946652737403</v>
      </c>
      <c r="M738" s="18">
        <f>VLOOKUP(A738,[1]Export!$A:$G,7,0)</f>
        <v>137.85</v>
      </c>
      <c r="N738" s="19">
        <f t="shared" si="25"/>
        <v>9.1520172847630699E-2</v>
      </c>
      <c r="O738" s="17" t="s">
        <v>1025</v>
      </c>
      <c r="P738" s="17" t="s">
        <v>1026</v>
      </c>
      <c r="Q738" s="17" t="s">
        <v>1023</v>
      </c>
      <c r="R738" s="17" t="str">
        <f>VLOOKUP(A738,[2]Export!$A:$I,9,0)</f>
        <v>Comprou Marcas</v>
      </c>
      <c r="S738" s="17" t="s">
        <v>1023</v>
      </c>
      <c r="T738" s="20"/>
      <c r="U738" s="17"/>
    </row>
    <row r="739" spans="1:21" x14ac:dyDescent="0.35">
      <c r="A739" s="5">
        <v>7033833000106</v>
      </c>
      <c r="B739" s="7"/>
      <c r="C739" s="4"/>
      <c r="D739" s="6" t="s">
        <v>753</v>
      </c>
      <c r="E739" s="6" t="s">
        <v>14</v>
      </c>
      <c r="F739" s="6" t="s">
        <v>15</v>
      </c>
      <c r="G739" s="11" t="s">
        <v>20</v>
      </c>
      <c r="H739" s="6" t="s">
        <v>17</v>
      </c>
      <c r="I739" s="21" t="s">
        <v>1069</v>
      </c>
      <c r="J739" s="18">
        <v>3666.5582426664978</v>
      </c>
      <c r="K739" s="18">
        <f>VLOOKUP(A739,[1]Export!$A:$C,3,0)</f>
        <v>274.19000000000005</v>
      </c>
      <c r="L739" s="19">
        <f t="shared" si="24"/>
        <v>7.4781302205797193E-2</v>
      </c>
      <c r="M739" s="18">
        <f>VLOOKUP(A739,[1]Export!$A:$G,7,0)</f>
        <v>0</v>
      </c>
      <c r="N739" s="19">
        <f t="shared" si="25"/>
        <v>0</v>
      </c>
      <c r="O739" s="17" t="s">
        <v>1025</v>
      </c>
      <c r="P739" s="17" t="s">
        <v>1026</v>
      </c>
      <c r="Q739" s="17" t="s">
        <v>1023</v>
      </c>
      <c r="R739" s="17" t="str">
        <f>VLOOKUP(A739,[2]Export!$A:$I,9,0)</f>
        <v>Não Comprou</v>
      </c>
      <c r="S739" s="17" t="s">
        <v>1023</v>
      </c>
      <c r="T739" s="20"/>
      <c r="U739" s="17"/>
    </row>
    <row r="740" spans="1:21" x14ac:dyDescent="0.35">
      <c r="A740" s="4">
        <v>7311428000102</v>
      </c>
      <c r="B740" s="7"/>
      <c r="C740" s="4"/>
      <c r="D740" s="1" t="s">
        <v>754</v>
      </c>
      <c r="E740" s="1" t="s">
        <v>94</v>
      </c>
      <c r="F740" s="1" t="s">
        <v>15</v>
      </c>
      <c r="G740" s="10" t="s">
        <v>36</v>
      </c>
      <c r="H740" s="1" t="s">
        <v>17</v>
      </c>
      <c r="I740" s="21" t="s">
        <v>1071</v>
      </c>
      <c r="J740" s="18">
        <v>1981.6285802143379</v>
      </c>
      <c r="K740" s="18">
        <f>VLOOKUP(A740,[1]Export!$A:$C,3,0)</f>
        <v>531.38000000000011</v>
      </c>
      <c r="L740" s="19">
        <f t="shared" si="24"/>
        <v>0.26815317729345867</v>
      </c>
      <c r="M740" s="18">
        <f>VLOOKUP(A740,[1]Export!$A:$G,7,0)</f>
        <v>683.71</v>
      </c>
      <c r="N740" s="19">
        <f t="shared" si="25"/>
        <v>0.34502429306204707</v>
      </c>
      <c r="O740" s="17" t="s">
        <v>1025</v>
      </c>
      <c r="P740" s="17" t="s">
        <v>1026</v>
      </c>
      <c r="Q740" s="17" t="s">
        <v>1022</v>
      </c>
      <c r="R740" s="17" t="str">
        <f>VLOOKUP(A740,[2]Export!$A:$I,9,0)</f>
        <v>Comprou Marcas</v>
      </c>
      <c r="S740" s="17" t="s">
        <v>1022</v>
      </c>
      <c r="T740" s="20"/>
      <c r="U740" s="17"/>
    </row>
    <row r="741" spans="1:21" x14ac:dyDescent="0.35">
      <c r="A741" s="5">
        <v>7460103000183</v>
      </c>
      <c r="B741" s="7"/>
      <c r="C741" s="4"/>
      <c r="D741" s="6" t="s">
        <v>755</v>
      </c>
      <c r="E741" s="6" t="s">
        <v>14</v>
      </c>
      <c r="F741" s="6" t="s">
        <v>15</v>
      </c>
      <c r="G741" s="11" t="s">
        <v>16</v>
      </c>
      <c r="H741" s="6" t="s">
        <v>17</v>
      </c>
      <c r="I741" s="21" t="s">
        <v>1069</v>
      </c>
      <c r="J741" s="18">
        <v>2248.9830118032014</v>
      </c>
      <c r="K741" s="18">
        <f>VLOOKUP(A741,[1]Export!$A:$C,3,0)</f>
        <v>1120.23</v>
      </c>
      <c r="L741" s="19">
        <f t="shared" si="24"/>
        <v>0.49810514091069819</v>
      </c>
      <c r="M741" s="18">
        <f>VLOOKUP(A741,[1]Export!$A:$G,7,0)</f>
        <v>0</v>
      </c>
      <c r="N741" s="19">
        <f t="shared" si="25"/>
        <v>0</v>
      </c>
      <c r="O741" s="17" t="s">
        <v>1027</v>
      </c>
      <c r="P741" s="17" t="s">
        <v>1028</v>
      </c>
      <c r="Q741" s="17" t="s">
        <v>1023</v>
      </c>
      <c r="R741" s="17" t="str">
        <f>VLOOKUP(A741,[2]Export!$A:$I,9,0)</f>
        <v>Não Comprou</v>
      </c>
      <c r="S741" s="17" t="s">
        <v>1023</v>
      </c>
      <c r="T741" s="20"/>
      <c r="U741" s="17"/>
    </row>
    <row r="742" spans="1:21" x14ac:dyDescent="0.35">
      <c r="A742" s="4">
        <v>7865786000159</v>
      </c>
      <c r="B742" s="7"/>
      <c r="C742" s="4"/>
      <c r="D742" s="1" t="s">
        <v>179</v>
      </c>
      <c r="E742" s="1" t="s">
        <v>293</v>
      </c>
      <c r="F742" s="1" t="s">
        <v>15</v>
      </c>
      <c r="G742" s="10" t="s">
        <v>20</v>
      </c>
      <c r="H742" s="1" t="s">
        <v>17</v>
      </c>
      <c r="I742" s="21" t="s">
        <v>1069</v>
      </c>
      <c r="J742" s="18">
        <v>8022.5215159045019</v>
      </c>
      <c r="K742" s="18">
        <f>VLOOKUP(A742,[1]Export!$A:$C,3,0)</f>
        <v>2300.04</v>
      </c>
      <c r="L742" s="19">
        <f t="shared" si="24"/>
        <v>0.28669789111069544</v>
      </c>
      <c r="M742" s="18">
        <f>VLOOKUP(A742,[1]Export!$A:$G,7,0)</f>
        <v>1961.36</v>
      </c>
      <c r="N742" s="19">
        <f t="shared" si="25"/>
        <v>0.24448173758233488</v>
      </c>
      <c r="O742" s="17" t="s">
        <v>1025</v>
      </c>
      <c r="P742" s="17" t="s">
        <v>1026</v>
      </c>
      <c r="Q742" s="17" t="s">
        <v>1023</v>
      </c>
      <c r="R742" s="17" t="str">
        <f>VLOOKUP(A742,[2]Export!$A:$I,9,0)</f>
        <v>Comprou Marcas</v>
      </c>
      <c r="S742" s="17" t="s">
        <v>1023</v>
      </c>
      <c r="T742" s="20"/>
      <c r="U742" s="17"/>
    </row>
    <row r="743" spans="1:21" x14ac:dyDescent="0.35">
      <c r="A743" s="5">
        <v>8107186000194</v>
      </c>
      <c r="B743" s="7" t="s">
        <v>996</v>
      </c>
      <c r="C743" s="4">
        <v>1433</v>
      </c>
      <c r="D743" s="6" t="s">
        <v>59</v>
      </c>
      <c r="E743" s="6" t="s">
        <v>71</v>
      </c>
      <c r="F743" s="6" t="s">
        <v>15</v>
      </c>
      <c r="G743" s="11" t="s">
        <v>9</v>
      </c>
      <c r="H743" s="6" t="s">
        <v>10</v>
      </c>
      <c r="I743" s="21" t="s">
        <v>1071</v>
      </c>
      <c r="J743" s="18">
        <v>30501.846608770349</v>
      </c>
      <c r="K743" s="18">
        <f>VLOOKUP(A743,[1]Export!$A:$C,3,0)</f>
        <v>15304.359999999993</v>
      </c>
      <c r="L743" s="19">
        <f t="shared" si="24"/>
        <v>0.50175191673803299</v>
      </c>
      <c r="M743" s="18">
        <f>VLOOKUP(A743,[1]Export!$A:$G,7,0)</f>
        <v>12754.609999999999</v>
      </c>
      <c r="N743" s="19">
        <f t="shared" si="25"/>
        <v>0.41815861720098618</v>
      </c>
      <c r="O743" s="17" t="s">
        <v>1027</v>
      </c>
      <c r="P743" s="17" t="s">
        <v>1028</v>
      </c>
      <c r="Q743" s="17" t="s">
        <v>1023</v>
      </c>
      <c r="R743" s="17" t="str">
        <f>VLOOKUP(A743,[2]Export!$A:$I,9,0)</f>
        <v>Comprou Marcas e SG</v>
      </c>
      <c r="S743" s="17" t="s">
        <v>1022</v>
      </c>
      <c r="T743" s="20"/>
      <c r="U743" s="17"/>
    </row>
    <row r="744" spans="1:21" x14ac:dyDescent="0.35">
      <c r="A744" s="4">
        <v>8617745000106</v>
      </c>
      <c r="B744" s="7"/>
      <c r="C744" s="4">
        <v>11997</v>
      </c>
      <c r="D744" s="1" t="s">
        <v>756</v>
      </c>
      <c r="E744" s="1" t="s">
        <v>206</v>
      </c>
      <c r="F744" s="1" t="s">
        <v>48</v>
      </c>
      <c r="G744" s="10" t="s">
        <v>80</v>
      </c>
      <c r="H744" s="1" t="s">
        <v>17</v>
      </c>
      <c r="I744" s="21" t="s">
        <v>1075</v>
      </c>
      <c r="J744" s="18">
        <v>8515.6646234475702</v>
      </c>
      <c r="K744" s="18">
        <f>VLOOKUP(A744,[1]Export!$A:$C,3,0)</f>
        <v>10421.870000000001</v>
      </c>
      <c r="L744" s="19">
        <f t="shared" si="24"/>
        <v>1.2238469292583181</v>
      </c>
      <c r="M744" s="18">
        <f>VLOOKUP(A744,[1]Export!$A:$G,7,0)</f>
        <v>8185.3799999999992</v>
      </c>
      <c r="N744" s="19">
        <f t="shared" si="25"/>
        <v>0.96121446322132686</v>
      </c>
      <c r="O744" s="17" t="s">
        <v>1027</v>
      </c>
      <c r="P744" s="17" t="s">
        <v>1028</v>
      </c>
      <c r="Q744" s="17" t="s">
        <v>1023</v>
      </c>
      <c r="R744" s="17" t="str">
        <f>VLOOKUP(A744,[2]Export!$A:$I,9,0)</f>
        <v>Comprou Marcas</v>
      </c>
      <c r="S744" s="17" t="s">
        <v>1022</v>
      </c>
      <c r="T744" s="20"/>
      <c r="U744" s="17"/>
    </row>
    <row r="745" spans="1:21" x14ac:dyDescent="0.35">
      <c r="A745" s="5">
        <v>8776885000127</v>
      </c>
      <c r="B745" s="7"/>
      <c r="C745" s="4"/>
      <c r="D745" s="6" t="s">
        <v>716</v>
      </c>
      <c r="E745" s="6" t="s">
        <v>219</v>
      </c>
      <c r="F745" s="6" t="s">
        <v>8</v>
      </c>
      <c r="G745" s="11" t="s">
        <v>33</v>
      </c>
      <c r="H745" s="6" t="s">
        <v>17</v>
      </c>
      <c r="I745" s="21" t="s">
        <v>1072</v>
      </c>
      <c r="J745" s="18">
        <v>4442.0777107483063</v>
      </c>
      <c r="K745" s="18">
        <f>VLOOKUP(A745,[1]Export!$A:$C,3,0)</f>
        <v>1583.3999999999999</v>
      </c>
      <c r="L745" s="19">
        <f t="shared" si="24"/>
        <v>0.35645481756627406</v>
      </c>
      <c r="M745" s="18">
        <f>VLOOKUP(A745,[1]Export!$A:$G,7,0)</f>
        <v>607.07000000000005</v>
      </c>
      <c r="N745" s="19">
        <f t="shared" si="25"/>
        <v>0.1366635253883782</v>
      </c>
      <c r="O745" s="17" t="s">
        <v>1027</v>
      </c>
      <c r="P745" s="17" t="s">
        <v>1026</v>
      </c>
      <c r="Q745" s="17" t="s">
        <v>1023</v>
      </c>
      <c r="R745" s="17" t="str">
        <f>VLOOKUP(A745,[2]Export!$A:$I,9,0)</f>
        <v>Comprou Marcas e SG</v>
      </c>
      <c r="S745" s="17" t="s">
        <v>1022</v>
      </c>
      <c r="T745" s="20"/>
      <c r="U745" s="17"/>
    </row>
    <row r="746" spans="1:21" x14ac:dyDescent="0.35">
      <c r="A746" s="4">
        <v>9039622000289</v>
      </c>
      <c r="B746" s="7" t="s">
        <v>1004</v>
      </c>
      <c r="C746" s="4"/>
      <c r="D746" s="1" t="s">
        <v>757</v>
      </c>
      <c r="E746" s="1" t="s">
        <v>40</v>
      </c>
      <c r="F746" s="1" t="s">
        <v>8</v>
      </c>
      <c r="G746" s="10" t="s">
        <v>33</v>
      </c>
      <c r="H746" s="1" t="s">
        <v>17</v>
      </c>
      <c r="I746" s="21" t="s">
        <v>1072</v>
      </c>
      <c r="J746" s="18">
        <v>112437.07453859647</v>
      </c>
      <c r="K746" s="18">
        <f>VLOOKUP(A746,[1]Export!$A:$C,3,0)</f>
        <v>44670.200000000033</v>
      </c>
      <c r="L746" s="19">
        <f t="shared" si="24"/>
        <v>0.39729066398526774</v>
      </c>
      <c r="M746" s="18">
        <f>VLOOKUP(A746,[1]Export!$A:$G,7,0)</f>
        <v>35787.910000000018</v>
      </c>
      <c r="N746" s="19">
        <f t="shared" si="25"/>
        <v>0.31829278862742949</v>
      </c>
      <c r="O746" s="17" t="s">
        <v>1027</v>
      </c>
      <c r="P746" s="17" t="s">
        <v>1026</v>
      </c>
      <c r="Q746" s="17" t="s">
        <v>1023</v>
      </c>
      <c r="R746" s="17" t="str">
        <f>VLOOKUP(A746,[2]Export!$A:$I,9,0)</f>
        <v>Comprou Marcas e SG</v>
      </c>
      <c r="S746" s="17" t="s">
        <v>1022</v>
      </c>
      <c r="T746" s="20">
        <v>4</v>
      </c>
      <c r="U746" s="17"/>
    </row>
    <row r="747" spans="1:21" x14ac:dyDescent="0.35">
      <c r="A747" s="5">
        <v>63882511000102</v>
      </c>
      <c r="B747" s="7"/>
      <c r="C747" s="4"/>
      <c r="D747" s="6" t="s">
        <v>758</v>
      </c>
      <c r="E747" s="6" t="s">
        <v>61</v>
      </c>
      <c r="F747" s="6" t="s">
        <v>8</v>
      </c>
      <c r="G747" s="11" t="s">
        <v>20</v>
      </c>
      <c r="H747" s="6" t="s">
        <v>17</v>
      </c>
      <c r="I747" s="21" t="s">
        <v>1068</v>
      </c>
      <c r="J747" s="18">
        <v>593.9738062236944</v>
      </c>
      <c r="K747" s="18">
        <f>VLOOKUP(A747,[1]Export!$A:$C,3,0)</f>
        <v>0</v>
      </c>
      <c r="L747" s="19">
        <f t="shared" si="24"/>
        <v>0</v>
      </c>
      <c r="M747" s="18">
        <f>VLOOKUP(A747,[1]Export!$A:$G,7,0)</f>
        <v>0</v>
      </c>
      <c r="N747" s="19">
        <f t="shared" si="25"/>
        <v>0</v>
      </c>
      <c r="O747" s="17" t="s">
        <v>1025</v>
      </c>
      <c r="P747" s="17" t="s">
        <v>1026</v>
      </c>
      <c r="Q747" s="17" t="s">
        <v>1023</v>
      </c>
      <c r="R747" s="17" t="str">
        <f>VLOOKUP(A747,[2]Export!$A:$I,9,0)</f>
        <v>Não Comprou</v>
      </c>
      <c r="S747" s="17" t="s">
        <v>1023</v>
      </c>
      <c r="T747" s="20"/>
      <c r="U747" s="17"/>
    </row>
    <row r="748" spans="1:21" x14ac:dyDescent="0.35">
      <c r="A748" s="4">
        <v>32844150000178</v>
      </c>
      <c r="B748" s="7"/>
      <c r="C748" s="4"/>
      <c r="D748" s="1" t="s">
        <v>457</v>
      </c>
      <c r="E748" s="1" t="s">
        <v>458</v>
      </c>
      <c r="F748" s="1" t="s">
        <v>48</v>
      </c>
      <c r="G748" s="10" t="s">
        <v>38</v>
      </c>
      <c r="H748" s="1" t="s">
        <v>17</v>
      </c>
      <c r="I748" s="21" t="s">
        <v>1075</v>
      </c>
      <c r="J748" s="18">
        <v>1192.9270984790217</v>
      </c>
      <c r="K748" s="18">
        <f>VLOOKUP(A748,[1]Export!$A:$C,3,0)</f>
        <v>259.38</v>
      </c>
      <c r="L748" s="19">
        <f t="shared" si="24"/>
        <v>0.21743156000958372</v>
      </c>
      <c r="M748" s="18">
        <f>VLOOKUP(A748,[1]Export!$A:$G,7,0)</f>
        <v>0</v>
      </c>
      <c r="N748" s="19">
        <f t="shared" si="25"/>
        <v>0</v>
      </c>
      <c r="O748" s="17" t="s">
        <v>1029</v>
      </c>
      <c r="P748" s="17" t="s">
        <v>1026</v>
      </c>
      <c r="Q748" s="17" t="s">
        <v>1022</v>
      </c>
      <c r="R748" s="17" t="str">
        <f>VLOOKUP(A748,[2]Export!$A:$I,9,0)</f>
        <v>Comprou SG</v>
      </c>
      <c r="S748" s="17" t="s">
        <v>1023</v>
      </c>
      <c r="T748" s="20"/>
      <c r="U748" s="17"/>
    </row>
    <row r="749" spans="1:21" x14ac:dyDescent="0.35">
      <c r="A749" s="5">
        <v>65675078000151</v>
      </c>
      <c r="B749" s="7"/>
      <c r="C749" s="4"/>
      <c r="D749" s="6" t="s">
        <v>380</v>
      </c>
      <c r="E749" s="6" t="s">
        <v>14</v>
      </c>
      <c r="F749" s="6" t="s">
        <v>15</v>
      </c>
      <c r="G749" s="11" t="s">
        <v>20</v>
      </c>
      <c r="H749" s="6" t="s">
        <v>17</v>
      </c>
      <c r="I749" s="21" t="s">
        <v>1069</v>
      </c>
      <c r="J749" s="18">
        <v>791.31348744278421</v>
      </c>
      <c r="K749" s="18">
        <f>VLOOKUP(A749,[1]Export!$A:$C,3,0)</f>
        <v>1211.1899999999998</v>
      </c>
      <c r="L749" s="19">
        <f t="shared" si="24"/>
        <v>1.5306070466637594</v>
      </c>
      <c r="M749" s="18">
        <f>VLOOKUP(A749,[1]Export!$A:$G,7,0)</f>
        <v>3248.4700000000003</v>
      </c>
      <c r="N749" s="19">
        <f t="shared" si="25"/>
        <v>4.1051619257720287</v>
      </c>
      <c r="O749" s="17" t="s">
        <v>1025</v>
      </c>
      <c r="P749" s="17" t="s">
        <v>1026</v>
      </c>
      <c r="Q749" s="17" t="s">
        <v>1023</v>
      </c>
      <c r="R749" s="17" t="str">
        <f>VLOOKUP(A749,[2]Export!$A:$I,9,0)</f>
        <v>Comprou Marcas</v>
      </c>
      <c r="S749" s="17" t="s">
        <v>1023</v>
      </c>
      <c r="T749" s="20"/>
      <c r="U749" s="17"/>
    </row>
    <row r="750" spans="1:21" x14ac:dyDescent="0.35">
      <c r="A750" s="4">
        <v>66807884000107</v>
      </c>
      <c r="B750" s="7"/>
      <c r="C750" s="4"/>
      <c r="D750" s="1" t="s">
        <v>761</v>
      </c>
      <c r="E750" s="1" t="s">
        <v>635</v>
      </c>
      <c r="F750" s="1" t="s">
        <v>48</v>
      </c>
      <c r="G750" s="10" t="s">
        <v>20</v>
      </c>
      <c r="H750" s="1" t="s">
        <v>17</v>
      </c>
      <c r="I750" s="21" t="s">
        <v>1073</v>
      </c>
      <c r="J750" s="18">
        <v>2475.0204759213184</v>
      </c>
      <c r="K750" s="18">
        <f>VLOOKUP(A750,[1]Export!$A:$C,3,0)</f>
        <v>1200.08</v>
      </c>
      <c r="L750" s="19">
        <f t="shared" si="24"/>
        <v>0.48487679664681321</v>
      </c>
      <c r="M750" s="18">
        <f>VLOOKUP(A750,[1]Export!$A:$G,7,0)</f>
        <v>0</v>
      </c>
      <c r="N750" s="19">
        <f t="shared" si="25"/>
        <v>0</v>
      </c>
      <c r="O750" s="17" t="s">
        <v>1025</v>
      </c>
      <c r="P750" s="17" t="s">
        <v>1026</v>
      </c>
      <c r="Q750" s="17" t="s">
        <v>1023</v>
      </c>
      <c r="R750" s="17" t="str">
        <f>VLOOKUP(A750,[2]Export!$A:$I,9,0)</f>
        <v>Não Comprou</v>
      </c>
      <c r="S750" s="17" t="s">
        <v>1023</v>
      </c>
      <c r="T750" s="20"/>
      <c r="U750" s="17"/>
    </row>
    <row r="751" spans="1:21" x14ac:dyDescent="0.35">
      <c r="A751" s="5">
        <v>67778728000110</v>
      </c>
      <c r="B751" s="7"/>
      <c r="C751" s="4"/>
      <c r="D751" s="6" t="s">
        <v>762</v>
      </c>
      <c r="E751" s="6" t="s">
        <v>122</v>
      </c>
      <c r="F751" s="6" t="s">
        <v>8</v>
      </c>
      <c r="G751" s="11" t="s">
        <v>16</v>
      </c>
      <c r="H751" s="6" t="s">
        <v>17</v>
      </c>
      <c r="I751" s="21" t="s">
        <v>1068</v>
      </c>
      <c r="J751" s="18">
        <v>56.958510199256573</v>
      </c>
      <c r="K751" s="18">
        <f>VLOOKUP(A751,[1]Export!$A:$C,3,0)</f>
        <v>310.23999999999995</v>
      </c>
      <c r="L751" s="19">
        <f t="shared" si="24"/>
        <v>5.4467716749383879</v>
      </c>
      <c r="M751" s="18">
        <f>VLOOKUP(A751,[1]Export!$A:$G,7,0)</f>
        <v>304.84999999999997</v>
      </c>
      <c r="N751" s="19">
        <f t="shared" si="25"/>
        <v>5.352141390874702</v>
      </c>
      <c r="O751" s="17"/>
      <c r="P751" s="17"/>
      <c r="Q751" s="17"/>
      <c r="R751" s="17" t="str">
        <f>VLOOKUP(A751,[2]Export!$A:$I,9,0)</f>
        <v>Comprou Marcas</v>
      </c>
      <c r="S751" s="17"/>
      <c r="T751" s="20"/>
      <c r="U751" s="17"/>
    </row>
    <row r="752" spans="1:21" x14ac:dyDescent="0.35">
      <c r="A752" s="4">
        <v>4641689000194</v>
      </c>
      <c r="B752" s="7"/>
      <c r="C752" s="4"/>
      <c r="D752" s="1" t="s">
        <v>763</v>
      </c>
      <c r="E752" s="1" t="s">
        <v>285</v>
      </c>
      <c r="F752" s="1" t="s">
        <v>8</v>
      </c>
      <c r="G752" s="10" t="s">
        <v>16</v>
      </c>
      <c r="H752" s="1" t="s">
        <v>17</v>
      </c>
      <c r="I752" s="21" t="s">
        <v>1068</v>
      </c>
      <c r="J752" s="18">
        <v>3578.3567679215921</v>
      </c>
      <c r="K752" s="18">
        <f>VLOOKUP(A752,[1]Export!$A:$C,3,0)</f>
        <v>226.9</v>
      </c>
      <c r="L752" s="19">
        <f t="shared" si="24"/>
        <v>6.3408993209972675E-2</v>
      </c>
      <c r="M752" s="18">
        <f>VLOOKUP(A752,[1]Export!$A:$G,7,0)</f>
        <v>0</v>
      </c>
      <c r="N752" s="19">
        <f t="shared" si="25"/>
        <v>0</v>
      </c>
      <c r="O752" s="17" t="s">
        <v>1029</v>
      </c>
      <c r="P752" s="17" t="s">
        <v>1026</v>
      </c>
      <c r="Q752" s="17" t="s">
        <v>1022</v>
      </c>
      <c r="R752" s="17" t="str">
        <f>VLOOKUP(A752,[2]Export!$A:$I,9,0)</f>
        <v>Não Comprou</v>
      </c>
      <c r="S752" s="17" t="s">
        <v>1023</v>
      </c>
      <c r="T752" s="20"/>
      <c r="U752" s="17"/>
    </row>
    <row r="753" spans="1:21" x14ac:dyDescent="0.35">
      <c r="A753" s="5">
        <v>4834843002864</v>
      </c>
      <c r="B753" s="7" t="s">
        <v>994</v>
      </c>
      <c r="C753" s="4"/>
      <c r="D753" s="6" t="s">
        <v>764</v>
      </c>
      <c r="E753" s="6" t="s">
        <v>606</v>
      </c>
      <c r="F753" s="6" t="s">
        <v>48</v>
      </c>
      <c r="G753" s="11" t="s">
        <v>92</v>
      </c>
      <c r="H753" s="6" t="s">
        <v>17</v>
      </c>
      <c r="I753" s="21" t="s">
        <v>1073</v>
      </c>
      <c r="J753" s="18">
        <v>6079.3335109697327</v>
      </c>
      <c r="K753" s="18">
        <f>VLOOKUP(A753,[1]Export!$A:$C,3,0)</f>
        <v>1727.71</v>
      </c>
      <c r="L753" s="19">
        <f t="shared" si="24"/>
        <v>0.28419398226507364</v>
      </c>
      <c r="M753" s="18">
        <f>VLOOKUP(A753,[1]Export!$A:$G,7,0)</f>
        <v>1862.1299999999999</v>
      </c>
      <c r="N753" s="19">
        <f t="shared" si="25"/>
        <v>0.30630495869981739</v>
      </c>
      <c r="O753" s="17" t="s">
        <v>1027</v>
      </c>
      <c r="P753" s="17" t="s">
        <v>1028</v>
      </c>
      <c r="Q753" s="17" t="s">
        <v>1023</v>
      </c>
      <c r="R753" s="17" t="str">
        <f>VLOOKUP(A753,[2]Export!$A:$I,9,0)</f>
        <v>Comprou Marcas</v>
      </c>
      <c r="S753" s="17" t="s">
        <v>1022</v>
      </c>
      <c r="T753" s="20"/>
      <c r="U753" s="17"/>
    </row>
    <row r="754" spans="1:21" x14ac:dyDescent="0.35">
      <c r="A754" s="4">
        <v>4994525000140</v>
      </c>
      <c r="B754" s="7"/>
      <c r="C754" s="4"/>
      <c r="D754" s="1" t="s">
        <v>765</v>
      </c>
      <c r="E754" s="1" t="s">
        <v>766</v>
      </c>
      <c r="F754" s="1" t="s">
        <v>15</v>
      </c>
      <c r="G754" s="10" t="s">
        <v>20</v>
      </c>
      <c r="H754" s="1" t="s">
        <v>17</v>
      </c>
      <c r="I754" s="21" t="s">
        <v>1071</v>
      </c>
      <c r="J754" s="18">
        <v>4569.02498835809</v>
      </c>
      <c r="K754" s="18">
        <f>VLOOKUP(A754,[1]Export!$A:$C,3,0)</f>
        <v>951.52999999999986</v>
      </c>
      <c r="L754" s="19">
        <f t="shared" si="24"/>
        <v>0.20825668549077878</v>
      </c>
      <c r="M754" s="18">
        <f>VLOOKUP(A754,[1]Export!$A:$G,7,0)</f>
        <v>0</v>
      </c>
      <c r="N754" s="19">
        <f t="shared" si="25"/>
        <v>0</v>
      </c>
      <c r="O754" s="17" t="s">
        <v>1025</v>
      </c>
      <c r="P754" s="17" t="s">
        <v>1026</v>
      </c>
      <c r="Q754" s="17" t="s">
        <v>1023</v>
      </c>
      <c r="R754" s="17" t="str">
        <f>VLOOKUP(A754,[2]Export!$A:$I,9,0)</f>
        <v>Não Comprou</v>
      </c>
      <c r="S754" s="17" t="s">
        <v>1022</v>
      </c>
      <c r="T754" s="20"/>
      <c r="U754" s="17"/>
    </row>
    <row r="755" spans="1:21" x14ac:dyDescent="0.35">
      <c r="A755" s="5">
        <v>5328012000163</v>
      </c>
      <c r="B755" s="7"/>
      <c r="C755" s="4"/>
      <c r="D755" s="6" t="s">
        <v>767</v>
      </c>
      <c r="E755" s="6" t="s">
        <v>61</v>
      </c>
      <c r="F755" s="6" t="s">
        <v>8</v>
      </c>
      <c r="G755" s="11" t="s">
        <v>16</v>
      </c>
      <c r="H755" s="6" t="s">
        <v>17</v>
      </c>
      <c r="I755" s="21" t="s">
        <v>1068</v>
      </c>
      <c r="J755" s="18">
        <v>3941.3471058333985</v>
      </c>
      <c r="K755" s="18">
        <f>VLOOKUP(A755,[1]Export!$A:$C,3,0)</f>
        <v>3929.42</v>
      </c>
      <c r="L755" s="19">
        <f t="shared" si="24"/>
        <v>0.99697385043409503</v>
      </c>
      <c r="M755" s="18">
        <f>VLOOKUP(A755,[1]Export!$A:$G,7,0)</f>
        <v>3320.54</v>
      </c>
      <c r="N755" s="19">
        <f t="shared" si="25"/>
        <v>0.8424885986533458</v>
      </c>
      <c r="O755" s="17" t="s">
        <v>1029</v>
      </c>
      <c r="P755" s="17" t="s">
        <v>1026</v>
      </c>
      <c r="Q755" s="17" t="s">
        <v>1022</v>
      </c>
      <c r="R755" s="17" t="str">
        <f>VLOOKUP(A755,[2]Export!$A:$I,9,0)</f>
        <v>Comprou Marcas</v>
      </c>
      <c r="S755" s="17" t="s">
        <v>1022</v>
      </c>
      <c r="T755" s="20"/>
      <c r="U755" s="17"/>
    </row>
    <row r="756" spans="1:21" x14ac:dyDescent="0.35">
      <c r="A756" s="4">
        <v>5558461000106</v>
      </c>
      <c r="B756" s="7"/>
      <c r="C756" s="4"/>
      <c r="D756" s="1" t="s">
        <v>768</v>
      </c>
      <c r="E756" s="1" t="s">
        <v>35</v>
      </c>
      <c r="F756" s="1" t="s">
        <v>8</v>
      </c>
      <c r="G756" s="10" t="s">
        <v>20</v>
      </c>
      <c r="H756" s="1" t="s">
        <v>17</v>
      </c>
      <c r="I756" s="21" t="s">
        <v>1072</v>
      </c>
      <c r="J756" s="18">
        <v>596.41617281977767</v>
      </c>
      <c r="K756" s="18">
        <f>VLOOKUP(A756,[1]Export!$A:$C,3,0)</f>
        <v>0</v>
      </c>
      <c r="L756" s="19">
        <f t="shared" si="24"/>
        <v>0</v>
      </c>
      <c r="M756" s="18">
        <f>VLOOKUP(A756,[1]Export!$A:$G,7,0)</f>
        <v>0</v>
      </c>
      <c r="N756" s="19">
        <f t="shared" si="25"/>
        <v>0</v>
      </c>
      <c r="O756" s="17" t="s">
        <v>1025</v>
      </c>
      <c r="P756" s="17" t="s">
        <v>1026</v>
      </c>
      <c r="Q756" s="17" t="s">
        <v>1023</v>
      </c>
      <c r="R756" s="17" t="str">
        <f>VLOOKUP(A756,[2]Export!$A:$I,9,0)</f>
        <v>Não Comprou</v>
      </c>
      <c r="S756" s="17" t="s">
        <v>1023</v>
      </c>
      <c r="T756" s="20"/>
      <c r="U756" s="17"/>
    </row>
    <row r="757" spans="1:21" x14ac:dyDescent="0.35">
      <c r="A757" s="5">
        <v>50031125000157</v>
      </c>
      <c r="B757" s="7"/>
      <c r="C757" s="4"/>
      <c r="D757" s="6" t="s">
        <v>769</v>
      </c>
      <c r="E757" s="6" t="s">
        <v>61</v>
      </c>
      <c r="F757" s="6" t="s">
        <v>8</v>
      </c>
      <c r="G757" s="11" t="s">
        <v>20</v>
      </c>
      <c r="H757" s="6" t="s">
        <v>17</v>
      </c>
      <c r="I757" s="21" t="s">
        <v>1068</v>
      </c>
      <c r="J757" s="18">
        <v>770.0428298702642</v>
      </c>
      <c r="K757" s="18">
        <f>VLOOKUP(A757,[1]Export!$A:$C,3,0)</f>
        <v>660.93000000000006</v>
      </c>
      <c r="L757" s="19">
        <f t="shared" si="24"/>
        <v>0.85830290778936635</v>
      </c>
      <c r="M757" s="18">
        <f>VLOOKUP(A757,[1]Export!$A:$G,7,0)</f>
        <v>653.06999999999994</v>
      </c>
      <c r="N757" s="19">
        <f t="shared" si="25"/>
        <v>0.84809568334014396</v>
      </c>
      <c r="O757" s="17" t="s">
        <v>1025</v>
      </c>
      <c r="P757" s="17" t="s">
        <v>1026</v>
      </c>
      <c r="Q757" s="17" t="s">
        <v>1023</v>
      </c>
      <c r="R757" s="17" t="str">
        <f>VLOOKUP(A757,[2]Export!$A:$I,9,0)</f>
        <v>Comprou Marcas</v>
      </c>
      <c r="S757" s="17" t="s">
        <v>1023</v>
      </c>
      <c r="T757" s="20"/>
      <c r="U757" s="17"/>
    </row>
    <row r="758" spans="1:21" x14ac:dyDescent="0.35">
      <c r="A758" s="4">
        <v>47614350000101</v>
      </c>
      <c r="B758" s="7"/>
      <c r="C758" s="4"/>
      <c r="D758" s="1" t="s">
        <v>665</v>
      </c>
      <c r="E758" s="1" t="s">
        <v>43</v>
      </c>
      <c r="F758" s="1" t="s">
        <v>8</v>
      </c>
      <c r="G758" s="10" t="s">
        <v>20</v>
      </c>
      <c r="H758" s="1" t="s">
        <v>17</v>
      </c>
      <c r="I758" s="21" t="s">
        <v>1070</v>
      </c>
      <c r="J758" s="18">
        <v>612.81022770656114</v>
      </c>
      <c r="K758" s="18">
        <f>VLOOKUP(A758,[1]Export!$A:$C,3,0)</f>
        <v>0</v>
      </c>
      <c r="L758" s="19">
        <f t="shared" si="24"/>
        <v>0</v>
      </c>
      <c r="M758" s="18">
        <f>VLOOKUP(A758,[1]Export!$A:$G,7,0)</f>
        <v>0</v>
      </c>
      <c r="N758" s="19">
        <f t="shared" si="25"/>
        <v>0</v>
      </c>
      <c r="O758" s="17" t="s">
        <v>1025</v>
      </c>
      <c r="P758" s="17" t="s">
        <v>1026</v>
      </c>
      <c r="Q758" s="17" t="s">
        <v>1023</v>
      </c>
      <c r="R758" s="17" t="str">
        <f>VLOOKUP(A758,[2]Export!$A:$I,9,0)</f>
        <v>Não Comprou</v>
      </c>
      <c r="S758" s="17" t="s">
        <v>1023</v>
      </c>
      <c r="T758" s="20"/>
      <c r="U758" s="17"/>
    </row>
    <row r="759" spans="1:21" x14ac:dyDescent="0.35">
      <c r="A759" s="5">
        <v>49845019000128</v>
      </c>
      <c r="B759" s="7"/>
      <c r="C759" s="4"/>
      <c r="D759" s="6" t="s">
        <v>770</v>
      </c>
      <c r="E759" s="6" t="s">
        <v>303</v>
      </c>
      <c r="F759" s="6" t="s">
        <v>48</v>
      </c>
      <c r="G759" s="11" t="s">
        <v>16</v>
      </c>
      <c r="H759" s="6" t="s">
        <v>17</v>
      </c>
      <c r="I759" s="21" t="s">
        <v>1073</v>
      </c>
      <c r="J759" s="18">
        <v>6583.1210521893036</v>
      </c>
      <c r="K759" s="18">
        <f>VLOOKUP(A759,[1]Export!$A:$C,3,0)</f>
        <v>2571.73</v>
      </c>
      <c r="L759" s="19">
        <f t="shared" si="24"/>
        <v>0.39065512841279704</v>
      </c>
      <c r="M759" s="18">
        <f>VLOOKUP(A759,[1]Export!$A:$G,7,0)</f>
        <v>1171.72</v>
      </c>
      <c r="N759" s="19">
        <f t="shared" si="25"/>
        <v>0.1779885240922813</v>
      </c>
      <c r="O759" s="17" t="s">
        <v>1027</v>
      </c>
      <c r="P759" s="17" t="s">
        <v>1028</v>
      </c>
      <c r="Q759" s="17" t="s">
        <v>1023</v>
      </c>
      <c r="R759" s="17" t="str">
        <f>VLOOKUP(A759,[2]Export!$A:$I,9,0)</f>
        <v>Comprou Marcas</v>
      </c>
      <c r="S759" s="17" t="s">
        <v>1022</v>
      </c>
      <c r="T759" s="20"/>
      <c r="U759" s="17"/>
    </row>
    <row r="760" spans="1:21" x14ac:dyDescent="0.35">
      <c r="A760" s="4">
        <v>50970969000163</v>
      </c>
      <c r="B760" s="7"/>
      <c r="C760" s="4"/>
      <c r="D760" s="1" t="s">
        <v>771</v>
      </c>
      <c r="E760" s="1" t="s">
        <v>131</v>
      </c>
      <c r="F760" s="1" t="s">
        <v>8</v>
      </c>
      <c r="G760" s="10" t="s">
        <v>20</v>
      </c>
      <c r="H760" s="1" t="s">
        <v>17</v>
      </c>
      <c r="I760" s="21" t="s">
        <v>1068</v>
      </c>
      <c r="J760" s="18">
        <v>1888.8266988044184</v>
      </c>
      <c r="K760" s="18">
        <f>VLOOKUP(A760,[1]Export!$A:$C,3,0)</f>
        <v>1053.3399999999999</v>
      </c>
      <c r="L760" s="19">
        <f t="shared" si="24"/>
        <v>0.55766894901831843</v>
      </c>
      <c r="M760" s="18">
        <f>VLOOKUP(A760,[1]Export!$A:$G,7,0)</f>
        <v>818.15</v>
      </c>
      <c r="N760" s="19">
        <f t="shared" si="25"/>
        <v>0.43315249647724119</v>
      </c>
      <c r="O760" s="17" t="s">
        <v>1025</v>
      </c>
      <c r="P760" s="17" t="s">
        <v>1026</v>
      </c>
      <c r="Q760" s="17" t="s">
        <v>1023</v>
      </c>
      <c r="R760" s="17" t="str">
        <f>VLOOKUP(A760,[2]Export!$A:$I,9,0)</f>
        <v>Comprou Marcas</v>
      </c>
      <c r="S760" s="17" t="s">
        <v>1023</v>
      </c>
      <c r="T760" s="20"/>
      <c r="U760" s="17"/>
    </row>
    <row r="761" spans="1:21" x14ac:dyDescent="0.35">
      <c r="A761" s="5">
        <v>15059340000165</v>
      </c>
      <c r="B761" s="7"/>
      <c r="C761" s="4"/>
      <c r="D761" s="6" t="s">
        <v>772</v>
      </c>
      <c r="E761" s="6" t="s">
        <v>127</v>
      </c>
      <c r="F761" s="6" t="s">
        <v>8</v>
      </c>
      <c r="G761" s="11" t="s">
        <v>16</v>
      </c>
      <c r="H761" s="6" t="s">
        <v>17</v>
      </c>
      <c r="I761" s="21" t="s">
        <v>1070</v>
      </c>
      <c r="J761" s="18">
        <v>4077.8921164164426</v>
      </c>
      <c r="K761" s="18">
        <f>VLOOKUP(A761,[1]Export!$A:$C,3,0)</f>
        <v>834.54000000000008</v>
      </c>
      <c r="L761" s="19">
        <f t="shared" si="24"/>
        <v>0.20464984756226817</v>
      </c>
      <c r="M761" s="18">
        <f>VLOOKUP(A761,[1]Export!$A:$G,7,0)</f>
        <v>0</v>
      </c>
      <c r="N761" s="19">
        <f t="shared" si="25"/>
        <v>0</v>
      </c>
      <c r="O761" s="17" t="s">
        <v>1029</v>
      </c>
      <c r="P761" s="17" t="s">
        <v>1026</v>
      </c>
      <c r="Q761" s="17" t="s">
        <v>1022</v>
      </c>
      <c r="R761" s="17" t="str">
        <f>VLOOKUP(A761,[2]Export!$A:$I,9,0)</f>
        <v>Não Comprou</v>
      </c>
      <c r="S761" s="17" t="s">
        <v>1023</v>
      </c>
      <c r="T761" s="20"/>
      <c r="U761" s="17"/>
    </row>
    <row r="762" spans="1:21" x14ac:dyDescent="0.35">
      <c r="A762" s="4">
        <v>17176661000256</v>
      </c>
      <c r="B762" s="7"/>
      <c r="C762" s="4"/>
      <c r="D762" s="1" t="s">
        <v>773</v>
      </c>
      <c r="E762" s="1" t="s">
        <v>110</v>
      </c>
      <c r="F762" s="1" t="s">
        <v>15</v>
      </c>
      <c r="G762" s="10" t="s">
        <v>36</v>
      </c>
      <c r="H762" s="1" t="s">
        <v>17</v>
      </c>
      <c r="I762" s="21" t="s">
        <v>1071</v>
      </c>
      <c r="J762" s="18">
        <v>1052.0197137956816</v>
      </c>
      <c r="K762" s="18">
        <f>VLOOKUP(A762,[1]Export!$A:$C,3,0)</f>
        <v>747.29</v>
      </c>
      <c r="L762" s="19">
        <f t="shared" si="24"/>
        <v>0.71033839974707469</v>
      </c>
      <c r="M762" s="18">
        <f>VLOOKUP(A762,[1]Export!$A:$G,7,0)</f>
        <v>0</v>
      </c>
      <c r="N762" s="19">
        <f t="shared" si="25"/>
        <v>0</v>
      </c>
      <c r="O762" s="17" t="s">
        <v>1027</v>
      </c>
      <c r="P762" s="17" t="s">
        <v>1028</v>
      </c>
      <c r="Q762" s="17" t="s">
        <v>1023</v>
      </c>
      <c r="R762" s="17" t="str">
        <f>VLOOKUP(A762,[2]Export!$A:$I,9,0)</f>
        <v>Não Comprou</v>
      </c>
      <c r="S762" s="17" t="s">
        <v>1022</v>
      </c>
      <c r="T762" s="20"/>
      <c r="U762" s="17"/>
    </row>
    <row r="763" spans="1:21" x14ac:dyDescent="0.35">
      <c r="A763" s="5">
        <v>18429327000149</v>
      </c>
      <c r="B763" s="7"/>
      <c r="C763" s="4"/>
      <c r="D763" s="6" t="s">
        <v>774</v>
      </c>
      <c r="E763" s="6" t="s">
        <v>14</v>
      </c>
      <c r="F763" s="6" t="s">
        <v>15</v>
      </c>
      <c r="G763" s="11" t="s">
        <v>20</v>
      </c>
      <c r="H763" s="6" t="s">
        <v>17</v>
      </c>
      <c r="I763" s="21" t="s">
        <v>1069</v>
      </c>
      <c r="J763" s="18">
        <v>2703.3489830113986</v>
      </c>
      <c r="K763" s="18">
        <f>VLOOKUP(A763,[1]Export!$A:$C,3,0)</f>
        <v>189.67000000000002</v>
      </c>
      <c r="L763" s="19">
        <f t="shared" si="24"/>
        <v>7.0161122811719601E-2</v>
      </c>
      <c r="M763" s="18">
        <f>VLOOKUP(A763,[1]Export!$A:$G,7,0)</f>
        <v>0</v>
      </c>
      <c r="N763" s="19">
        <f t="shared" si="25"/>
        <v>0</v>
      </c>
      <c r="O763" s="17" t="s">
        <v>1025</v>
      </c>
      <c r="P763" s="17" t="s">
        <v>1026</v>
      </c>
      <c r="Q763" s="17" t="s">
        <v>1023</v>
      </c>
      <c r="R763" s="17" t="str">
        <f>VLOOKUP(A763,[2]Export!$A:$I,9,0)</f>
        <v>Comprou SG</v>
      </c>
      <c r="S763" s="17" t="s">
        <v>1023</v>
      </c>
      <c r="T763" s="20"/>
      <c r="U763" s="17"/>
    </row>
    <row r="764" spans="1:21" x14ac:dyDescent="0.35">
      <c r="A764" s="4">
        <v>5244921000113</v>
      </c>
      <c r="B764" s="7"/>
      <c r="C764" s="4"/>
      <c r="D764" s="1" t="s">
        <v>583</v>
      </c>
      <c r="E764" s="1" t="s">
        <v>584</v>
      </c>
      <c r="F764" s="1" t="s">
        <v>48</v>
      </c>
      <c r="G764" s="10" t="s">
        <v>38</v>
      </c>
      <c r="H764" s="1" t="s">
        <v>17</v>
      </c>
      <c r="I764" s="21" t="s">
        <v>1075</v>
      </c>
      <c r="J764" s="18">
        <v>4086.8118753025315</v>
      </c>
      <c r="K764" s="18">
        <f>VLOOKUP(A764,[1]Export!$A:$C,3,0)</f>
        <v>607.37999999999988</v>
      </c>
      <c r="L764" s="19">
        <f t="shared" si="24"/>
        <v>0.14861951529272138</v>
      </c>
      <c r="M764" s="18">
        <f>VLOOKUP(A764,[1]Export!$A:$G,7,0)</f>
        <v>0</v>
      </c>
      <c r="N764" s="19">
        <f t="shared" si="25"/>
        <v>0</v>
      </c>
      <c r="O764" s="17" t="s">
        <v>1029</v>
      </c>
      <c r="P764" s="17" t="s">
        <v>1026</v>
      </c>
      <c r="Q764" s="17" t="s">
        <v>1022</v>
      </c>
      <c r="R764" s="17" t="str">
        <f>VLOOKUP(A764,[2]Export!$A:$I,9,0)</f>
        <v>Não Comprou</v>
      </c>
      <c r="S764" s="17" t="s">
        <v>1023</v>
      </c>
      <c r="T764" s="20"/>
      <c r="U764" s="17"/>
    </row>
    <row r="765" spans="1:21" x14ac:dyDescent="0.35">
      <c r="A765" s="5">
        <v>22166562000223</v>
      </c>
      <c r="B765" s="7"/>
      <c r="C765" s="4"/>
      <c r="D765" s="6" t="s">
        <v>59</v>
      </c>
      <c r="E765" s="6" t="s">
        <v>52</v>
      </c>
      <c r="F765" s="6" t="s">
        <v>8</v>
      </c>
      <c r="G765" s="11" t="s">
        <v>9</v>
      </c>
      <c r="H765" s="6" t="s">
        <v>10</v>
      </c>
      <c r="I765" s="21" t="s">
        <v>1074</v>
      </c>
      <c r="J765" s="18">
        <v>9926.3852037543329</v>
      </c>
      <c r="K765" s="18">
        <f>VLOOKUP(A765,[1]Export!$A:$C,3,0)</f>
        <v>3559.8099999999995</v>
      </c>
      <c r="L765" s="19">
        <f t="shared" si="24"/>
        <v>0.35862098104490414</v>
      </c>
      <c r="M765" s="18">
        <f>VLOOKUP(A765,[1]Export!$A:$G,7,0)</f>
        <v>2774.5800000000008</v>
      </c>
      <c r="N765" s="19">
        <f t="shared" si="25"/>
        <v>0.27951564875304313</v>
      </c>
      <c r="O765" s="17"/>
      <c r="P765" s="17"/>
      <c r="Q765" s="17"/>
      <c r="R765" s="17" t="str">
        <f>VLOOKUP(A765,[2]Export!$A:$I,9,0)</f>
        <v>Comprou Marcas</v>
      </c>
      <c r="S765" s="17" t="s">
        <v>1022</v>
      </c>
      <c r="T765" s="20"/>
      <c r="U765" s="17"/>
    </row>
    <row r="766" spans="1:21" x14ac:dyDescent="0.35">
      <c r="A766" s="4">
        <v>18919955000102</v>
      </c>
      <c r="B766" s="7"/>
      <c r="C766" s="4">
        <v>155489</v>
      </c>
      <c r="D766" s="1" t="s">
        <v>650</v>
      </c>
      <c r="E766" s="1" t="s">
        <v>203</v>
      </c>
      <c r="F766" s="1" t="s">
        <v>8</v>
      </c>
      <c r="G766" s="10" t="s">
        <v>20</v>
      </c>
      <c r="H766" s="1" t="s">
        <v>17</v>
      </c>
      <c r="I766" s="21" t="s">
        <v>1074</v>
      </c>
      <c r="J766" s="18">
        <v>23533.860781039042</v>
      </c>
      <c r="K766" s="18">
        <f>VLOOKUP(A766,[1]Export!$A:$C,3,0)</f>
        <v>6205.3000000000011</v>
      </c>
      <c r="L766" s="19">
        <f t="shared" si="24"/>
        <v>0.26367539341439206</v>
      </c>
      <c r="M766" s="18">
        <f>VLOOKUP(A766,[1]Export!$A:$G,7,0)</f>
        <v>3733.6000000000004</v>
      </c>
      <c r="N766" s="19">
        <f t="shared" si="25"/>
        <v>0.15864800232897266</v>
      </c>
      <c r="O766" s="17" t="s">
        <v>1030</v>
      </c>
      <c r="P766" s="17" t="s">
        <v>1026</v>
      </c>
      <c r="Q766" s="17" t="s">
        <v>1023</v>
      </c>
      <c r="R766" s="17" t="str">
        <f>VLOOKUP(A766,[2]Export!$A:$I,9,0)</f>
        <v>Comprou Marcas</v>
      </c>
      <c r="S766" s="17" t="s">
        <v>1022</v>
      </c>
      <c r="T766" s="20">
        <v>4</v>
      </c>
      <c r="U766" s="17"/>
    </row>
    <row r="767" spans="1:21" x14ac:dyDescent="0.35">
      <c r="A767" s="5">
        <v>35282298000154</v>
      </c>
      <c r="B767" s="7"/>
      <c r="C767" s="4"/>
      <c r="D767" s="6" t="s">
        <v>344</v>
      </c>
      <c r="E767" s="6" t="s">
        <v>182</v>
      </c>
      <c r="F767" s="6" t="s">
        <v>8</v>
      </c>
      <c r="G767" s="11" t="s">
        <v>9</v>
      </c>
      <c r="H767" s="6" t="s">
        <v>10</v>
      </c>
      <c r="I767" s="21" t="s">
        <v>1074</v>
      </c>
      <c r="J767" s="18">
        <v>17628.221795035624</v>
      </c>
      <c r="K767" s="18">
        <f>VLOOKUP(A767,[1]Export!$A:$C,3,0)</f>
        <v>7162.1200000000035</v>
      </c>
      <c r="L767" s="19">
        <f t="shared" si="24"/>
        <v>0.40628715041564578</v>
      </c>
      <c r="M767" s="18">
        <f>VLOOKUP(A767,[1]Export!$A:$G,7,0)</f>
        <v>3970.66</v>
      </c>
      <c r="N767" s="19">
        <f t="shared" si="25"/>
        <v>0.22524449976674324</v>
      </c>
      <c r="O767" s="17" t="s">
        <v>1027</v>
      </c>
      <c r="P767" s="17" t="s">
        <v>1028</v>
      </c>
      <c r="Q767" s="17" t="s">
        <v>1023</v>
      </c>
      <c r="R767" s="17" t="str">
        <f>VLOOKUP(A767,[2]Export!$A:$I,9,0)</f>
        <v>Comprou Marcas</v>
      </c>
      <c r="S767" s="17" t="s">
        <v>1022</v>
      </c>
      <c r="T767" s="20"/>
      <c r="U767" s="17"/>
    </row>
    <row r="768" spans="1:21" x14ac:dyDescent="0.35">
      <c r="A768" s="4">
        <v>21769166000309</v>
      </c>
      <c r="B768" s="7"/>
      <c r="C768" s="4"/>
      <c r="D768" s="1" t="s">
        <v>220</v>
      </c>
      <c r="E768" s="1" t="s">
        <v>285</v>
      </c>
      <c r="F768" s="1" t="s">
        <v>8</v>
      </c>
      <c r="G768" s="10" t="s">
        <v>16</v>
      </c>
      <c r="H768" s="1" t="s">
        <v>17</v>
      </c>
      <c r="I768" s="21" t="s">
        <v>1068</v>
      </c>
      <c r="J768" s="18">
        <v>1908.1128348930474</v>
      </c>
      <c r="K768" s="18">
        <f>VLOOKUP(A768,[1]Export!$A:$C,3,0)</f>
        <v>668.99000000000012</v>
      </c>
      <c r="L768" s="19">
        <f t="shared" si="24"/>
        <v>0.35060295584537482</v>
      </c>
      <c r="M768" s="18">
        <f>VLOOKUP(A768,[1]Export!$A:$G,7,0)</f>
        <v>0</v>
      </c>
      <c r="N768" s="19">
        <f t="shared" si="25"/>
        <v>0</v>
      </c>
      <c r="O768" s="17" t="s">
        <v>1029</v>
      </c>
      <c r="P768" s="17" t="s">
        <v>1026</v>
      </c>
      <c r="Q768" s="17" t="s">
        <v>1022</v>
      </c>
      <c r="R768" s="17" t="str">
        <f>VLOOKUP(A768,[2]Export!$A:$I,9,0)</f>
        <v>Não Comprou</v>
      </c>
      <c r="S768" s="17" t="s">
        <v>1023</v>
      </c>
      <c r="T768" s="20"/>
      <c r="U768" s="17"/>
    </row>
    <row r="769" spans="1:21" x14ac:dyDescent="0.35">
      <c r="A769" s="5">
        <v>55913843000170</v>
      </c>
      <c r="B769" s="7"/>
      <c r="C769" s="4"/>
      <c r="D769" s="6" t="s">
        <v>776</v>
      </c>
      <c r="E769" s="6" t="s">
        <v>52</v>
      </c>
      <c r="F769" s="6" t="s">
        <v>8</v>
      </c>
      <c r="G769" s="11" t="s">
        <v>64</v>
      </c>
      <c r="H769" s="6" t="s">
        <v>17</v>
      </c>
      <c r="I769" s="21" t="s">
        <v>1074</v>
      </c>
      <c r="J769" s="18">
        <v>1210.2403337558164</v>
      </c>
      <c r="K769" s="18">
        <f>VLOOKUP(A769,[1]Export!$A:$C,3,0)</f>
        <v>104.39</v>
      </c>
      <c r="L769" s="19">
        <f t="shared" si="24"/>
        <v>8.6255594932983126E-2</v>
      </c>
      <c r="M769" s="18">
        <f>VLOOKUP(A769,[1]Export!$A:$G,7,0)</f>
        <v>0</v>
      </c>
      <c r="N769" s="19">
        <f t="shared" si="25"/>
        <v>0</v>
      </c>
      <c r="O769" s="17" t="s">
        <v>1025</v>
      </c>
      <c r="P769" s="17" t="s">
        <v>1026</v>
      </c>
      <c r="Q769" s="17" t="s">
        <v>1022</v>
      </c>
      <c r="R769" s="17" t="str">
        <f>VLOOKUP(A769,[2]Export!$A:$I,9,0)</f>
        <v>Não Comprou</v>
      </c>
      <c r="S769" s="17" t="s">
        <v>1023</v>
      </c>
      <c r="T769" s="20"/>
      <c r="U769" s="17"/>
    </row>
    <row r="770" spans="1:21" x14ac:dyDescent="0.35">
      <c r="A770" s="4">
        <v>60706953000100</v>
      </c>
      <c r="B770" s="7"/>
      <c r="C770" s="4"/>
      <c r="D770" s="1" t="s">
        <v>777</v>
      </c>
      <c r="E770" s="1" t="s">
        <v>379</v>
      </c>
      <c r="F770" s="1" t="s">
        <v>15</v>
      </c>
      <c r="G770" s="10" t="s">
        <v>16</v>
      </c>
      <c r="H770" s="1" t="s">
        <v>17</v>
      </c>
      <c r="I770" s="21" t="s">
        <v>1075</v>
      </c>
      <c r="J770" s="18">
        <v>1087.5907056473902</v>
      </c>
      <c r="K770" s="18">
        <f>VLOOKUP(A770,[1]Export!$A:$C,3,0)</f>
        <v>1271.4000000000001</v>
      </c>
      <c r="L770" s="19">
        <f t="shared" si="24"/>
        <v>1.1690059444220766</v>
      </c>
      <c r="M770" s="18">
        <f>VLOOKUP(A770,[1]Export!$A:$G,7,0)</f>
        <v>0</v>
      </c>
      <c r="N770" s="19">
        <f t="shared" si="25"/>
        <v>0</v>
      </c>
      <c r="O770" s="17" t="s">
        <v>1029</v>
      </c>
      <c r="P770" s="17" t="s">
        <v>1026</v>
      </c>
      <c r="Q770" s="17" t="s">
        <v>1022</v>
      </c>
      <c r="R770" s="17" t="str">
        <f>VLOOKUP(A770,[2]Export!$A:$I,9,0)</f>
        <v>Não Comprou</v>
      </c>
      <c r="S770" s="17" t="s">
        <v>1023</v>
      </c>
      <c r="T770" s="20"/>
      <c r="U770" s="17"/>
    </row>
    <row r="771" spans="1:21" x14ac:dyDescent="0.35">
      <c r="A771" s="5">
        <v>4336468000102</v>
      </c>
      <c r="B771" s="7"/>
      <c r="C771" s="4"/>
      <c r="D771" s="6" t="s">
        <v>778</v>
      </c>
      <c r="E771" s="6" t="s">
        <v>52</v>
      </c>
      <c r="F771" s="6" t="s">
        <v>8</v>
      </c>
      <c r="G771" s="11" t="s">
        <v>20</v>
      </c>
      <c r="H771" s="6" t="s">
        <v>17</v>
      </c>
      <c r="I771" s="21" t="s">
        <v>1074</v>
      </c>
      <c r="J771" s="18">
        <v>3881.6137178240961</v>
      </c>
      <c r="K771" s="18">
        <f>VLOOKUP(A771,[1]Export!$A:$C,3,0)</f>
        <v>734.81</v>
      </c>
      <c r="L771" s="19">
        <f t="shared" si="24"/>
        <v>0.18930528728961471</v>
      </c>
      <c r="M771" s="18">
        <f>VLOOKUP(A771,[1]Export!$A:$G,7,0)</f>
        <v>968.1400000000001</v>
      </c>
      <c r="N771" s="19">
        <f t="shared" si="25"/>
        <v>0.24941688441443041</v>
      </c>
      <c r="O771" s="17" t="s">
        <v>1029</v>
      </c>
      <c r="P771" s="17" t="s">
        <v>1026</v>
      </c>
      <c r="Q771" s="17" t="s">
        <v>1022</v>
      </c>
      <c r="R771" s="17" t="str">
        <f>VLOOKUP(A771,[2]Export!$A:$I,9,0)</f>
        <v>Comprou Marcas</v>
      </c>
      <c r="S771" s="17" t="s">
        <v>1022</v>
      </c>
      <c r="T771" s="20"/>
      <c r="U771" s="17">
        <v>2</v>
      </c>
    </row>
    <row r="772" spans="1:21" x14ac:dyDescent="0.35">
      <c r="A772" s="4">
        <v>4834843000306</v>
      </c>
      <c r="B772" s="7" t="s">
        <v>994</v>
      </c>
      <c r="C772" s="4"/>
      <c r="D772" s="1" t="s">
        <v>91</v>
      </c>
      <c r="E772" s="1" t="s">
        <v>599</v>
      </c>
      <c r="F772" s="1" t="s">
        <v>48</v>
      </c>
      <c r="G772" s="10" t="s">
        <v>92</v>
      </c>
      <c r="H772" s="1" t="s">
        <v>17</v>
      </c>
      <c r="I772" s="21" t="s">
        <v>1073</v>
      </c>
      <c r="J772" s="18">
        <v>22293.434257244957</v>
      </c>
      <c r="K772" s="18">
        <f>VLOOKUP(A772,[1]Export!$A:$C,3,0)</f>
        <v>9190.3599999999988</v>
      </c>
      <c r="L772" s="19">
        <f t="shared" si="24"/>
        <v>0.41224514329878542</v>
      </c>
      <c r="M772" s="18">
        <f>VLOOKUP(A772,[1]Export!$A:$G,7,0)</f>
        <v>3302.64</v>
      </c>
      <c r="N772" s="19">
        <f t="shared" si="25"/>
        <v>0.14814406618068288</v>
      </c>
      <c r="O772" s="17" t="s">
        <v>1027</v>
      </c>
      <c r="P772" s="17" t="s">
        <v>1028</v>
      </c>
      <c r="Q772" s="17" t="s">
        <v>1023</v>
      </c>
      <c r="R772" s="17" t="str">
        <f>VLOOKUP(A772,[2]Export!$A:$I,9,0)</f>
        <v>Comprou Marcas</v>
      </c>
      <c r="S772" s="17" t="s">
        <v>1022</v>
      </c>
      <c r="T772" s="20">
        <v>7</v>
      </c>
      <c r="U772" s="17"/>
    </row>
    <row r="773" spans="1:21" x14ac:dyDescent="0.35">
      <c r="A773" s="5">
        <v>5072221000199</v>
      </c>
      <c r="B773" s="7"/>
      <c r="C773" s="4"/>
      <c r="D773" s="6" t="s">
        <v>779</v>
      </c>
      <c r="E773" s="6" t="s">
        <v>329</v>
      </c>
      <c r="F773" s="6" t="s">
        <v>8</v>
      </c>
      <c r="G773" s="11" t="s">
        <v>16</v>
      </c>
      <c r="H773" s="6" t="s">
        <v>17</v>
      </c>
      <c r="I773" s="21" t="s">
        <v>1072</v>
      </c>
      <c r="J773" s="18">
        <v>3210.843129144841</v>
      </c>
      <c r="K773" s="18">
        <f>VLOOKUP(A773,[1]Export!$A:$C,3,0)</f>
        <v>296.26</v>
      </c>
      <c r="L773" s="19">
        <f t="shared" si="24"/>
        <v>9.2268599892298173E-2</v>
      </c>
      <c r="M773" s="18">
        <f>VLOOKUP(A773,[1]Export!$A:$G,7,0)</f>
        <v>0</v>
      </c>
      <c r="N773" s="19">
        <f t="shared" si="25"/>
        <v>0</v>
      </c>
      <c r="O773" s="17" t="s">
        <v>1029</v>
      </c>
      <c r="P773" s="17" t="s">
        <v>1026</v>
      </c>
      <c r="Q773" s="17" t="s">
        <v>1023</v>
      </c>
      <c r="R773" s="17" t="str">
        <f>VLOOKUP(A773,[2]Export!$A:$I,9,0)</f>
        <v>Não Comprou</v>
      </c>
      <c r="S773" s="17" t="s">
        <v>1022</v>
      </c>
      <c r="T773" s="20"/>
      <c r="U773" s="17"/>
    </row>
    <row r="774" spans="1:21" x14ac:dyDescent="0.35">
      <c r="A774" s="4">
        <v>5592488000107</v>
      </c>
      <c r="B774" s="7"/>
      <c r="C774" s="4"/>
      <c r="D774" s="1" t="s">
        <v>780</v>
      </c>
      <c r="E774" s="1" t="s">
        <v>458</v>
      </c>
      <c r="F774" s="1" t="s">
        <v>48</v>
      </c>
      <c r="G774" s="10" t="s">
        <v>16</v>
      </c>
      <c r="H774" s="1" t="s">
        <v>17</v>
      </c>
      <c r="I774" s="21" t="s">
        <v>1075</v>
      </c>
      <c r="J774" s="18">
        <v>5127.05482457995</v>
      </c>
      <c r="K774" s="18">
        <f>VLOOKUP(A774,[1]Export!$A:$C,3,0)</f>
        <v>602.61999999999989</v>
      </c>
      <c r="L774" s="19">
        <f t="shared" si="24"/>
        <v>0.11753726469062507</v>
      </c>
      <c r="M774" s="18">
        <f>VLOOKUP(A774,[1]Export!$A:$G,7,0)</f>
        <v>71.55</v>
      </c>
      <c r="N774" s="19">
        <f t="shared" si="25"/>
        <v>1.3955380320291769E-2</v>
      </c>
      <c r="O774" s="17" t="s">
        <v>1029</v>
      </c>
      <c r="P774" s="17" t="s">
        <v>1026</v>
      </c>
      <c r="Q774" s="17" t="s">
        <v>1022</v>
      </c>
      <c r="R774" s="17" t="str">
        <f>VLOOKUP(A774,[2]Export!$A:$I,9,0)</f>
        <v>Comprou Marcas e SG</v>
      </c>
      <c r="S774" s="17" t="s">
        <v>1023</v>
      </c>
      <c r="T774" s="20"/>
      <c r="U774" s="17"/>
    </row>
    <row r="775" spans="1:21" x14ac:dyDescent="0.35">
      <c r="A775" s="5">
        <v>260180000140</v>
      </c>
      <c r="B775" s="7"/>
      <c r="C775" s="4"/>
      <c r="D775" s="6" t="s">
        <v>198</v>
      </c>
      <c r="E775" s="6" t="s">
        <v>115</v>
      </c>
      <c r="F775" s="6" t="s">
        <v>8</v>
      </c>
      <c r="G775" s="11" t="s">
        <v>36</v>
      </c>
      <c r="H775" s="6" t="s">
        <v>17</v>
      </c>
      <c r="I775" s="21" t="s">
        <v>1068</v>
      </c>
      <c r="J775" s="18">
        <v>5234.2294909505381</v>
      </c>
      <c r="K775" s="18">
        <f>VLOOKUP(A775,[1]Export!$A:$C,3,0)</f>
        <v>2652.17</v>
      </c>
      <c r="L775" s="19">
        <f t="shared" si="24"/>
        <v>0.50669730942927471</v>
      </c>
      <c r="M775" s="18">
        <f>VLOOKUP(A775,[1]Export!$A:$G,7,0)</f>
        <v>2484.89</v>
      </c>
      <c r="N775" s="19">
        <f t="shared" si="25"/>
        <v>0.47473845086390032</v>
      </c>
      <c r="O775" s="17" t="s">
        <v>1025</v>
      </c>
      <c r="P775" s="17" t="s">
        <v>1026</v>
      </c>
      <c r="Q775" s="17" t="s">
        <v>1023</v>
      </c>
      <c r="R775" s="17" t="str">
        <f>VLOOKUP(A775,[2]Export!$A:$I,9,0)</f>
        <v>Comprou Marcas</v>
      </c>
      <c r="S775" s="17" t="s">
        <v>1022</v>
      </c>
      <c r="T775" s="20"/>
      <c r="U775" s="17"/>
    </row>
    <row r="776" spans="1:21" x14ac:dyDescent="0.35">
      <c r="A776" s="4">
        <v>531367000212</v>
      </c>
      <c r="B776" s="7"/>
      <c r="C776" s="4"/>
      <c r="D776" s="1" t="s">
        <v>179</v>
      </c>
      <c r="E776" s="1" t="s">
        <v>180</v>
      </c>
      <c r="F776" s="1" t="s">
        <v>15</v>
      </c>
      <c r="G776" s="10" t="s">
        <v>9</v>
      </c>
      <c r="H776" s="1" t="s">
        <v>10</v>
      </c>
      <c r="I776" s="21" t="s">
        <v>1071</v>
      </c>
      <c r="J776" s="18">
        <v>5180.70919917417</v>
      </c>
      <c r="K776" s="18">
        <f>VLOOKUP(A776,[1]Export!$A:$C,3,0)</f>
        <v>2358.1799999999994</v>
      </c>
      <c r="L776" s="19">
        <f t="shared" si="24"/>
        <v>0.45518478442602117</v>
      </c>
      <c r="M776" s="18">
        <f>VLOOKUP(A776,[1]Export!$A:$G,7,0)</f>
        <v>3154.610000000001</v>
      </c>
      <c r="N776" s="19">
        <f t="shared" si="25"/>
        <v>0.60891470235443079</v>
      </c>
      <c r="O776" s="17" t="s">
        <v>1027</v>
      </c>
      <c r="P776" s="17" t="s">
        <v>1028</v>
      </c>
      <c r="Q776" s="17" t="s">
        <v>1023</v>
      </c>
      <c r="R776" s="17" t="str">
        <f>VLOOKUP(A776,[2]Export!$A:$I,9,0)</f>
        <v>Comprou Marcas</v>
      </c>
      <c r="S776" s="17" t="s">
        <v>1022</v>
      </c>
      <c r="T776" s="20"/>
      <c r="U776" s="17"/>
    </row>
    <row r="777" spans="1:21" x14ac:dyDescent="0.35">
      <c r="A777" s="5">
        <v>4050862000775</v>
      </c>
      <c r="B777" s="7" t="s">
        <v>997</v>
      </c>
      <c r="C777" s="4"/>
      <c r="D777" s="6" t="s">
        <v>559</v>
      </c>
      <c r="E777" s="6" t="s">
        <v>89</v>
      </c>
      <c r="F777" s="6" t="s">
        <v>15</v>
      </c>
      <c r="G777" s="11" t="s">
        <v>9</v>
      </c>
      <c r="H777" s="6" t="s">
        <v>10</v>
      </c>
      <c r="I777" s="21" t="s">
        <v>1069</v>
      </c>
      <c r="J777" s="18">
        <v>8209.5568094822138</v>
      </c>
      <c r="K777" s="18">
        <f>VLOOKUP(A777,[1]Export!$A:$C,3,0)</f>
        <v>4440.3</v>
      </c>
      <c r="L777" s="19">
        <f t="shared" si="24"/>
        <v>0.54086963560217505</v>
      </c>
      <c r="M777" s="18">
        <f>VLOOKUP(A777,[1]Export!$A:$G,7,0)</f>
        <v>2379.7599999999998</v>
      </c>
      <c r="N777" s="19">
        <f t="shared" si="25"/>
        <v>0.28987679301412789</v>
      </c>
      <c r="O777" s="17" t="s">
        <v>1029</v>
      </c>
      <c r="P777" s="17" t="s">
        <v>1026</v>
      </c>
      <c r="Q777" s="17" t="s">
        <v>1022</v>
      </c>
      <c r="R777" s="17" t="str">
        <f>VLOOKUP(A777,[2]Export!$A:$I,9,0)</f>
        <v>Comprou Marcas</v>
      </c>
      <c r="S777" s="17" t="s">
        <v>1022</v>
      </c>
      <c r="T777" s="20">
        <v>1</v>
      </c>
      <c r="U777" s="17"/>
    </row>
    <row r="778" spans="1:21" x14ac:dyDescent="0.35">
      <c r="A778" s="4">
        <v>7625132000158</v>
      </c>
      <c r="B778" s="7" t="s">
        <v>346</v>
      </c>
      <c r="C778" s="4">
        <v>12834</v>
      </c>
      <c r="D778" s="1" t="s">
        <v>781</v>
      </c>
      <c r="E778" s="1" t="s">
        <v>52</v>
      </c>
      <c r="F778" s="1" t="s">
        <v>8</v>
      </c>
      <c r="G778" s="10" t="s">
        <v>36</v>
      </c>
      <c r="H778" s="1" t="s">
        <v>17</v>
      </c>
      <c r="I778" s="21" t="s">
        <v>1074</v>
      </c>
      <c r="J778" s="18">
        <v>12019.260241419186</v>
      </c>
      <c r="K778" s="18">
        <f>VLOOKUP(A778,[1]Export!$A:$C,3,0)</f>
        <v>2600.110000000001</v>
      </c>
      <c r="L778" s="19">
        <f t="shared" si="24"/>
        <v>0.2163286215435993</v>
      </c>
      <c r="M778" s="18">
        <f>VLOOKUP(A778,[1]Export!$A:$G,7,0)</f>
        <v>137.85</v>
      </c>
      <c r="N778" s="19">
        <f t="shared" si="25"/>
        <v>1.14690918767995E-2</v>
      </c>
      <c r="O778" s="17" t="s">
        <v>1025</v>
      </c>
      <c r="P778" s="17" t="s">
        <v>1026</v>
      </c>
      <c r="Q778" s="17" t="s">
        <v>1023</v>
      </c>
      <c r="R778" s="17" t="str">
        <f>VLOOKUP(A778,[2]Export!$A:$I,9,0)</f>
        <v>Comprou Marcas</v>
      </c>
      <c r="S778" s="17" t="s">
        <v>1022</v>
      </c>
      <c r="T778" s="20"/>
      <c r="U778" s="17"/>
    </row>
    <row r="779" spans="1:21" x14ac:dyDescent="0.35">
      <c r="A779" s="5">
        <v>8856967000181</v>
      </c>
      <c r="B779" s="7"/>
      <c r="C779" s="4"/>
      <c r="D779" s="6" t="s">
        <v>480</v>
      </c>
      <c r="E779" s="6" t="s">
        <v>35</v>
      </c>
      <c r="F779" s="6" t="s">
        <v>8</v>
      </c>
      <c r="G779" s="11" t="s">
        <v>64</v>
      </c>
      <c r="H779" s="6" t="s">
        <v>17</v>
      </c>
      <c r="I779" s="21" t="s">
        <v>1072</v>
      </c>
      <c r="J779" s="18">
        <v>14840.927581630731</v>
      </c>
      <c r="K779" s="18">
        <f>VLOOKUP(A779,[1]Export!$A:$C,3,0)</f>
        <v>4367.8700000000008</v>
      </c>
      <c r="L779" s="19">
        <f t="shared" si="24"/>
        <v>0.29431246638561231</v>
      </c>
      <c r="M779" s="18">
        <f>VLOOKUP(A779,[1]Export!$A:$G,7,0)</f>
        <v>2642.61</v>
      </c>
      <c r="N779" s="19">
        <f t="shared" si="25"/>
        <v>0.17806232026028312</v>
      </c>
      <c r="O779" s="17" t="s">
        <v>1025</v>
      </c>
      <c r="P779" s="17" t="s">
        <v>1026</v>
      </c>
      <c r="Q779" s="17" t="s">
        <v>1022</v>
      </c>
      <c r="R779" s="17" t="str">
        <f>VLOOKUP(A779,[2]Export!$A:$I,9,0)</f>
        <v>Comprou Marcas</v>
      </c>
      <c r="S779" s="17" t="s">
        <v>1022</v>
      </c>
      <c r="T779" s="20"/>
      <c r="U779" s="17"/>
    </row>
    <row r="780" spans="1:21" x14ac:dyDescent="0.35">
      <c r="A780" s="4">
        <v>10673419000168</v>
      </c>
      <c r="B780" s="7"/>
      <c r="C780" s="4"/>
      <c r="D780" s="1" t="s">
        <v>782</v>
      </c>
      <c r="E780" s="1" t="s">
        <v>35</v>
      </c>
      <c r="F780" s="1" t="s">
        <v>8</v>
      </c>
      <c r="G780" s="10" t="s">
        <v>20</v>
      </c>
      <c r="H780" s="1" t="s">
        <v>17</v>
      </c>
      <c r="I780" s="21" t="s">
        <v>1072</v>
      </c>
      <c r="J780" s="18">
        <v>841.4395739065526</v>
      </c>
      <c r="K780" s="18">
        <f>VLOOKUP(A780,[1]Export!$A:$C,3,0)</f>
        <v>797.32</v>
      </c>
      <c r="L780" s="19">
        <f t="shared" si="24"/>
        <v>0.94756655703544046</v>
      </c>
      <c r="M780" s="18">
        <f>VLOOKUP(A780,[1]Export!$A:$G,7,0)</f>
        <v>0</v>
      </c>
      <c r="N780" s="19">
        <f t="shared" si="25"/>
        <v>0</v>
      </c>
      <c r="O780" s="17" t="s">
        <v>1025</v>
      </c>
      <c r="P780" s="17" t="s">
        <v>1026</v>
      </c>
      <c r="Q780" s="17" t="s">
        <v>1023</v>
      </c>
      <c r="R780" s="17" t="str">
        <f>VLOOKUP(A780,[2]Export!$A:$I,9,0)</f>
        <v>Não Comprou</v>
      </c>
      <c r="S780" s="17" t="s">
        <v>1023</v>
      </c>
      <c r="T780" s="20"/>
      <c r="U780" s="17"/>
    </row>
    <row r="781" spans="1:21" x14ac:dyDescent="0.35">
      <c r="A781" s="5">
        <v>10680159000158</v>
      </c>
      <c r="B781" s="7"/>
      <c r="C781" s="4"/>
      <c r="D781" s="6" t="s">
        <v>783</v>
      </c>
      <c r="E781" s="6" t="s">
        <v>129</v>
      </c>
      <c r="F781" s="6" t="s">
        <v>15</v>
      </c>
      <c r="G781" s="11" t="s">
        <v>36</v>
      </c>
      <c r="H781" s="6" t="s">
        <v>17</v>
      </c>
      <c r="I781" s="21" t="s">
        <v>1071</v>
      </c>
      <c r="J781" s="18">
        <v>4384.7422492381847</v>
      </c>
      <c r="K781" s="18">
        <f>VLOOKUP(A781,[1]Export!$A:$C,3,0)</f>
        <v>1829.13</v>
      </c>
      <c r="L781" s="19">
        <f t="shared" ref="L781:L844" si="26">K781/J781</f>
        <v>0.41715792993711259</v>
      </c>
      <c r="M781" s="18">
        <f>VLOOKUP(A781,[1]Export!$A:$G,7,0)</f>
        <v>6413.17</v>
      </c>
      <c r="N781" s="19">
        <f t="shared" ref="N781:N844" si="27">M781/J781</f>
        <v>1.4626104877918968</v>
      </c>
      <c r="O781" s="17" t="s">
        <v>1025</v>
      </c>
      <c r="P781" s="17" t="s">
        <v>1026</v>
      </c>
      <c r="Q781" s="17" t="s">
        <v>1022</v>
      </c>
      <c r="R781" s="17" t="str">
        <f>VLOOKUP(A781,[2]Export!$A:$I,9,0)</f>
        <v>Comprou Marcas</v>
      </c>
      <c r="S781" s="17" t="s">
        <v>1022</v>
      </c>
      <c r="T781" s="20"/>
      <c r="U781" s="17"/>
    </row>
    <row r="782" spans="1:21" x14ac:dyDescent="0.35">
      <c r="A782" s="4">
        <v>13090874000129</v>
      </c>
      <c r="B782" s="7"/>
      <c r="C782" s="4"/>
      <c r="D782" s="1" t="s">
        <v>636</v>
      </c>
      <c r="E782" s="1" t="s">
        <v>699</v>
      </c>
      <c r="F782" s="1" t="s">
        <v>48</v>
      </c>
      <c r="G782" s="10" t="s">
        <v>87</v>
      </c>
      <c r="H782" s="1" t="s">
        <v>17</v>
      </c>
      <c r="I782" s="21" t="s">
        <v>1073</v>
      </c>
      <c r="J782" s="18">
        <v>1861.7092243436334</v>
      </c>
      <c r="K782" s="18">
        <f>VLOOKUP(A782,[1]Export!$A:$C,3,0)</f>
        <v>864.06999999999994</v>
      </c>
      <c r="L782" s="19">
        <f t="shared" si="26"/>
        <v>0.46412725934934201</v>
      </c>
      <c r="M782" s="18">
        <f>VLOOKUP(A782,[1]Export!$A:$G,7,0)</f>
        <v>0</v>
      </c>
      <c r="N782" s="19">
        <f t="shared" si="27"/>
        <v>0</v>
      </c>
      <c r="O782" s="17"/>
      <c r="P782" s="17"/>
      <c r="Q782" s="17"/>
      <c r="R782" s="17" t="str">
        <f>VLOOKUP(A782,[2]Export!$A:$I,9,0)</f>
        <v>Não Comprou</v>
      </c>
      <c r="S782" s="17"/>
      <c r="T782" s="20"/>
      <c r="U782" s="17"/>
    </row>
    <row r="783" spans="1:21" x14ac:dyDescent="0.35">
      <c r="A783" s="5">
        <v>13470278000174</v>
      </c>
      <c r="B783" s="7"/>
      <c r="C783" s="4"/>
      <c r="D783" s="6" t="s">
        <v>784</v>
      </c>
      <c r="E783" s="6" t="s">
        <v>193</v>
      </c>
      <c r="F783" s="6" t="s">
        <v>194</v>
      </c>
      <c r="G783" s="11" t="s">
        <v>20</v>
      </c>
      <c r="H783" s="6" t="s">
        <v>17</v>
      </c>
      <c r="I783" s="21" t="s">
        <v>1070</v>
      </c>
      <c r="J783" s="18">
        <v>2595.5836172091545</v>
      </c>
      <c r="K783" s="18">
        <f>VLOOKUP(A783,[1]Export!$A:$C,3,0)</f>
        <v>224.64999999999998</v>
      </c>
      <c r="L783" s="19">
        <f t="shared" si="26"/>
        <v>8.6550862207070825E-2</v>
      </c>
      <c r="M783" s="18">
        <f>VLOOKUP(A783,[1]Export!$A:$G,7,0)</f>
        <v>0</v>
      </c>
      <c r="N783" s="19">
        <f t="shared" si="27"/>
        <v>0</v>
      </c>
      <c r="O783" s="17" t="s">
        <v>1025</v>
      </c>
      <c r="P783" s="17" t="s">
        <v>1026</v>
      </c>
      <c r="Q783" s="17" t="s">
        <v>1023</v>
      </c>
      <c r="R783" s="17" t="str">
        <f>VLOOKUP(A783,[2]Export!$A:$I,9,0)</f>
        <v>Não Comprou</v>
      </c>
      <c r="S783" s="17" t="s">
        <v>1023</v>
      </c>
      <c r="T783" s="20"/>
      <c r="U783" s="17"/>
    </row>
    <row r="784" spans="1:21" x14ac:dyDescent="0.35">
      <c r="A784" s="5">
        <v>22166562000142</v>
      </c>
      <c r="B784" s="7"/>
      <c r="C784" s="4"/>
      <c r="D784" s="6" t="s">
        <v>59</v>
      </c>
      <c r="E784" s="6" t="s">
        <v>394</v>
      </c>
      <c r="F784" s="6" t="s">
        <v>8</v>
      </c>
      <c r="G784" s="11" t="s">
        <v>9</v>
      </c>
      <c r="H784" s="6" t="s">
        <v>10</v>
      </c>
      <c r="I784" s="21" t="s">
        <v>1074</v>
      </c>
      <c r="J784" s="18">
        <v>27886.609508138972</v>
      </c>
      <c r="K784" s="18">
        <f>VLOOKUP(A784,[1]Export!$A:$C,3,0)</f>
        <v>12718.229999999998</v>
      </c>
      <c r="L784" s="19">
        <f t="shared" si="26"/>
        <v>0.45606942630612951</v>
      </c>
      <c r="M784" s="18">
        <f>VLOOKUP(A784,[1]Export!$A:$G,7,0)</f>
        <v>12182.469999999998</v>
      </c>
      <c r="N784" s="19">
        <f t="shared" si="27"/>
        <v>0.43685733815881878</v>
      </c>
      <c r="O784" s="17"/>
      <c r="P784" s="17"/>
      <c r="Q784" s="17"/>
      <c r="R784" s="17" t="str">
        <f>VLOOKUP(A784,[2]Export!$A:$I,9,0)</f>
        <v>Comprou Marcas</v>
      </c>
      <c r="S784" s="17" t="s">
        <v>1022</v>
      </c>
      <c r="T784" s="20"/>
      <c r="U784" s="17"/>
    </row>
    <row r="785" spans="1:21" x14ac:dyDescent="0.35">
      <c r="A785" s="5">
        <v>19436506000176</v>
      </c>
      <c r="B785" s="7"/>
      <c r="C785" s="4"/>
      <c r="D785" s="6" t="s">
        <v>785</v>
      </c>
      <c r="E785" s="6" t="s">
        <v>786</v>
      </c>
      <c r="F785" s="6" t="s">
        <v>48</v>
      </c>
      <c r="G785" s="11" t="s">
        <v>80</v>
      </c>
      <c r="H785" s="6" t="s">
        <v>17</v>
      </c>
      <c r="I785" s="21" t="s">
        <v>1075</v>
      </c>
      <c r="J785" s="18">
        <v>4391.2552098207079</v>
      </c>
      <c r="K785" s="18">
        <f>VLOOKUP(A785,[1]Export!$A:$C,3,0)</f>
        <v>1101.8699999999999</v>
      </c>
      <c r="L785" s="19">
        <f t="shared" si="26"/>
        <v>0.25092369888585647</v>
      </c>
      <c r="M785" s="18">
        <f>VLOOKUP(A785,[1]Export!$A:$G,7,0)</f>
        <v>961.3599999999999</v>
      </c>
      <c r="N785" s="19">
        <f t="shared" si="27"/>
        <v>0.21892601410412027</v>
      </c>
      <c r="O785" s="17" t="s">
        <v>1029</v>
      </c>
      <c r="P785" s="17" t="s">
        <v>1026</v>
      </c>
      <c r="Q785" s="17" t="s">
        <v>1022</v>
      </c>
      <c r="R785" s="17" t="str">
        <f>VLOOKUP(A785,[2]Export!$A:$I,9,0)</f>
        <v>Comprou Marcas</v>
      </c>
      <c r="S785" s="17" t="s">
        <v>1022</v>
      </c>
      <c r="T785" s="20"/>
      <c r="U785" s="17"/>
    </row>
    <row r="786" spans="1:21" x14ac:dyDescent="0.35">
      <c r="A786" s="4">
        <v>62392356000175</v>
      </c>
      <c r="B786" s="7"/>
      <c r="C786" s="4"/>
      <c r="D786" s="1" t="s">
        <v>787</v>
      </c>
      <c r="E786" s="1" t="s">
        <v>94</v>
      </c>
      <c r="F786" s="1" t="s">
        <v>15</v>
      </c>
      <c r="G786" s="10" t="s">
        <v>36</v>
      </c>
      <c r="H786" s="1" t="s">
        <v>17</v>
      </c>
      <c r="I786" s="21" t="s">
        <v>1071</v>
      </c>
      <c r="J786" s="18">
        <v>4422.0704063328367</v>
      </c>
      <c r="K786" s="18">
        <f>VLOOKUP(A786,[1]Export!$A:$C,3,0)</f>
        <v>2014.01</v>
      </c>
      <c r="L786" s="19">
        <f t="shared" si="26"/>
        <v>0.4554450325159321</v>
      </c>
      <c r="M786" s="18">
        <f>VLOOKUP(A786,[1]Export!$A:$G,7,0)</f>
        <v>6231.59</v>
      </c>
      <c r="N786" s="19">
        <f t="shared" si="27"/>
        <v>1.4092018958078447</v>
      </c>
      <c r="O786" s="17" t="s">
        <v>1029</v>
      </c>
      <c r="P786" s="17" t="s">
        <v>1026</v>
      </c>
      <c r="Q786" s="17" t="s">
        <v>1023</v>
      </c>
      <c r="R786" s="17" t="str">
        <f>VLOOKUP(A786,[2]Export!$A:$I,9,0)</f>
        <v>Comprou Marcas</v>
      </c>
      <c r="S786" s="17" t="s">
        <v>1022</v>
      </c>
      <c r="T786" s="20"/>
      <c r="U786" s="17"/>
    </row>
    <row r="787" spans="1:21" x14ac:dyDescent="0.35">
      <c r="A787" s="5">
        <v>24248641000128</v>
      </c>
      <c r="B787" s="7"/>
      <c r="C787" s="4"/>
      <c r="D787" s="6" t="s">
        <v>788</v>
      </c>
      <c r="E787" s="6" t="s">
        <v>379</v>
      </c>
      <c r="F787" s="6" t="s">
        <v>15</v>
      </c>
      <c r="G787" s="11" t="s">
        <v>20</v>
      </c>
      <c r="H787" s="6" t="s">
        <v>17</v>
      </c>
      <c r="I787" s="21" t="s">
        <v>1075</v>
      </c>
      <c r="J787" s="18">
        <v>6079.9058437088743</v>
      </c>
      <c r="K787" s="18">
        <f>VLOOKUP(A787,[1]Export!$A:$C,3,0)</f>
        <v>1869.31</v>
      </c>
      <c r="L787" s="19">
        <f t="shared" si="26"/>
        <v>0.30745706398303041</v>
      </c>
      <c r="M787" s="18">
        <f>VLOOKUP(A787,[1]Export!$A:$G,7,0)</f>
        <v>745.04</v>
      </c>
      <c r="N787" s="19">
        <f t="shared" si="27"/>
        <v>0.12254137138832884</v>
      </c>
      <c r="O787" s="17" t="s">
        <v>1025</v>
      </c>
      <c r="P787" s="17" t="s">
        <v>1026</v>
      </c>
      <c r="Q787" s="17" t="s">
        <v>1023</v>
      </c>
      <c r="R787" s="17" t="str">
        <f>VLOOKUP(A787,[2]Export!$A:$I,9,0)</f>
        <v>Comprou Marcas</v>
      </c>
      <c r="S787" s="17" t="s">
        <v>1023</v>
      </c>
      <c r="T787" s="20"/>
      <c r="U787" s="17"/>
    </row>
    <row r="788" spans="1:21" x14ac:dyDescent="0.35">
      <c r="A788" s="4">
        <v>24415425000200</v>
      </c>
      <c r="B788" s="7"/>
      <c r="C788" s="4"/>
      <c r="D788" s="1" t="s">
        <v>789</v>
      </c>
      <c r="E788" s="1" t="s">
        <v>94</v>
      </c>
      <c r="F788" s="1" t="s">
        <v>15</v>
      </c>
      <c r="G788" s="10" t="s">
        <v>16</v>
      </c>
      <c r="H788" s="1" t="s">
        <v>17</v>
      </c>
      <c r="I788" s="21" t="s">
        <v>1071</v>
      </c>
      <c r="J788" s="18">
        <v>2297.1540031019213</v>
      </c>
      <c r="K788" s="18">
        <f>VLOOKUP(A788,[1]Export!$A:$C,3,0)</f>
        <v>820.15</v>
      </c>
      <c r="L788" s="19">
        <f t="shared" si="26"/>
        <v>0.35702874029887632</v>
      </c>
      <c r="M788" s="18">
        <f>VLOOKUP(A788,[1]Export!$A:$G,7,0)</f>
        <v>0</v>
      </c>
      <c r="N788" s="19">
        <f t="shared" si="27"/>
        <v>0</v>
      </c>
      <c r="O788" s="17" t="s">
        <v>1025</v>
      </c>
      <c r="P788" s="17" t="s">
        <v>1026</v>
      </c>
      <c r="Q788" s="17" t="s">
        <v>1023</v>
      </c>
      <c r="R788" s="17" t="str">
        <f>VLOOKUP(A788,[2]Export!$A:$I,9,0)</f>
        <v>Não Comprou</v>
      </c>
      <c r="S788" s="17" t="s">
        <v>1023</v>
      </c>
      <c r="T788" s="20"/>
      <c r="U788" s="17"/>
    </row>
    <row r="789" spans="1:21" x14ac:dyDescent="0.35">
      <c r="A789" s="5">
        <v>9492647000900</v>
      </c>
      <c r="B789" s="7"/>
      <c r="C789" s="4"/>
      <c r="D789" s="6" t="s">
        <v>104</v>
      </c>
      <c r="E789" s="6" t="s">
        <v>481</v>
      </c>
      <c r="F789" s="6" t="s">
        <v>8</v>
      </c>
      <c r="G789" s="11" t="s">
        <v>9</v>
      </c>
      <c r="H789" s="6" t="s">
        <v>10</v>
      </c>
      <c r="I789" s="21" t="s">
        <v>1072</v>
      </c>
      <c r="J789" s="18">
        <v>10775.493731341579</v>
      </c>
      <c r="K789" s="18">
        <f>VLOOKUP(A789,[1]Export!$A:$C,3,0)</f>
        <v>4004.6199999999985</v>
      </c>
      <c r="L789" s="19">
        <f t="shared" si="26"/>
        <v>0.37164143934789445</v>
      </c>
      <c r="M789" s="18">
        <f>VLOOKUP(A789,[1]Export!$A:$G,7,0)</f>
        <v>5251.18</v>
      </c>
      <c r="N789" s="19">
        <f t="shared" si="27"/>
        <v>0.48732616165201126</v>
      </c>
      <c r="O789" s="17" t="s">
        <v>1027</v>
      </c>
      <c r="P789" s="17" t="s">
        <v>1028</v>
      </c>
      <c r="Q789" s="17" t="s">
        <v>1023</v>
      </c>
      <c r="R789" s="17" t="str">
        <f>VLOOKUP(A789,[2]Export!$A:$I,9,0)</f>
        <v>Comprou Marcas</v>
      </c>
      <c r="S789" s="17" t="s">
        <v>1022</v>
      </c>
      <c r="T789" s="20"/>
      <c r="U789" s="17"/>
    </row>
    <row r="790" spans="1:21" x14ac:dyDescent="0.35">
      <c r="A790" s="5">
        <v>9492647001205</v>
      </c>
      <c r="B790" s="7"/>
      <c r="C790" s="4"/>
      <c r="D790" s="6" t="s">
        <v>104</v>
      </c>
      <c r="E790" s="6" t="s">
        <v>219</v>
      </c>
      <c r="F790" s="6" t="s">
        <v>8</v>
      </c>
      <c r="G790" s="11" t="s">
        <v>9</v>
      </c>
      <c r="H790" s="6" t="s">
        <v>10</v>
      </c>
      <c r="I790" s="21" t="s">
        <v>1072</v>
      </c>
      <c r="J790" s="18">
        <v>9108.1684646652193</v>
      </c>
      <c r="K790" s="18">
        <f>VLOOKUP(A790,[1]Export!$A:$C,3,0)</f>
        <v>3857.2299999999991</v>
      </c>
      <c r="L790" s="19">
        <f t="shared" si="26"/>
        <v>0.42349128861241103</v>
      </c>
      <c r="M790" s="18">
        <f>VLOOKUP(A790,[1]Export!$A:$G,7,0)</f>
        <v>4589.1000000000013</v>
      </c>
      <c r="N790" s="19">
        <f t="shared" si="27"/>
        <v>0.50384443566269488</v>
      </c>
      <c r="O790" s="17" t="s">
        <v>1027</v>
      </c>
      <c r="P790" s="17" t="s">
        <v>1028</v>
      </c>
      <c r="Q790" s="17" t="s">
        <v>1023</v>
      </c>
      <c r="R790" s="17" t="str">
        <f>VLOOKUP(A790,[2]Export!$A:$I,9,0)</f>
        <v>Comprou Marcas</v>
      </c>
      <c r="S790" s="17" t="s">
        <v>1022</v>
      </c>
      <c r="T790" s="20">
        <v>3</v>
      </c>
      <c r="U790" s="17"/>
    </row>
    <row r="791" spans="1:21" x14ac:dyDescent="0.35">
      <c r="A791" s="5">
        <v>48143588000169</v>
      </c>
      <c r="B791" s="7"/>
      <c r="C791" s="4"/>
      <c r="D791" s="6" t="s">
        <v>792</v>
      </c>
      <c r="E791" s="6" t="s">
        <v>146</v>
      </c>
      <c r="F791" s="6" t="s">
        <v>8</v>
      </c>
      <c r="G791" s="11" t="s">
        <v>33</v>
      </c>
      <c r="H791" s="6" t="s">
        <v>17</v>
      </c>
      <c r="I791" s="21" t="s">
        <v>1074</v>
      </c>
      <c r="J791" s="18">
        <v>8391.275913640764</v>
      </c>
      <c r="K791" s="18">
        <f>VLOOKUP(A791,[1]Export!$A:$C,3,0)</f>
        <v>4431.7600000000011</v>
      </c>
      <c r="L791" s="19">
        <f t="shared" si="26"/>
        <v>0.52813899168728107</v>
      </c>
      <c r="M791" s="18">
        <f>VLOOKUP(A791,[1]Export!$A:$G,7,0)</f>
        <v>3881.4799999999996</v>
      </c>
      <c r="N791" s="19">
        <f t="shared" si="27"/>
        <v>0.46256136014909355</v>
      </c>
      <c r="O791" s="17" t="s">
        <v>1027</v>
      </c>
      <c r="P791" s="17" t="s">
        <v>1026</v>
      </c>
      <c r="Q791" s="17" t="s">
        <v>1023</v>
      </c>
      <c r="R791" s="17" t="str">
        <f>VLOOKUP(A791,[2]Export!$A:$I,9,0)</f>
        <v>Comprou Marcas e SG</v>
      </c>
      <c r="S791" s="17" t="s">
        <v>1022</v>
      </c>
      <c r="T791" s="20"/>
      <c r="U791" s="17"/>
    </row>
    <row r="792" spans="1:21" x14ac:dyDescent="0.35">
      <c r="A792" s="4">
        <v>52950355000145</v>
      </c>
      <c r="B792" s="7"/>
      <c r="C792" s="4"/>
      <c r="D792" s="1" t="s">
        <v>568</v>
      </c>
      <c r="E792" s="1" t="s">
        <v>40</v>
      </c>
      <c r="F792" s="1" t="s">
        <v>8</v>
      </c>
      <c r="G792" s="10" t="s">
        <v>74</v>
      </c>
      <c r="H792" s="1" t="s">
        <v>17</v>
      </c>
      <c r="I792" s="21" t="s">
        <v>1072</v>
      </c>
      <c r="J792" s="18">
        <v>11909.250423435175</v>
      </c>
      <c r="K792" s="18">
        <f>VLOOKUP(A792,[1]Export!$A:$C,3,0)</f>
        <v>2461.4299999999998</v>
      </c>
      <c r="L792" s="19">
        <f t="shared" si="26"/>
        <v>0.20668219346167804</v>
      </c>
      <c r="M792" s="18">
        <f>VLOOKUP(A792,[1]Export!$A:$G,7,0)</f>
        <v>439.1</v>
      </c>
      <c r="N792" s="19">
        <f t="shared" si="27"/>
        <v>3.687049851063115E-2</v>
      </c>
      <c r="O792" s="17" t="s">
        <v>1029</v>
      </c>
      <c r="P792" s="17" t="s">
        <v>1026</v>
      </c>
      <c r="Q792" s="17" t="s">
        <v>1023</v>
      </c>
      <c r="R792" s="17" t="str">
        <f>VLOOKUP(A792,[2]Export!$A:$I,9,0)</f>
        <v>Comprou Marcas</v>
      </c>
      <c r="S792" s="17" t="s">
        <v>1022</v>
      </c>
      <c r="T792" s="20">
        <v>4</v>
      </c>
      <c r="U792" s="17"/>
    </row>
    <row r="793" spans="1:21" x14ac:dyDescent="0.35">
      <c r="A793" s="5">
        <v>34700354000160</v>
      </c>
      <c r="B793" s="7"/>
      <c r="C793" s="4"/>
      <c r="D793" s="6" t="s">
        <v>793</v>
      </c>
      <c r="E793" s="6" t="s">
        <v>52</v>
      </c>
      <c r="F793" s="6" t="s">
        <v>8</v>
      </c>
      <c r="G793" s="11" t="s">
        <v>20</v>
      </c>
      <c r="H793" s="6" t="s">
        <v>17</v>
      </c>
      <c r="I793" s="21" t="s">
        <v>1074</v>
      </c>
      <c r="J793" s="18">
        <v>1753.7679817751273</v>
      </c>
      <c r="K793" s="18">
        <f>VLOOKUP(A793,[1]Export!$A:$C,3,0)</f>
        <v>0</v>
      </c>
      <c r="L793" s="19">
        <f t="shared" si="26"/>
        <v>0</v>
      </c>
      <c r="M793" s="18">
        <f>VLOOKUP(A793,[1]Export!$A:$G,7,0)</f>
        <v>0</v>
      </c>
      <c r="N793" s="19">
        <f t="shared" si="27"/>
        <v>0</v>
      </c>
      <c r="O793" s="17" t="s">
        <v>1025</v>
      </c>
      <c r="P793" s="17" t="s">
        <v>1026</v>
      </c>
      <c r="Q793" s="17" t="s">
        <v>1023</v>
      </c>
      <c r="R793" s="17" t="str">
        <f>VLOOKUP(A793,[2]Export!$A:$I,9,0)</f>
        <v>Não Comprou</v>
      </c>
      <c r="S793" s="17" t="s">
        <v>1023</v>
      </c>
      <c r="T793" s="20"/>
      <c r="U793" s="17"/>
    </row>
    <row r="794" spans="1:21" x14ac:dyDescent="0.35">
      <c r="A794" s="4">
        <v>3838252000182</v>
      </c>
      <c r="B794" s="7"/>
      <c r="C794" s="4"/>
      <c r="D794" s="1" t="s">
        <v>590</v>
      </c>
      <c r="E794" s="1" t="s">
        <v>458</v>
      </c>
      <c r="F794" s="1" t="s">
        <v>48</v>
      </c>
      <c r="G794" s="10" t="s">
        <v>38</v>
      </c>
      <c r="H794" s="1" t="s">
        <v>17</v>
      </c>
      <c r="I794" s="21" t="s">
        <v>1075</v>
      </c>
      <c r="J794" s="18">
        <v>2311.3478912497453</v>
      </c>
      <c r="K794" s="18">
        <f>VLOOKUP(A794,[1]Export!$A:$C,3,0)</f>
        <v>1379.32</v>
      </c>
      <c r="L794" s="19">
        <f t="shared" si="26"/>
        <v>0.59676001402549661</v>
      </c>
      <c r="M794" s="18">
        <f>VLOOKUP(A794,[1]Export!$A:$G,7,0)</f>
        <v>1077.79</v>
      </c>
      <c r="N794" s="19">
        <f t="shared" si="27"/>
        <v>0.46630366812381457</v>
      </c>
      <c r="O794" s="17" t="s">
        <v>1027</v>
      </c>
      <c r="P794" s="17" t="s">
        <v>1028</v>
      </c>
      <c r="Q794" s="17" t="s">
        <v>1023</v>
      </c>
      <c r="R794" s="17" t="str">
        <f>VLOOKUP(A794,[2]Export!$A:$I,9,0)</f>
        <v>Comprou Marcas</v>
      </c>
      <c r="S794" s="17" t="s">
        <v>1023</v>
      </c>
      <c r="T794" s="20"/>
      <c r="U794" s="17"/>
    </row>
    <row r="795" spans="1:21" x14ac:dyDescent="0.35">
      <c r="A795" s="5">
        <v>35633493000181</v>
      </c>
      <c r="B795" s="7"/>
      <c r="C795" s="4"/>
      <c r="D795" s="6" t="s">
        <v>794</v>
      </c>
      <c r="E795" s="6" t="s">
        <v>174</v>
      </c>
      <c r="F795" s="6" t="s">
        <v>48</v>
      </c>
      <c r="G795" s="11" t="s">
        <v>33</v>
      </c>
      <c r="H795" s="6" t="s">
        <v>17</v>
      </c>
      <c r="I795" s="21" t="s">
        <v>1075</v>
      </c>
      <c r="J795" s="18">
        <v>1143.6638754053129</v>
      </c>
      <c r="K795" s="18">
        <f>VLOOKUP(A795,[1]Export!$A:$C,3,0)</f>
        <v>442.86000000000007</v>
      </c>
      <c r="L795" s="19">
        <f t="shared" si="26"/>
        <v>0.38722915843000733</v>
      </c>
      <c r="M795" s="18">
        <f>VLOOKUP(A795,[1]Export!$A:$G,7,0)</f>
        <v>484.19</v>
      </c>
      <c r="N795" s="19">
        <f t="shared" si="27"/>
        <v>0.42336739877212937</v>
      </c>
      <c r="O795" s="17"/>
      <c r="P795" s="17"/>
      <c r="Q795" s="17"/>
      <c r="R795" s="17" t="str">
        <f>VLOOKUP(A795,[2]Export!$A:$I,9,0)</f>
        <v>Comprou Marcas</v>
      </c>
      <c r="S795" s="17"/>
      <c r="T795" s="20"/>
      <c r="U795" s="17"/>
    </row>
    <row r="796" spans="1:21" x14ac:dyDescent="0.35">
      <c r="A796" s="4">
        <v>40627707000147</v>
      </c>
      <c r="B796" s="7"/>
      <c r="C796" s="4"/>
      <c r="D796" s="1" t="s">
        <v>795</v>
      </c>
      <c r="E796" s="1" t="s">
        <v>259</v>
      </c>
      <c r="F796" s="1" t="s">
        <v>15</v>
      </c>
      <c r="G796" s="10" t="s">
        <v>16</v>
      </c>
      <c r="H796" s="1" t="s">
        <v>17</v>
      </c>
      <c r="I796" s="21" t="s">
        <v>1071</v>
      </c>
      <c r="J796" s="18">
        <v>2253.3845207413424</v>
      </c>
      <c r="K796" s="18">
        <f>VLOOKUP(A796,[1]Export!$A:$C,3,0)</f>
        <v>732.26</v>
      </c>
      <c r="L796" s="19">
        <f t="shared" si="26"/>
        <v>0.32496007372904706</v>
      </c>
      <c r="M796" s="18">
        <f>VLOOKUP(A796,[1]Export!$A:$G,7,0)</f>
        <v>0</v>
      </c>
      <c r="N796" s="19">
        <f t="shared" si="27"/>
        <v>0</v>
      </c>
      <c r="O796" s="17" t="s">
        <v>1025</v>
      </c>
      <c r="P796" s="17" t="s">
        <v>1026</v>
      </c>
      <c r="Q796" s="17" t="s">
        <v>1023</v>
      </c>
      <c r="R796" s="17" t="str">
        <f>VLOOKUP(A796,[2]Export!$A:$I,9,0)</f>
        <v>Não Comprou</v>
      </c>
      <c r="S796" s="17" t="s">
        <v>1023</v>
      </c>
      <c r="T796" s="20"/>
      <c r="U796" s="17"/>
    </row>
    <row r="797" spans="1:21" x14ac:dyDescent="0.35">
      <c r="A797" s="5">
        <v>40883240000104</v>
      </c>
      <c r="B797" s="7"/>
      <c r="C797" s="4"/>
      <c r="D797" s="6" t="s">
        <v>796</v>
      </c>
      <c r="E797" s="6" t="s">
        <v>35</v>
      </c>
      <c r="F797" s="6" t="s">
        <v>8</v>
      </c>
      <c r="G797" s="11" t="s">
        <v>20</v>
      </c>
      <c r="H797" s="6" t="s">
        <v>17</v>
      </c>
      <c r="I797" s="21" t="s">
        <v>1072</v>
      </c>
      <c r="J797" s="18">
        <v>4113.0457582437812</v>
      </c>
      <c r="K797" s="18">
        <f>VLOOKUP(A797,[1]Export!$A:$C,3,0)</f>
        <v>1121.26</v>
      </c>
      <c r="L797" s="19">
        <f t="shared" si="26"/>
        <v>0.27261063112479544</v>
      </c>
      <c r="M797" s="18">
        <f>VLOOKUP(A797,[1]Export!$A:$G,7,0)</f>
        <v>0</v>
      </c>
      <c r="N797" s="19">
        <f t="shared" si="27"/>
        <v>0</v>
      </c>
      <c r="O797" s="17" t="s">
        <v>1025</v>
      </c>
      <c r="P797" s="17" t="s">
        <v>1026</v>
      </c>
      <c r="Q797" s="17" t="s">
        <v>1023</v>
      </c>
      <c r="R797" s="17" t="str">
        <f>VLOOKUP(A797,[2]Export!$A:$I,9,0)</f>
        <v>Não Comprou</v>
      </c>
      <c r="S797" s="17" t="s">
        <v>1022</v>
      </c>
      <c r="T797" s="20"/>
      <c r="U797" s="17"/>
    </row>
    <row r="798" spans="1:21" x14ac:dyDescent="0.35">
      <c r="A798" s="4">
        <v>4344448000183</v>
      </c>
      <c r="B798" s="7"/>
      <c r="C798" s="4"/>
      <c r="D798" s="1" t="s">
        <v>797</v>
      </c>
      <c r="E798" s="1" t="s">
        <v>379</v>
      </c>
      <c r="F798" s="1" t="s">
        <v>15</v>
      </c>
      <c r="G798" s="10" t="s">
        <v>20</v>
      </c>
      <c r="H798" s="1" t="s">
        <v>17</v>
      </c>
      <c r="I798" s="21" t="s">
        <v>1075</v>
      </c>
      <c r="J798" s="18">
        <v>11528.186705701584</v>
      </c>
      <c r="K798" s="18">
        <f>VLOOKUP(A798,[1]Export!$A:$C,3,0)</f>
        <v>2905.73</v>
      </c>
      <c r="L798" s="19">
        <f t="shared" si="26"/>
        <v>0.25205438410907161</v>
      </c>
      <c r="M798" s="18">
        <f>VLOOKUP(A798,[1]Export!$A:$G,7,0)</f>
        <v>0</v>
      </c>
      <c r="N798" s="19">
        <f t="shared" si="27"/>
        <v>0</v>
      </c>
      <c r="O798" s="17" t="s">
        <v>1025</v>
      </c>
      <c r="P798" s="17" t="s">
        <v>1026</v>
      </c>
      <c r="Q798" s="17" t="s">
        <v>1023</v>
      </c>
      <c r="R798" s="17" t="str">
        <f>VLOOKUP(A798,[2]Export!$A:$I,9,0)</f>
        <v>Não Comprou</v>
      </c>
      <c r="S798" s="17" t="s">
        <v>1023</v>
      </c>
      <c r="T798" s="20"/>
      <c r="U798" s="17"/>
    </row>
    <row r="799" spans="1:21" x14ac:dyDescent="0.35">
      <c r="A799" s="5">
        <v>4834843001540</v>
      </c>
      <c r="B799" s="7" t="s">
        <v>994</v>
      </c>
      <c r="C799" s="4"/>
      <c r="D799" s="6" t="s">
        <v>764</v>
      </c>
      <c r="E799" s="6" t="s">
        <v>798</v>
      </c>
      <c r="F799" s="6" t="s">
        <v>48</v>
      </c>
      <c r="G799" s="11" t="s">
        <v>92</v>
      </c>
      <c r="H799" s="6" t="s">
        <v>17</v>
      </c>
      <c r="I799" s="21" t="s">
        <v>1073</v>
      </c>
      <c r="J799" s="18">
        <v>14599.658423313311</v>
      </c>
      <c r="K799" s="18">
        <f>VLOOKUP(A799,[1]Export!$A:$C,3,0)</f>
        <v>7682.49</v>
      </c>
      <c r="L799" s="19">
        <f t="shared" si="26"/>
        <v>0.52621025624355</v>
      </c>
      <c r="M799" s="18">
        <f>VLOOKUP(A799,[1]Export!$A:$G,7,0)</f>
        <v>6207.9499999999989</v>
      </c>
      <c r="N799" s="19">
        <f t="shared" si="27"/>
        <v>0.42521200291144479</v>
      </c>
      <c r="O799" s="17" t="s">
        <v>1027</v>
      </c>
      <c r="P799" s="17" t="s">
        <v>1028</v>
      </c>
      <c r="Q799" s="17" t="s">
        <v>1023</v>
      </c>
      <c r="R799" s="17" t="str">
        <f>VLOOKUP(A799,[2]Export!$A:$I,9,0)</f>
        <v>Comprou Marcas</v>
      </c>
      <c r="S799" s="17" t="s">
        <v>1022</v>
      </c>
      <c r="T799" s="20">
        <v>4</v>
      </c>
      <c r="U799" s="17"/>
    </row>
    <row r="800" spans="1:21" x14ac:dyDescent="0.35">
      <c r="A800" s="4">
        <v>6935814000102</v>
      </c>
      <c r="B800" s="7"/>
      <c r="C800" s="4"/>
      <c r="D800" s="1" t="s">
        <v>799</v>
      </c>
      <c r="E800" s="1" t="s">
        <v>330</v>
      </c>
      <c r="F800" s="1" t="s">
        <v>15</v>
      </c>
      <c r="G800" s="10" t="s">
        <v>36</v>
      </c>
      <c r="H800" s="1" t="s">
        <v>17</v>
      </c>
      <c r="I800" s="21" t="s">
        <v>1071</v>
      </c>
      <c r="J800" s="18">
        <v>3607.0087238388801</v>
      </c>
      <c r="K800" s="18">
        <f>VLOOKUP(A800,[1]Export!$A:$C,3,0)</f>
        <v>2218.7600000000002</v>
      </c>
      <c r="L800" s="19">
        <f t="shared" si="26"/>
        <v>0.61512465587790721</v>
      </c>
      <c r="M800" s="18">
        <f>VLOOKUP(A800,[1]Export!$A:$G,7,0)</f>
        <v>1969.3599999999997</v>
      </c>
      <c r="N800" s="19">
        <f t="shared" si="27"/>
        <v>0.54598149069737822</v>
      </c>
      <c r="O800" s="17" t="s">
        <v>1025</v>
      </c>
      <c r="P800" s="17" t="s">
        <v>1026</v>
      </c>
      <c r="Q800" s="17" t="s">
        <v>1023</v>
      </c>
      <c r="R800" s="17" t="str">
        <f>VLOOKUP(A800,[2]Export!$A:$I,9,0)</f>
        <v>Comprou Marcas</v>
      </c>
      <c r="S800" s="17" t="s">
        <v>1023</v>
      </c>
      <c r="T800" s="20"/>
      <c r="U800" s="17"/>
    </row>
    <row r="801" spans="1:21" x14ac:dyDescent="0.35">
      <c r="A801" s="5">
        <v>7434377000106</v>
      </c>
      <c r="B801" s="7"/>
      <c r="C801" s="4"/>
      <c r="D801" s="6" t="s">
        <v>800</v>
      </c>
      <c r="E801" s="6" t="s">
        <v>801</v>
      </c>
      <c r="F801" s="6" t="s">
        <v>48</v>
      </c>
      <c r="G801" s="11" t="s">
        <v>20</v>
      </c>
      <c r="H801" s="6" t="s">
        <v>17</v>
      </c>
      <c r="I801" s="21" t="s">
        <v>1073</v>
      </c>
      <c r="J801" s="18">
        <v>8112.6960349424644</v>
      </c>
      <c r="K801" s="18">
        <f>VLOOKUP(A801,[1]Export!$A:$C,3,0)</f>
        <v>2929.2099999999991</v>
      </c>
      <c r="L801" s="19">
        <f t="shared" si="26"/>
        <v>0.36106492679911839</v>
      </c>
      <c r="M801" s="18">
        <f>VLOOKUP(A801,[1]Export!$A:$G,7,0)</f>
        <v>1323.9199999999998</v>
      </c>
      <c r="N801" s="19">
        <f t="shared" si="27"/>
        <v>0.16319112589670556</v>
      </c>
      <c r="O801" s="17" t="s">
        <v>1030</v>
      </c>
      <c r="P801" s="17" t="s">
        <v>1026</v>
      </c>
      <c r="Q801" s="17" t="s">
        <v>1022</v>
      </c>
      <c r="R801" s="17" t="str">
        <f>VLOOKUP(A801,[2]Export!$A:$I,9,0)</f>
        <v>Comprou Marcas</v>
      </c>
      <c r="S801" s="17" t="s">
        <v>1023</v>
      </c>
      <c r="T801" s="20">
        <v>4</v>
      </c>
      <c r="U801" s="17"/>
    </row>
    <row r="802" spans="1:21" x14ac:dyDescent="0.35">
      <c r="A802" s="4">
        <v>3480787000124</v>
      </c>
      <c r="B802" s="7"/>
      <c r="C802" s="4">
        <v>13684</v>
      </c>
      <c r="D802" s="1" t="s">
        <v>802</v>
      </c>
      <c r="E802" s="1" t="s">
        <v>221</v>
      </c>
      <c r="F802" s="1" t="s">
        <v>15</v>
      </c>
      <c r="G802" s="10" t="s">
        <v>20</v>
      </c>
      <c r="H802" s="1" t="s">
        <v>17</v>
      </c>
      <c r="I802" s="21" t="s">
        <v>1075</v>
      </c>
      <c r="J802" s="18">
        <v>19260.196953381146</v>
      </c>
      <c r="K802" s="18">
        <f>VLOOKUP(A802,[1]Export!$A:$C,3,0)</f>
        <v>1962.98</v>
      </c>
      <c r="L802" s="19">
        <f t="shared" si="26"/>
        <v>0.10191899930989008</v>
      </c>
      <c r="M802" s="18">
        <f>VLOOKUP(A802,[1]Export!$A:$G,7,0)</f>
        <v>0</v>
      </c>
      <c r="N802" s="19">
        <f t="shared" si="27"/>
        <v>0</v>
      </c>
      <c r="O802" s="17" t="s">
        <v>1029</v>
      </c>
      <c r="P802" s="17" t="s">
        <v>1026</v>
      </c>
      <c r="Q802" s="17" t="s">
        <v>1023</v>
      </c>
      <c r="R802" s="17" t="str">
        <f>VLOOKUP(A802,[2]Export!$A:$I,9,0)</f>
        <v>Não Comprou</v>
      </c>
      <c r="S802" s="17" t="s">
        <v>1022</v>
      </c>
      <c r="T802" s="20"/>
      <c r="U802" s="17"/>
    </row>
    <row r="803" spans="1:21" x14ac:dyDescent="0.35">
      <c r="A803" s="5">
        <v>4050862000341</v>
      </c>
      <c r="B803" s="7" t="s">
        <v>997</v>
      </c>
      <c r="C803" s="4"/>
      <c r="D803" s="6" t="s">
        <v>247</v>
      </c>
      <c r="E803" s="6" t="s">
        <v>14</v>
      </c>
      <c r="F803" s="6" t="s">
        <v>15</v>
      </c>
      <c r="G803" s="11" t="s">
        <v>9</v>
      </c>
      <c r="H803" s="6" t="s">
        <v>10</v>
      </c>
      <c r="I803" s="21" t="s">
        <v>1069</v>
      </c>
      <c r="J803" s="18">
        <v>8197.8690569270893</v>
      </c>
      <c r="K803" s="18">
        <f>VLOOKUP(A803,[1]Export!$A:$C,3,0)</f>
        <v>2959.8100000000004</v>
      </c>
      <c r="L803" s="19">
        <f t="shared" si="26"/>
        <v>0.3610462645166308</v>
      </c>
      <c r="M803" s="18">
        <f>VLOOKUP(A803,[1]Export!$A:$G,7,0)</f>
        <v>2756.5499999999993</v>
      </c>
      <c r="N803" s="19">
        <f t="shared" si="27"/>
        <v>0.33625201632987189</v>
      </c>
      <c r="O803" s="17" t="s">
        <v>1027</v>
      </c>
      <c r="P803" s="17" t="s">
        <v>1028</v>
      </c>
      <c r="Q803" s="17" t="s">
        <v>1023</v>
      </c>
      <c r="R803" s="17" t="str">
        <f>VLOOKUP(A803,[2]Export!$A:$I,9,0)</f>
        <v>Comprou Marcas</v>
      </c>
      <c r="S803" s="17" t="s">
        <v>1022</v>
      </c>
      <c r="T803" s="20"/>
      <c r="U803" s="17"/>
    </row>
    <row r="804" spans="1:21" x14ac:dyDescent="0.35">
      <c r="A804" s="4">
        <v>4834843000730</v>
      </c>
      <c r="B804" s="7" t="s">
        <v>994</v>
      </c>
      <c r="C804" s="4"/>
      <c r="D804" s="1" t="s">
        <v>91</v>
      </c>
      <c r="E804" s="1" t="s">
        <v>500</v>
      </c>
      <c r="F804" s="1" t="s">
        <v>48</v>
      </c>
      <c r="G804" s="10" t="s">
        <v>92</v>
      </c>
      <c r="H804" s="1" t="s">
        <v>17</v>
      </c>
      <c r="I804" s="21" t="s">
        <v>1073</v>
      </c>
      <c r="J804" s="18">
        <v>10907.616514440391</v>
      </c>
      <c r="K804" s="18">
        <f>VLOOKUP(A804,[1]Export!$A:$C,3,0)</f>
        <v>3136.5600000000004</v>
      </c>
      <c r="L804" s="19">
        <f t="shared" si="26"/>
        <v>0.28755686412770076</v>
      </c>
      <c r="M804" s="18">
        <f>VLOOKUP(A804,[1]Export!$A:$G,7,0)</f>
        <v>4782.2700000000013</v>
      </c>
      <c r="N804" s="19">
        <f t="shared" si="27"/>
        <v>0.43843400560230944</v>
      </c>
      <c r="O804" s="17" t="s">
        <v>1027</v>
      </c>
      <c r="P804" s="17" t="s">
        <v>1028</v>
      </c>
      <c r="Q804" s="17" t="s">
        <v>1023</v>
      </c>
      <c r="R804" s="17" t="str">
        <f>VLOOKUP(A804,[2]Export!$A:$I,9,0)</f>
        <v>Comprou Marcas</v>
      </c>
      <c r="S804" s="17" t="s">
        <v>1022</v>
      </c>
      <c r="T804" s="20"/>
      <c r="U804" s="17"/>
    </row>
    <row r="805" spans="1:21" x14ac:dyDescent="0.35">
      <c r="A805" s="5">
        <v>5233140000123</v>
      </c>
      <c r="B805" s="7"/>
      <c r="C805" s="4"/>
      <c r="D805" s="6" t="s">
        <v>803</v>
      </c>
      <c r="E805" s="6" t="s">
        <v>149</v>
      </c>
      <c r="F805" s="6" t="s">
        <v>8</v>
      </c>
      <c r="G805" s="11" t="s">
        <v>20</v>
      </c>
      <c r="H805" s="6" t="s">
        <v>17</v>
      </c>
      <c r="I805" s="21" t="s">
        <v>1074</v>
      </c>
      <c r="J805" s="18">
        <v>4857.7798578892216</v>
      </c>
      <c r="K805" s="18">
        <f>VLOOKUP(A805,[1]Export!$A:$C,3,0)</f>
        <v>210.65</v>
      </c>
      <c r="L805" s="19">
        <f t="shared" si="26"/>
        <v>4.3363430654004685E-2</v>
      </c>
      <c r="M805" s="18">
        <f>VLOOKUP(A805,[1]Export!$A:$G,7,0)</f>
        <v>0</v>
      </c>
      <c r="N805" s="19">
        <f t="shared" si="27"/>
        <v>0</v>
      </c>
      <c r="O805" s="17" t="s">
        <v>1029</v>
      </c>
      <c r="P805" s="17" t="s">
        <v>1026</v>
      </c>
      <c r="Q805" s="17" t="s">
        <v>1022</v>
      </c>
      <c r="R805" s="17" t="str">
        <f>VLOOKUP(A805,[2]Export!$A:$I,9,0)</f>
        <v>Não Comprou</v>
      </c>
      <c r="S805" s="17" t="s">
        <v>1022</v>
      </c>
      <c r="T805" s="20"/>
      <c r="U805" s="17"/>
    </row>
    <row r="806" spans="1:21" x14ac:dyDescent="0.35">
      <c r="A806" s="5">
        <v>9492647000403</v>
      </c>
      <c r="B806" s="7"/>
      <c r="C806" s="4"/>
      <c r="D806" s="6" t="s">
        <v>104</v>
      </c>
      <c r="E806" s="6" t="s">
        <v>219</v>
      </c>
      <c r="F806" s="6" t="s">
        <v>8</v>
      </c>
      <c r="G806" s="11" t="s">
        <v>9</v>
      </c>
      <c r="H806" s="6" t="s">
        <v>10</v>
      </c>
      <c r="I806" s="21" t="s">
        <v>1072</v>
      </c>
      <c r="J806" s="18">
        <v>10171.660730105716</v>
      </c>
      <c r="K806" s="18">
        <f>VLOOKUP(A806,[1]Export!$A:$C,3,0)</f>
        <v>4406.8600000000006</v>
      </c>
      <c r="L806" s="19">
        <f t="shared" si="26"/>
        <v>0.4332488191389175</v>
      </c>
      <c r="M806" s="18">
        <f>VLOOKUP(A806,[1]Export!$A:$G,7,0)</f>
        <v>6106.5700000000006</v>
      </c>
      <c r="N806" s="19">
        <f t="shared" si="27"/>
        <v>0.60035132531760471</v>
      </c>
      <c r="O806" s="17" t="s">
        <v>1027</v>
      </c>
      <c r="P806" s="17" t="s">
        <v>1028</v>
      </c>
      <c r="Q806" s="17" t="s">
        <v>1023</v>
      </c>
      <c r="R806" s="17" t="str">
        <f>VLOOKUP(A806,[2]Export!$A:$I,9,0)</f>
        <v>Comprou Marcas</v>
      </c>
      <c r="S806" s="17" t="s">
        <v>1022</v>
      </c>
      <c r="T806" s="20"/>
      <c r="U806" s="17"/>
    </row>
    <row r="807" spans="1:21" x14ac:dyDescent="0.35">
      <c r="A807" s="5">
        <v>26291944000159</v>
      </c>
      <c r="B807" s="7"/>
      <c r="C807" s="4"/>
      <c r="D807" s="6" t="s">
        <v>59</v>
      </c>
      <c r="E807" s="6" t="s">
        <v>339</v>
      </c>
      <c r="F807" s="6" t="s">
        <v>8</v>
      </c>
      <c r="G807" s="11" t="s">
        <v>9</v>
      </c>
      <c r="H807" s="6" t="s">
        <v>10</v>
      </c>
      <c r="I807" s="21" t="s">
        <v>1074</v>
      </c>
      <c r="J807" s="18">
        <v>7088.5555835718324</v>
      </c>
      <c r="K807" s="18">
        <f>VLOOKUP(A807,[1]Export!$A:$C,3,0)</f>
        <v>3368.37</v>
      </c>
      <c r="L807" s="19">
        <f t="shared" si="26"/>
        <v>0.47518425443491003</v>
      </c>
      <c r="M807" s="18">
        <f>VLOOKUP(A807,[1]Export!$A:$G,7,0)</f>
        <v>240.68</v>
      </c>
      <c r="N807" s="19">
        <f t="shared" si="27"/>
        <v>3.3953320554866051E-2</v>
      </c>
      <c r="O807" s="17"/>
      <c r="P807" s="17"/>
      <c r="Q807" s="17"/>
      <c r="R807" s="17" t="str">
        <f>VLOOKUP(A807,[2]Export!$A:$I,9,0)</f>
        <v>Comprou Marcas e SG</v>
      </c>
      <c r="S807" s="17" t="s">
        <v>1022</v>
      </c>
      <c r="T807" s="20"/>
      <c r="U807" s="17"/>
    </row>
    <row r="808" spans="1:21" x14ac:dyDescent="0.35">
      <c r="A808" s="4">
        <v>12026397000170</v>
      </c>
      <c r="B808" s="7"/>
      <c r="C808" s="4"/>
      <c r="D808" s="1" t="s">
        <v>804</v>
      </c>
      <c r="E808" s="1" t="s">
        <v>14</v>
      </c>
      <c r="F808" s="1" t="s">
        <v>15</v>
      </c>
      <c r="G808" s="10" t="s">
        <v>36</v>
      </c>
      <c r="H808" s="1" t="s">
        <v>17</v>
      </c>
      <c r="I808" s="21" t="s">
        <v>1069</v>
      </c>
      <c r="J808" s="18">
        <v>414.52835469912799</v>
      </c>
      <c r="K808" s="18">
        <f>VLOOKUP(A808,[1]Export!$A:$C,3,0)</f>
        <v>0</v>
      </c>
      <c r="L808" s="19">
        <f t="shared" si="26"/>
        <v>0</v>
      </c>
      <c r="M808" s="18">
        <f>VLOOKUP(A808,[1]Export!$A:$G,7,0)</f>
        <v>0</v>
      </c>
      <c r="N808" s="19">
        <f t="shared" si="27"/>
        <v>0</v>
      </c>
      <c r="O808" s="17" t="s">
        <v>1025</v>
      </c>
      <c r="P808" s="17" t="s">
        <v>1026</v>
      </c>
      <c r="Q808" s="17" t="s">
        <v>1022</v>
      </c>
      <c r="R808" s="17" t="str">
        <f>VLOOKUP(A808,[2]Export!$A:$I,9,0)</f>
        <v>Não Comprou</v>
      </c>
      <c r="S808" s="17" t="s">
        <v>1023</v>
      </c>
      <c r="T808" s="20"/>
      <c r="U808" s="17"/>
    </row>
    <row r="809" spans="1:21" x14ac:dyDescent="0.35">
      <c r="A809" s="5">
        <v>18110799000134</v>
      </c>
      <c r="B809" s="7"/>
      <c r="C809" s="4"/>
      <c r="D809" s="6" t="s">
        <v>309</v>
      </c>
      <c r="E809" s="6" t="s">
        <v>50</v>
      </c>
      <c r="F809" s="6" t="s">
        <v>48</v>
      </c>
      <c r="G809" s="11" t="s">
        <v>20</v>
      </c>
      <c r="H809" s="6" t="s">
        <v>17</v>
      </c>
      <c r="I809" s="21" t="s">
        <v>1073</v>
      </c>
      <c r="J809" s="18">
        <v>6162.9651646907005</v>
      </c>
      <c r="K809" s="18">
        <f>VLOOKUP(A809,[1]Export!$A:$C,3,0)</f>
        <v>284.94</v>
      </c>
      <c r="L809" s="19">
        <f t="shared" si="26"/>
        <v>4.6234238290441515E-2</v>
      </c>
      <c r="M809" s="18">
        <f>VLOOKUP(A809,[1]Export!$A:$G,7,0)</f>
        <v>133.76</v>
      </c>
      <c r="N809" s="19">
        <f t="shared" si="27"/>
        <v>2.1703838400117418E-2</v>
      </c>
      <c r="O809" s="17" t="s">
        <v>1025</v>
      </c>
      <c r="P809" s="17" t="s">
        <v>1026</v>
      </c>
      <c r="Q809" s="17" t="s">
        <v>1023</v>
      </c>
      <c r="R809" s="17" t="str">
        <f>VLOOKUP(A809,[2]Export!$A:$I,9,0)</f>
        <v>Comprou Marcas e SG</v>
      </c>
      <c r="S809" s="17" t="s">
        <v>1023</v>
      </c>
      <c r="T809" s="20"/>
      <c r="U809" s="17"/>
    </row>
    <row r="810" spans="1:21" x14ac:dyDescent="0.35">
      <c r="A810" s="4">
        <v>26476385000151</v>
      </c>
      <c r="B810" s="7"/>
      <c r="C810" s="4"/>
      <c r="D810" s="1" t="s">
        <v>158</v>
      </c>
      <c r="E810" s="1" t="s">
        <v>546</v>
      </c>
      <c r="F810" s="1" t="s">
        <v>8</v>
      </c>
      <c r="G810" s="10" t="s">
        <v>9</v>
      </c>
      <c r="H810" s="1" t="s">
        <v>10</v>
      </c>
      <c r="I810" s="21" t="s">
        <v>1072</v>
      </c>
      <c r="J810" s="18">
        <v>9814.8148371923508</v>
      </c>
      <c r="K810" s="18">
        <f>VLOOKUP(A810,[1]Export!$A:$C,3,0)</f>
        <v>3781.9300000000003</v>
      </c>
      <c r="L810" s="19">
        <f t="shared" si="26"/>
        <v>0.38532871610259212</v>
      </c>
      <c r="M810" s="18">
        <f>VLOOKUP(A810,[1]Export!$A:$G,7,0)</f>
        <v>2995.5400000000009</v>
      </c>
      <c r="N810" s="19">
        <f t="shared" si="27"/>
        <v>0.30520596156828894</v>
      </c>
      <c r="O810" s="17" t="s">
        <v>1027</v>
      </c>
      <c r="P810" s="17" t="s">
        <v>1028</v>
      </c>
      <c r="Q810" s="17" t="s">
        <v>1023</v>
      </c>
      <c r="R810" s="17" t="str">
        <f>VLOOKUP(A810,[2]Export!$A:$I,9,0)</f>
        <v>Comprou Marcas</v>
      </c>
      <c r="S810" s="17" t="s">
        <v>1022</v>
      </c>
      <c r="T810" s="20"/>
      <c r="U810" s="17"/>
    </row>
    <row r="811" spans="1:21" x14ac:dyDescent="0.35">
      <c r="A811" s="4">
        <v>11051538000141</v>
      </c>
      <c r="B811" s="7"/>
      <c r="C811" s="4"/>
      <c r="D811" s="1" t="s">
        <v>559</v>
      </c>
      <c r="E811" s="1" t="s">
        <v>22</v>
      </c>
      <c r="F811" s="1" t="s">
        <v>8</v>
      </c>
      <c r="G811" s="10" t="s">
        <v>9</v>
      </c>
      <c r="H811" s="1" t="s">
        <v>10</v>
      </c>
      <c r="I811" s="21" t="s">
        <v>1070</v>
      </c>
      <c r="J811" s="18">
        <v>11881.141380625264</v>
      </c>
      <c r="K811" s="18">
        <f>VLOOKUP(A811,[1]Export!$A:$C,3,0)</f>
        <v>4448.3999999999987</v>
      </c>
      <c r="L811" s="19">
        <f t="shared" si="26"/>
        <v>0.37440847284706702</v>
      </c>
      <c r="M811" s="18">
        <f>VLOOKUP(A811,[1]Export!$A:$G,7,0)</f>
        <v>3999.0499999999997</v>
      </c>
      <c r="N811" s="19">
        <f t="shared" si="27"/>
        <v>0.33658803240245116</v>
      </c>
      <c r="O811" s="17" t="s">
        <v>1027</v>
      </c>
      <c r="P811" s="17" t="s">
        <v>1028</v>
      </c>
      <c r="Q811" s="17" t="s">
        <v>1023</v>
      </c>
      <c r="R811" s="17" t="str">
        <f>VLOOKUP(A811,[2]Export!$A:$I,9,0)</f>
        <v>Comprou Marcas</v>
      </c>
      <c r="S811" s="17" t="s">
        <v>1022</v>
      </c>
      <c r="T811" s="20"/>
      <c r="U811" s="17"/>
    </row>
    <row r="812" spans="1:21" x14ac:dyDescent="0.35">
      <c r="A812" s="4">
        <v>3142759000105</v>
      </c>
      <c r="B812" s="7"/>
      <c r="C812" s="4"/>
      <c r="D812" s="1" t="s">
        <v>59</v>
      </c>
      <c r="E812" s="1" t="s">
        <v>171</v>
      </c>
      <c r="F812" s="1" t="s">
        <v>8</v>
      </c>
      <c r="G812" s="10" t="s">
        <v>9</v>
      </c>
      <c r="H812" s="1" t="s">
        <v>10</v>
      </c>
      <c r="I812" s="21" t="s">
        <v>1072</v>
      </c>
      <c r="J812" s="18">
        <v>25965.561052598852</v>
      </c>
      <c r="K812" s="18">
        <f>VLOOKUP(A812,[1]Export!$A:$C,3,0)</f>
        <v>13088.109999999999</v>
      </c>
      <c r="L812" s="19">
        <f t="shared" si="26"/>
        <v>0.50405650675089231</v>
      </c>
      <c r="M812" s="18">
        <f>VLOOKUP(A812,[1]Export!$A:$G,7,0)</f>
        <v>16230.930000000002</v>
      </c>
      <c r="N812" s="19">
        <f t="shared" si="27"/>
        <v>0.62509452297682877</v>
      </c>
      <c r="O812" s="17" t="s">
        <v>1027</v>
      </c>
      <c r="P812" s="17" t="s">
        <v>1028</v>
      </c>
      <c r="Q812" s="17" t="s">
        <v>1023</v>
      </c>
      <c r="R812" s="17" t="str">
        <f>VLOOKUP(A812,[2]Export!$A:$I,9,0)</f>
        <v>Comprou Marcas</v>
      </c>
      <c r="S812" s="17" t="s">
        <v>1022</v>
      </c>
      <c r="T812" s="20"/>
      <c r="U812" s="17"/>
    </row>
    <row r="813" spans="1:21" x14ac:dyDescent="0.35">
      <c r="A813" s="5">
        <v>20119949000201</v>
      </c>
      <c r="B813" s="7"/>
      <c r="C813" s="4"/>
      <c r="D813" s="6" t="s">
        <v>158</v>
      </c>
      <c r="E813" s="6" t="s">
        <v>14</v>
      </c>
      <c r="F813" s="6" t="s">
        <v>15</v>
      </c>
      <c r="G813" s="11" t="s">
        <v>36</v>
      </c>
      <c r="H813" s="6" t="s">
        <v>17</v>
      </c>
      <c r="I813" s="21" t="s">
        <v>1069</v>
      </c>
      <c r="J813" s="18">
        <v>9423.1254584489725</v>
      </c>
      <c r="K813" s="18">
        <f>VLOOKUP(A813,[1]Export!$A:$C,3,0)</f>
        <v>3388.9599999999991</v>
      </c>
      <c r="L813" s="19">
        <f t="shared" si="26"/>
        <v>0.35964288228396518</v>
      </c>
      <c r="M813" s="18">
        <f>VLOOKUP(A813,[1]Export!$A:$G,7,0)</f>
        <v>2359.94</v>
      </c>
      <c r="N813" s="19">
        <f t="shared" si="27"/>
        <v>0.25044132229864646</v>
      </c>
      <c r="O813" s="17" t="s">
        <v>1029</v>
      </c>
      <c r="P813" s="17" t="s">
        <v>1026</v>
      </c>
      <c r="Q813" s="17" t="s">
        <v>1022</v>
      </c>
      <c r="R813" s="17" t="str">
        <f>VLOOKUP(A813,[2]Export!$A:$I,9,0)</f>
        <v>Comprou Marcas</v>
      </c>
      <c r="S813" s="17" t="s">
        <v>1022</v>
      </c>
      <c r="T813" s="20"/>
      <c r="U813" s="17"/>
    </row>
    <row r="814" spans="1:21" x14ac:dyDescent="0.35">
      <c r="A814" s="4">
        <v>23952661000112</v>
      </c>
      <c r="B814" s="7"/>
      <c r="C814" s="4"/>
      <c r="D814" s="1" t="s">
        <v>224</v>
      </c>
      <c r="E814" s="1" t="s">
        <v>35</v>
      </c>
      <c r="F814" s="1" t="s">
        <v>8</v>
      </c>
      <c r="G814" s="10" t="s">
        <v>20</v>
      </c>
      <c r="H814" s="1" t="s">
        <v>17</v>
      </c>
      <c r="I814" s="21" t="s">
        <v>1072</v>
      </c>
      <c r="J814" s="18">
        <v>5483.9753735528448</v>
      </c>
      <c r="K814" s="18">
        <f>VLOOKUP(A814,[1]Export!$A:$C,3,0)</f>
        <v>838.19999999999993</v>
      </c>
      <c r="L814" s="19">
        <f t="shared" si="26"/>
        <v>0.1528453253167992</v>
      </c>
      <c r="M814" s="18">
        <f>VLOOKUP(A814,[1]Export!$A:$G,7,0)</f>
        <v>1099.2599999999998</v>
      </c>
      <c r="N814" s="19">
        <f t="shared" si="27"/>
        <v>0.2004494778188316</v>
      </c>
      <c r="O814" s="17" t="s">
        <v>1029</v>
      </c>
      <c r="P814" s="17" t="s">
        <v>1026</v>
      </c>
      <c r="Q814" s="17" t="s">
        <v>1022</v>
      </c>
      <c r="R814" s="17" t="str">
        <f>VLOOKUP(A814,[2]Export!$A:$I,9,0)</f>
        <v>Comprou Marcas</v>
      </c>
      <c r="S814" s="17" t="s">
        <v>1023</v>
      </c>
      <c r="T814" s="20"/>
      <c r="U814" s="17"/>
    </row>
    <row r="815" spans="1:21" x14ac:dyDescent="0.35">
      <c r="A815" s="5">
        <v>24437271000177</v>
      </c>
      <c r="B815" s="7"/>
      <c r="C815" s="4"/>
      <c r="D815" s="6" t="s">
        <v>25</v>
      </c>
      <c r="E815" s="6" t="s">
        <v>358</v>
      </c>
      <c r="F815" s="6" t="s">
        <v>15</v>
      </c>
      <c r="G815" s="11" t="s">
        <v>9</v>
      </c>
      <c r="H815" s="6" t="s">
        <v>10</v>
      </c>
      <c r="I815" s="21" t="s">
        <v>1071</v>
      </c>
      <c r="J815" s="18">
        <v>13342.556361536532</v>
      </c>
      <c r="K815" s="18">
        <f>VLOOKUP(A815,[1]Export!$A:$C,3,0)</f>
        <v>4263.43</v>
      </c>
      <c r="L815" s="19">
        <f t="shared" si="26"/>
        <v>0.31953621813361577</v>
      </c>
      <c r="M815" s="18">
        <f>VLOOKUP(A815,[1]Export!$A:$G,7,0)</f>
        <v>2986.6099999999997</v>
      </c>
      <c r="N815" s="19">
        <f t="shared" si="27"/>
        <v>0.22384091317085963</v>
      </c>
      <c r="O815" s="17" t="s">
        <v>1027</v>
      </c>
      <c r="P815" s="17" t="s">
        <v>1028</v>
      </c>
      <c r="Q815" s="17" t="s">
        <v>1023</v>
      </c>
      <c r="R815" s="17" t="str">
        <f>VLOOKUP(A815,[2]Export!$A:$I,9,0)</f>
        <v>Comprou Marcas</v>
      </c>
      <c r="S815" s="17" t="s">
        <v>1022</v>
      </c>
      <c r="T815" s="20"/>
      <c r="U815" s="17"/>
    </row>
    <row r="816" spans="1:21" x14ac:dyDescent="0.35">
      <c r="A816" s="4">
        <v>27785214000410</v>
      </c>
      <c r="B816" s="7" t="s">
        <v>1010</v>
      </c>
      <c r="C816" s="4"/>
      <c r="D816" s="1" t="s">
        <v>670</v>
      </c>
      <c r="E816" s="1" t="s">
        <v>24</v>
      </c>
      <c r="F816" s="1" t="s">
        <v>15</v>
      </c>
      <c r="G816" s="10" t="s">
        <v>36</v>
      </c>
      <c r="H816" s="1" t="s">
        <v>17</v>
      </c>
      <c r="I816" s="21" t="s">
        <v>1071</v>
      </c>
      <c r="J816" s="18">
        <v>9415.0445188523845</v>
      </c>
      <c r="K816" s="18">
        <f>VLOOKUP(A816,[1]Export!$A:$C,3,0)</f>
        <v>4234.2099999999991</v>
      </c>
      <c r="L816" s="19">
        <f t="shared" si="26"/>
        <v>0.44972809119718471</v>
      </c>
      <c r="M816" s="18">
        <f>VLOOKUP(A816,[1]Export!$A:$G,7,0)</f>
        <v>9026.4200000000019</v>
      </c>
      <c r="N816" s="19">
        <f t="shared" si="27"/>
        <v>0.95872302907604812</v>
      </c>
      <c r="O816" s="17" t="s">
        <v>1027</v>
      </c>
      <c r="P816" s="17" t="s">
        <v>1028</v>
      </c>
      <c r="Q816" s="17" t="s">
        <v>1023</v>
      </c>
      <c r="R816" s="17" t="str">
        <f>VLOOKUP(A816,[2]Export!$A:$I,9,0)</f>
        <v>Comprou Marcas</v>
      </c>
      <c r="S816" s="17" t="s">
        <v>1022</v>
      </c>
      <c r="T816" s="20">
        <v>1</v>
      </c>
      <c r="U816" s="17"/>
    </row>
    <row r="817" spans="1:21" x14ac:dyDescent="0.35">
      <c r="A817" s="5">
        <v>28032369000103</v>
      </c>
      <c r="B817" s="7"/>
      <c r="C817" s="4"/>
      <c r="D817" s="6" t="s">
        <v>805</v>
      </c>
      <c r="E817" s="6" t="s">
        <v>588</v>
      </c>
      <c r="F817" s="6" t="s">
        <v>8</v>
      </c>
      <c r="G817" s="11" t="s">
        <v>74</v>
      </c>
      <c r="H817" s="6" t="s">
        <v>17</v>
      </c>
      <c r="I817" s="21" t="s">
        <v>1068</v>
      </c>
      <c r="J817" s="18">
        <v>13542.419104018965</v>
      </c>
      <c r="K817" s="18">
        <f>VLOOKUP(A817,[1]Export!$A:$C,3,0)</f>
        <v>4612.9199999999992</v>
      </c>
      <c r="L817" s="19">
        <f t="shared" si="26"/>
        <v>0.34062747316917913</v>
      </c>
      <c r="M817" s="18">
        <f>VLOOKUP(A817,[1]Export!$A:$G,7,0)</f>
        <v>4256.7200000000012</v>
      </c>
      <c r="N817" s="19">
        <f t="shared" si="27"/>
        <v>0.31432493465932837</v>
      </c>
      <c r="O817" s="17" t="s">
        <v>1027</v>
      </c>
      <c r="P817" s="17" t="s">
        <v>1028</v>
      </c>
      <c r="Q817" s="17" t="s">
        <v>1023</v>
      </c>
      <c r="R817" s="17" t="str">
        <f>VLOOKUP(A817,[2]Export!$A:$I,9,0)</f>
        <v>Comprou Marcas</v>
      </c>
      <c r="S817" s="17" t="s">
        <v>1022</v>
      </c>
      <c r="T817" s="20"/>
      <c r="U817" s="17"/>
    </row>
    <row r="818" spans="1:21" x14ac:dyDescent="0.35">
      <c r="A818" s="4">
        <v>34959930000199</v>
      </c>
      <c r="B818" s="7"/>
      <c r="C818" s="4"/>
      <c r="D818" s="1" t="s">
        <v>806</v>
      </c>
      <c r="E818" s="1" t="s">
        <v>542</v>
      </c>
      <c r="F818" s="1" t="s">
        <v>15</v>
      </c>
      <c r="G818" s="10" t="s">
        <v>33</v>
      </c>
      <c r="H818" s="1" t="s">
        <v>17</v>
      </c>
      <c r="I818" s="21" t="s">
        <v>1075</v>
      </c>
      <c r="J818" s="18">
        <v>4639.0762711353173</v>
      </c>
      <c r="K818" s="18">
        <f>VLOOKUP(A818,[1]Export!$A:$C,3,0)</f>
        <v>2293.81</v>
      </c>
      <c r="L818" s="19">
        <f t="shared" si="26"/>
        <v>0.49445403910952251</v>
      </c>
      <c r="M818" s="18">
        <f>VLOOKUP(A818,[1]Export!$A:$G,7,0)</f>
        <v>1600.14</v>
      </c>
      <c r="N818" s="19">
        <f t="shared" si="27"/>
        <v>0.34492642640005555</v>
      </c>
      <c r="O818" s="17" t="s">
        <v>1029</v>
      </c>
      <c r="P818" s="17" t="s">
        <v>1026</v>
      </c>
      <c r="Q818" s="17" t="s">
        <v>1023</v>
      </c>
      <c r="R818" s="17" t="str">
        <f>VLOOKUP(A818,[2]Export!$A:$I,9,0)</f>
        <v>Comprou Marcas</v>
      </c>
      <c r="S818" s="17" t="s">
        <v>1022</v>
      </c>
      <c r="T818" s="20"/>
      <c r="U818" s="17"/>
    </row>
    <row r="819" spans="1:21" x14ac:dyDescent="0.35">
      <c r="A819" s="5">
        <v>36004691000149</v>
      </c>
      <c r="B819" s="7"/>
      <c r="C819" s="4"/>
      <c r="D819" s="6" t="s">
        <v>807</v>
      </c>
      <c r="E819" s="6" t="s">
        <v>390</v>
      </c>
      <c r="F819" s="6" t="s">
        <v>8</v>
      </c>
      <c r="G819" s="11" t="s">
        <v>33</v>
      </c>
      <c r="H819" s="6" t="s">
        <v>17</v>
      </c>
      <c r="I819" s="21" t="s">
        <v>1070</v>
      </c>
      <c r="J819" s="18">
        <v>6047.4291948764458</v>
      </c>
      <c r="K819" s="18">
        <f>VLOOKUP(A819,[1]Export!$A:$C,3,0)</f>
        <v>2712.75</v>
      </c>
      <c r="L819" s="19">
        <f t="shared" si="26"/>
        <v>0.44857904285978561</v>
      </c>
      <c r="M819" s="18">
        <f>VLOOKUP(A819,[1]Export!$A:$G,7,0)</f>
        <v>0</v>
      </c>
      <c r="N819" s="19">
        <f t="shared" si="27"/>
        <v>0</v>
      </c>
      <c r="O819" s="17"/>
      <c r="P819" s="17"/>
      <c r="Q819" s="17"/>
      <c r="R819" s="17" t="str">
        <f>VLOOKUP(A819,[2]Export!$A:$I,9,0)</f>
        <v>Não Comprou</v>
      </c>
      <c r="S819" s="17"/>
      <c r="T819" s="20"/>
      <c r="U819" s="17"/>
    </row>
    <row r="820" spans="1:21" x14ac:dyDescent="0.35">
      <c r="A820" s="4">
        <v>36259468000142</v>
      </c>
      <c r="B820" s="7"/>
      <c r="C820" s="4"/>
      <c r="D820" s="1" t="s">
        <v>753</v>
      </c>
      <c r="E820" s="1" t="s">
        <v>14</v>
      </c>
      <c r="F820" s="1" t="s">
        <v>15</v>
      </c>
      <c r="G820" s="10" t="s">
        <v>20</v>
      </c>
      <c r="H820" s="1" t="s">
        <v>17</v>
      </c>
      <c r="I820" s="21" t="s">
        <v>1069</v>
      </c>
      <c r="J820" s="18">
        <v>2606.6251740330608</v>
      </c>
      <c r="K820" s="18">
        <f>VLOOKUP(A820,[1]Export!$A:$C,3,0)</f>
        <v>502.15000000000003</v>
      </c>
      <c r="L820" s="19">
        <f t="shared" si="26"/>
        <v>0.1926437314433882</v>
      </c>
      <c r="M820" s="18">
        <f>VLOOKUP(A820,[1]Export!$A:$G,7,0)</f>
        <v>0</v>
      </c>
      <c r="N820" s="19">
        <f t="shared" si="27"/>
        <v>0</v>
      </c>
      <c r="O820" s="17" t="s">
        <v>1025</v>
      </c>
      <c r="P820" s="17" t="s">
        <v>1026</v>
      </c>
      <c r="Q820" s="17" t="s">
        <v>1023</v>
      </c>
      <c r="R820" s="17" t="str">
        <f>VLOOKUP(A820,[2]Export!$A:$I,9,0)</f>
        <v>Não Comprou</v>
      </c>
      <c r="S820" s="17" t="s">
        <v>1023</v>
      </c>
      <c r="T820" s="20"/>
      <c r="U820" s="17"/>
    </row>
    <row r="821" spans="1:21" x14ac:dyDescent="0.35">
      <c r="A821" s="5">
        <v>61144743000120</v>
      </c>
      <c r="B821" s="7"/>
      <c r="C821" s="4"/>
      <c r="D821" s="6" t="s">
        <v>597</v>
      </c>
      <c r="E821" s="6" t="s">
        <v>379</v>
      </c>
      <c r="F821" s="6" t="s">
        <v>15</v>
      </c>
      <c r="G821" s="11" t="s">
        <v>16</v>
      </c>
      <c r="H821" s="6" t="s">
        <v>17</v>
      </c>
      <c r="I821" s="21" t="s">
        <v>1075</v>
      </c>
      <c r="J821" s="18">
        <v>6734.0141180477249</v>
      </c>
      <c r="K821" s="18">
        <f>VLOOKUP(A821,[1]Export!$A:$C,3,0)</f>
        <v>1753.14</v>
      </c>
      <c r="L821" s="19">
        <f t="shared" si="26"/>
        <v>0.26034100452825565</v>
      </c>
      <c r="M821" s="18">
        <f>VLOOKUP(A821,[1]Export!$A:$G,7,0)</f>
        <v>0</v>
      </c>
      <c r="N821" s="19">
        <f t="shared" si="27"/>
        <v>0</v>
      </c>
      <c r="O821" s="17" t="s">
        <v>1025</v>
      </c>
      <c r="P821" s="17" t="s">
        <v>1026</v>
      </c>
      <c r="Q821" s="17" t="s">
        <v>1023</v>
      </c>
      <c r="R821" s="17" t="str">
        <f>VLOOKUP(A821,[2]Export!$A:$I,9,0)</f>
        <v>Não Comprou</v>
      </c>
      <c r="S821" s="17" t="s">
        <v>1022</v>
      </c>
      <c r="T821" s="20">
        <v>4</v>
      </c>
      <c r="U821" s="17"/>
    </row>
    <row r="822" spans="1:21" x14ac:dyDescent="0.35">
      <c r="A822" s="4">
        <v>52464336000109</v>
      </c>
      <c r="B822" s="7"/>
      <c r="C822" s="4">
        <v>147</v>
      </c>
      <c r="D822" s="1" t="s">
        <v>808</v>
      </c>
      <c r="E822" s="1" t="s">
        <v>270</v>
      </c>
      <c r="F822" s="1" t="s">
        <v>48</v>
      </c>
      <c r="G822" s="10" t="s">
        <v>20</v>
      </c>
      <c r="H822" s="1" t="s">
        <v>17</v>
      </c>
      <c r="I822" s="21" t="s">
        <v>1075</v>
      </c>
      <c r="J822" s="18">
        <v>7331.6638023028245</v>
      </c>
      <c r="K822" s="18">
        <f>VLOOKUP(A822,[1]Export!$A:$C,3,0)</f>
        <v>2391.2600000000007</v>
      </c>
      <c r="L822" s="19">
        <f t="shared" si="26"/>
        <v>0.32615516265883915</v>
      </c>
      <c r="M822" s="18">
        <f>VLOOKUP(A822,[1]Export!$A:$G,7,0)</f>
        <v>0</v>
      </c>
      <c r="N822" s="19">
        <f t="shared" si="27"/>
        <v>0</v>
      </c>
      <c r="O822" s="17" t="s">
        <v>1030</v>
      </c>
      <c r="P822" s="17" t="s">
        <v>1026</v>
      </c>
      <c r="Q822" s="17" t="s">
        <v>1023</v>
      </c>
      <c r="R822" s="17" t="str">
        <f>VLOOKUP(A822,[2]Export!$A:$I,9,0)</f>
        <v>Comprou SG</v>
      </c>
      <c r="S822" s="17" t="s">
        <v>1022</v>
      </c>
      <c r="T822" s="20">
        <v>1</v>
      </c>
      <c r="U822" s="17"/>
    </row>
    <row r="823" spans="1:21" x14ac:dyDescent="0.35">
      <c r="A823" s="5">
        <v>53062463000144</v>
      </c>
      <c r="B823" s="7"/>
      <c r="C823" s="4"/>
      <c r="D823" s="6" t="s">
        <v>90</v>
      </c>
      <c r="E823" s="6" t="s">
        <v>203</v>
      </c>
      <c r="F823" s="6" t="s">
        <v>8</v>
      </c>
      <c r="G823" s="11" t="s">
        <v>64</v>
      </c>
      <c r="H823" s="6" t="s">
        <v>17</v>
      </c>
      <c r="I823" s="21" t="s">
        <v>1074</v>
      </c>
      <c r="J823" s="18">
        <v>6268.254825592473</v>
      </c>
      <c r="K823" s="18">
        <f>VLOOKUP(A823,[1]Export!$A:$C,3,0)</f>
        <v>1726.3400000000004</v>
      </c>
      <c r="L823" s="19">
        <f t="shared" si="26"/>
        <v>0.27540999018603673</v>
      </c>
      <c r="M823" s="18">
        <f>VLOOKUP(A823,[1]Export!$A:$G,7,0)</f>
        <v>0</v>
      </c>
      <c r="N823" s="19">
        <f t="shared" si="27"/>
        <v>0</v>
      </c>
      <c r="O823" s="17" t="s">
        <v>1025</v>
      </c>
      <c r="P823" s="17" t="s">
        <v>1026</v>
      </c>
      <c r="Q823" s="17" t="s">
        <v>1022</v>
      </c>
      <c r="R823" s="17" t="str">
        <f>VLOOKUP(A823,[2]Export!$A:$I,9,0)</f>
        <v>Não Comprou</v>
      </c>
      <c r="S823" s="17" t="s">
        <v>1022</v>
      </c>
      <c r="T823" s="20">
        <v>4</v>
      </c>
      <c r="U823" s="17"/>
    </row>
    <row r="824" spans="1:21" x14ac:dyDescent="0.35">
      <c r="A824" s="4">
        <v>5006001000167</v>
      </c>
      <c r="B824" s="7"/>
      <c r="C824" s="4"/>
      <c r="D824" s="1" t="s">
        <v>767</v>
      </c>
      <c r="E824" s="1" t="s">
        <v>22</v>
      </c>
      <c r="F824" s="1" t="s">
        <v>8</v>
      </c>
      <c r="G824" s="10" t="s">
        <v>20</v>
      </c>
      <c r="H824" s="1" t="s">
        <v>17</v>
      </c>
      <c r="I824" s="21" t="s">
        <v>1070</v>
      </c>
      <c r="J824" s="18">
        <v>9881.7755677287405</v>
      </c>
      <c r="K824" s="18">
        <f>VLOOKUP(A824,[1]Export!$A:$C,3,0)</f>
        <v>2989.670000000001</v>
      </c>
      <c r="L824" s="19">
        <f t="shared" si="26"/>
        <v>0.30254380698176053</v>
      </c>
      <c r="M824" s="18">
        <f>VLOOKUP(A824,[1]Export!$A:$G,7,0)</f>
        <v>0</v>
      </c>
      <c r="N824" s="19">
        <f t="shared" si="27"/>
        <v>0</v>
      </c>
      <c r="O824" s="17" t="s">
        <v>1025</v>
      </c>
      <c r="P824" s="17" t="s">
        <v>1026</v>
      </c>
      <c r="Q824" s="17" t="s">
        <v>1022</v>
      </c>
      <c r="R824" s="17" t="str">
        <f>VLOOKUP(A824,[2]Export!$A:$I,9,0)</f>
        <v>Não Comprou</v>
      </c>
      <c r="S824" s="17" t="s">
        <v>1022</v>
      </c>
      <c r="T824" s="20"/>
      <c r="U824" s="17"/>
    </row>
    <row r="825" spans="1:21" x14ac:dyDescent="0.35">
      <c r="A825" s="5">
        <v>5344624000492</v>
      </c>
      <c r="B825" s="7" t="s">
        <v>1011</v>
      </c>
      <c r="C825" s="4"/>
      <c r="D825" s="6" t="s">
        <v>809</v>
      </c>
      <c r="E825" s="6" t="s">
        <v>259</v>
      </c>
      <c r="F825" s="6" t="s">
        <v>15</v>
      </c>
      <c r="G825" s="11" t="s">
        <v>9</v>
      </c>
      <c r="H825" s="6" t="s">
        <v>10</v>
      </c>
      <c r="I825" s="21" t="s">
        <v>1071</v>
      </c>
      <c r="J825" s="18">
        <v>7073.6254126402555</v>
      </c>
      <c r="K825" s="18">
        <f>VLOOKUP(A825,[1]Export!$A:$C,3,0)</f>
        <v>2645.42</v>
      </c>
      <c r="L825" s="19">
        <f t="shared" si="26"/>
        <v>0.37398361457941376</v>
      </c>
      <c r="M825" s="18">
        <f>VLOOKUP(A825,[1]Export!$A:$G,7,0)</f>
        <v>1696.6100000000001</v>
      </c>
      <c r="N825" s="19">
        <f t="shared" si="27"/>
        <v>0.23985013356350948</v>
      </c>
      <c r="O825" s="17" t="s">
        <v>1027</v>
      </c>
      <c r="P825" s="17" t="s">
        <v>1028</v>
      </c>
      <c r="Q825" s="17" t="s">
        <v>1023</v>
      </c>
      <c r="R825" s="17" t="str">
        <f>VLOOKUP(A825,[2]Export!$A:$I,9,0)</f>
        <v>Comprou Marcas</v>
      </c>
      <c r="S825" s="17" t="s">
        <v>1022</v>
      </c>
      <c r="T825" s="20"/>
      <c r="U825" s="17"/>
    </row>
    <row r="826" spans="1:21" x14ac:dyDescent="0.35">
      <c r="A826" s="4">
        <v>5465757000174</v>
      </c>
      <c r="B826" s="7"/>
      <c r="C826" s="4"/>
      <c r="D826" s="1" t="s">
        <v>810</v>
      </c>
      <c r="E826" s="1" t="s">
        <v>61</v>
      </c>
      <c r="F826" s="1" t="s">
        <v>8</v>
      </c>
      <c r="G826" s="10" t="s">
        <v>36</v>
      </c>
      <c r="H826" s="1" t="s">
        <v>17</v>
      </c>
      <c r="I826" s="21" t="s">
        <v>1068</v>
      </c>
      <c r="J826" s="18">
        <v>2270.7764072739456</v>
      </c>
      <c r="K826" s="18">
        <f>VLOOKUP(A826,[1]Export!$A:$C,3,0)</f>
        <v>252.70000000000002</v>
      </c>
      <c r="L826" s="19">
        <f t="shared" si="26"/>
        <v>0.11128352363998927</v>
      </c>
      <c r="M826" s="18">
        <f>VLOOKUP(A826,[1]Export!$A:$G,7,0)</f>
        <v>1135.0299999999997</v>
      </c>
      <c r="N826" s="19">
        <f t="shared" si="27"/>
        <v>0.4998422549944479</v>
      </c>
      <c r="O826" s="17" t="s">
        <v>1025</v>
      </c>
      <c r="P826" s="17" t="s">
        <v>1026</v>
      </c>
      <c r="Q826" s="17" t="s">
        <v>1022</v>
      </c>
      <c r="R826" s="17" t="str">
        <f>VLOOKUP(A826,[2]Export!$A:$I,9,0)</f>
        <v>Comprou Marcas</v>
      </c>
      <c r="S826" s="17" t="s">
        <v>1022</v>
      </c>
      <c r="T826" s="20"/>
      <c r="U826" s="17"/>
    </row>
    <row r="827" spans="1:21" x14ac:dyDescent="0.35">
      <c r="A827" s="5">
        <v>193631000174</v>
      </c>
      <c r="B827" s="7"/>
      <c r="C827" s="4"/>
      <c r="D827" s="6" t="s">
        <v>811</v>
      </c>
      <c r="E827" s="6" t="s">
        <v>155</v>
      </c>
      <c r="F827" s="6" t="s">
        <v>15</v>
      </c>
      <c r="G827" s="11" t="s">
        <v>20</v>
      </c>
      <c r="H827" s="6" t="s">
        <v>17</v>
      </c>
      <c r="I827" s="21" t="s">
        <v>1071</v>
      </c>
      <c r="J827" s="18">
        <v>6308.8527134109527</v>
      </c>
      <c r="K827" s="18">
        <f>VLOOKUP(A827,[1]Export!$A:$C,3,0)</f>
        <v>922.83</v>
      </c>
      <c r="L827" s="19">
        <f t="shared" si="26"/>
        <v>0.14627540726038943</v>
      </c>
      <c r="M827" s="18">
        <f>VLOOKUP(A827,[1]Export!$A:$G,7,0)</f>
        <v>0</v>
      </c>
      <c r="N827" s="19">
        <f t="shared" si="27"/>
        <v>0</v>
      </c>
      <c r="O827" s="17" t="s">
        <v>1025</v>
      </c>
      <c r="P827" s="17" t="s">
        <v>1026</v>
      </c>
      <c r="Q827" s="17" t="s">
        <v>1023</v>
      </c>
      <c r="R827" s="17" t="str">
        <f>VLOOKUP(A827,[2]Export!$A:$I,9,0)</f>
        <v>Não Comprou</v>
      </c>
      <c r="S827" s="17" t="s">
        <v>1023</v>
      </c>
      <c r="T827" s="20"/>
      <c r="U827" s="17"/>
    </row>
    <row r="828" spans="1:21" x14ac:dyDescent="0.35">
      <c r="A828" s="4">
        <v>1394350000142</v>
      </c>
      <c r="B828" s="7" t="s">
        <v>1010</v>
      </c>
      <c r="C828" s="4"/>
      <c r="D828" s="1" t="s">
        <v>670</v>
      </c>
      <c r="E828" s="1" t="s">
        <v>24</v>
      </c>
      <c r="F828" s="1" t="s">
        <v>15</v>
      </c>
      <c r="G828" s="10" t="s">
        <v>36</v>
      </c>
      <c r="H828" s="1" t="s">
        <v>17</v>
      </c>
      <c r="I828" s="21" t="s">
        <v>1071</v>
      </c>
      <c r="J828" s="18">
        <v>7456.2914726377203</v>
      </c>
      <c r="K828" s="18">
        <f>VLOOKUP(A828,[1]Export!$A:$C,3,0)</f>
        <v>3240.2799999999997</v>
      </c>
      <c r="L828" s="19">
        <f t="shared" si="26"/>
        <v>0.43456992150733692</v>
      </c>
      <c r="M828" s="18">
        <f>VLOOKUP(A828,[1]Export!$A:$G,7,0)</f>
        <v>4517.8200000000006</v>
      </c>
      <c r="N828" s="19">
        <f t="shared" si="27"/>
        <v>0.60590710765251066</v>
      </c>
      <c r="O828" s="17" t="s">
        <v>1027</v>
      </c>
      <c r="P828" s="17" t="s">
        <v>1028</v>
      </c>
      <c r="Q828" s="17" t="s">
        <v>1023</v>
      </c>
      <c r="R828" s="17" t="str">
        <f>VLOOKUP(A828,[2]Export!$A:$I,9,0)</f>
        <v>Comprou Marcas</v>
      </c>
      <c r="S828" s="17" t="s">
        <v>1022</v>
      </c>
      <c r="T828" s="20"/>
      <c r="U828" s="17"/>
    </row>
    <row r="829" spans="1:21" x14ac:dyDescent="0.35">
      <c r="A829" s="5">
        <v>3328971000153</v>
      </c>
      <c r="B829" s="7"/>
      <c r="C829" s="4"/>
      <c r="D829" s="6" t="s">
        <v>812</v>
      </c>
      <c r="E829" s="6" t="s">
        <v>813</v>
      </c>
      <c r="F829" s="6" t="s">
        <v>48</v>
      </c>
      <c r="G829" s="11" t="s">
        <v>87</v>
      </c>
      <c r="H829" s="6" t="s">
        <v>17</v>
      </c>
      <c r="I829" s="21" t="s">
        <v>1073</v>
      </c>
      <c r="J829" s="18">
        <v>6843.1437652396617</v>
      </c>
      <c r="K829" s="18">
        <f>VLOOKUP(A829,[1]Export!$A:$C,3,0)</f>
        <v>2351.75</v>
      </c>
      <c r="L829" s="19">
        <f t="shared" si="26"/>
        <v>0.34366514582755325</v>
      </c>
      <c r="M829" s="18">
        <f>VLOOKUP(A829,[1]Export!$A:$G,7,0)</f>
        <v>1191.02</v>
      </c>
      <c r="N829" s="19">
        <f t="shared" si="27"/>
        <v>0.1740457369973562</v>
      </c>
      <c r="O829" s="17" t="s">
        <v>1025</v>
      </c>
      <c r="P829" s="17" t="s">
        <v>1026</v>
      </c>
      <c r="Q829" s="17" t="s">
        <v>1023</v>
      </c>
      <c r="R829" s="17" t="str">
        <f>VLOOKUP(A829,[2]Export!$A:$I,9,0)</f>
        <v>Comprou Marcas</v>
      </c>
      <c r="S829" s="17" t="s">
        <v>1022</v>
      </c>
      <c r="T829" s="20"/>
      <c r="U829" s="17"/>
    </row>
    <row r="830" spans="1:21" x14ac:dyDescent="0.35">
      <c r="A830" s="4">
        <v>1134776000167</v>
      </c>
      <c r="B830" s="7"/>
      <c r="C830" s="4"/>
      <c r="D830" s="1" t="s">
        <v>814</v>
      </c>
      <c r="E830" s="1" t="s">
        <v>329</v>
      </c>
      <c r="F830" s="1" t="s">
        <v>8</v>
      </c>
      <c r="G830" s="10" t="s">
        <v>36</v>
      </c>
      <c r="H830" s="1" t="s">
        <v>17</v>
      </c>
      <c r="I830" s="21" t="s">
        <v>1072</v>
      </c>
      <c r="J830" s="18">
        <v>13232.185600931922</v>
      </c>
      <c r="K830" s="18">
        <f>VLOOKUP(A830,[1]Export!$A:$C,3,0)</f>
        <v>4633.57</v>
      </c>
      <c r="L830" s="19">
        <f t="shared" si="26"/>
        <v>0.35017419946661454</v>
      </c>
      <c r="M830" s="18">
        <f>VLOOKUP(A830,[1]Export!$A:$G,7,0)</f>
        <v>0</v>
      </c>
      <c r="N830" s="19">
        <f t="shared" si="27"/>
        <v>0</v>
      </c>
      <c r="O830" s="17" t="s">
        <v>1025</v>
      </c>
      <c r="P830" s="17" t="s">
        <v>1026</v>
      </c>
      <c r="Q830" s="17" t="s">
        <v>1023</v>
      </c>
      <c r="R830" s="17" t="str">
        <f>VLOOKUP(A830,[2]Export!$A:$I,9,0)</f>
        <v>Comprou Marcas</v>
      </c>
      <c r="S830" s="17" t="s">
        <v>1022</v>
      </c>
      <c r="T830" s="20">
        <v>3</v>
      </c>
      <c r="U830" s="17"/>
    </row>
    <row r="831" spans="1:21" x14ac:dyDescent="0.35">
      <c r="A831" s="5">
        <v>1478274000153</v>
      </c>
      <c r="B831" s="7"/>
      <c r="C831" s="4"/>
      <c r="D831" s="6" t="s">
        <v>738</v>
      </c>
      <c r="E831" s="6" t="s">
        <v>178</v>
      </c>
      <c r="F831" s="6" t="s">
        <v>15</v>
      </c>
      <c r="G831" s="11" t="s">
        <v>16</v>
      </c>
      <c r="H831" s="6" t="s">
        <v>17</v>
      </c>
      <c r="I831" s="21" t="s">
        <v>1075</v>
      </c>
      <c r="J831" s="18">
        <v>2474.3808554077291</v>
      </c>
      <c r="K831" s="18">
        <f>VLOOKUP(A831,[1]Export!$A:$C,3,0)</f>
        <v>1165.3599999999997</v>
      </c>
      <c r="L831" s="19">
        <f t="shared" si="26"/>
        <v>0.47097034292563317</v>
      </c>
      <c r="M831" s="18">
        <f>VLOOKUP(A831,[1]Export!$A:$G,7,0)</f>
        <v>0</v>
      </c>
      <c r="N831" s="19">
        <f t="shared" si="27"/>
        <v>0</v>
      </c>
      <c r="O831" s="17" t="s">
        <v>1025</v>
      </c>
      <c r="P831" s="17" t="s">
        <v>1026</v>
      </c>
      <c r="Q831" s="17" t="s">
        <v>1023</v>
      </c>
      <c r="R831" s="17" t="str">
        <f>VLOOKUP(A831,[2]Export!$A:$I,9,0)</f>
        <v>Não Comprou</v>
      </c>
      <c r="S831" s="17" t="s">
        <v>1022</v>
      </c>
      <c r="T831" s="20"/>
      <c r="U831" s="17"/>
    </row>
    <row r="832" spans="1:21" x14ac:dyDescent="0.35">
      <c r="A832" s="4">
        <v>1617371000180</v>
      </c>
      <c r="B832" s="7"/>
      <c r="C832" s="4"/>
      <c r="D832" s="1" t="s">
        <v>815</v>
      </c>
      <c r="E832" s="1" t="s">
        <v>405</v>
      </c>
      <c r="F832" s="1" t="s">
        <v>48</v>
      </c>
      <c r="G832" s="10" t="s">
        <v>87</v>
      </c>
      <c r="H832" s="1" t="s">
        <v>17</v>
      </c>
      <c r="I832" s="21" t="s">
        <v>1073</v>
      </c>
      <c r="J832" s="18">
        <v>15436.658449557637</v>
      </c>
      <c r="K832" s="18">
        <f>VLOOKUP(A832,[1]Export!$A:$C,3,0)</f>
        <v>17187.54</v>
      </c>
      <c r="L832" s="19">
        <f t="shared" si="26"/>
        <v>1.1134236114741878</v>
      </c>
      <c r="M832" s="18">
        <f>VLOOKUP(A832,[1]Export!$A:$G,7,0)</f>
        <v>15801.260000000006</v>
      </c>
      <c r="N832" s="19">
        <f t="shared" si="27"/>
        <v>1.023619201761429</v>
      </c>
      <c r="O832" s="17" t="s">
        <v>1027</v>
      </c>
      <c r="P832" s="17" t="s">
        <v>1026</v>
      </c>
      <c r="Q832" s="17" t="s">
        <v>1023</v>
      </c>
      <c r="R832" s="17" t="str">
        <f>VLOOKUP(A832,[2]Export!$A:$I,9,0)</f>
        <v>Comprou Marcas e SG</v>
      </c>
      <c r="S832" s="17" t="s">
        <v>1022</v>
      </c>
      <c r="T832" s="20"/>
      <c r="U832" s="17"/>
    </row>
    <row r="833" spans="1:21" x14ac:dyDescent="0.35">
      <c r="A833" s="5">
        <v>3476160000108</v>
      </c>
      <c r="B833" s="7"/>
      <c r="C833" s="4"/>
      <c r="D833" s="6" t="s">
        <v>816</v>
      </c>
      <c r="E833" s="6" t="s">
        <v>275</v>
      </c>
      <c r="F833" s="6" t="s">
        <v>15</v>
      </c>
      <c r="G833" s="11" t="s">
        <v>36</v>
      </c>
      <c r="H833" s="6" t="s">
        <v>17</v>
      </c>
      <c r="I833" s="21" t="s">
        <v>1075</v>
      </c>
      <c r="J833" s="18">
        <v>10159.44366387292</v>
      </c>
      <c r="K833" s="18">
        <f>VLOOKUP(A833,[1]Export!$A:$C,3,0)</f>
        <v>4193.25</v>
      </c>
      <c r="L833" s="19">
        <f t="shared" si="26"/>
        <v>0.41274405752268084</v>
      </c>
      <c r="M833" s="18">
        <f>VLOOKUP(A833,[1]Export!$A:$G,7,0)</f>
        <v>5926.0300000000007</v>
      </c>
      <c r="N833" s="19">
        <f t="shared" si="27"/>
        <v>0.58330260947979073</v>
      </c>
      <c r="O833" s="17" t="s">
        <v>1030</v>
      </c>
      <c r="P833" s="17" t="s">
        <v>1026</v>
      </c>
      <c r="Q833" s="17" t="s">
        <v>1022</v>
      </c>
      <c r="R833" s="17" t="str">
        <f>VLOOKUP(A833,[2]Export!$A:$I,9,0)</f>
        <v>Comprou Marcas e SG</v>
      </c>
      <c r="S833" s="17" t="s">
        <v>1022</v>
      </c>
      <c r="T833" s="20"/>
      <c r="U833" s="17"/>
    </row>
    <row r="834" spans="1:21" x14ac:dyDescent="0.35">
      <c r="A834" s="4">
        <v>3662213000177</v>
      </c>
      <c r="B834" s="7"/>
      <c r="C834" s="4"/>
      <c r="D834" s="1" t="s">
        <v>817</v>
      </c>
      <c r="E834" s="1" t="s">
        <v>379</v>
      </c>
      <c r="F834" s="1" t="s">
        <v>15</v>
      </c>
      <c r="G834" s="10" t="s">
        <v>20</v>
      </c>
      <c r="H834" s="1" t="s">
        <v>17</v>
      </c>
      <c r="I834" s="21" t="s">
        <v>1075</v>
      </c>
      <c r="J834" s="18">
        <v>3661.5066933843341</v>
      </c>
      <c r="K834" s="18">
        <f>VLOOKUP(A834,[1]Export!$A:$C,3,0)</f>
        <v>889.32999999999993</v>
      </c>
      <c r="L834" s="19">
        <f t="shared" si="26"/>
        <v>0.24288635102234141</v>
      </c>
      <c r="M834" s="18">
        <f>VLOOKUP(A834,[1]Export!$A:$G,7,0)</f>
        <v>463.82</v>
      </c>
      <c r="N834" s="19">
        <f t="shared" si="27"/>
        <v>0.12667462846320532</v>
      </c>
      <c r="O834" s="17" t="s">
        <v>1025</v>
      </c>
      <c r="P834" s="17" t="s">
        <v>1026</v>
      </c>
      <c r="Q834" s="17" t="s">
        <v>1023</v>
      </c>
      <c r="R834" s="17" t="str">
        <f>VLOOKUP(A834,[2]Export!$A:$I,9,0)</f>
        <v>Comprou Marcas</v>
      </c>
      <c r="S834" s="17" t="s">
        <v>1023</v>
      </c>
      <c r="T834" s="20"/>
      <c r="U834" s="17"/>
    </row>
    <row r="835" spans="1:21" x14ac:dyDescent="0.35">
      <c r="A835" s="5">
        <v>4837150000105</v>
      </c>
      <c r="B835" s="7"/>
      <c r="C835" s="4"/>
      <c r="D835" s="6" t="s">
        <v>222</v>
      </c>
      <c r="E835" s="6" t="s">
        <v>61</v>
      </c>
      <c r="F835" s="6" t="s">
        <v>8</v>
      </c>
      <c r="G835" s="11" t="s">
        <v>16</v>
      </c>
      <c r="H835" s="6" t="s">
        <v>17</v>
      </c>
      <c r="I835" s="21" t="s">
        <v>1068</v>
      </c>
      <c r="J835" s="18">
        <v>3188.6371086327163</v>
      </c>
      <c r="K835" s="18">
        <f>VLOOKUP(A835,[1]Export!$A:$C,3,0)</f>
        <v>1828.2600000000004</v>
      </c>
      <c r="L835" s="19">
        <f t="shared" si="26"/>
        <v>0.57336722170430865</v>
      </c>
      <c r="M835" s="18">
        <f>VLOOKUP(A835,[1]Export!$A:$G,7,0)</f>
        <v>1025.9099999999999</v>
      </c>
      <c r="N835" s="19">
        <f t="shared" si="27"/>
        <v>0.32173934036661478</v>
      </c>
      <c r="O835" s="17" t="s">
        <v>1029</v>
      </c>
      <c r="P835" s="17" t="s">
        <v>1026</v>
      </c>
      <c r="Q835" s="17" t="s">
        <v>1022</v>
      </c>
      <c r="R835" s="17" t="str">
        <f>VLOOKUP(A835,[2]Export!$A:$I,9,0)</f>
        <v>Comprou Marcas</v>
      </c>
      <c r="S835" s="17" t="s">
        <v>1022</v>
      </c>
      <c r="T835" s="20"/>
      <c r="U835" s="17"/>
    </row>
    <row r="836" spans="1:21" x14ac:dyDescent="0.35">
      <c r="A836" s="4">
        <v>4965294000147</v>
      </c>
      <c r="B836" s="7"/>
      <c r="C836" s="4"/>
      <c r="D836" s="1" t="s">
        <v>207</v>
      </c>
      <c r="E836" s="1" t="s">
        <v>672</v>
      </c>
      <c r="F836" s="1" t="s">
        <v>15</v>
      </c>
      <c r="G836" s="10" t="s">
        <v>36</v>
      </c>
      <c r="H836" s="1" t="s">
        <v>17</v>
      </c>
      <c r="I836" s="21" t="s">
        <v>1075</v>
      </c>
      <c r="J836" s="18">
        <v>4503.3376013740817</v>
      </c>
      <c r="K836" s="18">
        <f>VLOOKUP(A836,[1]Export!$A:$C,3,0)</f>
        <v>2475.2800000000002</v>
      </c>
      <c r="L836" s="19">
        <f t="shared" si="26"/>
        <v>0.54965454938238034</v>
      </c>
      <c r="M836" s="18">
        <f>VLOOKUP(A836,[1]Export!$A:$G,7,0)</f>
        <v>1750.56</v>
      </c>
      <c r="N836" s="19">
        <f t="shared" si="27"/>
        <v>0.38872502018633026</v>
      </c>
      <c r="O836" s="17" t="s">
        <v>1025</v>
      </c>
      <c r="P836" s="17" t="s">
        <v>1026</v>
      </c>
      <c r="Q836" s="17" t="s">
        <v>1022</v>
      </c>
      <c r="R836" s="17" t="str">
        <f>VLOOKUP(A836,[2]Export!$A:$I,9,0)</f>
        <v>Comprou Marcas</v>
      </c>
      <c r="S836" s="17" t="s">
        <v>1022</v>
      </c>
      <c r="T836" s="20"/>
      <c r="U836" s="17"/>
    </row>
    <row r="837" spans="1:21" x14ac:dyDescent="0.35">
      <c r="A837" s="5">
        <v>4972853000731</v>
      </c>
      <c r="B837" s="7" t="s">
        <v>135</v>
      </c>
      <c r="C837" s="4"/>
      <c r="D837" s="6" t="s">
        <v>134</v>
      </c>
      <c r="E837" s="6" t="s">
        <v>35</v>
      </c>
      <c r="F837" s="6" t="s">
        <v>8</v>
      </c>
      <c r="G837" s="11" t="s">
        <v>135</v>
      </c>
      <c r="H837" s="6" t="s">
        <v>17</v>
      </c>
      <c r="I837" s="21" t="s">
        <v>1072</v>
      </c>
      <c r="J837" s="18">
        <v>7011.4789383484122</v>
      </c>
      <c r="K837" s="18">
        <f>VLOOKUP(A837,[1]Export!$A:$C,3,0)</f>
        <v>2756.2500000000005</v>
      </c>
      <c r="L837" s="19">
        <f t="shared" si="26"/>
        <v>0.39310536681855146</v>
      </c>
      <c r="M837" s="18">
        <f>VLOOKUP(A837,[1]Export!$A:$G,7,0)</f>
        <v>4752.0499999999993</v>
      </c>
      <c r="N837" s="19">
        <f t="shared" si="27"/>
        <v>0.67775287379232541</v>
      </c>
      <c r="O837" s="17" t="s">
        <v>1025</v>
      </c>
      <c r="P837" s="17" t="s">
        <v>1026</v>
      </c>
      <c r="Q837" s="17" t="s">
        <v>1022</v>
      </c>
      <c r="R837" s="17" t="str">
        <f>VLOOKUP(A837,[2]Export!$A:$I,9,0)</f>
        <v>Comprou Marcas e SG</v>
      </c>
      <c r="S837" s="17" t="s">
        <v>1022</v>
      </c>
      <c r="T837" s="20"/>
      <c r="U837" s="17"/>
    </row>
    <row r="838" spans="1:21" x14ac:dyDescent="0.35">
      <c r="A838" s="4">
        <v>5340715000107</v>
      </c>
      <c r="B838" s="7"/>
      <c r="C838" s="4"/>
      <c r="D838" s="1" t="s">
        <v>818</v>
      </c>
      <c r="E838" s="1" t="s">
        <v>14</v>
      </c>
      <c r="F838" s="1" t="s">
        <v>15</v>
      </c>
      <c r="G838" s="10" t="s">
        <v>20</v>
      </c>
      <c r="H838" s="1" t="s">
        <v>17</v>
      </c>
      <c r="I838" s="21" t="s">
        <v>1069</v>
      </c>
      <c r="J838" s="18">
        <v>10032.456674580571</v>
      </c>
      <c r="K838" s="18">
        <f>VLOOKUP(A838,[1]Export!$A:$C,3,0)</f>
        <v>709.38999999999987</v>
      </c>
      <c r="L838" s="19">
        <f t="shared" si="26"/>
        <v>7.0709500475331727E-2</v>
      </c>
      <c r="M838" s="18">
        <f>VLOOKUP(A838,[1]Export!$A:$G,7,0)</f>
        <v>2740.7999999999997</v>
      </c>
      <c r="N838" s="19">
        <f t="shared" si="27"/>
        <v>0.27319330537897235</v>
      </c>
      <c r="O838" s="17" t="s">
        <v>1025</v>
      </c>
      <c r="P838" s="17" t="s">
        <v>1026</v>
      </c>
      <c r="Q838" s="17" t="s">
        <v>1023</v>
      </c>
      <c r="R838" s="17" t="str">
        <f>VLOOKUP(A838,[2]Export!$A:$I,9,0)</f>
        <v>Comprou Marcas</v>
      </c>
      <c r="S838" s="17" t="s">
        <v>1023</v>
      </c>
      <c r="T838" s="20"/>
      <c r="U838" s="17"/>
    </row>
    <row r="839" spans="1:21" x14ac:dyDescent="0.35">
      <c r="A839" s="5">
        <v>5639734000139</v>
      </c>
      <c r="B839" s="7"/>
      <c r="C839" s="4"/>
      <c r="D839" s="6" t="s">
        <v>662</v>
      </c>
      <c r="E839" s="6" t="s">
        <v>152</v>
      </c>
      <c r="F839" s="6" t="s">
        <v>8</v>
      </c>
      <c r="G839" s="11" t="s">
        <v>33</v>
      </c>
      <c r="H839" s="6" t="s">
        <v>17</v>
      </c>
      <c r="I839" s="21" t="s">
        <v>1070</v>
      </c>
      <c r="J839" s="18">
        <v>1442.1908323071145</v>
      </c>
      <c r="K839" s="18">
        <f>VLOOKUP(A839,[1]Export!$A:$C,3,0)</f>
        <v>239.01999999999998</v>
      </c>
      <c r="L839" s="19">
        <f t="shared" si="26"/>
        <v>0.1657339615851203</v>
      </c>
      <c r="M839" s="18">
        <f>VLOOKUP(A839,[1]Export!$A:$G,7,0)</f>
        <v>0</v>
      </c>
      <c r="N839" s="19">
        <f t="shared" si="27"/>
        <v>0</v>
      </c>
      <c r="O839" s="17" t="s">
        <v>1029</v>
      </c>
      <c r="P839" s="17" t="s">
        <v>1026</v>
      </c>
      <c r="Q839" s="17" t="s">
        <v>1022</v>
      </c>
      <c r="R839" s="17" t="str">
        <f>VLOOKUP(A839,[2]Export!$A:$I,9,0)</f>
        <v>Não Comprou</v>
      </c>
      <c r="S839" s="17" t="s">
        <v>1022</v>
      </c>
      <c r="T839" s="20">
        <v>1</v>
      </c>
      <c r="U839" s="17"/>
    </row>
    <row r="840" spans="1:21" x14ac:dyDescent="0.35">
      <c r="A840" s="4">
        <v>5867754000167</v>
      </c>
      <c r="B840" s="7" t="s">
        <v>414</v>
      </c>
      <c r="C840" s="4"/>
      <c r="D840" s="1" t="s">
        <v>768</v>
      </c>
      <c r="E840" s="1" t="s">
        <v>94</v>
      </c>
      <c r="F840" s="1" t="s">
        <v>15</v>
      </c>
      <c r="G840" s="10" t="s">
        <v>20</v>
      </c>
      <c r="H840" s="1" t="s">
        <v>17</v>
      </c>
      <c r="I840" s="21" t="s">
        <v>1071</v>
      </c>
      <c r="J840" s="18">
        <v>5355.8905779711022</v>
      </c>
      <c r="K840" s="18">
        <f>VLOOKUP(A840,[1]Export!$A:$C,3,0)</f>
        <v>6730.5199999999986</v>
      </c>
      <c r="L840" s="19">
        <f t="shared" si="26"/>
        <v>1.2566574880530192</v>
      </c>
      <c r="M840" s="18">
        <f>VLOOKUP(A840,[1]Export!$A:$G,7,0)</f>
        <v>5525.43</v>
      </c>
      <c r="N840" s="19">
        <f t="shared" si="27"/>
        <v>1.031654758356382</v>
      </c>
      <c r="O840" s="17" t="s">
        <v>1027</v>
      </c>
      <c r="P840" s="17" t="s">
        <v>1028</v>
      </c>
      <c r="Q840" s="17" t="s">
        <v>1022</v>
      </c>
      <c r="R840" s="17" t="str">
        <f>VLOOKUP(A840,[2]Export!$A:$I,9,0)</f>
        <v>Comprou Marcas</v>
      </c>
      <c r="S840" s="17" t="s">
        <v>1022</v>
      </c>
      <c r="T840" s="20"/>
      <c r="U840" s="17">
        <v>4</v>
      </c>
    </row>
    <row r="841" spans="1:21" x14ac:dyDescent="0.35">
      <c r="A841" s="5">
        <v>422093000142</v>
      </c>
      <c r="B841" s="7"/>
      <c r="C841" s="4"/>
      <c r="D841" s="6" t="s">
        <v>819</v>
      </c>
      <c r="E841" s="6" t="s">
        <v>206</v>
      </c>
      <c r="F841" s="6" t="s">
        <v>48</v>
      </c>
      <c r="G841" s="11" t="s">
        <v>20</v>
      </c>
      <c r="H841" s="6" t="s">
        <v>17</v>
      </c>
      <c r="I841" s="21" t="s">
        <v>1075</v>
      </c>
      <c r="J841" s="18">
        <v>1696.669315753383</v>
      </c>
      <c r="K841" s="18">
        <f>VLOOKUP(A841,[1]Export!$A:$C,3,0)</f>
        <v>2629.97</v>
      </c>
      <c r="L841" s="19">
        <f t="shared" si="26"/>
        <v>1.5500781298872004</v>
      </c>
      <c r="M841" s="18">
        <f>VLOOKUP(A841,[1]Export!$A:$G,7,0)</f>
        <v>2324.41</v>
      </c>
      <c r="N841" s="19">
        <f t="shared" si="27"/>
        <v>1.3699841085225715</v>
      </c>
      <c r="O841" s="17" t="s">
        <v>1025</v>
      </c>
      <c r="P841" s="17" t="s">
        <v>1026</v>
      </c>
      <c r="Q841" s="17" t="s">
        <v>1022</v>
      </c>
      <c r="R841" s="17" t="str">
        <f>VLOOKUP(A841,[2]Export!$A:$I,9,0)</f>
        <v>Comprou Marcas</v>
      </c>
      <c r="S841" s="17" t="s">
        <v>1023</v>
      </c>
      <c r="T841" s="20"/>
      <c r="U841" s="17"/>
    </row>
    <row r="842" spans="1:21" x14ac:dyDescent="0.35">
      <c r="A842" s="4">
        <v>818504000113</v>
      </c>
      <c r="B842" s="7"/>
      <c r="C842" s="4"/>
      <c r="D842" s="1" t="s">
        <v>820</v>
      </c>
      <c r="E842" s="1" t="s">
        <v>330</v>
      </c>
      <c r="F842" s="1" t="s">
        <v>15</v>
      </c>
      <c r="G842" s="10" t="s">
        <v>20</v>
      </c>
      <c r="H842" s="1" t="s">
        <v>17</v>
      </c>
      <c r="I842" s="21" t="s">
        <v>1071</v>
      </c>
      <c r="J842" s="18">
        <v>2269.1453592374387</v>
      </c>
      <c r="K842" s="18">
        <f>VLOOKUP(A842,[1]Export!$A:$C,3,0)</f>
        <v>572.7700000000001</v>
      </c>
      <c r="L842" s="19">
        <f t="shared" si="26"/>
        <v>0.252416619177047</v>
      </c>
      <c r="M842" s="18">
        <f>VLOOKUP(A842,[1]Export!$A:$G,7,0)</f>
        <v>0</v>
      </c>
      <c r="N842" s="19">
        <f t="shared" si="27"/>
        <v>0</v>
      </c>
      <c r="O842" s="17" t="s">
        <v>1025</v>
      </c>
      <c r="P842" s="17" t="s">
        <v>1026</v>
      </c>
      <c r="Q842" s="17" t="s">
        <v>1023</v>
      </c>
      <c r="R842" s="17" t="str">
        <f>VLOOKUP(A842,[2]Export!$A:$I,9,0)</f>
        <v>Não Comprou</v>
      </c>
      <c r="S842" s="17" t="s">
        <v>1022</v>
      </c>
      <c r="T842" s="20"/>
      <c r="U842" s="17"/>
    </row>
    <row r="843" spans="1:21" x14ac:dyDescent="0.35">
      <c r="A843" s="5">
        <v>1323294000155</v>
      </c>
      <c r="B843" s="7"/>
      <c r="C843" s="4"/>
      <c r="D843" s="6" t="s">
        <v>821</v>
      </c>
      <c r="E843" s="6" t="s">
        <v>43</v>
      </c>
      <c r="F843" s="6" t="s">
        <v>8</v>
      </c>
      <c r="G843" s="11" t="s">
        <v>20</v>
      </c>
      <c r="H843" s="6" t="s">
        <v>17</v>
      </c>
      <c r="I843" s="21" t="s">
        <v>1070</v>
      </c>
      <c r="J843" s="18">
        <v>394.77598910324224</v>
      </c>
      <c r="K843" s="18">
        <f>VLOOKUP(A843,[1]Export!$A:$C,3,0)</f>
        <v>0</v>
      </c>
      <c r="L843" s="19">
        <f t="shared" si="26"/>
        <v>0</v>
      </c>
      <c r="M843" s="18">
        <f>VLOOKUP(A843,[1]Export!$A:$G,7,0)</f>
        <v>0</v>
      </c>
      <c r="N843" s="19">
        <f t="shared" si="27"/>
        <v>0</v>
      </c>
      <c r="O843" s="17" t="s">
        <v>1025</v>
      </c>
      <c r="P843" s="17" t="s">
        <v>1026</v>
      </c>
      <c r="Q843" s="17" t="s">
        <v>1023</v>
      </c>
      <c r="R843" s="17" t="str">
        <f>VLOOKUP(A843,[2]Export!$A:$I,9,0)</f>
        <v>Não Comprou</v>
      </c>
      <c r="S843" s="17" t="s">
        <v>1023</v>
      </c>
      <c r="T843" s="20"/>
      <c r="U843" s="17"/>
    </row>
    <row r="844" spans="1:21" x14ac:dyDescent="0.35">
      <c r="A844" s="4">
        <v>2441488000118</v>
      </c>
      <c r="B844" s="7"/>
      <c r="C844" s="4"/>
      <c r="D844" s="1" t="s">
        <v>822</v>
      </c>
      <c r="E844" s="1" t="s">
        <v>327</v>
      </c>
      <c r="F844" s="1" t="s">
        <v>15</v>
      </c>
      <c r="G844" s="10" t="s">
        <v>36</v>
      </c>
      <c r="H844" s="1" t="s">
        <v>17</v>
      </c>
      <c r="I844" s="21" t="s">
        <v>1071</v>
      </c>
      <c r="J844" s="18">
        <v>5349.6718401664639</v>
      </c>
      <c r="K844" s="18">
        <f>VLOOKUP(A844,[1]Export!$A:$C,3,0)</f>
        <v>1130.7</v>
      </c>
      <c r="L844" s="19">
        <f t="shared" si="26"/>
        <v>0.21135875877665358</v>
      </c>
      <c r="M844" s="18">
        <f>VLOOKUP(A844,[1]Export!$A:$G,7,0)</f>
        <v>360.46999999999997</v>
      </c>
      <c r="N844" s="19">
        <f t="shared" si="27"/>
        <v>6.7381703171681531E-2</v>
      </c>
      <c r="O844" s="17" t="s">
        <v>1025</v>
      </c>
      <c r="P844" s="17" t="s">
        <v>1026</v>
      </c>
      <c r="Q844" s="17" t="s">
        <v>1022</v>
      </c>
      <c r="R844" s="17" t="str">
        <f>VLOOKUP(A844,[2]Export!$A:$I,9,0)</f>
        <v>Comprou Marcas</v>
      </c>
      <c r="S844" s="17" t="s">
        <v>1022</v>
      </c>
      <c r="T844" s="20"/>
      <c r="U844" s="17"/>
    </row>
    <row r="845" spans="1:21" x14ac:dyDescent="0.35">
      <c r="A845" s="5">
        <v>31836867000105</v>
      </c>
      <c r="B845" s="7"/>
      <c r="C845" s="4"/>
      <c r="D845" s="6" t="s">
        <v>823</v>
      </c>
      <c r="E845" s="6" t="s">
        <v>52</v>
      </c>
      <c r="F845" s="6" t="s">
        <v>8</v>
      </c>
      <c r="G845" s="11" t="s">
        <v>20</v>
      </c>
      <c r="H845" s="6" t="s">
        <v>17</v>
      </c>
      <c r="I845" s="21" t="s">
        <v>1074</v>
      </c>
      <c r="J845" s="18">
        <v>5273.8415761985307</v>
      </c>
      <c r="K845" s="18">
        <f>VLOOKUP(A845,[1]Export!$A:$C,3,0)</f>
        <v>986.94999999999993</v>
      </c>
      <c r="L845" s="19">
        <f t="shared" ref="L845:L908" si="28">K845/J845</f>
        <v>0.18714062334640877</v>
      </c>
      <c r="M845" s="18">
        <f>VLOOKUP(A845,[1]Export!$A:$G,7,0)</f>
        <v>0</v>
      </c>
      <c r="N845" s="19">
        <f t="shared" ref="N845:N908" si="29">M845/J845</f>
        <v>0</v>
      </c>
      <c r="O845" s="17" t="s">
        <v>1025</v>
      </c>
      <c r="P845" s="17" t="s">
        <v>1026</v>
      </c>
      <c r="Q845" s="17" t="s">
        <v>1023</v>
      </c>
      <c r="R845" s="17" t="str">
        <f>VLOOKUP(A845,[2]Export!$A:$I,9,0)</f>
        <v>Não Comprou</v>
      </c>
      <c r="S845" s="17" t="s">
        <v>1023</v>
      </c>
      <c r="T845" s="20">
        <v>1</v>
      </c>
      <c r="U845" s="17"/>
    </row>
    <row r="846" spans="1:21" x14ac:dyDescent="0.35">
      <c r="A846" s="4">
        <v>14648568000128</v>
      </c>
      <c r="B846" s="7"/>
      <c r="C846" s="4"/>
      <c r="D846" s="1" t="s">
        <v>824</v>
      </c>
      <c r="E846" s="1" t="s">
        <v>232</v>
      </c>
      <c r="F846" s="1" t="s">
        <v>8</v>
      </c>
      <c r="G846" s="10" t="s">
        <v>36</v>
      </c>
      <c r="H846" s="1" t="s">
        <v>17</v>
      </c>
      <c r="I846" s="21" t="s">
        <v>1070</v>
      </c>
      <c r="J846" s="18">
        <v>6005.2707388470753</v>
      </c>
      <c r="K846" s="18">
        <f>VLOOKUP(A846,[1]Export!$A:$C,3,0)</f>
        <v>3802.2499999999995</v>
      </c>
      <c r="L846" s="19">
        <f t="shared" si="28"/>
        <v>0.63315213673946302</v>
      </c>
      <c r="M846" s="18">
        <f>VLOOKUP(A846,[1]Export!$A:$G,7,0)</f>
        <v>0</v>
      </c>
      <c r="N846" s="19">
        <f t="shared" si="29"/>
        <v>0</v>
      </c>
      <c r="O846" s="17" t="s">
        <v>1025</v>
      </c>
      <c r="P846" s="17" t="s">
        <v>1026</v>
      </c>
      <c r="Q846" s="17" t="s">
        <v>1022</v>
      </c>
      <c r="R846" s="17" t="str">
        <f>VLOOKUP(A846,[2]Export!$A:$I,9,0)</f>
        <v>Não Comprou</v>
      </c>
      <c r="S846" s="17" t="s">
        <v>1022</v>
      </c>
      <c r="T846" s="20">
        <v>1</v>
      </c>
      <c r="U846" s="17"/>
    </row>
    <row r="847" spans="1:21" x14ac:dyDescent="0.35">
      <c r="A847" s="5">
        <v>15303440000195</v>
      </c>
      <c r="B847" s="7" t="s">
        <v>994</v>
      </c>
      <c r="C847" s="4"/>
      <c r="D847" s="6" t="s">
        <v>156</v>
      </c>
      <c r="E847" s="6" t="s">
        <v>596</v>
      </c>
      <c r="F847" s="6" t="s">
        <v>48</v>
      </c>
      <c r="G847" s="11" t="s">
        <v>92</v>
      </c>
      <c r="H847" s="6" t="s">
        <v>17</v>
      </c>
      <c r="I847" s="21" t="s">
        <v>1073</v>
      </c>
      <c r="J847" s="18">
        <v>22597.464046858327</v>
      </c>
      <c r="K847" s="18">
        <f>VLOOKUP(A847,[1]Export!$A:$C,3,0)</f>
        <v>7586.39</v>
      </c>
      <c r="L847" s="19">
        <f t="shared" si="28"/>
        <v>0.33571864454652017</v>
      </c>
      <c r="M847" s="18">
        <f>VLOOKUP(A847,[1]Export!$A:$G,7,0)</f>
        <v>4575.4300000000012</v>
      </c>
      <c r="N847" s="19">
        <f t="shared" si="29"/>
        <v>0.20247537469303387</v>
      </c>
      <c r="O847" s="17" t="s">
        <v>1027</v>
      </c>
      <c r="P847" s="17" t="s">
        <v>1028</v>
      </c>
      <c r="Q847" s="17" t="s">
        <v>1023</v>
      </c>
      <c r="R847" s="17" t="str">
        <f>VLOOKUP(A847,[2]Export!$A:$I,9,0)</f>
        <v>Comprou Marcas</v>
      </c>
      <c r="S847" s="17" t="s">
        <v>1022</v>
      </c>
      <c r="T847" s="20"/>
      <c r="U847" s="17"/>
    </row>
    <row r="848" spans="1:21" x14ac:dyDescent="0.35">
      <c r="A848" s="4">
        <v>11190148000233</v>
      </c>
      <c r="B848" s="7"/>
      <c r="C848" s="4"/>
      <c r="D848" s="1" t="s">
        <v>825</v>
      </c>
      <c r="E848" s="1" t="s">
        <v>82</v>
      </c>
      <c r="F848" s="1" t="s">
        <v>8</v>
      </c>
      <c r="G848" s="10" t="s">
        <v>33</v>
      </c>
      <c r="H848" s="1" t="s">
        <v>17</v>
      </c>
      <c r="I848" s="21" t="s">
        <v>1072</v>
      </c>
      <c r="J848" s="18">
        <v>6218.8076179278896</v>
      </c>
      <c r="K848" s="18">
        <f>VLOOKUP(A848,[1]Export!$A:$C,3,0)</f>
        <v>1473.32</v>
      </c>
      <c r="L848" s="19">
        <f t="shared" si="28"/>
        <v>0.23691358384405387</v>
      </c>
      <c r="M848" s="18">
        <f>VLOOKUP(A848,[1]Export!$A:$G,7,0)</f>
        <v>3010.5700000000006</v>
      </c>
      <c r="N848" s="19">
        <f t="shared" si="29"/>
        <v>0.48410727344595433</v>
      </c>
      <c r="O848" s="17" t="s">
        <v>1027</v>
      </c>
      <c r="P848" s="17" t="s">
        <v>1026</v>
      </c>
      <c r="Q848" s="17" t="s">
        <v>1023</v>
      </c>
      <c r="R848" s="17" t="str">
        <f>VLOOKUP(A848,[2]Export!$A:$I,9,0)</f>
        <v>Comprou Marcas</v>
      </c>
      <c r="S848" s="17" t="s">
        <v>1022</v>
      </c>
      <c r="T848" s="20">
        <v>7</v>
      </c>
      <c r="U848" s="17"/>
    </row>
    <row r="849" spans="1:21" x14ac:dyDescent="0.35">
      <c r="A849" s="5">
        <v>11277593000154</v>
      </c>
      <c r="B849" s="7"/>
      <c r="C849" s="4"/>
      <c r="D849" s="6" t="s">
        <v>191</v>
      </c>
      <c r="E849" s="6" t="s">
        <v>110</v>
      </c>
      <c r="F849" s="6" t="s">
        <v>15</v>
      </c>
      <c r="G849" s="11" t="s">
        <v>16</v>
      </c>
      <c r="H849" s="6" t="s">
        <v>17</v>
      </c>
      <c r="I849" s="21" t="s">
        <v>1071</v>
      </c>
      <c r="J849" s="18">
        <v>615.53294652526904</v>
      </c>
      <c r="K849" s="18">
        <f>VLOOKUP(A849,[1]Export!$A:$C,3,0)</f>
        <v>272.59000000000003</v>
      </c>
      <c r="L849" s="19">
        <f t="shared" si="28"/>
        <v>0.44285200579236517</v>
      </c>
      <c r="M849" s="18">
        <f>VLOOKUP(A849,[1]Export!$A:$G,7,0)</f>
        <v>160.88000000000002</v>
      </c>
      <c r="N849" s="19">
        <f t="shared" si="29"/>
        <v>0.26136700059384316</v>
      </c>
      <c r="O849" s="17" t="s">
        <v>1029</v>
      </c>
      <c r="P849" s="17" t="s">
        <v>1026</v>
      </c>
      <c r="Q849" s="17" t="s">
        <v>1023</v>
      </c>
      <c r="R849" s="17" t="str">
        <f>VLOOKUP(A849,[2]Export!$A:$I,9,0)</f>
        <v>Comprou Marcas</v>
      </c>
      <c r="S849" s="17" t="s">
        <v>1022</v>
      </c>
      <c r="T849" s="20"/>
      <c r="U849" s="17"/>
    </row>
    <row r="850" spans="1:21" x14ac:dyDescent="0.35">
      <c r="A850" s="4">
        <v>13079901000162</v>
      </c>
      <c r="B850" s="7"/>
      <c r="C850" s="4"/>
      <c r="D850" s="1" t="s">
        <v>826</v>
      </c>
      <c r="E850" s="1" t="s">
        <v>307</v>
      </c>
      <c r="F850" s="1" t="s">
        <v>8</v>
      </c>
      <c r="G850" s="10" t="s">
        <v>20</v>
      </c>
      <c r="H850" s="1" t="s">
        <v>17</v>
      </c>
      <c r="I850" s="21" t="s">
        <v>1070</v>
      </c>
      <c r="J850" s="18">
        <v>1553.5859219060183</v>
      </c>
      <c r="K850" s="18">
        <f>VLOOKUP(A850,[1]Export!$A:$C,3,0)</f>
        <v>538.82000000000005</v>
      </c>
      <c r="L850" s="19">
        <f t="shared" si="28"/>
        <v>0.34682343113598008</v>
      </c>
      <c r="M850" s="18">
        <f>VLOOKUP(A850,[1]Export!$A:$G,7,0)</f>
        <v>728.6</v>
      </c>
      <c r="N850" s="19">
        <f t="shared" si="29"/>
        <v>0.46897953291576977</v>
      </c>
      <c r="O850" s="17" t="s">
        <v>1027</v>
      </c>
      <c r="P850" s="17" t="s">
        <v>1026</v>
      </c>
      <c r="Q850" s="17" t="s">
        <v>1023</v>
      </c>
      <c r="R850" s="17" t="str">
        <f>VLOOKUP(A850,[2]Export!$A:$I,9,0)</f>
        <v>Comprou Marcas e SG</v>
      </c>
      <c r="S850" s="17" t="s">
        <v>1023</v>
      </c>
      <c r="T850" s="20"/>
      <c r="U850" s="17"/>
    </row>
    <row r="851" spans="1:21" x14ac:dyDescent="0.35">
      <c r="A851" s="5">
        <v>17176661000175</v>
      </c>
      <c r="B851" s="7"/>
      <c r="C851" s="4"/>
      <c r="D851" s="6" t="s">
        <v>773</v>
      </c>
      <c r="E851" s="6" t="s">
        <v>110</v>
      </c>
      <c r="F851" s="6" t="s">
        <v>15</v>
      </c>
      <c r="G851" s="11" t="s">
        <v>36</v>
      </c>
      <c r="H851" s="6" t="s">
        <v>17</v>
      </c>
      <c r="I851" s="21" t="s">
        <v>1071</v>
      </c>
      <c r="J851" s="18">
        <v>11353.771623005439</v>
      </c>
      <c r="K851" s="18">
        <f>VLOOKUP(A851,[1]Export!$A:$C,3,0)</f>
        <v>3480.8500000000004</v>
      </c>
      <c r="L851" s="19">
        <f t="shared" si="28"/>
        <v>0.30658094204986219</v>
      </c>
      <c r="M851" s="18">
        <f>VLOOKUP(A851,[1]Export!$A:$G,7,0)</f>
        <v>7025.1200000000008</v>
      </c>
      <c r="N851" s="19">
        <f t="shared" si="29"/>
        <v>0.61874769312476197</v>
      </c>
      <c r="O851" s="17" t="s">
        <v>1027</v>
      </c>
      <c r="P851" s="17" t="s">
        <v>1028</v>
      </c>
      <c r="Q851" s="17" t="s">
        <v>1022</v>
      </c>
      <c r="R851" s="17" t="str">
        <f>VLOOKUP(A851,[2]Export!$A:$I,9,0)</f>
        <v>Comprou Marcas</v>
      </c>
      <c r="S851" s="17" t="s">
        <v>1022</v>
      </c>
      <c r="T851" s="20"/>
      <c r="U851" s="17"/>
    </row>
    <row r="852" spans="1:21" x14ac:dyDescent="0.35">
      <c r="A852" s="4">
        <v>17581013000102</v>
      </c>
      <c r="B852" s="7"/>
      <c r="C852" s="4"/>
      <c r="D852" s="1" t="s">
        <v>827</v>
      </c>
      <c r="E852" s="1" t="s">
        <v>203</v>
      </c>
      <c r="F852" s="1" t="s">
        <v>8</v>
      </c>
      <c r="G852" s="10" t="s">
        <v>20</v>
      </c>
      <c r="H852" s="1" t="s">
        <v>17</v>
      </c>
      <c r="I852" s="21" t="s">
        <v>1074</v>
      </c>
      <c r="J852" s="18">
        <v>4567.9737146424513</v>
      </c>
      <c r="K852" s="18">
        <f>VLOOKUP(A852,[1]Export!$A:$C,3,0)</f>
        <v>466.6</v>
      </c>
      <c r="L852" s="19">
        <f t="shared" si="28"/>
        <v>0.10214594679131646</v>
      </c>
      <c r="M852" s="18">
        <f>VLOOKUP(A852,[1]Export!$A:$G,7,0)</f>
        <v>0</v>
      </c>
      <c r="N852" s="19">
        <f t="shared" si="29"/>
        <v>0</v>
      </c>
      <c r="O852" s="17" t="s">
        <v>1025</v>
      </c>
      <c r="P852" s="17" t="s">
        <v>1026</v>
      </c>
      <c r="Q852" s="17" t="s">
        <v>1023</v>
      </c>
      <c r="R852" s="17" t="str">
        <f>VLOOKUP(A852,[2]Export!$A:$I,9,0)</f>
        <v>Não Comprou</v>
      </c>
      <c r="S852" s="17" t="s">
        <v>1022</v>
      </c>
      <c r="T852" s="20"/>
      <c r="U852" s="17"/>
    </row>
    <row r="853" spans="1:21" x14ac:dyDescent="0.35">
      <c r="A853" s="5">
        <v>36728431000388</v>
      </c>
      <c r="B853" s="7"/>
      <c r="C853" s="4"/>
      <c r="D853" s="6" t="s">
        <v>828</v>
      </c>
      <c r="E853" s="6" t="s">
        <v>14</v>
      </c>
      <c r="F853" s="6" t="s">
        <v>15</v>
      </c>
      <c r="G853" s="11" t="s">
        <v>9</v>
      </c>
      <c r="H853" s="6" t="s">
        <v>10</v>
      </c>
      <c r="I853" s="21" t="s">
        <v>1069</v>
      </c>
      <c r="J853" s="18">
        <v>8794.2994094504465</v>
      </c>
      <c r="K853" s="18">
        <f>VLOOKUP(A853,[1]Export!$A:$C,3,0)</f>
        <v>3983.0899999999992</v>
      </c>
      <c r="L853" s="19">
        <f t="shared" si="28"/>
        <v>0.45291726089286077</v>
      </c>
      <c r="M853" s="18">
        <f>VLOOKUP(A853,[1]Export!$A:$G,7,0)</f>
        <v>4666.92</v>
      </c>
      <c r="N853" s="19">
        <f t="shared" si="29"/>
        <v>0.53067558684491445</v>
      </c>
      <c r="O853" s="17" t="s">
        <v>1027</v>
      </c>
      <c r="P853" s="17" t="s">
        <v>1028</v>
      </c>
      <c r="Q853" s="17" t="s">
        <v>1023</v>
      </c>
      <c r="R853" s="17" t="str">
        <f>VLOOKUP(A853,[2]Export!$A:$I,9,0)</f>
        <v>Comprou Marcas</v>
      </c>
      <c r="S853" s="17" t="s">
        <v>1022</v>
      </c>
      <c r="T853" s="20"/>
      <c r="U853" s="17"/>
    </row>
    <row r="854" spans="1:21" x14ac:dyDescent="0.35">
      <c r="A854" s="4">
        <v>43011126000174</v>
      </c>
      <c r="B854" s="7"/>
      <c r="C854" s="4"/>
      <c r="D854" s="1" t="s">
        <v>829</v>
      </c>
      <c r="E854" s="1" t="s">
        <v>14</v>
      </c>
      <c r="F854" s="1" t="s">
        <v>15</v>
      </c>
      <c r="G854" s="10" t="s">
        <v>36</v>
      </c>
      <c r="H854" s="1" t="s">
        <v>17</v>
      </c>
      <c r="I854" s="21" t="s">
        <v>1069</v>
      </c>
      <c r="J854" s="18">
        <v>4492.9584413895991</v>
      </c>
      <c r="K854" s="18">
        <f>VLOOKUP(A854,[1]Export!$A:$C,3,0)</f>
        <v>781.96999999999991</v>
      </c>
      <c r="L854" s="19">
        <f t="shared" si="28"/>
        <v>0.17404345270510654</v>
      </c>
      <c r="M854" s="18">
        <f>VLOOKUP(A854,[1]Export!$A:$G,7,0)</f>
        <v>0</v>
      </c>
      <c r="N854" s="19">
        <f t="shared" si="29"/>
        <v>0</v>
      </c>
      <c r="O854" s="17" t="s">
        <v>1029</v>
      </c>
      <c r="P854" s="17" t="s">
        <v>1026</v>
      </c>
      <c r="Q854" s="17" t="s">
        <v>1022</v>
      </c>
      <c r="R854" s="17" t="str">
        <f>VLOOKUP(A854,[2]Export!$A:$I,9,0)</f>
        <v>Não Comprou</v>
      </c>
      <c r="S854" s="17" t="s">
        <v>1023</v>
      </c>
      <c r="T854" s="20"/>
      <c r="U854" s="17"/>
    </row>
    <row r="855" spans="1:21" x14ac:dyDescent="0.35">
      <c r="A855" s="5">
        <v>43054517000257</v>
      </c>
      <c r="B855" s="7"/>
      <c r="C855" s="4"/>
      <c r="D855" s="6" t="s">
        <v>150</v>
      </c>
      <c r="E855" s="6" t="s">
        <v>129</v>
      </c>
      <c r="F855" s="6" t="s">
        <v>15</v>
      </c>
      <c r="G855" s="11" t="s">
        <v>33</v>
      </c>
      <c r="H855" s="6" t="s">
        <v>17</v>
      </c>
      <c r="I855" s="21" t="s">
        <v>1071</v>
      </c>
      <c r="J855" s="18">
        <v>16757.63866903093</v>
      </c>
      <c r="K855" s="18">
        <f>VLOOKUP(A855,[1]Export!$A:$C,3,0)</f>
        <v>5976.5900000000011</v>
      </c>
      <c r="L855" s="19">
        <f t="shared" si="28"/>
        <v>0.35664869723233023</v>
      </c>
      <c r="M855" s="18">
        <f>VLOOKUP(A855,[1]Export!$A:$G,7,0)</f>
        <v>8078.5399999999991</v>
      </c>
      <c r="N855" s="19">
        <f t="shared" si="29"/>
        <v>0.48208104730946377</v>
      </c>
      <c r="O855" s="17" t="s">
        <v>1027</v>
      </c>
      <c r="P855" s="17" t="s">
        <v>1026</v>
      </c>
      <c r="Q855" s="17" t="s">
        <v>1023</v>
      </c>
      <c r="R855" s="17" t="str">
        <f>VLOOKUP(A855,[2]Export!$A:$I,9,0)</f>
        <v>Comprou Marcas</v>
      </c>
      <c r="S855" s="17" t="s">
        <v>1022</v>
      </c>
      <c r="T855" s="20"/>
      <c r="U855" s="17"/>
    </row>
    <row r="856" spans="1:21" x14ac:dyDescent="0.35">
      <c r="A856" s="4">
        <v>48808406000121</v>
      </c>
      <c r="B856" s="7"/>
      <c r="C856" s="4"/>
      <c r="D856" s="1" t="s">
        <v>103</v>
      </c>
      <c r="E856" s="1" t="s">
        <v>690</v>
      </c>
      <c r="F856" s="1" t="s">
        <v>48</v>
      </c>
      <c r="G856" s="10" t="s">
        <v>103</v>
      </c>
      <c r="H856" s="1" t="s">
        <v>17</v>
      </c>
      <c r="I856" s="21" t="s">
        <v>1073</v>
      </c>
      <c r="J856" s="18">
        <v>4127.0457447492618</v>
      </c>
      <c r="K856" s="18">
        <f>VLOOKUP(A856,[1]Export!$A:$C,3,0)</f>
        <v>1553.94</v>
      </c>
      <c r="L856" s="19">
        <f t="shared" si="28"/>
        <v>0.37652599367890205</v>
      </c>
      <c r="M856" s="18">
        <f>VLOOKUP(A856,[1]Export!$A:$G,7,0)</f>
        <v>0</v>
      </c>
      <c r="N856" s="19">
        <f t="shared" si="29"/>
        <v>0</v>
      </c>
      <c r="O856" s="17" t="s">
        <v>1027</v>
      </c>
      <c r="P856" s="17" t="s">
        <v>1026</v>
      </c>
      <c r="Q856" s="17" t="s">
        <v>1023</v>
      </c>
      <c r="R856" s="17" t="str">
        <f>VLOOKUP(A856,[2]Export!$A:$I,9,0)</f>
        <v>Não Comprou</v>
      </c>
      <c r="S856" s="17" t="s">
        <v>1022</v>
      </c>
      <c r="T856" s="20"/>
      <c r="U856" s="17"/>
    </row>
    <row r="857" spans="1:21" x14ac:dyDescent="0.35">
      <c r="A857" s="5">
        <v>49852577000110</v>
      </c>
      <c r="B857" s="7"/>
      <c r="C857" s="4">
        <v>18999</v>
      </c>
      <c r="D857" s="6" t="s">
        <v>830</v>
      </c>
      <c r="E857" s="6" t="s">
        <v>47</v>
      </c>
      <c r="F857" s="6" t="s">
        <v>48</v>
      </c>
      <c r="G857" s="11" t="s">
        <v>20</v>
      </c>
      <c r="H857" s="6" t="s">
        <v>17</v>
      </c>
      <c r="I857" s="21" t="s">
        <v>1073</v>
      </c>
      <c r="J857" s="18">
        <v>45417.754879381813</v>
      </c>
      <c r="K857" s="18">
        <f>VLOOKUP(A857,[1]Export!$A:$C,3,0)</f>
        <v>21706.430000000004</v>
      </c>
      <c r="L857" s="19">
        <f t="shared" si="28"/>
        <v>0.47792829164820777</v>
      </c>
      <c r="M857" s="18">
        <f>VLOOKUP(A857,[1]Export!$A:$G,7,0)</f>
        <v>15653.500000000004</v>
      </c>
      <c r="N857" s="19">
        <f t="shared" si="29"/>
        <v>0.34465596200366533</v>
      </c>
      <c r="O857" s="17" t="s">
        <v>1027</v>
      </c>
      <c r="P857" s="17" t="s">
        <v>1028</v>
      </c>
      <c r="Q857" s="17" t="s">
        <v>1023</v>
      </c>
      <c r="R857" s="17" t="str">
        <f>VLOOKUP(A857,[2]Export!$A:$I,9,0)</f>
        <v>Comprou Marcas e SG</v>
      </c>
      <c r="S857" s="17" t="s">
        <v>1022</v>
      </c>
      <c r="T857" s="20">
        <v>9</v>
      </c>
      <c r="U857" s="17"/>
    </row>
    <row r="858" spans="1:21" x14ac:dyDescent="0.35">
      <c r="A858" s="4">
        <v>50413414000110</v>
      </c>
      <c r="B858" s="7"/>
      <c r="C858" s="4"/>
      <c r="D858" s="1" t="s">
        <v>831</v>
      </c>
      <c r="E858" s="1" t="s">
        <v>14</v>
      </c>
      <c r="F858" s="1" t="s">
        <v>15</v>
      </c>
      <c r="G858" s="10" t="s">
        <v>33</v>
      </c>
      <c r="H858" s="1" t="s">
        <v>17</v>
      </c>
      <c r="I858" s="21" t="s">
        <v>1069</v>
      </c>
      <c r="J858" s="18">
        <v>7311.4038121281728</v>
      </c>
      <c r="K858" s="18">
        <f>VLOOKUP(A858,[1]Export!$A:$C,3,0)</f>
        <v>944.71</v>
      </c>
      <c r="L858" s="19">
        <f t="shared" si="28"/>
        <v>0.12921048054176859</v>
      </c>
      <c r="M858" s="18">
        <f>VLOOKUP(A858,[1]Export!$A:$G,7,0)</f>
        <v>0</v>
      </c>
      <c r="N858" s="19">
        <f t="shared" si="29"/>
        <v>0</v>
      </c>
      <c r="O858" s="17" t="s">
        <v>1025</v>
      </c>
      <c r="P858" s="17" t="s">
        <v>1026</v>
      </c>
      <c r="Q858" s="17" t="s">
        <v>1023</v>
      </c>
      <c r="R858" s="17" t="str">
        <f>VLOOKUP(A858,[2]Export!$A:$I,9,0)</f>
        <v>Não Comprou</v>
      </c>
      <c r="S858" s="17" t="s">
        <v>1022</v>
      </c>
      <c r="T858" s="20"/>
      <c r="U858" s="17"/>
    </row>
    <row r="859" spans="1:21" x14ac:dyDescent="0.35">
      <c r="A859" s="5">
        <v>51996536000140</v>
      </c>
      <c r="B859" s="7"/>
      <c r="C859" s="4"/>
      <c r="D859" s="6" t="s">
        <v>832</v>
      </c>
      <c r="E859" s="6" t="s">
        <v>458</v>
      </c>
      <c r="F859" s="6" t="s">
        <v>48</v>
      </c>
      <c r="G859" s="11" t="s">
        <v>20</v>
      </c>
      <c r="H859" s="6" t="s">
        <v>17</v>
      </c>
      <c r="I859" s="21" t="s">
        <v>1075</v>
      </c>
      <c r="J859" s="18">
        <v>3956.622388395464</v>
      </c>
      <c r="K859" s="18">
        <f>VLOOKUP(A859,[1]Export!$A:$C,3,0)</f>
        <v>1689.8500000000001</v>
      </c>
      <c r="L859" s="19">
        <f t="shared" si="28"/>
        <v>0.42709408028328122</v>
      </c>
      <c r="M859" s="18">
        <f>VLOOKUP(A859,[1]Export!$A:$G,7,0)</f>
        <v>309.18</v>
      </c>
      <c r="N859" s="19">
        <f t="shared" si="29"/>
        <v>7.8142407753341941E-2</v>
      </c>
      <c r="O859" s="17" t="s">
        <v>1025</v>
      </c>
      <c r="P859" s="17" t="s">
        <v>1026</v>
      </c>
      <c r="Q859" s="17" t="s">
        <v>1023</v>
      </c>
      <c r="R859" s="17" t="str">
        <f>VLOOKUP(A859,[2]Export!$A:$I,9,0)</f>
        <v>Comprou Marcas</v>
      </c>
      <c r="S859" s="17" t="s">
        <v>1023</v>
      </c>
      <c r="T859" s="20"/>
      <c r="U859" s="17"/>
    </row>
    <row r="860" spans="1:21" x14ac:dyDescent="0.35">
      <c r="A860" s="4">
        <v>42286411000135</v>
      </c>
      <c r="B860" s="7"/>
      <c r="C860" s="4"/>
      <c r="D860" s="1" t="s">
        <v>833</v>
      </c>
      <c r="E860" s="1" t="s">
        <v>265</v>
      </c>
      <c r="F860" s="1" t="s">
        <v>15</v>
      </c>
      <c r="G860" s="10" t="s">
        <v>74</v>
      </c>
      <c r="H860" s="1" t="s">
        <v>17</v>
      </c>
      <c r="I860" s="21" t="s">
        <v>1071</v>
      </c>
      <c r="J860" s="18">
        <v>4185.3861964869757</v>
      </c>
      <c r="K860" s="18">
        <f>VLOOKUP(A860,[1]Export!$A:$C,3,0)</f>
        <v>485.22</v>
      </c>
      <c r="L860" s="19">
        <f t="shared" si="28"/>
        <v>0.11593195399919649</v>
      </c>
      <c r="M860" s="18">
        <f>VLOOKUP(A860,[1]Export!$A:$G,7,0)</f>
        <v>0</v>
      </c>
      <c r="N860" s="19">
        <f t="shared" si="29"/>
        <v>0</v>
      </c>
      <c r="O860" s="17" t="s">
        <v>1029</v>
      </c>
      <c r="P860" s="17" t="s">
        <v>1026</v>
      </c>
      <c r="Q860" s="17" t="s">
        <v>1022</v>
      </c>
      <c r="R860" s="17" t="str">
        <f>VLOOKUP(A860,[2]Export!$A:$I,9,0)</f>
        <v>Não Comprou</v>
      </c>
      <c r="S860" s="17" t="s">
        <v>1023</v>
      </c>
      <c r="T860" s="20"/>
      <c r="U860" s="17"/>
    </row>
    <row r="861" spans="1:21" x14ac:dyDescent="0.35">
      <c r="A861" s="5">
        <v>42917127000110</v>
      </c>
      <c r="B861" s="7"/>
      <c r="C861" s="4"/>
      <c r="D861" s="6" t="s">
        <v>834</v>
      </c>
      <c r="E861" s="6" t="s">
        <v>50</v>
      </c>
      <c r="F861" s="6" t="s">
        <v>48</v>
      </c>
      <c r="G861" s="11" t="s">
        <v>20</v>
      </c>
      <c r="H861" s="6" t="s">
        <v>17</v>
      </c>
      <c r="I861" s="21" t="s">
        <v>1073</v>
      </c>
      <c r="J861" s="18">
        <v>992.55735333999951</v>
      </c>
      <c r="K861" s="18">
        <f>VLOOKUP(A861,[1]Export!$A:$C,3,0)</f>
        <v>382.09999999999997</v>
      </c>
      <c r="L861" s="19">
        <f t="shared" si="28"/>
        <v>0.38496515965975819</v>
      </c>
      <c r="M861" s="18">
        <f>VLOOKUP(A861,[1]Export!$A:$G,7,0)</f>
        <v>132.08000000000001</v>
      </c>
      <c r="N861" s="19">
        <f t="shared" si="29"/>
        <v>0.13307039593787195</v>
      </c>
      <c r="O861" s="17" t="s">
        <v>1025</v>
      </c>
      <c r="P861" s="17" t="s">
        <v>1026</v>
      </c>
      <c r="Q861" s="17" t="s">
        <v>1023</v>
      </c>
      <c r="R861" s="17" t="str">
        <f>VLOOKUP(A861,[2]Export!$A:$I,9,0)</f>
        <v>Comprou Marcas</v>
      </c>
      <c r="S861" s="17" t="s">
        <v>1023</v>
      </c>
      <c r="T861" s="20"/>
      <c r="U861" s="17"/>
    </row>
    <row r="862" spans="1:21" x14ac:dyDescent="0.35">
      <c r="A862" s="4">
        <v>44053810000181</v>
      </c>
      <c r="B862" s="7"/>
      <c r="C862" s="4"/>
      <c r="D862" s="1" t="s">
        <v>170</v>
      </c>
      <c r="E862" s="1" t="s">
        <v>14</v>
      </c>
      <c r="F862" s="1" t="s">
        <v>15</v>
      </c>
      <c r="G862" s="10" t="s">
        <v>835</v>
      </c>
      <c r="H862" s="1" t="s">
        <v>17</v>
      </c>
      <c r="I862" s="21" t="s">
        <v>1069</v>
      </c>
      <c r="J862" s="18">
        <v>26982.518715370585</v>
      </c>
      <c r="K862" s="18">
        <f>VLOOKUP(A862,[1]Export!$A:$C,3,0)</f>
        <v>8564.51</v>
      </c>
      <c r="L862" s="19">
        <f t="shared" si="28"/>
        <v>0.31740958249094919</v>
      </c>
      <c r="M862" s="18">
        <f>VLOOKUP(A862,[1]Export!$A:$G,7,0)</f>
        <v>10146.929999999998</v>
      </c>
      <c r="N862" s="19">
        <f t="shared" si="29"/>
        <v>0.37605570136118549</v>
      </c>
      <c r="O862" s="17" t="s">
        <v>1025</v>
      </c>
      <c r="P862" s="17" t="s">
        <v>1026</v>
      </c>
      <c r="Q862" s="17" t="s">
        <v>1022</v>
      </c>
      <c r="R862" s="17" t="str">
        <f>VLOOKUP(A862,[2]Export!$A:$I,9,0)</f>
        <v>Comprou Marcas</v>
      </c>
      <c r="S862" s="17" t="s">
        <v>1022</v>
      </c>
      <c r="T862" s="20">
        <v>2</v>
      </c>
      <c r="U862" s="17">
        <v>2</v>
      </c>
    </row>
    <row r="863" spans="1:21" x14ac:dyDescent="0.35">
      <c r="A863" s="5">
        <v>531367000301</v>
      </c>
      <c r="B863" s="7"/>
      <c r="C863" s="4"/>
      <c r="D863" s="6" t="s">
        <v>179</v>
      </c>
      <c r="E863" s="6" t="s">
        <v>180</v>
      </c>
      <c r="F863" s="6" t="s">
        <v>15</v>
      </c>
      <c r="G863" s="11" t="s">
        <v>9</v>
      </c>
      <c r="H863" s="6" t="s">
        <v>10</v>
      </c>
      <c r="I863" s="21" t="s">
        <v>1071</v>
      </c>
      <c r="J863" s="18">
        <v>11526.35409545941</v>
      </c>
      <c r="K863" s="18">
        <f>VLOOKUP(A863,[1]Export!$A:$C,3,0)</f>
        <v>4676.4500000000007</v>
      </c>
      <c r="L863" s="19">
        <f t="shared" si="28"/>
        <v>0.40571805804943994</v>
      </c>
      <c r="M863" s="18">
        <f>VLOOKUP(A863,[1]Export!$A:$G,7,0)</f>
        <v>4912.7900000000018</v>
      </c>
      <c r="N863" s="19">
        <f t="shared" si="29"/>
        <v>0.42622237346805986</v>
      </c>
      <c r="O863" s="17" t="s">
        <v>1027</v>
      </c>
      <c r="P863" s="17" t="s">
        <v>1028</v>
      </c>
      <c r="Q863" s="17" t="s">
        <v>1023</v>
      </c>
      <c r="R863" s="17" t="str">
        <f>VLOOKUP(A863,[2]Export!$A:$I,9,0)</f>
        <v>Comprou Marcas</v>
      </c>
      <c r="S863" s="17" t="s">
        <v>1022</v>
      </c>
      <c r="T863" s="20"/>
      <c r="U863" s="17"/>
    </row>
    <row r="864" spans="1:21" x14ac:dyDescent="0.35">
      <c r="A864" s="4">
        <v>3318604000179</v>
      </c>
      <c r="B864" s="7"/>
      <c r="C864" s="4">
        <v>112829</v>
      </c>
      <c r="D864" s="1" t="s">
        <v>836</v>
      </c>
      <c r="E864" s="1" t="s">
        <v>354</v>
      </c>
      <c r="F864" s="1" t="s">
        <v>48</v>
      </c>
      <c r="G864" s="10" t="s">
        <v>20</v>
      </c>
      <c r="H864" s="1" t="s">
        <v>17</v>
      </c>
      <c r="I864" s="21" t="s">
        <v>1075</v>
      </c>
      <c r="J864" s="18">
        <v>4767.3205552410418</v>
      </c>
      <c r="K864" s="18">
        <f>VLOOKUP(A864,[1]Export!$A:$C,3,0)</f>
        <v>1339.3899999999999</v>
      </c>
      <c r="L864" s="19">
        <f t="shared" si="28"/>
        <v>0.28095236820765424</v>
      </c>
      <c r="M864" s="18">
        <f>VLOOKUP(A864,[1]Export!$A:$G,7,0)</f>
        <v>1036.7600000000002</v>
      </c>
      <c r="N864" s="19">
        <f t="shared" si="29"/>
        <v>0.21747226518263366</v>
      </c>
      <c r="O864" s="17" t="s">
        <v>1025</v>
      </c>
      <c r="P864" s="17" t="s">
        <v>1026</v>
      </c>
      <c r="Q864" s="17" t="s">
        <v>1023</v>
      </c>
      <c r="R864" s="17" t="str">
        <f>VLOOKUP(A864,[2]Export!$A:$I,9,0)</f>
        <v>Comprou Marcas</v>
      </c>
      <c r="S864" s="17" t="s">
        <v>1022</v>
      </c>
      <c r="T864" s="20"/>
      <c r="U864" s="17"/>
    </row>
    <row r="865" spans="1:21" x14ac:dyDescent="0.35">
      <c r="A865" s="5">
        <v>4433837000185</v>
      </c>
      <c r="B865" s="7"/>
      <c r="C865" s="4"/>
      <c r="D865" s="6" t="s">
        <v>837</v>
      </c>
      <c r="E865" s="6" t="s">
        <v>50</v>
      </c>
      <c r="F865" s="6" t="s">
        <v>48</v>
      </c>
      <c r="G865" s="11" t="s">
        <v>276</v>
      </c>
      <c r="H865" s="6" t="s">
        <v>17</v>
      </c>
      <c r="I865" s="21" t="s">
        <v>1073</v>
      </c>
      <c r="J865" s="18">
        <v>1456.1492804160735</v>
      </c>
      <c r="K865" s="18">
        <f>VLOOKUP(A865,[1]Export!$A:$C,3,0)</f>
        <v>120.42000000000002</v>
      </c>
      <c r="L865" s="19">
        <f t="shared" si="28"/>
        <v>8.2697565160071887E-2</v>
      </c>
      <c r="M865" s="18">
        <f>VLOOKUP(A865,[1]Export!$A:$G,7,0)</f>
        <v>0</v>
      </c>
      <c r="N865" s="19">
        <f t="shared" si="29"/>
        <v>0</v>
      </c>
      <c r="O865" s="17" t="s">
        <v>1029</v>
      </c>
      <c r="P865" s="17" t="s">
        <v>1026</v>
      </c>
      <c r="Q865" s="17" t="s">
        <v>1023</v>
      </c>
      <c r="R865" s="17" t="str">
        <f>VLOOKUP(A865,[2]Export!$A:$I,9,0)</f>
        <v>Não Comprou</v>
      </c>
      <c r="S865" s="17" t="s">
        <v>1023</v>
      </c>
      <c r="T865" s="20"/>
      <c r="U865" s="17"/>
    </row>
    <row r="866" spans="1:21" x14ac:dyDescent="0.35">
      <c r="A866" s="4">
        <v>4597961000186</v>
      </c>
      <c r="B866" s="7"/>
      <c r="C866" s="4">
        <v>39947</v>
      </c>
      <c r="D866" s="1" t="s">
        <v>401</v>
      </c>
      <c r="E866" s="1" t="s">
        <v>50</v>
      </c>
      <c r="F866" s="1" t="s">
        <v>48</v>
      </c>
      <c r="G866" s="10" t="s">
        <v>20</v>
      </c>
      <c r="H866" s="1" t="s">
        <v>17</v>
      </c>
      <c r="I866" s="21" t="s">
        <v>1073</v>
      </c>
      <c r="J866" s="18">
        <v>9391.6583531733395</v>
      </c>
      <c r="K866" s="18">
        <f>VLOOKUP(A866,[1]Export!$A:$C,3,0)</f>
        <v>3554.6400000000008</v>
      </c>
      <c r="L866" s="19">
        <f t="shared" si="28"/>
        <v>0.37848906618274997</v>
      </c>
      <c r="M866" s="18">
        <f>VLOOKUP(A866,[1]Export!$A:$G,7,0)</f>
        <v>3762.8300000000004</v>
      </c>
      <c r="N866" s="19">
        <f t="shared" si="29"/>
        <v>0.40065661020650106</v>
      </c>
      <c r="O866" s="17" t="s">
        <v>1025</v>
      </c>
      <c r="P866" s="17" t="s">
        <v>1026</v>
      </c>
      <c r="Q866" s="17" t="s">
        <v>1023</v>
      </c>
      <c r="R866" s="17" t="str">
        <f>VLOOKUP(A866,[2]Export!$A:$I,9,0)</f>
        <v>Comprou Marcas</v>
      </c>
      <c r="S866" s="17" t="s">
        <v>1022</v>
      </c>
      <c r="T866" s="20"/>
      <c r="U866" s="17"/>
    </row>
    <row r="867" spans="1:21" x14ac:dyDescent="0.35">
      <c r="A867" s="5">
        <v>4834843000578</v>
      </c>
      <c r="B867" s="7" t="s">
        <v>994</v>
      </c>
      <c r="C867" s="4"/>
      <c r="D867" s="6" t="s">
        <v>91</v>
      </c>
      <c r="E867" s="6" t="s">
        <v>144</v>
      </c>
      <c r="F867" s="6" t="s">
        <v>48</v>
      </c>
      <c r="G867" s="11" t="s">
        <v>92</v>
      </c>
      <c r="H867" s="6" t="s">
        <v>17</v>
      </c>
      <c r="I867" s="21" t="s">
        <v>1073</v>
      </c>
      <c r="J867" s="18">
        <v>6227.5562485674072</v>
      </c>
      <c r="K867" s="18">
        <f>VLOOKUP(A867,[1]Export!$A:$C,3,0)</f>
        <v>2459.3000000000006</v>
      </c>
      <c r="L867" s="19">
        <f t="shared" si="28"/>
        <v>0.39490610792407377</v>
      </c>
      <c r="M867" s="18">
        <f>VLOOKUP(A867,[1]Export!$A:$G,7,0)</f>
        <v>3017.2000000000007</v>
      </c>
      <c r="N867" s="19">
        <f t="shared" si="29"/>
        <v>0.48449181020148635</v>
      </c>
      <c r="O867" s="17" t="s">
        <v>1027</v>
      </c>
      <c r="P867" s="17" t="s">
        <v>1028</v>
      </c>
      <c r="Q867" s="17" t="s">
        <v>1023</v>
      </c>
      <c r="R867" s="17" t="str">
        <f>VLOOKUP(A867,[2]Export!$A:$I,9,0)</f>
        <v>Comprou Marcas</v>
      </c>
      <c r="S867" s="17" t="s">
        <v>1022</v>
      </c>
      <c r="T867" s="20"/>
      <c r="U867" s="17"/>
    </row>
    <row r="868" spans="1:21" x14ac:dyDescent="0.35">
      <c r="A868" s="4">
        <v>4834843002600</v>
      </c>
      <c r="B868" s="7" t="s">
        <v>994</v>
      </c>
      <c r="C868" s="4"/>
      <c r="D868" s="1" t="s">
        <v>91</v>
      </c>
      <c r="E868" s="1" t="s">
        <v>206</v>
      </c>
      <c r="F868" s="1" t="s">
        <v>48</v>
      </c>
      <c r="G868" s="10" t="s">
        <v>92</v>
      </c>
      <c r="H868" s="1" t="s">
        <v>17</v>
      </c>
      <c r="I868" s="21" t="s">
        <v>1073</v>
      </c>
      <c r="J868" s="18">
        <v>7657.0218330299604</v>
      </c>
      <c r="K868" s="18">
        <f>VLOOKUP(A868,[1]Export!$A:$C,3,0)</f>
        <v>3269.88</v>
      </c>
      <c r="L868" s="19">
        <f t="shared" si="28"/>
        <v>0.42704331674944118</v>
      </c>
      <c r="M868" s="18">
        <f>VLOOKUP(A868,[1]Export!$A:$G,7,0)</f>
        <v>5179.8500000000013</v>
      </c>
      <c r="N868" s="19">
        <f t="shared" si="29"/>
        <v>0.67648363984751536</v>
      </c>
      <c r="O868" s="17" t="s">
        <v>1027</v>
      </c>
      <c r="P868" s="17" t="s">
        <v>1028</v>
      </c>
      <c r="Q868" s="17" t="s">
        <v>1023</v>
      </c>
      <c r="R868" s="17" t="str">
        <f>VLOOKUP(A868,[2]Export!$A:$I,9,0)</f>
        <v>Comprou Marcas</v>
      </c>
      <c r="S868" s="17" t="s">
        <v>1022</v>
      </c>
      <c r="T868" s="20"/>
      <c r="U868" s="17"/>
    </row>
    <row r="869" spans="1:21" x14ac:dyDescent="0.35">
      <c r="A869" s="5">
        <v>7917231000103</v>
      </c>
      <c r="B869" s="7"/>
      <c r="C869" s="4"/>
      <c r="D869" s="6" t="s">
        <v>445</v>
      </c>
      <c r="E869" s="6" t="s">
        <v>343</v>
      </c>
      <c r="F869" s="6" t="s">
        <v>8</v>
      </c>
      <c r="G869" s="11" t="s">
        <v>20</v>
      </c>
      <c r="H869" s="6" t="s">
        <v>17</v>
      </c>
      <c r="I869" s="21" t="s">
        <v>1070</v>
      </c>
      <c r="J869" s="18">
        <v>2622.5774305614582</v>
      </c>
      <c r="K869" s="18">
        <f>VLOOKUP(A869,[1]Export!$A:$C,3,0)</f>
        <v>438.46000000000004</v>
      </c>
      <c r="L869" s="19">
        <f t="shared" si="28"/>
        <v>0.16718667479195523</v>
      </c>
      <c r="M869" s="18">
        <f>VLOOKUP(A869,[1]Export!$A:$G,7,0)</f>
        <v>0</v>
      </c>
      <c r="N869" s="19">
        <f t="shared" si="29"/>
        <v>0</v>
      </c>
      <c r="O869" s="17" t="s">
        <v>1025</v>
      </c>
      <c r="P869" s="17" t="s">
        <v>1026</v>
      </c>
      <c r="Q869" s="17" t="s">
        <v>1023</v>
      </c>
      <c r="R869" s="17" t="str">
        <f>VLOOKUP(A869,[2]Export!$A:$I,9,0)</f>
        <v>Não Comprou</v>
      </c>
      <c r="S869" s="17" t="s">
        <v>1023</v>
      </c>
      <c r="T869" s="20"/>
      <c r="U869" s="17"/>
    </row>
    <row r="870" spans="1:21" x14ac:dyDescent="0.35">
      <c r="A870" s="4">
        <v>8705108000191</v>
      </c>
      <c r="B870" s="7"/>
      <c r="C870" s="4"/>
      <c r="D870" s="1" t="s">
        <v>695</v>
      </c>
      <c r="E870" s="1" t="s">
        <v>760</v>
      </c>
      <c r="F870" s="1" t="s">
        <v>48</v>
      </c>
      <c r="G870" s="10" t="s">
        <v>87</v>
      </c>
      <c r="H870" s="1" t="s">
        <v>17</v>
      </c>
      <c r="I870" s="21" t="s">
        <v>1075</v>
      </c>
      <c r="J870" s="18">
        <v>22736.865578736804</v>
      </c>
      <c r="K870" s="18">
        <f>VLOOKUP(A870,[1]Export!$A:$C,3,0)</f>
        <v>7215.9499999999989</v>
      </c>
      <c r="L870" s="19">
        <f t="shared" si="28"/>
        <v>0.3173678436463227</v>
      </c>
      <c r="M870" s="18">
        <f>VLOOKUP(A870,[1]Export!$A:$G,7,0)</f>
        <v>3151.6499999999996</v>
      </c>
      <c r="N870" s="19">
        <f t="shared" si="29"/>
        <v>0.13861409300617838</v>
      </c>
      <c r="O870" s="17" t="s">
        <v>1027</v>
      </c>
      <c r="P870" s="17" t="s">
        <v>1026</v>
      </c>
      <c r="Q870" s="17" t="s">
        <v>1023</v>
      </c>
      <c r="R870" s="17" t="str">
        <f>VLOOKUP(A870,[2]Export!$A:$I,9,0)</f>
        <v>Comprou Marcas</v>
      </c>
      <c r="S870" s="17" t="s">
        <v>1022</v>
      </c>
      <c r="T870" s="20"/>
      <c r="U870" s="17"/>
    </row>
    <row r="871" spans="1:21" x14ac:dyDescent="0.35">
      <c r="A871" s="5">
        <v>9101173000170</v>
      </c>
      <c r="B871" s="7"/>
      <c r="C871" s="4"/>
      <c r="D871" s="6" t="s">
        <v>179</v>
      </c>
      <c r="E871" s="6" t="s">
        <v>354</v>
      </c>
      <c r="F871" s="6" t="s">
        <v>48</v>
      </c>
      <c r="G871" s="11" t="s">
        <v>80</v>
      </c>
      <c r="H871" s="6" t="s">
        <v>17</v>
      </c>
      <c r="I871" s="21" t="s">
        <v>1075</v>
      </c>
      <c r="J871" s="18">
        <v>933.47152589119605</v>
      </c>
      <c r="K871" s="18">
        <f>VLOOKUP(A871,[1]Export!$A:$C,3,0)</f>
        <v>177.5</v>
      </c>
      <c r="L871" s="19">
        <f t="shared" si="28"/>
        <v>0.19015041710087374</v>
      </c>
      <c r="M871" s="18">
        <f>VLOOKUP(A871,[1]Export!$A:$G,7,0)</f>
        <v>0</v>
      </c>
      <c r="N871" s="19">
        <f t="shared" si="29"/>
        <v>0</v>
      </c>
      <c r="O871" s="17"/>
      <c r="P871" s="17"/>
      <c r="Q871" s="17"/>
      <c r="R871" s="17" t="str">
        <f>VLOOKUP(A871,[2]Export!$A:$I,9,0)</f>
        <v>Não Comprou</v>
      </c>
      <c r="S871" s="17"/>
      <c r="T871" s="20"/>
      <c r="U871" s="17"/>
    </row>
    <row r="872" spans="1:21" x14ac:dyDescent="0.35">
      <c r="A872" s="4">
        <v>1524705000170</v>
      </c>
      <c r="B872" s="7"/>
      <c r="C872" s="4"/>
      <c r="D872" s="1" t="s">
        <v>838</v>
      </c>
      <c r="E872" s="1" t="s">
        <v>801</v>
      </c>
      <c r="F872" s="1" t="s">
        <v>48</v>
      </c>
      <c r="G872" s="10" t="s">
        <v>87</v>
      </c>
      <c r="H872" s="1" t="s">
        <v>17</v>
      </c>
      <c r="I872" s="21" t="s">
        <v>1073</v>
      </c>
      <c r="J872" s="18">
        <v>4558.8517602728562</v>
      </c>
      <c r="K872" s="18">
        <f>VLOOKUP(A872,[1]Export!$A:$C,3,0)</f>
        <v>389.53999999999996</v>
      </c>
      <c r="L872" s="19">
        <f t="shared" si="28"/>
        <v>8.5446954734208172E-2</v>
      </c>
      <c r="M872" s="18">
        <f>VLOOKUP(A872,[1]Export!$A:$G,7,0)</f>
        <v>162.34</v>
      </c>
      <c r="N872" s="19">
        <f t="shared" si="29"/>
        <v>3.5609843999464381E-2</v>
      </c>
      <c r="O872" s="17" t="s">
        <v>1030</v>
      </c>
      <c r="P872" s="17" t="s">
        <v>1026</v>
      </c>
      <c r="Q872" s="17" t="s">
        <v>1023</v>
      </c>
      <c r="R872" s="17" t="str">
        <f>VLOOKUP(A872,[2]Export!$A:$I,9,0)</f>
        <v>Comprou Marcas</v>
      </c>
      <c r="S872" s="17" t="s">
        <v>1022</v>
      </c>
      <c r="T872" s="20">
        <v>1</v>
      </c>
      <c r="U872" s="17"/>
    </row>
    <row r="873" spans="1:21" x14ac:dyDescent="0.35">
      <c r="A873" s="5">
        <v>2553791000102</v>
      </c>
      <c r="B873" s="7"/>
      <c r="C873" s="4"/>
      <c r="D873" s="6" t="s">
        <v>839</v>
      </c>
      <c r="E873" s="6" t="s">
        <v>22</v>
      </c>
      <c r="F873" s="6" t="s">
        <v>8</v>
      </c>
      <c r="G873" s="11" t="s">
        <v>20</v>
      </c>
      <c r="H873" s="6" t="s">
        <v>17</v>
      </c>
      <c r="I873" s="21" t="s">
        <v>1070</v>
      </c>
      <c r="J873" s="18">
        <v>3241.2793998351731</v>
      </c>
      <c r="K873" s="18">
        <f>VLOOKUP(A873,[1]Export!$A:$C,3,0)</f>
        <v>1025.2900000000002</v>
      </c>
      <c r="L873" s="19">
        <f t="shared" si="28"/>
        <v>0.31632262249657916</v>
      </c>
      <c r="M873" s="18">
        <f>VLOOKUP(A873,[1]Export!$A:$G,7,0)</f>
        <v>0</v>
      </c>
      <c r="N873" s="19">
        <f t="shared" si="29"/>
        <v>0</v>
      </c>
      <c r="O873" s="17" t="s">
        <v>1025</v>
      </c>
      <c r="P873" s="17" t="s">
        <v>1026</v>
      </c>
      <c r="Q873" s="17" t="s">
        <v>1023</v>
      </c>
      <c r="R873" s="17" t="str">
        <f>VLOOKUP(A873,[2]Export!$A:$I,9,0)</f>
        <v>Não Comprou</v>
      </c>
      <c r="S873" s="17" t="s">
        <v>1022</v>
      </c>
      <c r="T873" s="20"/>
      <c r="U873" s="17"/>
    </row>
    <row r="874" spans="1:21" x14ac:dyDescent="0.35">
      <c r="A874" s="4">
        <v>4834843000810</v>
      </c>
      <c r="B874" s="7" t="s">
        <v>994</v>
      </c>
      <c r="C874" s="4"/>
      <c r="D874" s="1" t="s">
        <v>91</v>
      </c>
      <c r="E874" s="1" t="s">
        <v>520</v>
      </c>
      <c r="F874" s="1" t="s">
        <v>48</v>
      </c>
      <c r="G874" s="10" t="s">
        <v>92</v>
      </c>
      <c r="H874" s="1" t="s">
        <v>17</v>
      </c>
      <c r="I874" s="21" t="s">
        <v>1073</v>
      </c>
      <c r="J874" s="18">
        <v>4688.807181125956</v>
      </c>
      <c r="K874" s="18">
        <f>VLOOKUP(A874,[1]Export!$A:$C,3,0)</f>
        <v>1588.18</v>
      </c>
      <c r="L874" s="19">
        <f t="shared" si="28"/>
        <v>0.33871727683598613</v>
      </c>
      <c r="M874" s="18">
        <f>VLOOKUP(A874,[1]Export!$A:$G,7,0)</f>
        <v>2046.3600000000001</v>
      </c>
      <c r="N874" s="19">
        <f t="shared" si="29"/>
        <v>0.43643509339375169</v>
      </c>
      <c r="O874" s="17" t="s">
        <v>1027</v>
      </c>
      <c r="P874" s="17" t="s">
        <v>1028</v>
      </c>
      <c r="Q874" s="17" t="s">
        <v>1023</v>
      </c>
      <c r="R874" s="17" t="str">
        <f>VLOOKUP(A874,[2]Export!$A:$I,9,0)</f>
        <v>Comprou Marcas</v>
      </c>
      <c r="S874" s="17" t="s">
        <v>1022</v>
      </c>
      <c r="T874" s="20"/>
      <c r="U874" s="17"/>
    </row>
    <row r="875" spans="1:21" x14ac:dyDescent="0.35">
      <c r="A875" s="5">
        <v>4834843001973</v>
      </c>
      <c r="B875" s="7" t="s">
        <v>994</v>
      </c>
      <c r="C875" s="4"/>
      <c r="D875" s="6" t="s">
        <v>91</v>
      </c>
      <c r="E875" s="6" t="s">
        <v>840</v>
      </c>
      <c r="F875" s="6" t="s">
        <v>48</v>
      </c>
      <c r="G875" s="11" t="s">
        <v>92</v>
      </c>
      <c r="H875" s="6" t="s">
        <v>17</v>
      </c>
      <c r="I875" s="21" t="s">
        <v>1073</v>
      </c>
      <c r="J875" s="18">
        <v>12375.623459339802</v>
      </c>
      <c r="K875" s="18">
        <f>VLOOKUP(A875,[1]Export!$A:$C,3,0)</f>
        <v>2379.8599999999997</v>
      </c>
      <c r="L875" s="19">
        <f t="shared" si="28"/>
        <v>0.19230223089923884</v>
      </c>
      <c r="M875" s="18">
        <f>VLOOKUP(A875,[1]Export!$A:$G,7,0)</f>
        <v>3828.99</v>
      </c>
      <c r="N875" s="19">
        <f t="shared" si="29"/>
        <v>0.30939774570389711</v>
      </c>
      <c r="O875" s="17" t="s">
        <v>1027</v>
      </c>
      <c r="P875" s="17" t="s">
        <v>1028</v>
      </c>
      <c r="Q875" s="17" t="s">
        <v>1023</v>
      </c>
      <c r="R875" s="17" t="str">
        <f>VLOOKUP(A875,[2]Export!$A:$I,9,0)</f>
        <v>Comprou Marcas</v>
      </c>
      <c r="S875" s="17" t="s">
        <v>1022</v>
      </c>
      <c r="T875" s="20">
        <v>4</v>
      </c>
      <c r="U875" s="17"/>
    </row>
    <row r="876" spans="1:21" x14ac:dyDescent="0.35">
      <c r="A876" s="4">
        <v>4877066000115</v>
      </c>
      <c r="B876" s="7"/>
      <c r="C876" s="4"/>
      <c r="D876" s="1" t="s">
        <v>841</v>
      </c>
      <c r="E876" s="1" t="s">
        <v>544</v>
      </c>
      <c r="F876" s="1" t="s">
        <v>15</v>
      </c>
      <c r="G876" s="10" t="s">
        <v>20</v>
      </c>
      <c r="H876" s="1" t="s">
        <v>17</v>
      </c>
      <c r="I876" s="21" t="s">
        <v>1075</v>
      </c>
      <c r="J876" s="18">
        <v>9792.9945086188527</v>
      </c>
      <c r="K876" s="18">
        <f>VLOOKUP(A876,[1]Export!$A:$C,3,0)</f>
        <v>2569.23</v>
      </c>
      <c r="L876" s="19">
        <f t="shared" si="28"/>
        <v>0.26235386916012365</v>
      </c>
      <c r="M876" s="18">
        <f>VLOOKUP(A876,[1]Export!$A:$G,7,0)</f>
        <v>0</v>
      </c>
      <c r="N876" s="19">
        <f t="shared" si="29"/>
        <v>0</v>
      </c>
      <c r="O876" s="17" t="s">
        <v>1029</v>
      </c>
      <c r="P876" s="17" t="s">
        <v>1026</v>
      </c>
      <c r="Q876" s="17" t="s">
        <v>1023</v>
      </c>
      <c r="R876" s="17" t="str">
        <f>VLOOKUP(A876,[2]Export!$A:$I,9,0)</f>
        <v>Não Comprou</v>
      </c>
      <c r="S876" s="17" t="s">
        <v>1022</v>
      </c>
      <c r="T876" s="20"/>
      <c r="U876" s="17"/>
    </row>
    <row r="877" spans="1:21" x14ac:dyDescent="0.35">
      <c r="A877" s="5">
        <v>4986853000103</v>
      </c>
      <c r="B877" s="7"/>
      <c r="C877" s="4"/>
      <c r="D877" s="6" t="s">
        <v>842</v>
      </c>
      <c r="E877" s="6" t="s">
        <v>43</v>
      </c>
      <c r="F877" s="6" t="s">
        <v>8</v>
      </c>
      <c r="G877" s="11" t="s">
        <v>20</v>
      </c>
      <c r="H877" s="6" t="s">
        <v>17</v>
      </c>
      <c r="I877" s="21" t="s">
        <v>1070</v>
      </c>
      <c r="J877" s="18">
        <v>8738.319287471435</v>
      </c>
      <c r="K877" s="18">
        <f>VLOOKUP(A877,[1]Export!$A:$C,3,0)</f>
        <v>3270.2400000000007</v>
      </c>
      <c r="L877" s="19">
        <f t="shared" si="28"/>
        <v>0.37424130343791706</v>
      </c>
      <c r="M877" s="18">
        <f>VLOOKUP(A877,[1]Export!$A:$G,7,0)</f>
        <v>0</v>
      </c>
      <c r="N877" s="19">
        <f t="shared" si="29"/>
        <v>0</v>
      </c>
      <c r="O877" s="17" t="s">
        <v>1025</v>
      </c>
      <c r="P877" s="17" t="s">
        <v>1026</v>
      </c>
      <c r="Q877" s="17" t="s">
        <v>1023</v>
      </c>
      <c r="R877" s="17" t="str">
        <f>VLOOKUP(A877,[2]Export!$A:$I,9,0)</f>
        <v>Não Comprou</v>
      </c>
      <c r="S877" s="17" t="s">
        <v>1022</v>
      </c>
      <c r="T877" s="20"/>
      <c r="U877" s="17"/>
    </row>
    <row r="878" spans="1:21" x14ac:dyDescent="0.35">
      <c r="A878" s="4">
        <v>5255309000146</v>
      </c>
      <c r="B878" s="7"/>
      <c r="C878" s="4"/>
      <c r="D878" s="1" t="s">
        <v>843</v>
      </c>
      <c r="E878" s="1" t="s">
        <v>542</v>
      </c>
      <c r="F878" s="1" t="s">
        <v>15</v>
      </c>
      <c r="G878" s="10" t="s">
        <v>16</v>
      </c>
      <c r="H878" s="1" t="s">
        <v>17</v>
      </c>
      <c r="I878" s="21" t="s">
        <v>1075</v>
      </c>
      <c r="J878" s="18">
        <v>5858.7616927179815</v>
      </c>
      <c r="K878" s="18">
        <f>VLOOKUP(A878,[1]Export!$A:$C,3,0)</f>
        <v>1428.6000000000001</v>
      </c>
      <c r="L878" s="19">
        <f t="shared" si="28"/>
        <v>0.24383992299527169</v>
      </c>
      <c r="M878" s="18">
        <f>VLOOKUP(A878,[1]Export!$A:$G,7,0)</f>
        <v>931.90000000000009</v>
      </c>
      <c r="N878" s="19">
        <f t="shared" si="29"/>
        <v>0.1590609157491906</v>
      </c>
      <c r="O878" s="17" t="s">
        <v>1027</v>
      </c>
      <c r="P878" s="17" t="s">
        <v>1028</v>
      </c>
      <c r="Q878" s="17" t="s">
        <v>1023</v>
      </c>
      <c r="R878" s="17" t="str">
        <f>VLOOKUP(A878,[2]Export!$A:$I,9,0)</f>
        <v>Comprou Marcas</v>
      </c>
      <c r="S878" s="17" t="s">
        <v>1022</v>
      </c>
      <c r="T878" s="20"/>
      <c r="U878" s="17"/>
    </row>
    <row r="879" spans="1:21" x14ac:dyDescent="0.35">
      <c r="A879" s="5">
        <v>5398931000103</v>
      </c>
      <c r="B879" s="7" t="s">
        <v>1003</v>
      </c>
      <c r="C879" s="4"/>
      <c r="D879" s="6" t="s">
        <v>844</v>
      </c>
      <c r="E879" s="6" t="s">
        <v>146</v>
      </c>
      <c r="F879" s="6" t="s">
        <v>8</v>
      </c>
      <c r="G879" s="11" t="s">
        <v>36</v>
      </c>
      <c r="H879" s="6" t="s">
        <v>17</v>
      </c>
      <c r="I879" s="21" t="s">
        <v>1074</v>
      </c>
      <c r="J879" s="18">
        <v>3392.3064165975802</v>
      </c>
      <c r="K879" s="18">
        <f>VLOOKUP(A879,[1]Export!$A:$C,3,0)</f>
        <v>1217.79</v>
      </c>
      <c r="L879" s="19">
        <f t="shared" si="28"/>
        <v>0.3589858492858144</v>
      </c>
      <c r="M879" s="18">
        <f>VLOOKUP(A879,[1]Export!$A:$G,7,0)</f>
        <v>137.85</v>
      </c>
      <c r="N879" s="19">
        <f t="shared" si="29"/>
        <v>4.0636069703355676E-2</v>
      </c>
      <c r="O879" s="17" t="s">
        <v>1025</v>
      </c>
      <c r="P879" s="17" t="s">
        <v>1026</v>
      </c>
      <c r="Q879" s="17" t="s">
        <v>1023</v>
      </c>
      <c r="R879" s="17" t="str">
        <f>VLOOKUP(A879,[2]Export!$A:$I,9,0)</f>
        <v>Comprou Marcas</v>
      </c>
      <c r="S879" s="17" t="s">
        <v>1022</v>
      </c>
      <c r="T879" s="20"/>
      <c r="U879" s="17"/>
    </row>
    <row r="880" spans="1:21" x14ac:dyDescent="0.35">
      <c r="A880" s="4">
        <v>1878521000109</v>
      </c>
      <c r="B880" s="7"/>
      <c r="C880" s="4"/>
      <c r="D880" s="1" t="s">
        <v>845</v>
      </c>
      <c r="E880" s="1" t="s">
        <v>577</v>
      </c>
      <c r="F880" s="1" t="s">
        <v>15</v>
      </c>
      <c r="G880" s="10" t="s">
        <v>20</v>
      </c>
      <c r="H880" s="1" t="s">
        <v>17</v>
      </c>
      <c r="I880" s="21" t="s">
        <v>1069</v>
      </c>
      <c r="J880" s="18">
        <v>4939.6646706100146</v>
      </c>
      <c r="K880" s="18">
        <f>VLOOKUP(A880,[1]Export!$A:$C,3,0)</f>
        <v>1000.5500000000001</v>
      </c>
      <c r="L880" s="19">
        <f t="shared" si="28"/>
        <v>0.2025542353012475</v>
      </c>
      <c r="M880" s="18">
        <f>VLOOKUP(A880,[1]Export!$A:$G,7,0)</f>
        <v>671.55</v>
      </c>
      <c r="N880" s="19">
        <f t="shared" si="29"/>
        <v>0.13595052392839213</v>
      </c>
      <c r="O880" s="17" t="s">
        <v>1025</v>
      </c>
      <c r="P880" s="17" t="s">
        <v>1026</v>
      </c>
      <c r="Q880" s="17" t="s">
        <v>1022</v>
      </c>
      <c r="R880" s="17" t="str">
        <f>VLOOKUP(A880,[2]Export!$A:$I,9,0)</f>
        <v>Comprou Marcas</v>
      </c>
      <c r="S880" s="17" t="s">
        <v>1023</v>
      </c>
      <c r="T880" s="20"/>
      <c r="U880" s="17"/>
    </row>
    <row r="881" spans="1:21" x14ac:dyDescent="0.35">
      <c r="A881" s="5">
        <v>2956282000120</v>
      </c>
      <c r="B881" s="7"/>
      <c r="C881" s="4"/>
      <c r="D881" s="6" t="s">
        <v>404</v>
      </c>
      <c r="E881" s="6" t="s">
        <v>252</v>
      </c>
      <c r="F881" s="6" t="s">
        <v>15</v>
      </c>
      <c r="G881" s="11" t="s">
        <v>9</v>
      </c>
      <c r="H881" s="6" t="s">
        <v>10</v>
      </c>
      <c r="I881" s="21" t="s">
        <v>1071</v>
      </c>
      <c r="J881" s="18">
        <v>7943.2012681970482</v>
      </c>
      <c r="K881" s="18">
        <f>VLOOKUP(A881,[1]Export!$A:$C,3,0)</f>
        <v>3691.7500000000014</v>
      </c>
      <c r="L881" s="19">
        <f t="shared" si="28"/>
        <v>0.46476853290637526</v>
      </c>
      <c r="M881" s="18">
        <f>VLOOKUP(A881,[1]Export!$A:$G,7,0)</f>
        <v>1400.48</v>
      </c>
      <c r="N881" s="19">
        <f t="shared" si="29"/>
        <v>0.17631178572891451</v>
      </c>
      <c r="O881" s="17" t="s">
        <v>1027</v>
      </c>
      <c r="P881" s="17" t="s">
        <v>1028</v>
      </c>
      <c r="Q881" s="17" t="s">
        <v>1023</v>
      </c>
      <c r="R881" s="17" t="str">
        <f>VLOOKUP(A881,[2]Export!$A:$I,9,0)</f>
        <v>Comprou Marcas</v>
      </c>
      <c r="S881" s="17" t="s">
        <v>1022</v>
      </c>
      <c r="T881" s="20">
        <v>1</v>
      </c>
      <c r="U881" s="17">
        <v>2</v>
      </c>
    </row>
    <row r="882" spans="1:21" x14ac:dyDescent="0.35">
      <c r="A882" s="4">
        <v>22457961000162</v>
      </c>
      <c r="B882" s="7"/>
      <c r="C882" s="4"/>
      <c r="D882" s="1" t="s">
        <v>846</v>
      </c>
      <c r="E882" s="1" t="s">
        <v>43</v>
      </c>
      <c r="F882" s="1" t="s">
        <v>8</v>
      </c>
      <c r="G882" s="10" t="s">
        <v>20</v>
      </c>
      <c r="H882" s="1" t="s">
        <v>17</v>
      </c>
      <c r="I882" s="21" t="s">
        <v>1070</v>
      </c>
      <c r="J882" s="18">
        <v>1501.1231637458541</v>
      </c>
      <c r="K882" s="18">
        <f>VLOOKUP(A882,[1]Export!$A:$C,3,0)</f>
        <v>240.89</v>
      </c>
      <c r="L882" s="19">
        <f t="shared" si="28"/>
        <v>0.16047317489851459</v>
      </c>
      <c r="M882" s="18">
        <f>VLOOKUP(A882,[1]Export!$A:$G,7,0)</f>
        <v>0</v>
      </c>
      <c r="N882" s="19">
        <f t="shared" si="29"/>
        <v>0</v>
      </c>
      <c r="O882" s="17" t="s">
        <v>1025</v>
      </c>
      <c r="P882" s="17" t="s">
        <v>1026</v>
      </c>
      <c r="Q882" s="17" t="s">
        <v>1023</v>
      </c>
      <c r="R882" s="17" t="str">
        <f>VLOOKUP(A882,[2]Export!$A:$I,9,0)</f>
        <v>Não Comprou</v>
      </c>
      <c r="S882" s="17" t="s">
        <v>1023</v>
      </c>
      <c r="T882" s="20"/>
      <c r="U882" s="17"/>
    </row>
    <row r="883" spans="1:21" x14ac:dyDescent="0.35">
      <c r="A883" s="5">
        <v>29668395000187</v>
      </c>
      <c r="B883" s="7"/>
      <c r="C883" s="4"/>
      <c r="D883" s="6" t="s">
        <v>506</v>
      </c>
      <c r="E883" s="6" t="s">
        <v>52</v>
      </c>
      <c r="F883" s="6" t="s">
        <v>8</v>
      </c>
      <c r="G883" s="11" t="s">
        <v>16</v>
      </c>
      <c r="H883" s="6" t="s">
        <v>17</v>
      </c>
      <c r="I883" s="21" t="s">
        <v>1074</v>
      </c>
      <c r="J883" s="18">
        <v>2779.8967621700162</v>
      </c>
      <c r="K883" s="18">
        <f>VLOOKUP(A883,[1]Export!$A:$C,3,0)</f>
        <v>0</v>
      </c>
      <c r="L883" s="19">
        <f t="shared" si="28"/>
        <v>0</v>
      </c>
      <c r="M883" s="18">
        <f>VLOOKUP(A883,[1]Export!$A:$G,7,0)</f>
        <v>0</v>
      </c>
      <c r="N883" s="19">
        <f t="shared" si="29"/>
        <v>0</v>
      </c>
      <c r="O883" s="17" t="s">
        <v>1027</v>
      </c>
      <c r="P883" s="17" t="s">
        <v>1028</v>
      </c>
      <c r="Q883" s="17" t="s">
        <v>1023</v>
      </c>
      <c r="R883" s="17" t="str">
        <f>VLOOKUP(A883,[2]Export!$A:$I,9,0)</f>
        <v>Não Comprou</v>
      </c>
      <c r="S883" s="17" t="s">
        <v>1022</v>
      </c>
      <c r="T883" s="20"/>
      <c r="U883" s="17"/>
    </row>
    <row r="884" spans="1:21" x14ac:dyDescent="0.35">
      <c r="A884" s="4">
        <v>13280617000150</v>
      </c>
      <c r="B884" s="7"/>
      <c r="C884" s="4"/>
      <c r="D884" s="1" t="s">
        <v>365</v>
      </c>
      <c r="E884" s="1" t="s">
        <v>110</v>
      </c>
      <c r="F884" s="1" t="s">
        <v>15</v>
      </c>
      <c r="G884" s="10" t="s">
        <v>20</v>
      </c>
      <c r="H884" s="1" t="s">
        <v>17</v>
      </c>
      <c r="I884" s="21" t="s">
        <v>1071</v>
      </c>
      <c r="J884" s="18">
        <v>8266.3324511316441</v>
      </c>
      <c r="K884" s="18">
        <f>VLOOKUP(A884,[1]Export!$A:$C,3,0)</f>
        <v>2900.2000000000003</v>
      </c>
      <c r="L884" s="19">
        <f t="shared" si="28"/>
        <v>0.35084482957166435</v>
      </c>
      <c r="M884" s="18">
        <f>VLOOKUP(A884,[1]Export!$A:$G,7,0)</f>
        <v>2181.79</v>
      </c>
      <c r="N884" s="19">
        <f t="shared" si="29"/>
        <v>0.26393688046036878</v>
      </c>
      <c r="O884" s="17"/>
      <c r="P884" s="17"/>
      <c r="Q884" s="17"/>
      <c r="R884" s="17" t="str">
        <f>VLOOKUP(A884,[2]Export!$A:$I,9,0)</f>
        <v>Comprou Marcas</v>
      </c>
      <c r="S884" s="17"/>
      <c r="T884" s="20"/>
      <c r="U884" s="17"/>
    </row>
    <row r="885" spans="1:21" x14ac:dyDescent="0.35">
      <c r="A885" s="5">
        <v>15463847000180</v>
      </c>
      <c r="B885" s="7"/>
      <c r="C885" s="4"/>
      <c r="D885" s="6" t="s">
        <v>847</v>
      </c>
      <c r="E885" s="6" t="s">
        <v>68</v>
      </c>
      <c r="F885" s="6" t="s">
        <v>15</v>
      </c>
      <c r="G885" s="11" t="s">
        <v>36</v>
      </c>
      <c r="H885" s="6" t="s">
        <v>17</v>
      </c>
      <c r="I885" s="21" t="s">
        <v>1071</v>
      </c>
      <c r="J885" s="18">
        <v>9124.6937424769403</v>
      </c>
      <c r="K885" s="18">
        <f>VLOOKUP(A885,[1]Export!$A:$C,3,0)</f>
        <v>2351.11</v>
      </c>
      <c r="L885" s="19">
        <f t="shared" si="28"/>
        <v>0.25766453826885161</v>
      </c>
      <c r="M885" s="18">
        <f>VLOOKUP(A885,[1]Export!$A:$G,7,0)</f>
        <v>1231.44</v>
      </c>
      <c r="N885" s="19">
        <f t="shared" si="29"/>
        <v>0.13495685825239762</v>
      </c>
      <c r="O885" s="17" t="s">
        <v>1025</v>
      </c>
      <c r="P885" s="17" t="s">
        <v>1026</v>
      </c>
      <c r="Q885" s="17" t="s">
        <v>1022</v>
      </c>
      <c r="R885" s="17" t="str">
        <f>VLOOKUP(A885,[2]Export!$A:$I,9,0)</f>
        <v>Comprou Marcas</v>
      </c>
      <c r="S885" s="17" t="s">
        <v>1022</v>
      </c>
      <c r="T885" s="20"/>
      <c r="U885" s="17"/>
    </row>
    <row r="886" spans="1:21" x14ac:dyDescent="0.35">
      <c r="A886" s="4">
        <v>16926052000123</v>
      </c>
      <c r="B886" s="7"/>
      <c r="C886" s="4"/>
      <c r="D886" s="1" t="s">
        <v>848</v>
      </c>
      <c r="E886" s="1" t="s">
        <v>208</v>
      </c>
      <c r="F886" s="1" t="s">
        <v>15</v>
      </c>
      <c r="G886" s="10" t="s">
        <v>36</v>
      </c>
      <c r="H886" s="1" t="s">
        <v>17</v>
      </c>
      <c r="I886" s="21" t="s">
        <v>1069</v>
      </c>
      <c r="J886" s="18">
        <v>20021.720314359569</v>
      </c>
      <c r="K886" s="18">
        <f>VLOOKUP(A886,[1]Export!$A:$C,3,0)</f>
        <v>1892.5800000000002</v>
      </c>
      <c r="L886" s="19">
        <f t="shared" si="28"/>
        <v>9.4526342905841249E-2</v>
      </c>
      <c r="M886" s="18">
        <f>VLOOKUP(A886,[1]Export!$A:$G,7,0)</f>
        <v>0</v>
      </c>
      <c r="N886" s="19">
        <f t="shared" si="29"/>
        <v>0</v>
      </c>
      <c r="O886" s="17" t="s">
        <v>1025</v>
      </c>
      <c r="P886" s="17" t="s">
        <v>1026</v>
      </c>
      <c r="Q886" s="17" t="s">
        <v>1023</v>
      </c>
      <c r="R886" s="17" t="str">
        <f>VLOOKUP(A886,[2]Export!$A:$I,9,0)</f>
        <v>Não Comprou</v>
      </c>
      <c r="S886" s="17" t="s">
        <v>1022</v>
      </c>
      <c r="T886" s="20"/>
      <c r="U886" s="17"/>
    </row>
    <row r="887" spans="1:21" x14ac:dyDescent="0.35">
      <c r="A887" s="5">
        <v>19436791000478</v>
      </c>
      <c r="B887" s="7" t="s">
        <v>996</v>
      </c>
      <c r="C887" s="4"/>
      <c r="D887" s="6" t="s">
        <v>59</v>
      </c>
      <c r="E887" s="6" t="s">
        <v>330</v>
      </c>
      <c r="F887" s="6" t="s">
        <v>15</v>
      </c>
      <c r="G887" s="11" t="s">
        <v>9</v>
      </c>
      <c r="H887" s="6" t="s">
        <v>10</v>
      </c>
      <c r="I887" s="21" t="s">
        <v>1071</v>
      </c>
      <c r="J887" s="18">
        <v>6663.3153051545587</v>
      </c>
      <c r="K887" s="18">
        <f>VLOOKUP(A887,[1]Export!$A:$C,3,0)</f>
        <v>2531.7099999999996</v>
      </c>
      <c r="L887" s="19">
        <f t="shared" si="28"/>
        <v>0.3799475012148289</v>
      </c>
      <c r="M887" s="18">
        <f>VLOOKUP(A887,[1]Export!$A:$G,7,0)</f>
        <v>1668.0600000000002</v>
      </c>
      <c r="N887" s="19">
        <f t="shared" si="29"/>
        <v>0.25033484438439141</v>
      </c>
      <c r="O887" s="17" t="s">
        <v>1027</v>
      </c>
      <c r="P887" s="17" t="s">
        <v>1028</v>
      </c>
      <c r="Q887" s="17" t="s">
        <v>1023</v>
      </c>
      <c r="R887" s="17" t="str">
        <f>VLOOKUP(A887,[2]Export!$A:$I,9,0)</f>
        <v>Comprou Marcas e SG</v>
      </c>
      <c r="S887" s="17" t="s">
        <v>1022</v>
      </c>
      <c r="T887" s="20"/>
      <c r="U887" s="17"/>
    </row>
    <row r="888" spans="1:21" x14ac:dyDescent="0.35">
      <c r="A888" s="4">
        <v>5939112000126</v>
      </c>
      <c r="B888" s="7"/>
      <c r="C888" s="4"/>
      <c r="D888" s="1" t="s">
        <v>587</v>
      </c>
      <c r="E888" s="1" t="s">
        <v>588</v>
      </c>
      <c r="F888" s="1" t="s">
        <v>8</v>
      </c>
      <c r="G888" s="10" t="s">
        <v>9</v>
      </c>
      <c r="H888" s="1" t="s">
        <v>10</v>
      </c>
      <c r="I888" s="21" t="s">
        <v>1068</v>
      </c>
      <c r="J888" s="18">
        <v>13036.984009541346</v>
      </c>
      <c r="K888" s="18">
        <f>VLOOKUP(A888,[1]Export!$A:$C,3,0)</f>
        <v>5532.1900000000005</v>
      </c>
      <c r="L888" s="19">
        <f t="shared" si="28"/>
        <v>0.42434584532367076</v>
      </c>
      <c r="M888" s="18">
        <f>VLOOKUP(A888,[1]Export!$A:$G,7,0)</f>
        <v>0</v>
      </c>
      <c r="N888" s="19">
        <f t="shared" si="29"/>
        <v>0</v>
      </c>
      <c r="O888" s="17" t="s">
        <v>1027</v>
      </c>
      <c r="P888" s="17" t="s">
        <v>1028</v>
      </c>
      <c r="Q888" s="17" t="s">
        <v>1023</v>
      </c>
      <c r="R888" s="17" t="str">
        <f>VLOOKUP(A888,[2]Export!$A:$I,9,0)</f>
        <v>Não Comprou</v>
      </c>
      <c r="S888" s="17" t="s">
        <v>1022</v>
      </c>
      <c r="T888" s="20"/>
      <c r="U888" s="17"/>
    </row>
    <row r="889" spans="1:21" x14ac:dyDescent="0.35">
      <c r="A889" s="5">
        <v>31509807000188</v>
      </c>
      <c r="B889" s="7"/>
      <c r="C889" s="4"/>
      <c r="D889" s="6" t="s">
        <v>281</v>
      </c>
      <c r="E889" s="6" t="s">
        <v>474</v>
      </c>
      <c r="F889" s="6" t="s">
        <v>8</v>
      </c>
      <c r="G889" s="11" t="s">
        <v>20</v>
      </c>
      <c r="H889" s="6" t="s">
        <v>17</v>
      </c>
      <c r="I889" s="21" t="s">
        <v>1068</v>
      </c>
      <c r="J889" s="18">
        <v>1637.7658392065016</v>
      </c>
      <c r="K889" s="18">
        <f>VLOOKUP(A889,[1]Export!$A:$C,3,0)</f>
        <v>1467.8400000000004</v>
      </c>
      <c r="L889" s="19">
        <f t="shared" si="28"/>
        <v>0.89624533914516724</v>
      </c>
      <c r="M889" s="18">
        <f>VLOOKUP(A889,[1]Export!$A:$G,7,0)</f>
        <v>1975.66</v>
      </c>
      <c r="N889" s="19">
        <f t="shared" si="29"/>
        <v>1.2063140851424818</v>
      </c>
      <c r="O889" s="17" t="s">
        <v>1025</v>
      </c>
      <c r="P889" s="17" t="s">
        <v>1026</v>
      </c>
      <c r="Q889" s="17" t="s">
        <v>1023</v>
      </c>
      <c r="R889" s="17" t="str">
        <f>VLOOKUP(A889,[2]Export!$A:$I,9,0)</f>
        <v>Comprou Marcas</v>
      </c>
      <c r="S889" s="17" t="s">
        <v>1023</v>
      </c>
      <c r="T889" s="20"/>
      <c r="U889" s="17"/>
    </row>
    <row r="890" spans="1:21" x14ac:dyDescent="0.35">
      <c r="A890" s="4">
        <v>37653234000148</v>
      </c>
      <c r="B890" s="7"/>
      <c r="C890" s="4"/>
      <c r="D890" s="1" t="s">
        <v>849</v>
      </c>
      <c r="E890" s="1" t="s">
        <v>405</v>
      </c>
      <c r="F890" s="1" t="s">
        <v>48</v>
      </c>
      <c r="G890" s="10" t="s">
        <v>80</v>
      </c>
      <c r="H890" s="1" t="s">
        <v>17</v>
      </c>
      <c r="I890" s="21" t="s">
        <v>1073</v>
      </c>
      <c r="J890" s="18">
        <v>3805.6112032228903</v>
      </c>
      <c r="K890" s="18">
        <f>VLOOKUP(A890,[1]Export!$A:$C,3,0)</f>
        <v>1019.6799999999998</v>
      </c>
      <c r="L890" s="19">
        <f t="shared" si="28"/>
        <v>0.2679411914534135</v>
      </c>
      <c r="M890" s="18">
        <f>VLOOKUP(A890,[1]Export!$A:$G,7,0)</f>
        <v>475.83</v>
      </c>
      <c r="N890" s="19">
        <f t="shared" si="29"/>
        <v>0.12503379210073531</v>
      </c>
      <c r="O890" s="17" t="s">
        <v>1027</v>
      </c>
      <c r="P890" s="17" t="s">
        <v>1026</v>
      </c>
      <c r="Q890" s="17" t="s">
        <v>1023</v>
      </c>
      <c r="R890" s="17" t="str">
        <f>VLOOKUP(A890,[2]Export!$A:$I,9,0)</f>
        <v>Não Comprou</v>
      </c>
      <c r="S890" s="17" t="s">
        <v>1023</v>
      </c>
      <c r="T890" s="20"/>
      <c r="U890" s="17"/>
    </row>
    <row r="891" spans="1:21" x14ac:dyDescent="0.35">
      <c r="A891" s="5">
        <v>44864960000175</v>
      </c>
      <c r="B891" s="7"/>
      <c r="C891" s="4"/>
      <c r="D891" s="6" t="s">
        <v>850</v>
      </c>
      <c r="E891" s="6" t="s">
        <v>19</v>
      </c>
      <c r="F891" s="6" t="s">
        <v>15</v>
      </c>
      <c r="G891" s="11" t="s">
        <v>16</v>
      </c>
      <c r="H891" s="6" t="s">
        <v>17</v>
      </c>
      <c r="I891" s="21" t="s">
        <v>1069</v>
      </c>
      <c r="J891" s="18">
        <v>2148.7625362744448</v>
      </c>
      <c r="K891" s="18">
        <f>VLOOKUP(A891,[1]Export!$A:$C,3,0)</f>
        <v>901.64</v>
      </c>
      <c r="L891" s="19">
        <f t="shared" si="28"/>
        <v>0.41960895388807196</v>
      </c>
      <c r="M891" s="18">
        <f>VLOOKUP(A891,[1]Export!$A:$G,7,0)</f>
        <v>332.4</v>
      </c>
      <c r="N891" s="19">
        <f t="shared" si="29"/>
        <v>0.15469368736124739</v>
      </c>
      <c r="O891" s="17"/>
      <c r="P891" s="17"/>
      <c r="Q891" s="17"/>
      <c r="R891" s="17" t="str">
        <f>VLOOKUP(A891,[2]Export!$A:$I,9,0)</f>
        <v>Comprou Marcas</v>
      </c>
      <c r="S891" s="17"/>
      <c r="T891" s="20"/>
      <c r="U891" s="17"/>
    </row>
    <row r="892" spans="1:21" x14ac:dyDescent="0.35">
      <c r="A892" s="4">
        <v>64096542000192</v>
      </c>
      <c r="B892" s="7"/>
      <c r="C892" s="4"/>
      <c r="D892" s="1" t="s">
        <v>851</v>
      </c>
      <c r="E892" s="1" t="s">
        <v>260</v>
      </c>
      <c r="F892" s="1" t="s">
        <v>8</v>
      </c>
      <c r="G892" s="10" t="s">
        <v>20</v>
      </c>
      <c r="H892" s="1" t="s">
        <v>17</v>
      </c>
      <c r="I892" s="21" t="s">
        <v>1068</v>
      </c>
      <c r="J892" s="18">
        <v>954.3722378820986</v>
      </c>
      <c r="K892" s="18">
        <f>VLOOKUP(A892,[1]Export!$A:$C,3,0)</f>
        <v>308.2</v>
      </c>
      <c r="L892" s="19">
        <f t="shared" si="28"/>
        <v>0.32293479186270552</v>
      </c>
      <c r="M892" s="18">
        <f>VLOOKUP(A892,[1]Export!$A:$G,7,0)</f>
        <v>432.17</v>
      </c>
      <c r="N892" s="19">
        <f t="shared" si="29"/>
        <v>0.45283169694777886</v>
      </c>
      <c r="O892" s="17" t="s">
        <v>1025</v>
      </c>
      <c r="P892" s="17" t="s">
        <v>1026</v>
      </c>
      <c r="Q892" s="17" t="s">
        <v>1023</v>
      </c>
      <c r="R892" s="17" t="str">
        <f>VLOOKUP(A892,[2]Export!$A:$I,9,0)</f>
        <v>Comprou Marcas</v>
      </c>
      <c r="S892" s="17" t="s">
        <v>1023</v>
      </c>
      <c r="T892" s="20">
        <v>1</v>
      </c>
      <c r="U892" s="17"/>
    </row>
    <row r="893" spans="1:21" x14ac:dyDescent="0.35">
      <c r="A893" s="5">
        <v>49146937000169</v>
      </c>
      <c r="B893" s="7"/>
      <c r="C893" s="4"/>
      <c r="D893" s="6" t="s">
        <v>611</v>
      </c>
      <c r="E893" s="6" t="s">
        <v>270</v>
      </c>
      <c r="F893" s="6" t="s">
        <v>48</v>
      </c>
      <c r="G893" s="11" t="s">
        <v>38</v>
      </c>
      <c r="H893" s="6" t="s">
        <v>17</v>
      </c>
      <c r="I893" s="21" t="s">
        <v>1075</v>
      </c>
      <c r="J893" s="18">
        <v>4525.1701381027788</v>
      </c>
      <c r="K893" s="18">
        <f>VLOOKUP(A893,[1]Export!$A:$C,3,0)</f>
        <v>4100.21</v>
      </c>
      <c r="L893" s="19">
        <f t="shared" si="28"/>
        <v>0.90608968831369785</v>
      </c>
      <c r="M893" s="18">
        <f>VLOOKUP(A893,[1]Export!$A:$G,7,0)</f>
        <v>2444.0400000000004</v>
      </c>
      <c r="N893" s="19">
        <f t="shared" si="29"/>
        <v>0.54009902951951494</v>
      </c>
      <c r="O893" s="17" t="s">
        <v>1031</v>
      </c>
      <c r="P893" s="17" t="s">
        <v>1026</v>
      </c>
      <c r="Q893" s="17" t="s">
        <v>1023</v>
      </c>
      <c r="R893" s="17" t="str">
        <f>VLOOKUP(A893,[2]Export!$A:$I,9,0)</f>
        <v>Comprou Marcas</v>
      </c>
      <c r="S893" s="17" t="s">
        <v>1022</v>
      </c>
      <c r="T893" s="20"/>
      <c r="U893" s="17"/>
    </row>
    <row r="894" spans="1:21" x14ac:dyDescent="0.35">
      <c r="A894" s="4">
        <v>8087667000347</v>
      </c>
      <c r="B894" s="7" t="s">
        <v>1001</v>
      </c>
      <c r="C894" s="4"/>
      <c r="D894" s="1" t="s">
        <v>218</v>
      </c>
      <c r="E894" s="1" t="s">
        <v>171</v>
      </c>
      <c r="F894" s="1" t="s">
        <v>8</v>
      </c>
      <c r="G894" s="10" t="s">
        <v>36</v>
      </c>
      <c r="H894" s="1" t="s">
        <v>17</v>
      </c>
      <c r="I894" s="21" t="s">
        <v>1072</v>
      </c>
      <c r="J894" s="18">
        <v>9557.4635497934141</v>
      </c>
      <c r="K894" s="18">
        <f>VLOOKUP(A894,[1]Export!$A:$C,3,0)</f>
        <v>3919.8</v>
      </c>
      <c r="L894" s="19">
        <f t="shared" si="28"/>
        <v>0.41012973573775513</v>
      </c>
      <c r="M894" s="18">
        <f>VLOOKUP(A894,[1]Export!$A:$G,7,0)</f>
        <v>2441.4900000000002</v>
      </c>
      <c r="N894" s="19">
        <f t="shared" si="29"/>
        <v>0.25545376001489156</v>
      </c>
      <c r="O894" s="17" t="s">
        <v>1025</v>
      </c>
      <c r="P894" s="17" t="s">
        <v>1026</v>
      </c>
      <c r="Q894" s="17" t="s">
        <v>1023</v>
      </c>
      <c r="R894" s="17" t="str">
        <f>VLOOKUP(A894,[2]Export!$A:$I,9,0)</f>
        <v>Comprou Marcas</v>
      </c>
      <c r="S894" s="17" t="s">
        <v>1022</v>
      </c>
      <c r="T894" s="20"/>
      <c r="U894" s="17"/>
    </row>
    <row r="895" spans="1:21" x14ac:dyDescent="0.35">
      <c r="A895" s="5">
        <v>8464650000108</v>
      </c>
      <c r="B895" s="7"/>
      <c r="C895" s="4"/>
      <c r="D895" s="6" t="s">
        <v>853</v>
      </c>
      <c r="E895" s="6" t="s">
        <v>193</v>
      </c>
      <c r="F895" s="6" t="s">
        <v>194</v>
      </c>
      <c r="G895" s="11" t="s">
        <v>36</v>
      </c>
      <c r="H895" s="6" t="s">
        <v>17</v>
      </c>
      <c r="I895" s="21" t="s">
        <v>1070</v>
      </c>
      <c r="J895" s="18">
        <v>3097.4057602107332</v>
      </c>
      <c r="K895" s="18">
        <f>VLOOKUP(A895,[1]Export!$A:$C,3,0)</f>
        <v>363.02</v>
      </c>
      <c r="L895" s="19">
        <f t="shared" si="28"/>
        <v>0.11720130590036153</v>
      </c>
      <c r="M895" s="18">
        <f>VLOOKUP(A895,[1]Export!$A:$G,7,0)</f>
        <v>1139.73</v>
      </c>
      <c r="N895" s="19">
        <f t="shared" si="29"/>
        <v>0.36796276892132401</v>
      </c>
      <c r="O895" s="17" t="s">
        <v>1025</v>
      </c>
      <c r="P895" s="17" t="s">
        <v>1026</v>
      </c>
      <c r="Q895" s="17" t="s">
        <v>1023</v>
      </c>
      <c r="R895" s="17" t="str">
        <f>VLOOKUP(A895,[2]Export!$A:$I,9,0)</f>
        <v>Comprou Marcas</v>
      </c>
      <c r="S895" s="17" t="s">
        <v>1022</v>
      </c>
      <c r="T895" s="20"/>
      <c r="U895" s="17"/>
    </row>
    <row r="896" spans="1:21" x14ac:dyDescent="0.35">
      <c r="A896" s="4">
        <v>9179265000173</v>
      </c>
      <c r="B896" s="7"/>
      <c r="C896" s="4"/>
      <c r="D896" s="1" t="s">
        <v>854</v>
      </c>
      <c r="E896" s="1" t="s">
        <v>855</v>
      </c>
      <c r="F896" s="1" t="s">
        <v>48</v>
      </c>
      <c r="G896" s="10" t="s">
        <v>80</v>
      </c>
      <c r="H896" s="1" t="s">
        <v>17</v>
      </c>
      <c r="I896" s="21" t="s">
        <v>1075</v>
      </c>
      <c r="J896" s="18">
        <v>3888.2627353368412</v>
      </c>
      <c r="K896" s="18">
        <f>VLOOKUP(A896,[1]Export!$A:$C,3,0)</f>
        <v>3795.71</v>
      </c>
      <c r="L896" s="19">
        <f t="shared" si="28"/>
        <v>0.97619689263904041</v>
      </c>
      <c r="M896" s="18">
        <f>VLOOKUP(A896,[1]Export!$A:$G,7,0)</f>
        <v>3202.4</v>
      </c>
      <c r="N896" s="19">
        <f t="shared" si="29"/>
        <v>0.82360689541278531</v>
      </c>
      <c r="O896" s="17" t="s">
        <v>1025</v>
      </c>
      <c r="P896" s="17" t="s">
        <v>1026</v>
      </c>
      <c r="Q896" s="17" t="s">
        <v>1022</v>
      </c>
      <c r="R896" s="17" t="str">
        <f>VLOOKUP(A896,[2]Export!$A:$I,9,0)</f>
        <v>Comprou Marcas</v>
      </c>
      <c r="S896" s="17" t="s">
        <v>1023</v>
      </c>
      <c r="T896" s="20"/>
      <c r="U896" s="17"/>
    </row>
    <row r="897" spans="1:21" x14ac:dyDescent="0.35">
      <c r="A897" s="5">
        <v>10440010000100</v>
      </c>
      <c r="B897" s="7"/>
      <c r="C897" s="4"/>
      <c r="D897" s="6" t="s">
        <v>856</v>
      </c>
      <c r="E897" s="6" t="s">
        <v>40</v>
      </c>
      <c r="F897" s="6" t="s">
        <v>8</v>
      </c>
      <c r="G897" s="11" t="s">
        <v>20</v>
      </c>
      <c r="H897" s="6" t="s">
        <v>17</v>
      </c>
      <c r="I897" s="21" t="s">
        <v>1072</v>
      </c>
      <c r="J897" s="18">
        <v>8510.7104295354948</v>
      </c>
      <c r="K897" s="18">
        <f>VLOOKUP(A897,[1]Export!$A:$C,3,0)</f>
        <v>1274.1600000000001</v>
      </c>
      <c r="L897" s="19">
        <f t="shared" si="28"/>
        <v>0.14971253111587093</v>
      </c>
      <c r="M897" s="18">
        <f>VLOOKUP(A897,[1]Export!$A:$G,7,0)</f>
        <v>0</v>
      </c>
      <c r="N897" s="19">
        <f t="shared" si="29"/>
        <v>0</v>
      </c>
      <c r="O897" s="17" t="s">
        <v>1025</v>
      </c>
      <c r="P897" s="17" t="s">
        <v>1026</v>
      </c>
      <c r="Q897" s="17" t="s">
        <v>1023</v>
      </c>
      <c r="R897" s="17" t="str">
        <f>VLOOKUP(A897,[2]Export!$A:$I,9,0)</f>
        <v>Não Comprou</v>
      </c>
      <c r="S897" s="17" t="s">
        <v>1022</v>
      </c>
      <c r="T897" s="20"/>
      <c r="U897" s="17"/>
    </row>
    <row r="898" spans="1:21" x14ac:dyDescent="0.35">
      <c r="A898" s="4">
        <v>10695648000183</v>
      </c>
      <c r="B898" s="7"/>
      <c r="C898" s="4"/>
      <c r="D898" s="1" t="s">
        <v>857</v>
      </c>
      <c r="E898" s="1" t="s">
        <v>71</v>
      </c>
      <c r="F898" s="1" t="s">
        <v>15</v>
      </c>
      <c r="G898" s="10" t="s">
        <v>33</v>
      </c>
      <c r="H898" s="1" t="s">
        <v>17</v>
      </c>
      <c r="I898" s="21" t="s">
        <v>1071</v>
      </c>
      <c r="J898" s="18">
        <v>1653.8606286883492</v>
      </c>
      <c r="K898" s="18">
        <f>VLOOKUP(A898,[1]Export!$A:$C,3,0)</f>
        <v>2566.0100000000011</v>
      </c>
      <c r="L898" s="19">
        <f t="shared" si="28"/>
        <v>1.5515273509080769</v>
      </c>
      <c r="M898" s="18">
        <f>VLOOKUP(A898,[1]Export!$A:$G,7,0)</f>
        <v>3322.16</v>
      </c>
      <c r="N898" s="19">
        <f t="shared" si="29"/>
        <v>2.0087303261065914</v>
      </c>
      <c r="O898" s="17" t="s">
        <v>1029</v>
      </c>
      <c r="P898" s="17" t="s">
        <v>1026</v>
      </c>
      <c r="Q898" s="17" t="s">
        <v>1023</v>
      </c>
      <c r="R898" s="17" t="str">
        <f>VLOOKUP(A898,[2]Export!$A:$I,9,0)</f>
        <v>Comprou Marcas</v>
      </c>
      <c r="S898" s="17" t="s">
        <v>1022</v>
      </c>
      <c r="T898" s="20"/>
      <c r="U898" s="17"/>
    </row>
    <row r="899" spans="1:21" x14ac:dyDescent="0.35">
      <c r="A899" s="5">
        <v>10732561000139</v>
      </c>
      <c r="B899" s="7"/>
      <c r="C899" s="4"/>
      <c r="D899" s="6" t="s">
        <v>858</v>
      </c>
      <c r="E899" s="6" t="s">
        <v>35</v>
      </c>
      <c r="F899" s="6" t="s">
        <v>8</v>
      </c>
      <c r="G899" s="11" t="s">
        <v>36</v>
      </c>
      <c r="H899" s="6" t="s">
        <v>17</v>
      </c>
      <c r="I899" s="21" t="s">
        <v>1072</v>
      </c>
      <c r="J899" s="18">
        <v>7532.1130455758084</v>
      </c>
      <c r="K899" s="18">
        <f>VLOOKUP(A899,[1]Export!$A:$C,3,0)</f>
        <v>1905.8999999999999</v>
      </c>
      <c r="L899" s="19">
        <f t="shared" si="28"/>
        <v>0.25303656337440156</v>
      </c>
      <c r="M899" s="18">
        <f>VLOOKUP(A899,[1]Export!$A:$G,7,0)</f>
        <v>2510.2600000000007</v>
      </c>
      <c r="N899" s="19">
        <f t="shared" si="29"/>
        <v>0.3332743394596912</v>
      </c>
      <c r="O899" s="17" t="s">
        <v>1029</v>
      </c>
      <c r="P899" s="17" t="s">
        <v>1026</v>
      </c>
      <c r="Q899" s="17" t="s">
        <v>1022</v>
      </c>
      <c r="R899" s="17" t="str">
        <f>VLOOKUP(A899,[2]Export!$A:$I,9,0)</f>
        <v>Comprou Marcas</v>
      </c>
      <c r="S899" s="17" t="s">
        <v>1023</v>
      </c>
      <c r="T899" s="20"/>
      <c r="U899" s="17"/>
    </row>
    <row r="900" spans="1:21" x14ac:dyDescent="0.35">
      <c r="A900" s="4">
        <v>10737685000107</v>
      </c>
      <c r="B900" s="7" t="s">
        <v>999</v>
      </c>
      <c r="C900" s="4"/>
      <c r="D900" s="1" t="s">
        <v>90</v>
      </c>
      <c r="E900" s="1" t="s">
        <v>113</v>
      </c>
      <c r="F900" s="1" t="s">
        <v>8</v>
      </c>
      <c r="G900" s="10" t="s">
        <v>64</v>
      </c>
      <c r="H900" s="1" t="s">
        <v>17</v>
      </c>
      <c r="I900" s="21" t="s">
        <v>1074</v>
      </c>
      <c r="J900" s="18">
        <v>23691.001719984117</v>
      </c>
      <c r="K900" s="18">
        <f>VLOOKUP(A900,[1]Export!$A:$C,3,0)</f>
        <v>11575.529999999997</v>
      </c>
      <c r="L900" s="19">
        <f t="shared" si="28"/>
        <v>0.48860449789405347</v>
      </c>
      <c r="M900" s="18">
        <f>VLOOKUP(A900,[1]Export!$A:$G,7,0)</f>
        <v>14440.699999999999</v>
      </c>
      <c r="N900" s="19">
        <f t="shared" si="29"/>
        <v>0.609543664327997</v>
      </c>
      <c r="O900" s="17"/>
      <c r="P900" s="17"/>
      <c r="Q900" s="17"/>
      <c r="R900" s="17" t="str">
        <f>VLOOKUP(A900,[2]Export!$A:$I,9,0)</f>
        <v>Comprou Marcas</v>
      </c>
      <c r="S900" s="17"/>
      <c r="T900" s="20"/>
      <c r="U900" s="17"/>
    </row>
    <row r="901" spans="1:21" x14ac:dyDescent="0.35">
      <c r="A901" s="5">
        <v>10779654000119</v>
      </c>
      <c r="B901" s="7"/>
      <c r="C901" s="4"/>
      <c r="D901" s="6" t="s">
        <v>859</v>
      </c>
      <c r="E901" s="6" t="s">
        <v>364</v>
      </c>
      <c r="F901" s="6" t="s">
        <v>8</v>
      </c>
      <c r="G901" s="11" t="s">
        <v>20</v>
      </c>
      <c r="H901" s="6" t="s">
        <v>17</v>
      </c>
      <c r="I901" s="21" t="s">
        <v>1068</v>
      </c>
      <c r="J901" s="18">
        <v>3812.2965476094878</v>
      </c>
      <c r="K901" s="18">
        <f>VLOOKUP(A901,[1]Export!$A:$C,3,0)</f>
        <v>967.44</v>
      </c>
      <c r="L901" s="19">
        <f t="shared" si="28"/>
        <v>0.25376829633220327</v>
      </c>
      <c r="M901" s="18">
        <f>VLOOKUP(A901,[1]Export!$A:$G,7,0)</f>
        <v>718.26</v>
      </c>
      <c r="N901" s="19">
        <f t="shared" si="29"/>
        <v>0.18840611978372646</v>
      </c>
      <c r="O901" s="17" t="s">
        <v>1025</v>
      </c>
      <c r="P901" s="17" t="s">
        <v>1026</v>
      </c>
      <c r="Q901" s="17" t="s">
        <v>1023</v>
      </c>
      <c r="R901" s="17" t="str">
        <f>VLOOKUP(A901,[2]Export!$A:$I,9,0)</f>
        <v>Comprou Marcas</v>
      </c>
      <c r="S901" s="17" t="s">
        <v>1022</v>
      </c>
      <c r="T901" s="20"/>
      <c r="U901" s="17"/>
    </row>
    <row r="902" spans="1:21" x14ac:dyDescent="0.35">
      <c r="A902" s="4">
        <v>10829445000132</v>
      </c>
      <c r="B902" s="7"/>
      <c r="C902" s="4"/>
      <c r="D902" s="1" t="s">
        <v>860</v>
      </c>
      <c r="E902" s="1" t="s">
        <v>52</v>
      </c>
      <c r="F902" s="1" t="s">
        <v>8</v>
      </c>
      <c r="G902" s="10" t="s">
        <v>20</v>
      </c>
      <c r="H902" s="1" t="s">
        <v>17</v>
      </c>
      <c r="I902" s="21" t="s">
        <v>1074</v>
      </c>
      <c r="J902" s="18">
        <v>2130.2045641041254</v>
      </c>
      <c r="K902" s="18">
        <f>VLOOKUP(A902,[1]Export!$A:$C,3,0)</f>
        <v>614.67999999999995</v>
      </c>
      <c r="L902" s="19">
        <f t="shared" si="28"/>
        <v>0.28855444700378274</v>
      </c>
      <c r="M902" s="18">
        <f>VLOOKUP(A902,[1]Export!$A:$G,7,0)</f>
        <v>0</v>
      </c>
      <c r="N902" s="19">
        <f t="shared" si="29"/>
        <v>0</v>
      </c>
      <c r="O902" s="17" t="s">
        <v>1025</v>
      </c>
      <c r="P902" s="17" t="s">
        <v>1026</v>
      </c>
      <c r="Q902" s="17" t="s">
        <v>1023</v>
      </c>
      <c r="R902" s="17" t="str">
        <f>VLOOKUP(A902,[2]Export!$A:$I,9,0)</f>
        <v>Não Comprou</v>
      </c>
      <c r="S902" s="17" t="s">
        <v>1023</v>
      </c>
      <c r="T902" s="20"/>
      <c r="U902" s="17"/>
    </row>
    <row r="903" spans="1:21" x14ac:dyDescent="0.35">
      <c r="A903" s="5">
        <v>8954076000168</v>
      </c>
      <c r="B903" s="7"/>
      <c r="C903" s="4"/>
      <c r="D903" s="6" t="s">
        <v>90</v>
      </c>
      <c r="E903" s="6" t="s">
        <v>307</v>
      </c>
      <c r="F903" s="6" t="s">
        <v>8</v>
      </c>
      <c r="G903" s="11" t="s">
        <v>64</v>
      </c>
      <c r="H903" s="6" t="s">
        <v>17</v>
      </c>
      <c r="I903" s="21" t="s">
        <v>1070</v>
      </c>
      <c r="J903" s="18">
        <v>3707.2633277291825</v>
      </c>
      <c r="K903" s="18">
        <f>VLOOKUP(A903,[1]Export!$A:$C,3,0)</f>
        <v>1521.97</v>
      </c>
      <c r="L903" s="19">
        <f t="shared" si="28"/>
        <v>0.41053733319026342</v>
      </c>
      <c r="M903" s="18">
        <f>VLOOKUP(A903,[1]Export!$A:$G,7,0)</f>
        <v>0</v>
      </c>
      <c r="N903" s="19">
        <f t="shared" si="29"/>
        <v>0</v>
      </c>
      <c r="O903" s="17" t="s">
        <v>1029</v>
      </c>
      <c r="P903" s="17" t="s">
        <v>1026</v>
      </c>
      <c r="Q903" s="17" t="s">
        <v>1022</v>
      </c>
      <c r="R903" s="17" t="str">
        <f>VLOOKUP(A903,[2]Export!$A:$I,9,0)</f>
        <v>Não Comprou</v>
      </c>
      <c r="S903" s="17" t="s">
        <v>1022</v>
      </c>
      <c r="T903" s="20"/>
      <c r="U903" s="17"/>
    </row>
    <row r="904" spans="1:21" x14ac:dyDescent="0.35">
      <c r="A904" s="4">
        <v>8954076000320</v>
      </c>
      <c r="B904" s="7"/>
      <c r="C904" s="4"/>
      <c r="D904" s="1" t="s">
        <v>90</v>
      </c>
      <c r="E904" s="1" t="s">
        <v>307</v>
      </c>
      <c r="F904" s="1" t="s">
        <v>8</v>
      </c>
      <c r="G904" s="10" t="s">
        <v>64</v>
      </c>
      <c r="H904" s="1" t="s">
        <v>17</v>
      </c>
      <c r="I904" s="21" t="s">
        <v>1070</v>
      </c>
      <c r="J904" s="18">
        <v>6268.6884742938973</v>
      </c>
      <c r="K904" s="18">
        <f>VLOOKUP(A904,[1]Export!$A:$C,3,0)</f>
        <v>1904.8200000000002</v>
      </c>
      <c r="L904" s="19">
        <f t="shared" si="28"/>
        <v>0.3038626034474553</v>
      </c>
      <c r="M904" s="18">
        <f>VLOOKUP(A904,[1]Export!$A:$G,7,0)</f>
        <v>0</v>
      </c>
      <c r="N904" s="19">
        <f t="shared" si="29"/>
        <v>0</v>
      </c>
      <c r="O904" s="17" t="s">
        <v>1029</v>
      </c>
      <c r="P904" s="17" t="s">
        <v>1026</v>
      </c>
      <c r="Q904" s="17" t="s">
        <v>1022</v>
      </c>
      <c r="R904" s="17" t="str">
        <f>VLOOKUP(A904,[2]Export!$A:$I,9,0)</f>
        <v>Não Comprou</v>
      </c>
      <c r="S904" s="17" t="s">
        <v>1022</v>
      </c>
      <c r="T904" s="20"/>
      <c r="U904" s="17"/>
    </row>
    <row r="905" spans="1:21" x14ac:dyDescent="0.35">
      <c r="A905" s="5">
        <v>35588327000100</v>
      </c>
      <c r="B905" s="7"/>
      <c r="C905" s="4"/>
      <c r="D905" s="6" t="s">
        <v>597</v>
      </c>
      <c r="E905" s="6" t="s">
        <v>379</v>
      </c>
      <c r="F905" s="6" t="s">
        <v>15</v>
      </c>
      <c r="G905" s="11" t="s">
        <v>36</v>
      </c>
      <c r="H905" s="6" t="s">
        <v>17</v>
      </c>
      <c r="I905" s="21" t="s">
        <v>1075</v>
      </c>
      <c r="J905" s="18">
        <v>4544.0174516694842</v>
      </c>
      <c r="K905" s="18">
        <f>VLOOKUP(A905,[1]Export!$A:$C,3,0)</f>
        <v>552.09</v>
      </c>
      <c r="L905" s="19">
        <f t="shared" si="28"/>
        <v>0.12149821295188043</v>
      </c>
      <c r="M905" s="18">
        <f>VLOOKUP(A905,[1]Export!$A:$G,7,0)</f>
        <v>0</v>
      </c>
      <c r="N905" s="19">
        <f t="shared" si="29"/>
        <v>0</v>
      </c>
      <c r="O905" s="17" t="s">
        <v>1025</v>
      </c>
      <c r="P905" s="17" t="s">
        <v>1026</v>
      </c>
      <c r="Q905" s="17" t="s">
        <v>1022</v>
      </c>
      <c r="R905" s="17" t="str">
        <f>VLOOKUP(A905,[2]Export!$A:$I,9,0)</f>
        <v>Não Comprou</v>
      </c>
      <c r="S905" s="17" t="s">
        <v>1023</v>
      </c>
      <c r="T905" s="20"/>
      <c r="U905" s="17"/>
    </row>
    <row r="906" spans="1:21" x14ac:dyDescent="0.35">
      <c r="A906" s="4">
        <v>14775673000128</v>
      </c>
      <c r="B906" s="7"/>
      <c r="C906" s="4"/>
      <c r="D906" s="1" t="s">
        <v>397</v>
      </c>
      <c r="E906" s="1" t="s">
        <v>861</v>
      </c>
      <c r="F906" s="1" t="s">
        <v>8</v>
      </c>
      <c r="G906" s="10" t="s">
        <v>16</v>
      </c>
      <c r="H906" s="1" t="s">
        <v>17</v>
      </c>
      <c r="I906" s="21" t="s">
        <v>1074</v>
      </c>
      <c r="J906" s="18">
        <v>6262.2372969530925</v>
      </c>
      <c r="K906" s="18">
        <f>VLOOKUP(A906,[1]Export!$A:$C,3,0)</f>
        <v>4807.9399999999987</v>
      </c>
      <c r="L906" s="19">
        <f t="shared" si="28"/>
        <v>0.76776713688881038</v>
      </c>
      <c r="M906" s="18">
        <f>VLOOKUP(A906,[1]Export!$A:$G,7,0)</f>
        <v>2235.67</v>
      </c>
      <c r="N906" s="19">
        <f t="shared" si="29"/>
        <v>0.35700818956314079</v>
      </c>
      <c r="O906" s="17" t="s">
        <v>1027</v>
      </c>
      <c r="P906" s="17" t="s">
        <v>1028</v>
      </c>
      <c r="Q906" s="17" t="s">
        <v>1023</v>
      </c>
      <c r="R906" s="17" t="str">
        <f>VLOOKUP(A906,[2]Export!$A:$I,9,0)</f>
        <v>Comprou Marcas</v>
      </c>
      <c r="S906" s="17" t="s">
        <v>1022</v>
      </c>
      <c r="T906" s="20"/>
      <c r="U906" s="17"/>
    </row>
    <row r="907" spans="1:21" x14ac:dyDescent="0.35">
      <c r="A907" s="5">
        <v>18235089000130</v>
      </c>
      <c r="B907" s="7"/>
      <c r="C907" s="4"/>
      <c r="D907" s="6" t="s">
        <v>159</v>
      </c>
      <c r="E907" s="6" t="s">
        <v>446</v>
      </c>
      <c r="F907" s="6" t="s">
        <v>15</v>
      </c>
      <c r="G907" s="11" t="s">
        <v>36</v>
      </c>
      <c r="H907" s="6" t="s">
        <v>17</v>
      </c>
      <c r="I907" s="21" t="s">
        <v>1069</v>
      </c>
      <c r="J907" s="18">
        <v>7723.3013918092292</v>
      </c>
      <c r="K907" s="18">
        <f>VLOOKUP(A907,[1]Export!$A:$C,3,0)</f>
        <v>2389.9800000000005</v>
      </c>
      <c r="L907" s="19">
        <f t="shared" si="28"/>
        <v>0.30945056767234785</v>
      </c>
      <c r="M907" s="18">
        <f>VLOOKUP(A907,[1]Export!$A:$G,7,0)</f>
        <v>1038.92</v>
      </c>
      <c r="N907" s="19">
        <f t="shared" si="29"/>
        <v>0.13451760423357334</v>
      </c>
      <c r="O907" s="17" t="s">
        <v>1027</v>
      </c>
      <c r="P907" s="17" t="s">
        <v>1028</v>
      </c>
      <c r="Q907" s="17" t="s">
        <v>1023</v>
      </c>
      <c r="R907" s="17" t="str">
        <f>VLOOKUP(A907,[2]Export!$A:$I,9,0)</f>
        <v>Comprou Marcas e SG</v>
      </c>
      <c r="S907" s="17" t="s">
        <v>1022</v>
      </c>
      <c r="T907" s="20"/>
      <c r="U907" s="17"/>
    </row>
    <row r="908" spans="1:21" x14ac:dyDescent="0.35">
      <c r="A908" s="4">
        <v>18332251000481</v>
      </c>
      <c r="B908" s="7" t="s">
        <v>998</v>
      </c>
      <c r="C908" s="4"/>
      <c r="D908" s="1" t="s">
        <v>25</v>
      </c>
      <c r="E908" s="1" t="s">
        <v>14</v>
      </c>
      <c r="F908" s="1" t="s">
        <v>15</v>
      </c>
      <c r="G908" s="10" t="s">
        <v>9</v>
      </c>
      <c r="H908" s="1" t="s">
        <v>10</v>
      </c>
      <c r="I908" s="21" t="s">
        <v>1069</v>
      </c>
      <c r="J908" s="18">
        <v>4570.9509190854715</v>
      </c>
      <c r="K908" s="18">
        <f>VLOOKUP(A908,[1]Export!$A:$C,3,0)</f>
        <v>1665.6799999999996</v>
      </c>
      <c r="L908" s="19">
        <f t="shared" si="28"/>
        <v>0.36440557544495772</v>
      </c>
      <c r="M908" s="18">
        <f>VLOOKUP(A908,[1]Export!$A:$G,7,0)</f>
        <v>2306.6799999999998</v>
      </c>
      <c r="N908" s="19">
        <f t="shared" si="29"/>
        <v>0.50463897793536283</v>
      </c>
      <c r="O908" s="17" t="s">
        <v>1027</v>
      </c>
      <c r="P908" s="17" t="s">
        <v>1028</v>
      </c>
      <c r="Q908" s="17" t="s">
        <v>1023</v>
      </c>
      <c r="R908" s="17" t="str">
        <f>VLOOKUP(A908,[2]Export!$A:$I,9,0)</f>
        <v>Comprou Marcas</v>
      </c>
      <c r="S908" s="17" t="s">
        <v>1022</v>
      </c>
      <c r="T908" s="20"/>
      <c r="U908" s="17"/>
    </row>
    <row r="909" spans="1:21" x14ac:dyDescent="0.35">
      <c r="A909" s="5">
        <v>19436791000397</v>
      </c>
      <c r="B909" s="7" t="s">
        <v>996</v>
      </c>
      <c r="C909" s="4"/>
      <c r="D909" s="6" t="s">
        <v>59</v>
      </c>
      <c r="E909" s="6" t="s">
        <v>330</v>
      </c>
      <c r="F909" s="6" t="s">
        <v>15</v>
      </c>
      <c r="G909" s="11" t="s">
        <v>9</v>
      </c>
      <c r="H909" s="6" t="s">
        <v>10</v>
      </c>
      <c r="I909" s="21" t="s">
        <v>1071</v>
      </c>
      <c r="J909" s="18">
        <v>11046.128688991832</v>
      </c>
      <c r="K909" s="18">
        <f>VLOOKUP(A909,[1]Export!$A:$C,3,0)</f>
        <v>2911.8700000000003</v>
      </c>
      <c r="L909" s="19">
        <f t="shared" ref="L909:L972" si="30">K909/J909</f>
        <v>0.26361000147516511</v>
      </c>
      <c r="M909" s="18">
        <f>VLOOKUP(A909,[1]Export!$A:$G,7,0)</f>
        <v>4640.630000000001</v>
      </c>
      <c r="N909" s="19">
        <f t="shared" ref="N909:N972" si="31">M909/J909</f>
        <v>0.42011370052430069</v>
      </c>
      <c r="O909" s="17" t="s">
        <v>1027</v>
      </c>
      <c r="P909" s="17" t="s">
        <v>1028</v>
      </c>
      <c r="Q909" s="17" t="s">
        <v>1023</v>
      </c>
      <c r="R909" s="17" t="str">
        <f>VLOOKUP(A909,[2]Export!$A:$I,9,0)</f>
        <v>Comprou Marcas e SG</v>
      </c>
      <c r="S909" s="17" t="s">
        <v>1022</v>
      </c>
      <c r="T909" s="20"/>
      <c r="U909" s="17"/>
    </row>
    <row r="910" spans="1:21" x14ac:dyDescent="0.35">
      <c r="A910" s="5">
        <v>22166562000576</v>
      </c>
      <c r="B910" s="7"/>
      <c r="C910" s="4"/>
      <c r="D910" s="6" t="s">
        <v>59</v>
      </c>
      <c r="E910" s="6" t="s">
        <v>52</v>
      </c>
      <c r="F910" s="6" t="s">
        <v>8</v>
      </c>
      <c r="G910" s="11" t="s">
        <v>9</v>
      </c>
      <c r="H910" s="6" t="s">
        <v>10</v>
      </c>
      <c r="I910" s="21" t="s">
        <v>1074</v>
      </c>
      <c r="J910" s="18">
        <v>5828.5849477263737</v>
      </c>
      <c r="K910" s="18">
        <f>VLOOKUP(A910,[1]Export!$A:$C,3,0)</f>
        <v>2337.8200000000002</v>
      </c>
      <c r="L910" s="19">
        <f t="shared" si="30"/>
        <v>0.40109563830101536</v>
      </c>
      <c r="M910" s="18">
        <f>VLOOKUP(A910,[1]Export!$A:$G,7,0)</f>
        <v>1513.5100000000002</v>
      </c>
      <c r="N910" s="19">
        <f t="shared" si="31"/>
        <v>0.25967023103787706</v>
      </c>
      <c r="O910" s="17"/>
      <c r="P910" s="17"/>
      <c r="Q910" s="17"/>
      <c r="R910" s="17" t="str">
        <f>VLOOKUP(A910,[2]Export!$A:$I,9,0)</f>
        <v>Comprou Marcas</v>
      </c>
      <c r="S910" s="17" t="s">
        <v>1022</v>
      </c>
      <c r="T910" s="20"/>
      <c r="U910" s="17"/>
    </row>
    <row r="911" spans="1:21" x14ac:dyDescent="0.35">
      <c r="A911" s="5">
        <v>7629833000246</v>
      </c>
      <c r="B911" s="7"/>
      <c r="C911" s="4"/>
      <c r="D911" s="6" t="s">
        <v>862</v>
      </c>
      <c r="E911" s="6" t="s">
        <v>82</v>
      </c>
      <c r="F911" s="6" t="s">
        <v>8</v>
      </c>
      <c r="G911" s="11" t="s">
        <v>36</v>
      </c>
      <c r="H911" s="6" t="s">
        <v>17</v>
      </c>
      <c r="I911" s="21" t="s">
        <v>1072</v>
      </c>
      <c r="J911" s="18">
        <v>7523.4348274298782</v>
      </c>
      <c r="K911" s="18">
        <f>VLOOKUP(A911,[1]Export!$A:$C,3,0)</f>
        <v>2485.2200000000003</v>
      </c>
      <c r="L911" s="19">
        <f t="shared" si="30"/>
        <v>0.33033050156014843</v>
      </c>
      <c r="M911" s="18">
        <f>VLOOKUP(A911,[1]Export!$A:$G,7,0)</f>
        <v>2853.8900000000008</v>
      </c>
      <c r="N911" s="19">
        <f t="shared" si="31"/>
        <v>0.37933338501118297</v>
      </c>
      <c r="O911" s="17" t="s">
        <v>1027</v>
      </c>
      <c r="P911" s="17" t="s">
        <v>1028</v>
      </c>
      <c r="Q911" s="17" t="s">
        <v>1023</v>
      </c>
      <c r="R911" s="17" t="str">
        <f>VLOOKUP(A911,[2]Export!$A:$I,9,0)</f>
        <v>Comprou Marcas</v>
      </c>
      <c r="S911" s="17" t="s">
        <v>1022</v>
      </c>
      <c r="T911" s="20">
        <v>7</v>
      </c>
      <c r="U911" s="17"/>
    </row>
    <row r="912" spans="1:21" x14ac:dyDescent="0.35">
      <c r="A912" s="4">
        <v>8143052000129</v>
      </c>
      <c r="B912" s="7"/>
      <c r="C912" s="4"/>
      <c r="D912" s="1" t="s">
        <v>863</v>
      </c>
      <c r="E912" s="1" t="s">
        <v>584</v>
      </c>
      <c r="F912" s="1" t="s">
        <v>48</v>
      </c>
      <c r="G912" s="10" t="s">
        <v>229</v>
      </c>
      <c r="H912" s="1" t="s">
        <v>17</v>
      </c>
      <c r="I912" s="21" t="s">
        <v>1075</v>
      </c>
      <c r="J912" s="18">
        <v>5467.414322554243</v>
      </c>
      <c r="K912" s="18">
        <f>VLOOKUP(A912,[1]Export!$A:$C,3,0)</f>
        <v>5057.91</v>
      </c>
      <c r="L912" s="19">
        <f t="shared" si="30"/>
        <v>0.9251009163755981</v>
      </c>
      <c r="M912" s="18">
        <f>VLOOKUP(A912,[1]Export!$A:$G,7,0)</f>
        <v>3663.559999999999</v>
      </c>
      <c r="N912" s="19">
        <f t="shared" si="31"/>
        <v>0.67007177138323637</v>
      </c>
      <c r="O912" s="17" t="s">
        <v>1027</v>
      </c>
      <c r="P912" s="17" t="s">
        <v>1028</v>
      </c>
      <c r="Q912" s="17" t="s">
        <v>1022</v>
      </c>
      <c r="R912" s="17" t="str">
        <f>VLOOKUP(A912,[2]Export!$A:$I,9,0)</f>
        <v>Comprou Marcas</v>
      </c>
      <c r="S912" s="17" t="s">
        <v>1023</v>
      </c>
      <c r="T912" s="20"/>
      <c r="U912" s="17"/>
    </row>
    <row r="913" spans="1:21" x14ac:dyDescent="0.35">
      <c r="A913" s="5">
        <v>8596888000189</v>
      </c>
      <c r="B913" s="7"/>
      <c r="C913" s="4"/>
      <c r="D913" s="6" t="s">
        <v>864</v>
      </c>
      <c r="E913" s="6" t="s">
        <v>358</v>
      </c>
      <c r="F913" s="6" t="s">
        <v>15</v>
      </c>
      <c r="G913" s="11" t="s">
        <v>16</v>
      </c>
      <c r="H913" s="6" t="s">
        <v>17</v>
      </c>
      <c r="I913" s="21" t="s">
        <v>1071</v>
      </c>
      <c r="J913" s="18">
        <v>7320.3697886984564</v>
      </c>
      <c r="K913" s="18">
        <f>VLOOKUP(A913,[1]Export!$A:$C,3,0)</f>
        <v>2316.5700000000006</v>
      </c>
      <c r="L913" s="19">
        <f t="shared" si="30"/>
        <v>0.31645532491766115</v>
      </c>
      <c r="M913" s="18">
        <f>VLOOKUP(A913,[1]Export!$A:$G,7,0)</f>
        <v>0</v>
      </c>
      <c r="N913" s="19">
        <f t="shared" si="31"/>
        <v>0</v>
      </c>
      <c r="O913" s="17" t="s">
        <v>1029</v>
      </c>
      <c r="P913" s="17" t="s">
        <v>1026</v>
      </c>
      <c r="Q913" s="17" t="s">
        <v>1023</v>
      </c>
      <c r="R913" s="17" t="str">
        <f>VLOOKUP(A913,[2]Export!$A:$I,9,0)</f>
        <v>Não Comprou</v>
      </c>
      <c r="S913" s="17" t="s">
        <v>1022</v>
      </c>
      <c r="T913" s="20"/>
      <c r="U913" s="17"/>
    </row>
    <row r="914" spans="1:21" x14ac:dyDescent="0.35">
      <c r="A914" s="4">
        <v>9269723000165</v>
      </c>
      <c r="B914" s="7"/>
      <c r="C914" s="4"/>
      <c r="D914" s="1" t="s">
        <v>865</v>
      </c>
      <c r="E914" s="1" t="s">
        <v>390</v>
      </c>
      <c r="F914" s="1" t="s">
        <v>8</v>
      </c>
      <c r="G914" s="10" t="s">
        <v>64</v>
      </c>
      <c r="H914" s="1" t="s">
        <v>17</v>
      </c>
      <c r="I914" s="21" t="s">
        <v>1070</v>
      </c>
      <c r="J914" s="18">
        <v>4388.791011135806</v>
      </c>
      <c r="K914" s="18">
        <f>VLOOKUP(A914,[1]Export!$A:$C,3,0)</f>
        <v>2235.1499999999996</v>
      </c>
      <c r="L914" s="19">
        <f t="shared" si="30"/>
        <v>0.50928604126482424</v>
      </c>
      <c r="M914" s="18">
        <f>VLOOKUP(A914,[1]Export!$A:$G,7,0)</f>
        <v>2034.8300000000004</v>
      </c>
      <c r="N914" s="19">
        <f t="shared" si="31"/>
        <v>0.46364249171057986</v>
      </c>
      <c r="O914" s="17"/>
      <c r="P914" s="17"/>
      <c r="Q914" s="17"/>
      <c r="R914" s="17" t="str">
        <f>VLOOKUP(A914,[2]Export!$A:$I,9,0)</f>
        <v>Comprou Marcas</v>
      </c>
      <c r="S914" s="17"/>
      <c r="T914" s="20"/>
      <c r="U914" s="17"/>
    </row>
    <row r="915" spans="1:21" x14ac:dyDescent="0.35">
      <c r="A915" s="5">
        <v>9496232000157</v>
      </c>
      <c r="B915" s="7"/>
      <c r="C915" s="4"/>
      <c r="D915" s="6" t="s">
        <v>702</v>
      </c>
      <c r="E915" s="6" t="s">
        <v>474</v>
      </c>
      <c r="F915" s="6" t="s">
        <v>8</v>
      </c>
      <c r="G915" s="11" t="s">
        <v>279</v>
      </c>
      <c r="H915" s="6" t="s">
        <v>17</v>
      </c>
      <c r="I915" s="21" t="s">
        <v>1068</v>
      </c>
      <c r="J915" s="18">
        <v>28077.890651066591</v>
      </c>
      <c r="K915" s="18">
        <f>VLOOKUP(A915,[1]Export!$A:$C,3,0)</f>
        <v>5964.9000000000005</v>
      </c>
      <c r="L915" s="19">
        <f t="shared" si="30"/>
        <v>0.21244117209970731</v>
      </c>
      <c r="M915" s="18">
        <f>VLOOKUP(A915,[1]Export!$A:$G,7,0)</f>
        <v>6237.5800000000027</v>
      </c>
      <c r="N915" s="19">
        <f t="shared" si="31"/>
        <v>0.22215272783545287</v>
      </c>
      <c r="O915" s="17" t="s">
        <v>1029</v>
      </c>
      <c r="P915" s="17" t="s">
        <v>1026</v>
      </c>
      <c r="Q915" s="17" t="s">
        <v>1022</v>
      </c>
      <c r="R915" s="17" t="str">
        <f>VLOOKUP(A915,[2]Export!$A:$I,9,0)</f>
        <v>Comprou Marcas</v>
      </c>
      <c r="S915" s="17" t="s">
        <v>1022</v>
      </c>
      <c r="T915" s="20">
        <v>1</v>
      </c>
      <c r="U915" s="17"/>
    </row>
    <row r="916" spans="1:21" x14ac:dyDescent="0.35">
      <c r="A916" s="5">
        <v>21746348000100</v>
      </c>
      <c r="B916" s="7"/>
      <c r="C916" s="4"/>
      <c r="D916" s="6" t="s">
        <v>104</v>
      </c>
      <c r="E916" s="6" t="s">
        <v>390</v>
      </c>
      <c r="F916" s="6" t="s">
        <v>8</v>
      </c>
      <c r="G916" s="11" t="s">
        <v>9</v>
      </c>
      <c r="H916" s="6" t="s">
        <v>10</v>
      </c>
      <c r="I916" s="21" t="s">
        <v>1070</v>
      </c>
      <c r="J916" s="18">
        <v>16199.930514437532</v>
      </c>
      <c r="K916" s="18">
        <f>VLOOKUP(A916,[1]Export!$A:$C,3,0)</f>
        <v>5744.739999999998</v>
      </c>
      <c r="L916" s="19">
        <f t="shared" si="30"/>
        <v>0.35461510127344259</v>
      </c>
      <c r="M916" s="18">
        <f>VLOOKUP(A916,[1]Export!$A:$G,7,0)</f>
        <v>0</v>
      </c>
      <c r="N916" s="19">
        <f t="shared" si="31"/>
        <v>0</v>
      </c>
      <c r="O916" s="17"/>
      <c r="P916" s="17"/>
      <c r="Q916" s="17"/>
      <c r="R916" s="17" t="str">
        <f>VLOOKUP(A916,[2]Export!$A:$I,9,0)</f>
        <v>Não Comprou</v>
      </c>
      <c r="S916" s="17" t="s">
        <v>1022</v>
      </c>
      <c r="T916" s="20">
        <v>1</v>
      </c>
      <c r="U916" s="17"/>
    </row>
    <row r="917" spans="1:21" x14ac:dyDescent="0.35">
      <c r="A917" s="5">
        <v>30461125000180</v>
      </c>
      <c r="B917" s="7"/>
      <c r="C917" s="4">
        <v>148176</v>
      </c>
      <c r="D917" s="6" t="s">
        <v>368</v>
      </c>
      <c r="E917" s="6" t="s">
        <v>182</v>
      </c>
      <c r="F917" s="6" t="s">
        <v>8</v>
      </c>
      <c r="G917" s="11" t="s">
        <v>36</v>
      </c>
      <c r="H917" s="6" t="s">
        <v>17</v>
      </c>
      <c r="I917" s="21" t="s">
        <v>1074</v>
      </c>
      <c r="J917" s="18">
        <v>7004.045530641165</v>
      </c>
      <c r="K917" s="18">
        <f>VLOOKUP(A917,[1]Export!$A:$C,3,0)</f>
        <v>2007.9400000000003</v>
      </c>
      <c r="L917" s="19">
        <f t="shared" si="30"/>
        <v>0.28668288794179059</v>
      </c>
      <c r="M917" s="18">
        <f>VLOOKUP(A917,[1]Export!$A:$G,7,0)</f>
        <v>1903.4899999999998</v>
      </c>
      <c r="N917" s="19">
        <f t="shared" si="31"/>
        <v>0.27177007797460023</v>
      </c>
      <c r="O917" s="17" t="s">
        <v>1025</v>
      </c>
      <c r="P917" s="17" t="s">
        <v>1026</v>
      </c>
      <c r="Q917" s="17" t="s">
        <v>1023</v>
      </c>
      <c r="R917" s="17" t="str">
        <f>VLOOKUP(A917,[2]Export!$A:$I,9,0)</f>
        <v>Comprou Marcas</v>
      </c>
      <c r="S917" s="17" t="s">
        <v>1023</v>
      </c>
      <c r="T917" s="20">
        <v>1</v>
      </c>
      <c r="U917" s="17"/>
    </row>
    <row r="918" spans="1:21" x14ac:dyDescent="0.35">
      <c r="A918" s="4">
        <v>3995944000134</v>
      </c>
      <c r="B918" s="7"/>
      <c r="C918" s="4"/>
      <c r="D918" s="1" t="s">
        <v>866</v>
      </c>
      <c r="E918" s="1" t="s">
        <v>166</v>
      </c>
      <c r="F918" s="1" t="s">
        <v>8</v>
      </c>
      <c r="G918" s="10" t="s">
        <v>36</v>
      </c>
      <c r="H918" s="1" t="s">
        <v>17</v>
      </c>
      <c r="I918" s="21" t="s">
        <v>1070</v>
      </c>
      <c r="J918" s="18">
        <v>3425.9442847561013</v>
      </c>
      <c r="K918" s="18">
        <f>VLOOKUP(A918,[1]Export!$A:$C,3,0)</f>
        <v>1945.6100000000001</v>
      </c>
      <c r="L918" s="19">
        <f t="shared" si="30"/>
        <v>0.56790474049945372</v>
      </c>
      <c r="M918" s="18">
        <f>VLOOKUP(A918,[1]Export!$A:$G,7,0)</f>
        <v>4066.1099999999997</v>
      </c>
      <c r="N918" s="19">
        <f t="shared" si="31"/>
        <v>1.1868581804124327</v>
      </c>
      <c r="O918" s="17" t="s">
        <v>1027</v>
      </c>
      <c r="P918" s="17" t="s">
        <v>1028</v>
      </c>
      <c r="Q918" s="17" t="s">
        <v>1023</v>
      </c>
      <c r="R918" s="17" t="str">
        <f>VLOOKUP(A918,[2]Export!$A:$I,9,0)</f>
        <v>Comprou Marcas</v>
      </c>
      <c r="S918" s="17" t="s">
        <v>1022</v>
      </c>
      <c r="T918" s="20"/>
      <c r="U918" s="17">
        <v>4</v>
      </c>
    </row>
    <row r="919" spans="1:21" x14ac:dyDescent="0.35">
      <c r="A919" s="5">
        <v>4256383000114</v>
      </c>
      <c r="B919" s="7"/>
      <c r="C919" s="4"/>
      <c r="D919" s="6" t="s">
        <v>445</v>
      </c>
      <c r="E919" s="6" t="s">
        <v>430</v>
      </c>
      <c r="F919" s="6" t="s">
        <v>8</v>
      </c>
      <c r="G919" s="11" t="s">
        <v>74</v>
      </c>
      <c r="H919" s="6" t="s">
        <v>17</v>
      </c>
      <c r="I919" s="21" t="s">
        <v>1074</v>
      </c>
      <c r="J919" s="18">
        <v>6927.9961504421808</v>
      </c>
      <c r="K919" s="18">
        <f>VLOOKUP(A919,[1]Export!$A:$C,3,0)</f>
        <v>4011.4900000000002</v>
      </c>
      <c r="L919" s="19">
        <f t="shared" si="30"/>
        <v>0.57902601457767355</v>
      </c>
      <c r="M919" s="18">
        <f>VLOOKUP(A919,[1]Export!$A:$G,7,0)</f>
        <v>3119.9200000000005</v>
      </c>
      <c r="N919" s="19">
        <f t="shared" si="31"/>
        <v>0.45033512320887636</v>
      </c>
      <c r="O919" s="17" t="s">
        <v>1025</v>
      </c>
      <c r="P919" s="17" t="s">
        <v>1026</v>
      </c>
      <c r="Q919" s="17" t="s">
        <v>1022</v>
      </c>
      <c r="R919" s="17" t="str">
        <f>VLOOKUP(A919,[2]Export!$A:$I,9,0)</f>
        <v>Comprou Marcas</v>
      </c>
      <c r="S919" s="17" t="s">
        <v>1022</v>
      </c>
      <c r="T919" s="20">
        <v>3</v>
      </c>
      <c r="U919" s="17"/>
    </row>
    <row r="920" spans="1:21" x14ac:dyDescent="0.35">
      <c r="A920" s="4">
        <v>4538037000129</v>
      </c>
      <c r="B920" s="7"/>
      <c r="C920" s="4"/>
      <c r="D920" s="1" t="s">
        <v>867</v>
      </c>
      <c r="E920" s="1" t="s">
        <v>458</v>
      </c>
      <c r="F920" s="1" t="s">
        <v>48</v>
      </c>
      <c r="G920" s="10" t="s">
        <v>87</v>
      </c>
      <c r="H920" s="1" t="s">
        <v>17</v>
      </c>
      <c r="I920" s="21" t="s">
        <v>1075</v>
      </c>
      <c r="J920" s="18">
        <v>6925.0044473623757</v>
      </c>
      <c r="K920" s="18">
        <f>VLOOKUP(A920,[1]Export!$A:$C,3,0)</f>
        <v>869.43</v>
      </c>
      <c r="L920" s="19">
        <f t="shared" si="30"/>
        <v>0.12554937785363474</v>
      </c>
      <c r="M920" s="18">
        <f>VLOOKUP(A920,[1]Export!$A:$G,7,0)</f>
        <v>52.05</v>
      </c>
      <c r="N920" s="19">
        <f t="shared" si="31"/>
        <v>7.5162406602966182E-3</v>
      </c>
      <c r="O920" s="17" t="s">
        <v>1027</v>
      </c>
      <c r="P920" s="17" t="s">
        <v>1028</v>
      </c>
      <c r="Q920" s="17" t="s">
        <v>1023</v>
      </c>
      <c r="R920" s="17" t="str">
        <f>VLOOKUP(A920,[2]Export!$A:$I,9,0)</f>
        <v>Comprou Marcas</v>
      </c>
      <c r="S920" s="17" t="s">
        <v>1022</v>
      </c>
      <c r="T920" s="20"/>
      <c r="U920" s="17"/>
    </row>
    <row r="921" spans="1:21" x14ac:dyDescent="0.35">
      <c r="A921" s="5">
        <v>48464291000103</v>
      </c>
      <c r="B921" s="7"/>
      <c r="C921" s="4"/>
      <c r="D921" s="6" t="s">
        <v>268</v>
      </c>
      <c r="E921" s="6" t="s">
        <v>174</v>
      </c>
      <c r="F921" s="6" t="s">
        <v>48</v>
      </c>
      <c r="G921" s="11" t="s">
        <v>38</v>
      </c>
      <c r="H921" s="6" t="s">
        <v>17</v>
      </c>
      <c r="I921" s="21" t="s">
        <v>1075</v>
      </c>
      <c r="J921" s="18">
        <v>5415.2168463232065</v>
      </c>
      <c r="K921" s="18">
        <f>VLOOKUP(A921,[1]Export!$A:$C,3,0)</f>
        <v>2466.54</v>
      </c>
      <c r="L921" s="19">
        <f t="shared" si="30"/>
        <v>0.45548314499625575</v>
      </c>
      <c r="M921" s="18">
        <f>VLOOKUP(A921,[1]Export!$A:$G,7,0)</f>
        <v>1509.0400000000002</v>
      </c>
      <c r="N921" s="19">
        <f t="shared" si="31"/>
        <v>0.27866658765929192</v>
      </c>
      <c r="O921" s="17" t="s">
        <v>1031</v>
      </c>
      <c r="P921" s="17" t="s">
        <v>1026</v>
      </c>
      <c r="Q921" s="17" t="s">
        <v>1022</v>
      </c>
      <c r="R921" s="17" t="str">
        <f>VLOOKUP(A921,[2]Export!$A:$I,9,0)</f>
        <v>Comprou Marcas e SG</v>
      </c>
      <c r="S921" s="17" t="s">
        <v>1022</v>
      </c>
      <c r="T921" s="20"/>
      <c r="U921" s="17"/>
    </row>
    <row r="922" spans="1:21" x14ac:dyDescent="0.35">
      <c r="A922" s="4">
        <v>4592381000104</v>
      </c>
      <c r="B922" s="7"/>
      <c r="C922" s="4"/>
      <c r="D922" s="1" t="s">
        <v>853</v>
      </c>
      <c r="E922" s="1" t="s">
        <v>100</v>
      </c>
      <c r="F922" s="1" t="s">
        <v>15</v>
      </c>
      <c r="G922" s="10" t="s">
        <v>33</v>
      </c>
      <c r="H922" s="1" t="s">
        <v>17</v>
      </c>
      <c r="I922" s="21" t="s">
        <v>1075</v>
      </c>
      <c r="J922" s="18">
        <v>2731.096559431277</v>
      </c>
      <c r="K922" s="18">
        <f>VLOOKUP(A922,[1]Export!$A:$C,3,0)</f>
        <v>825.82</v>
      </c>
      <c r="L922" s="19">
        <f t="shared" si="30"/>
        <v>0.30237671280724276</v>
      </c>
      <c r="M922" s="18">
        <f>VLOOKUP(A922,[1]Export!$A:$G,7,0)</f>
        <v>0</v>
      </c>
      <c r="N922" s="19">
        <f t="shared" si="31"/>
        <v>0</v>
      </c>
      <c r="O922" s="17" t="s">
        <v>1027</v>
      </c>
      <c r="P922" s="17" t="s">
        <v>1026</v>
      </c>
      <c r="Q922" s="17" t="s">
        <v>1023</v>
      </c>
      <c r="R922" s="17" t="str">
        <f>VLOOKUP(A922,[2]Export!$A:$I,9,0)</f>
        <v>Não Comprou</v>
      </c>
      <c r="S922" s="17" t="s">
        <v>1022</v>
      </c>
      <c r="T922" s="20"/>
      <c r="U922" s="17"/>
    </row>
    <row r="923" spans="1:21" x14ac:dyDescent="0.35">
      <c r="A923" s="5">
        <v>4716183000288</v>
      </c>
      <c r="B923" s="7"/>
      <c r="C923" s="4"/>
      <c r="D923" s="6" t="s">
        <v>868</v>
      </c>
      <c r="E923" s="6" t="s">
        <v>384</v>
      </c>
      <c r="F923" s="6" t="s">
        <v>48</v>
      </c>
      <c r="G923" s="11" t="s">
        <v>352</v>
      </c>
      <c r="H923" s="6" t="s">
        <v>17</v>
      </c>
      <c r="I923" s="21" t="s">
        <v>1073</v>
      </c>
      <c r="J923" s="18">
        <v>4353.3790898976322</v>
      </c>
      <c r="K923" s="18">
        <f>VLOOKUP(A923,[1]Export!$A:$C,3,0)</f>
        <v>1261.97</v>
      </c>
      <c r="L923" s="19">
        <f t="shared" si="30"/>
        <v>0.28988286430844107</v>
      </c>
      <c r="M923" s="18">
        <f>VLOOKUP(A923,[1]Export!$A:$G,7,0)</f>
        <v>1122.5999999999999</v>
      </c>
      <c r="N923" s="19">
        <f t="shared" si="31"/>
        <v>0.25786865256119867</v>
      </c>
      <c r="O923" s="17" t="s">
        <v>1025</v>
      </c>
      <c r="P923" s="17" t="s">
        <v>1026</v>
      </c>
      <c r="Q923" s="17" t="s">
        <v>1023</v>
      </c>
      <c r="R923" s="17" t="str">
        <f>VLOOKUP(A923,[2]Export!$A:$I,9,0)</f>
        <v>Comprou Marcas e SG</v>
      </c>
      <c r="S923" s="17" t="s">
        <v>1022</v>
      </c>
      <c r="T923" s="20"/>
      <c r="U923" s="17"/>
    </row>
    <row r="924" spans="1:21" x14ac:dyDescent="0.35">
      <c r="A924" s="4">
        <v>4834843003089</v>
      </c>
      <c r="B924" s="7" t="s">
        <v>994</v>
      </c>
      <c r="C924" s="4"/>
      <c r="D924" s="1" t="s">
        <v>91</v>
      </c>
      <c r="E924" s="1" t="s">
        <v>584</v>
      </c>
      <c r="F924" s="1" t="s">
        <v>48</v>
      </c>
      <c r="G924" s="10" t="s">
        <v>92</v>
      </c>
      <c r="H924" s="1" t="s">
        <v>17</v>
      </c>
      <c r="I924" s="21" t="s">
        <v>1073</v>
      </c>
      <c r="J924" s="18">
        <v>2893.7230512675978</v>
      </c>
      <c r="K924" s="18">
        <f>VLOOKUP(A924,[1]Export!$A:$C,3,0)</f>
        <v>653.48</v>
      </c>
      <c r="L924" s="19">
        <f t="shared" si="30"/>
        <v>0.2258267250951132</v>
      </c>
      <c r="M924" s="18">
        <f>VLOOKUP(A924,[1]Export!$A:$G,7,0)</f>
        <v>1086.02</v>
      </c>
      <c r="N924" s="19">
        <f t="shared" si="31"/>
        <v>0.37530198320957769</v>
      </c>
      <c r="O924" s="17" t="s">
        <v>1027</v>
      </c>
      <c r="P924" s="17" t="s">
        <v>1028</v>
      </c>
      <c r="Q924" s="17" t="s">
        <v>1023</v>
      </c>
      <c r="R924" s="17" t="str">
        <f>VLOOKUP(A924,[2]Export!$A:$I,9,0)</f>
        <v>Comprou Marcas</v>
      </c>
      <c r="S924" s="17" t="s">
        <v>1022</v>
      </c>
      <c r="T924" s="20"/>
      <c r="U924" s="17"/>
    </row>
    <row r="925" spans="1:21" x14ac:dyDescent="0.35">
      <c r="A925" s="5">
        <v>4972853000650</v>
      </c>
      <c r="B925" s="7" t="s">
        <v>135</v>
      </c>
      <c r="C925" s="4"/>
      <c r="D925" s="6" t="s">
        <v>134</v>
      </c>
      <c r="E925" s="6" t="s">
        <v>35</v>
      </c>
      <c r="F925" s="6" t="s">
        <v>8</v>
      </c>
      <c r="G925" s="11" t="s">
        <v>135</v>
      </c>
      <c r="H925" s="6" t="s">
        <v>17</v>
      </c>
      <c r="I925" s="21" t="s">
        <v>1072</v>
      </c>
      <c r="J925" s="18">
        <v>13967.334051092917</v>
      </c>
      <c r="K925" s="18">
        <f>VLOOKUP(A925,[1]Export!$A:$C,3,0)</f>
        <v>6217.1699999999983</v>
      </c>
      <c r="L925" s="19">
        <f t="shared" si="30"/>
        <v>0.44512216699746765</v>
      </c>
      <c r="M925" s="18">
        <f>VLOOKUP(A925,[1]Export!$A:$G,7,0)</f>
        <v>9501.4900000000016</v>
      </c>
      <c r="N925" s="19">
        <f t="shared" si="31"/>
        <v>0.68026510751753144</v>
      </c>
      <c r="O925" s="17" t="s">
        <v>1025</v>
      </c>
      <c r="P925" s="17" t="s">
        <v>1026</v>
      </c>
      <c r="Q925" s="17" t="s">
        <v>1022</v>
      </c>
      <c r="R925" s="17" t="str">
        <f>VLOOKUP(A925,[2]Export!$A:$I,9,0)</f>
        <v>Comprou Marcas e SG</v>
      </c>
      <c r="S925" s="17" t="s">
        <v>1022</v>
      </c>
      <c r="T925" s="20">
        <v>4</v>
      </c>
      <c r="U925" s="17">
        <v>2</v>
      </c>
    </row>
    <row r="926" spans="1:21" x14ac:dyDescent="0.35">
      <c r="A926" s="4">
        <v>5344624000140</v>
      </c>
      <c r="B926" s="7" t="s">
        <v>1011</v>
      </c>
      <c r="C926" s="4">
        <v>5119</v>
      </c>
      <c r="D926" s="1" t="s">
        <v>869</v>
      </c>
      <c r="E926" s="1" t="s">
        <v>259</v>
      </c>
      <c r="F926" s="1" t="s">
        <v>15</v>
      </c>
      <c r="G926" s="10" t="s">
        <v>9</v>
      </c>
      <c r="H926" s="1" t="s">
        <v>10</v>
      </c>
      <c r="I926" s="21" t="s">
        <v>1071</v>
      </c>
      <c r="J926" s="18">
        <v>15636.440550698089</v>
      </c>
      <c r="K926" s="18">
        <f>VLOOKUP(A926,[1]Export!$A:$C,3,0)</f>
        <v>5318.4999999999991</v>
      </c>
      <c r="L926" s="19">
        <f t="shared" si="30"/>
        <v>0.34013495480354411</v>
      </c>
      <c r="M926" s="18">
        <f>VLOOKUP(A926,[1]Export!$A:$G,7,0)</f>
        <v>3575.6600000000008</v>
      </c>
      <c r="N926" s="19">
        <f t="shared" si="31"/>
        <v>0.22867480539491231</v>
      </c>
      <c r="O926" s="17" t="s">
        <v>1027</v>
      </c>
      <c r="P926" s="17" t="s">
        <v>1028</v>
      </c>
      <c r="Q926" s="17" t="s">
        <v>1023</v>
      </c>
      <c r="R926" s="17" t="str">
        <f>VLOOKUP(A926,[2]Export!$A:$I,9,0)</f>
        <v>Comprou Marcas</v>
      </c>
      <c r="S926" s="17" t="s">
        <v>1022</v>
      </c>
      <c r="T926" s="20"/>
      <c r="U926" s="17"/>
    </row>
    <row r="927" spans="1:21" x14ac:dyDescent="0.35">
      <c r="A927" s="5">
        <v>328405000404</v>
      </c>
      <c r="B927" s="7"/>
      <c r="C927" s="4"/>
      <c r="D927" s="6" t="s">
        <v>660</v>
      </c>
      <c r="E927" s="6" t="s">
        <v>98</v>
      </c>
      <c r="F927" s="6" t="s">
        <v>15</v>
      </c>
      <c r="G927" s="11" t="s">
        <v>38</v>
      </c>
      <c r="H927" s="6" t="s">
        <v>17</v>
      </c>
      <c r="I927" s="21" t="s">
        <v>1075</v>
      </c>
      <c r="J927" s="18">
        <v>1393.1375073685947</v>
      </c>
      <c r="K927" s="18">
        <f>VLOOKUP(A927,[1]Export!$A:$C,3,0)</f>
        <v>503.13</v>
      </c>
      <c r="L927" s="19">
        <f t="shared" si="30"/>
        <v>0.36114884377087009</v>
      </c>
      <c r="M927" s="18">
        <f>VLOOKUP(A927,[1]Export!$A:$G,7,0)</f>
        <v>0</v>
      </c>
      <c r="N927" s="19">
        <f t="shared" si="31"/>
        <v>0</v>
      </c>
      <c r="O927" s="17" t="s">
        <v>1025</v>
      </c>
      <c r="P927" s="17" t="s">
        <v>1026</v>
      </c>
      <c r="Q927" s="17" t="s">
        <v>1023</v>
      </c>
      <c r="R927" s="17" t="str">
        <f>VLOOKUP(A927,[2]Export!$A:$I,9,0)</f>
        <v>Não Comprou</v>
      </c>
      <c r="S927" s="17" t="s">
        <v>1022</v>
      </c>
      <c r="T927" s="20"/>
      <c r="U927" s="17"/>
    </row>
    <row r="928" spans="1:21" x14ac:dyDescent="0.35">
      <c r="A928" s="4">
        <v>4834843001116</v>
      </c>
      <c r="B928" s="7" t="s">
        <v>994</v>
      </c>
      <c r="C928" s="4"/>
      <c r="D928" s="1" t="s">
        <v>91</v>
      </c>
      <c r="E928" s="1" t="s">
        <v>871</v>
      </c>
      <c r="F928" s="1" t="s">
        <v>48</v>
      </c>
      <c r="G928" s="10" t="s">
        <v>92</v>
      </c>
      <c r="H928" s="1" t="s">
        <v>17</v>
      </c>
      <c r="I928" s="21" t="s">
        <v>1073</v>
      </c>
      <c r="J928" s="18">
        <v>7156.6243776662586</v>
      </c>
      <c r="K928" s="18">
        <f>VLOOKUP(A928,[1]Export!$A:$C,3,0)</f>
        <v>4461.28</v>
      </c>
      <c r="L928" s="19">
        <f t="shared" si="30"/>
        <v>0.62337769380804109</v>
      </c>
      <c r="M928" s="18">
        <f>VLOOKUP(A928,[1]Export!$A:$G,7,0)</f>
        <v>5101.8199999999988</v>
      </c>
      <c r="N928" s="19">
        <f t="shared" si="31"/>
        <v>0.7128807843990379</v>
      </c>
      <c r="O928" s="17" t="s">
        <v>1027</v>
      </c>
      <c r="P928" s="17" t="s">
        <v>1028</v>
      </c>
      <c r="Q928" s="17" t="s">
        <v>1023</v>
      </c>
      <c r="R928" s="17" t="str">
        <f>VLOOKUP(A928,[2]Export!$A:$I,9,0)</f>
        <v>Comprou Marcas</v>
      </c>
      <c r="S928" s="17" t="s">
        <v>1022</v>
      </c>
      <c r="T928" s="20"/>
      <c r="U928" s="17"/>
    </row>
    <row r="929" spans="1:21" x14ac:dyDescent="0.35">
      <c r="A929" s="5">
        <v>53532526000189</v>
      </c>
      <c r="B929" s="7"/>
      <c r="C929" s="4"/>
      <c r="D929" s="6" t="s">
        <v>314</v>
      </c>
      <c r="E929" s="6" t="s">
        <v>100</v>
      </c>
      <c r="F929" s="6" t="s">
        <v>15</v>
      </c>
      <c r="G929" s="11" t="s">
        <v>38</v>
      </c>
      <c r="H929" s="6" t="s">
        <v>17</v>
      </c>
      <c r="I929" s="21" t="s">
        <v>1075</v>
      </c>
      <c r="J929" s="18">
        <v>1998.8584430002868</v>
      </c>
      <c r="K929" s="18">
        <f>VLOOKUP(A929,[1]Export!$A:$C,3,0)</f>
        <v>63.34</v>
      </c>
      <c r="L929" s="19">
        <f t="shared" si="30"/>
        <v>3.168808687869195E-2</v>
      </c>
      <c r="M929" s="18">
        <f>VLOOKUP(A929,[1]Export!$A:$G,7,0)</f>
        <v>0</v>
      </c>
      <c r="N929" s="19">
        <f t="shared" si="31"/>
        <v>0</v>
      </c>
      <c r="O929" s="17" t="s">
        <v>1027</v>
      </c>
      <c r="P929" s="17" t="s">
        <v>1028</v>
      </c>
      <c r="Q929" s="17" t="s">
        <v>1023</v>
      </c>
      <c r="R929" s="17" t="str">
        <f>VLOOKUP(A929,[2]Export!$A:$I,9,0)</f>
        <v>Não Comprou</v>
      </c>
      <c r="S929" s="17" t="s">
        <v>1023</v>
      </c>
      <c r="T929" s="20"/>
      <c r="U929" s="17"/>
    </row>
    <row r="930" spans="1:21" x14ac:dyDescent="0.35">
      <c r="A930" s="4">
        <v>1727308000104</v>
      </c>
      <c r="B930" s="7"/>
      <c r="C930" s="4"/>
      <c r="D930" s="1" t="s">
        <v>873</v>
      </c>
      <c r="E930" s="1" t="s">
        <v>400</v>
      </c>
      <c r="F930" s="1" t="s">
        <v>8</v>
      </c>
      <c r="G930" s="10" t="s">
        <v>36</v>
      </c>
      <c r="H930" s="1" t="s">
        <v>17</v>
      </c>
      <c r="I930" s="21" t="s">
        <v>1074</v>
      </c>
      <c r="J930" s="18">
        <v>1299.1753104173183</v>
      </c>
      <c r="K930" s="18">
        <f>VLOOKUP(A930,[1]Export!$A:$C,3,0)</f>
        <v>0</v>
      </c>
      <c r="L930" s="19">
        <f t="shared" si="30"/>
        <v>0</v>
      </c>
      <c r="M930" s="18">
        <f>VLOOKUP(A930,[1]Export!$A:$G,7,0)</f>
        <v>0</v>
      </c>
      <c r="N930" s="19">
        <f t="shared" si="31"/>
        <v>0</v>
      </c>
      <c r="O930" s="17" t="s">
        <v>1025</v>
      </c>
      <c r="P930" s="17" t="s">
        <v>1026</v>
      </c>
      <c r="Q930" s="17" t="s">
        <v>1023</v>
      </c>
      <c r="R930" s="17" t="str">
        <f>VLOOKUP(A930,[2]Export!$A:$I,9,0)</f>
        <v>Comprou Marcas</v>
      </c>
      <c r="S930" s="17" t="s">
        <v>1022</v>
      </c>
      <c r="T930" s="20"/>
      <c r="U930" s="17"/>
    </row>
    <row r="931" spans="1:21" x14ac:dyDescent="0.35">
      <c r="A931" s="5">
        <v>2635097000134</v>
      </c>
      <c r="B931" s="7"/>
      <c r="C931" s="4"/>
      <c r="D931" s="6" t="s">
        <v>874</v>
      </c>
      <c r="E931" s="6" t="s">
        <v>458</v>
      </c>
      <c r="F931" s="6" t="s">
        <v>48</v>
      </c>
      <c r="G931" s="11" t="s">
        <v>20</v>
      </c>
      <c r="H931" s="6" t="s">
        <v>17</v>
      </c>
      <c r="I931" s="21" t="s">
        <v>1075</v>
      </c>
      <c r="J931" s="18">
        <v>10914.994289996439</v>
      </c>
      <c r="K931" s="18">
        <f>VLOOKUP(A931,[1]Export!$A:$C,3,0)</f>
        <v>3928.7499999999991</v>
      </c>
      <c r="L931" s="19">
        <f t="shared" si="30"/>
        <v>0.35994063722055147</v>
      </c>
      <c r="M931" s="18">
        <f>VLOOKUP(A931,[1]Export!$A:$G,7,0)</f>
        <v>2082.06</v>
      </c>
      <c r="N931" s="19">
        <f t="shared" si="31"/>
        <v>0.1907522756936485</v>
      </c>
      <c r="O931" s="17" t="s">
        <v>1029</v>
      </c>
      <c r="P931" s="17" t="s">
        <v>1026</v>
      </c>
      <c r="Q931" s="17" t="s">
        <v>1022</v>
      </c>
      <c r="R931" s="17" t="str">
        <f>VLOOKUP(A931,[2]Export!$A:$I,9,0)</f>
        <v>Comprou Marcas e SG</v>
      </c>
      <c r="S931" s="17" t="s">
        <v>1022</v>
      </c>
      <c r="T931" s="20"/>
      <c r="U931" s="17"/>
    </row>
    <row r="932" spans="1:21" x14ac:dyDescent="0.35">
      <c r="A932" s="4">
        <v>27785214000681</v>
      </c>
      <c r="B932" s="7" t="s">
        <v>1010</v>
      </c>
      <c r="C932" s="4"/>
      <c r="D932" s="1" t="s">
        <v>875</v>
      </c>
      <c r="E932" s="1" t="s">
        <v>443</v>
      </c>
      <c r="F932" s="1" t="s">
        <v>15</v>
      </c>
      <c r="G932" s="10" t="s">
        <v>36</v>
      </c>
      <c r="H932" s="1" t="s">
        <v>17</v>
      </c>
      <c r="I932" s="21" t="s">
        <v>1071</v>
      </c>
      <c r="J932" s="18">
        <v>5070.5321154154126</v>
      </c>
      <c r="K932" s="18">
        <f>VLOOKUP(A932,[1]Export!$A:$C,3,0)</f>
        <v>1732.36</v>
      </c>
      <c r="L932" s="19">
        <f t="shared" si="30"/>
        <v>0.34165250521405544</v>
      </c>
      <c r="M932" s="18">
        <f>VLOOKUP(A932,[1]Export!$A:$G,7,0)</f>
        <v>3550.8599999999997</v>
      </c>
      <c r="N932" s="19">
        <f t="shared" si="31"/>
        <v>0.70029336550392585</v>
      </c>
      <c r="O932" s="17" t="s">
        <v>1027</v>
      </c>
      <c r="P932" s="17" t="s">
        <v>1028</v>
      </c>
      <c r="Q932" s="17" t="s">
        <v>1023</v>
      </c>
      <c r="R932" s="17" t="str">
        <f>VLOOKUP(A932,[2]Export!$A:$I,9,0)</f>
        <v>Comprou Marcas</v>
      </c>
      <c r="S932" s="17" t="s">
        <v>1022</v>
      </c>
      <c r="T932" s="20"/>
      <c r="U932" s="17"/>
    </row>
    <row r="933" spans="1:21" x14ac:dyDescent="0.35">
      <c r="A933" s="5">
        <v>27899501000108</v>
      </c>
      <c r="B933" s="7"/>
      <c r="C933" s="4"/>
      <c r="D933" s="6" t="s">
        <v>876</v>
      </c>
      <c r="E933" s="6" t="s">
        <v>210</v>
      </c>
      <c r="F933" s="6" t="s">
        <v>8</v>
      </c>
      <c r="G933" s="11" t="s">
        <v>20</v>
      </c>
      <c r="H933" s="6" t="s">
        <v>17</v>
      </c>
      <c r="I933" s="21" t="s">
        <v>1070</v>
      </c>
      <c r="J933" s="18">
        <v>1885.4224946877728</v>
      </c>
      <c r="K933" s="18">
        <f>VLOOKUP(A933,[1]Export!$A:$C,3,0)</f>
        <v>637.24</v>
      </c>
      <c r="L933" s="19">
        <f t="shared" si="30"/>
        <v>0.33798260166909028</v>
      </c>
      <c r="M933" s="18">
        <f>VLOOKUP(A933,[1]Export!$A:$G,7,0)</f>
        <v>0</v>
      </c>
      <c r="N933" s="19">
        <f t="shared" si="31"/>
        <v>0</v>
      </c>
      <c r="O933" s="17" t="s">
        <v>1025</v>
      </c>
      <c r="P933" s="17" t="s">
        <v>1026</v>
      </c>
      <c r="Q933" s="17" t="s">
        <v>1023</v>
      </c>
      <c r="R933" s="17" t="str">
        <f>VLOOKUP(A933,[2]Export!$A:$I,9,0)</f>
        <v>Não Comprou</v>
      </c>
      <c r="S933" s="17" t="s">
        <v>1023</v>
      </c>
      <c r="T933" s="20"/>
      <c r="U933" s="17"/>
    </row>
    <row r="934" spans="1:21" x14ac:dyDescent="0.35">
      <c r="A934" s="4">
        <v>28800059000345</v>
      </c>
      <c r="B934" s="7" t="s">
        <v>950</v>
      </c>
      <c r="C934" s="4"/>
      <c r="D934" s="1" t="s">
        <v>877</v>
      </c>
      <c r="E934" s="1" t="s">
        <v>878</v>
      </c>
      <c r="F934" s="1" t="s">
        <v>15</v>
      </c>
      <c r="G934" s="10" t="s">
        <v>20</v>
      </c>
      <c r="H934" s="1" t="s">
        <v>17</v>
      </c>
      <c r="I934" s="21" t="s">
        <v>1069</v>
      </c>
      <c r="J934" s="18">
        <v>5765.5938191375835</v>
      </c>
      <c r="K934" s="18">
        <f>VLOOKUP(A934,[1]Export!$A:$C,3,0)</f>
        <v>1324.2500000000002</v>
      </c>
      <c r="L934" s="19">
        <f t="shared" si="30"/>
        <v>0.22968145893393532</v>
      </c>
      <c r="M934" s="18">
        <f>VLOOKUP(A934,[1]Export!$A:$G,7,0)</f>
        <v>845.6</v>
      </c>
      <c r="N934" s="19">
        <f t="shared" si="31"/>
        <v>0.14666312378669866</v>
      </c>
      <c r="O934" s="17" t="s">
        <v>1027</v>
      </c>
      <c r="P934" s="17" t="s">
        <v>1028</v>
      </c>
      <c r="Q934" s="17" t="s">
        <v>1023</v>
      </c>
      <c r="R934" s="17" t="str">
        <f>VLOOKUP(A934,[2]Export!$A:$I,9,0)</f>
        <v>Comprou Marcas e SG</v>
      </c>
      <c r="S934" s="17" t="s">
        <v>1022</v>
      </c>
      <c r="T934" s="20"/>
      <c r="U934" s="17"/>
    </row>
    <row r="935" spans="1:21" x14ac:dyDescent="0.35">
      <c r="A935" s="5">
        <v>34565893000134</v>
      </c>
      <c r="B935" s="7" t="s">
        <v>997</v>
      </c>
      <c r="C935" s="4"/>
      <c r="D935" s="6" t="s">
        <v>879</v>
      </c>
      <c r="E935" s="6" t="s">
        <v>14</v>
      </c>
      <c r="F935" s="6" t="s">
        <v>15</v>
      </c>
      <c r="G935" s="11" t="s">
        <v>9</v>
      </c>
      <c r="H935" s="6" t="s">
        <v>10</v>
      </c>
      <c r="I935" s="21" t="s">
        <v>1069</v>
      </c>
      <c r="J935" s="18">
        <v>4303.8246254261167</v>
      </c>
      <c r="K935" s="18">
        <f>VLOOKUP(A935,[1]Export!$A:$C,3,0)</f>
        <v>1931.8700000000003</v>
      </c>
      <c r="L935" s="19">
        <f t="shared" si="30"/>
        <v>0.44887284407150491</v>
      </c>
      <c r="M935" s="18">
        <f>VLOOKUP(A935,[1]Export!$A:$G,7,0)</f>
        <v>685.61000000000013</v>
      </c>
      <c r="N935" s="19">
        <f t="shared" si="31"/>
        <v>0.15930249479719882</v>
      </c>
      <c r="O935" s="17" t="s">
        <v>1027</v>
      </c>
      <c r="P935" s="17" t="s">
        <v>1028</v>
      </c>
      <c r="Q935" s="17" t="s">
        <v>1023</v>
      </c>
      <c r="R935" s="17" t="str">
        <f>VLOOKUP(A935,[2]Export!$A:$I,9,0)</f>
        <v>Comprou Marcas</v>
      </c>
      <c r="S935" s="17" t="s">
        <v>1022</v>
      </c>
      <c r="T935" s="20"/>
      <c r="U935" s="17"/>
    </row>
    <row r="936" spans="1:21" x14ac:dyDescent="0.35">
      <c r="A936" s="5">
        <v>19713710000510</v>
      </c>
      <c r="B936" s="7"/>
      <c r="C936" s="4"/>
      <c r="D936" s="6" t="s">
        <v>59</v>
      </c>
      <c r="E936" s="6" t="s">
        <v>329</v>
      </c>
      <c r="F936" s="6" t="s">
        <v>8</v>
      </c>
      <c r="G936" s="11" t="s">
        <v>9</v>
      </c>
      <c r="H936" s="6" t="s">
        <v>10</v>
      </c>
      <c r="I936" s="21" t="s">
        <v>1072</v>
      </c>
      <c r="J936" s="18">
        <v>654.20968009515059</v>
      </c>
      <c r="K936" s="18">
        <f>VLOOKUP(A936,[1]Export!$A:$C,3,0)</f>
        <v>918.09999999999991</v>
      </c>
      <c r="L936" s="19">
        <f t="shared" si="30"/>
        <v>1.403372692171825</v>
      </c>
      <c r="M936" s="18">
        <f>VLOOKUP(A936,[1]Export!$A:$G,7,0)</f>
        <v>0</v>
      </c>
      <c r="N936" s="19">
        <f t="shared" si="31"/>
        <v>0</v>
      </c>
      <c r="O936" s="17"/>
      <c r="P936" s="17"/>
      <c r="Q936" s="17"/>
      <c r="R936" s="17" t="str">
        <f>VLOOKUP(A936,[2]Export!$A:$I,9,0)</f>
        <v>Não Comprou</v>
      </c>
      <c r="S936" s="17" t="s">
        <v>1022</v>
      </c>
      <c r="T936" s="20"/>
      <c r="U936" s="17"/>
    </row>
    <row r="937" spans="1:21" x14ac:dyDescent="0.35">
      <c r="A937" s="5">
        <v>4834843001205</v>
      </c>
      <c r="B937" s="7" t="s">
        <v>994</v>
      </c>
      <c r="C937" s="4"/>
      <c r="D937" s="6" t="s">
        <v>91</v>
      </c>
      <c r="E937" s="6" t="s">
        <v>196</v>
      </c>
      <c r="F937" s="6" t="s">
        <v>48</v>
      </c>
      <c r="G937" s="11" t="s">
        <v>92</v>
      </c>
      <c r="H937" s="6" t="s">
        <v>17</v>
      </c>
      <c r="I937" s="21" t="s">
        <v>1073</v>
      </c>
      <c r="J937" s="18">
        <v>12314.180224979469</v>
      </c>
      <c r="K937" s="18">
        <f>VLOOKUP(A937,[1]Export!$A:$C,3,0)</f>
        <v>5776.4699999999993</v>
      </c>
      <c r="L937" s="19">
        <f t="shared" si="30"/>
        <v>0.46909090937960751</v>
      </c>
      <c r="M937" s="18">
        <f>VLOOKUP(A937,[1]Export!$A:$G,7,0)</f>
        <v>4218.0500000000011</v>
      </c>
      <c r="N937" s="19">
        <f t="shared" si="31"/>
        <v>0.34253599695119241</v>
      </c>
      <c r="O937" s="17" t="s">
        <v>1027</v>
      </c>
      <c r="P937" s="17" t="s">
        <v>1028</v>
      </c>
      <c r="Q937" s="17" t="s">
        <v>1023</v>
      </c>
      <c r="R937" s="17" t="str">
        <f>VLOOKUP(A937,[2]Export!$A:$I,9,0)</f>
        <v>Comprou Marcas</v>
      </c>
      <c r="S937" s="17" t="s">
        <v>1022</v>
      </c>
      <c r="T937" s="20">
        <v>4</v>
      </c>
      <c r="U937" s="17"/>
    </row>
    <row r="938" spans="1:21" x14ac:dyDescent="0.35">
      <c r="A938" s="4">
        <v>4834843001701</v>
      </c>
      <c r="B938" s="7" t="s">
        <v>994</v>
      </c>
      <c r="C938" s="4"/>
      <c r="D938" s="1" t="s">
        <v>91</v>
      </c>
      <c r="E938" s="1" t="s">
        <v>635</v>
      </c>
      <c r="F938" s="1" t="s">
        <v>48</v>
      </c>
      <c r="G938" s="10" t="s">
        <v>92</v>
      </c>
      <c r="H938" s="1" t="s">
        <v>17</v>
      </c>
      <c r="I938" s="21" t="s">
        <v>1073</v>
      </c>
      <c r="J938" s="18">
        <v>5774.876822491884</v>
      </c>
      <c r="K938" s="18">
        <f>VLOOKUP(A938,[1]Export!$A:$C,3,0)</f>
        <v>2279.5500000000002</v>
      </c>
      <c r="L938" s="19">
        <f t="shared" si="30"/>
        <v>0.39473569221799687</v>
      </c>
      <c r="M938" s="18">
        <f>VLOOKUP(A938,[1]Export!$A:$G,7,0)</f>
        <v>2640.94</v>
      </c>
      <c r="N938" s="19">
        <f t="shared" si="31"/>
        <v>0.45731538198600452</v>
      </c>
      <c r="O938" s="17" t="s">
        <v>1027</v>
      </c>
      <c r="P938" s="17" t="s">
        <v>1028</v>
      </c>
      <c r="Q938" s="17" t="s">
        <v>1023</v>
      </c>
      <c r="R938" s="17" t="str">
        <f>VLOOKUP(A938,[2]Export!$A:$I,9,0)</f>
        <v>Comprou Marcas</v>
      </c>
      <c r="S938" s="17" t="s">
        <v>1022</v>
      </c>
      <c r="T938" s="20"/>
      <c r="U938" s="17"/>
    </row>
    <row r="939" spans="1:21" x14ac:dyDescent="0.35">
      <c r="A939" s="5">
        <v>4834843002511</v>
      </c>
      <c r="B939" s="7" t="s">
        <v>994</v>
      </c>
      <c r="C939" s="4"/>
      <c r="D939" s="6" t="s">
        <v>91</v>
      </c>
      <c r="E939" s="6" t="s">
        <v>272</v>
      </c>
      <c r="F939" s="6" t="s">
        <v>48</v>
      </c>
      <c r="G939" s="11" t="s">
        <v>92</v>
      </c>
      <c r="H939" s="6" t="s">
        <v>17</v>
      </c>
      <c r="I939" s="21" t="s">
        <v>1073</v>
      </c>
      <c r="J939" s="18">
        <v>13865.005408956409</v>
      </c>
      <c r="K939" s="18">
        <f>VLOOKUP(A939,[1]Export!$A:$C,3,0)</f>
        <v>4997.300000000002</v>
      </c>
      <c r="L939" s="19">
        <f t="shared" si="30"/>
        <v>0.360425391307232</v>
      </c>
      <c r="M939" s="18">
        <f>VLOOKUP(A939,[1]Export!$A:$G,7,0)</f>
        <v>4482.75</v>
      </c>
      <c r="N939" s="19">
        <f t="shared" si="31"/>
        <v>0.32331397412252488</v>
      </c>
      <c r="O939" s="17" t="s">
        <v>1027</v>
      </c>
      <c r="P939" s="17" t="s">
        <v>1028</v>
      </c>
      <c r="Q939" s="17" t="s">
        <v>1023</v>
      </c>
      <c r="R939" s="17" t="str">
        <f>VLOOKUP(A939,[2]Export!$A:$I,9,0)</f>
        <v>Comprou Marcas</v>
      </c>
      <c r="S939" s="17" t="s">
        <v>1022</v>
      </c>
      <c r="T939" s="20">
        <v>4</v>
      </c>
      <c r="U939" s="17"/>
    </row>
    <row r="940" spans="1:21" x14ac:dyDescent="0.35">
      <c r="A940" s="4">
        <v>27449054000195</v>
      </c>
      <c r="B940" s="7"/>
      <c r="C940" s="4"/>
      <c r="D940" s="1" t="s">
        <v>881</v>
      </c>
      <c r="E940" s="1" t="s">
        <v>52</v>
      </c>
      <c r="F940" s="1" t="s">
        <v>8</v>
      </c>
      <c r="G940" s="10" t="s">
        <v>36</v>
      </c>
      <c r="H940" s="1" t="s">
        <v>17</v>
      </c>
      <c r="I940" s="21" t="s">
        <v>1074</v>
      </c>
      <c r="J940" s="18">
        <v>6773.9234275427898</v>
      </c>
      <c r="K940" s="18">
        <f>VLOOKUP(A940,[1]Export!$A:$C,3,0)</f>
        <v>3656.7800000000007</v>
      </c>
      <c r="L940" s="19">
        <f t="shared" si="30"/>
        <v>0.53983190673982584</v>
      </c>
      <c r="M940" s="18">
        <f>VLOOKUP(A940,[1]Export!$A:$G,7,0)</f>
        <v>2270.12</v>
      </c>
      <c r="N940" s="19">
        <f t="shared" si="31"/>
        <v>0.33512631553667793</v>
      </c>
      <c r="O940" s="17" t="s">
        <v>1025</v>
      </c>
      <c r="P940" s="17" t="s">
        <v>1026</v>
      </c>
      <c r="Q940" s="17" t="s">
        <v>1023</v>
      </c>
      <c r="R940" s="17" t="str">
        <f>VLOOKUP(A940,[2]Export!$A:$I,9,0)</f>
        <v>Comprou Marcas</v>
      </c>
      <c r="S940" s="17" t="s">
        <v>1023</v>
      </c>
      <c r="T940" s="20">
        <v>1</v>
      </c>
      <c r="U940" s="17"/>
    </row>
    <row r="941" spans="1:21" x14ac:dyDescent="0.35">
      <c r="A941" s="5">
        <v>29606556000108</v>
      </c>
      <c r="B941" s="7"/>
      <c r="C941" s="4"/>
      <c r="D941" s="6" t="s">
        <v>882</v>
      </c>
      <c r="E941" s="6" t="s">
        <v>35</v>
      </c>
      <c r="F941" s="6" t="s">
        <v>8</v>
      </c>
      <c r="G941" s="11" t="s">
        <v>20</v>
      </c>
      <c r="H941" s="6" t="s">
        <v>17</v>
      </c>
      <c r="I941" s="21" t="s">
        <v>1072</v>
      </c>
      <c r="J941" s="18">
        <v>1340.756493872291</v>
      </c>
      <c r="K941" s="18">
        <f>VLOOKUP(A941,[1]Export!$A:$C,3,0)</f>
        <v>666.5100000000001</v>
      </c>
      <c r="L941" s="19">
        <f t="shared" si="30"/>
        <v>0.49711487734437643</v>
      </c>
      <c r="M941" s="18">
        <f>VLOOKUP(A941,[1]Export!$A:$G,7,0)</f>
        <v>546.78</v>
      </c>
      <c r="N941" s="19">
        <f t="shared" si="31"/>
        <v>0.40781454536969902</v>
      </c>
      <c r="O941" s="17" t="s">
        <v>1025</v>
      </c>
      <c r="P941" s="17" t="s">
        <v>1026</v>
      </c>
      <c r="Q941" s="17" t="s">
        <v>1023</v>
      </c>
      <c r="R941" s="17" t="str">
        <f>VLOOKUP(A941,[2]Export!$A:$I,9,0)</f>
        <v>Comprou Marcas</v>
      </c>
      <c r="S941" s="17" t="s">
        <v>1022</v>
      </c>
      <c r="T941" s="20"/>
      <c r="U941" s="17"/>
    </row>
    <row r="942" spans="1:21" x14ac:dyDescent="0.35">
      <c r="A942" s="4">
        <v>33019679000381</v>
      </c>
      <c r="B942" s="7"/>
      <c r="C942" s="4"/>
      <c r="D942" s="1" t="s">
        <v>69</v>
      </c>
      <c r="E942" s="1" t="s">
        <v>61</v>
      </c>
      <c r="F942" s="1" t="s">
        <v>8</v>
      </c>
      <c r="G942" s="10" t="s">
        <v>64</v>
      </c>
      <c r="H942" s="1" t="s">
        <v>17</v>
      </c>
      <c r="I942" s="21" t="s">
        <v>1068</v>
      </c>
      <c r="J942" s="18">
        <v>2376.9944632946149</v>
      </c>
      <c r="K942" s="18">
        <f>VLOOKUP(A942,[1]Export!$A:$C,3,0)</f>
        <v>2060.21</v>
      </c>
      <c r="L942" s="19">
        <f t="shared" si="30"/>
        <v>0.86672898562180989</v>
      </c>
      <c r="M942" s="18">
        <f>VLOOKUP(A942,[1]Export!$A:$G,7,0)</f>
        <v>2065.81</v>
      </c>
      <c r="N942" s="19">
        <f t="shared" si="31"/>
        <v>0.86908490192135324</v>
      </c>
      <c r="O942" s="17" t="s">
        <v>1029</v>
      </c>
      <c r="P942" s="17" t="s">
        <v>1026</v>
      </c>
      <c r="Q942" s="17" t="s">
        <v>1022</v>
      </c>
      <c r="R942" s="17" t="str">
        <f>VLOOKUP(A942,[2]Export!$A:$I,9,0)</f>
        <v>Comprou Marcas</v>
      </c>
      <c r="S942" s="17" t="s">
        <v>1022</v>
      </c>
      <c r="T942" s="20"/>
      <c r="U942" s="17"/>
    </row>
    <row r="943" spans="1:21" x14ac:dyDescent="0.35">
      <c r="A943" s="5">
        <v>33586036000158</v>
      </c>
      <c r="B943" s="7"/>
      <c r="C943" s="4"/>
      <c r="D943" s="6" t="s">
        <v>217</v>
      </c>
      <c r="E943" s="6" t="s">
        <v>35</v>
      </c>
      <c r="F943" s="6" t="s">
        <v>8</v>
      </c>
      <c r="G943" s="11" t="s">
        <v>20</v>
      </c>
      <c r="H943" s="6" t="s">
        <v>17</v>
      </c>
      <c r="I943" s="21" t="s">
        <v>1072</v>
      </c>
      <c r="J943" s="18">
        <v>303.26497769199204</v>
      </c>
      <c r="K943" s="18">
        <f>VLOOKUP(A943,[1]Export!$A:$C,3,0)</f>
        <v>0</v>
      </c>
      <c r="L943" s="19">
        <f t="shared" si="30"/>
        <v>0</v>
      </c>
      <c r="M943" s="18">
        <f>VLOOKUP(A943,[1]Export!$A:$G,7,0)</f>
        <v>0</v>
      </c>
      <c r="N943" s="19">
        <f t="shared" si="31"/>
        <v>0</v>
      </c>
      <c r="O943" s="17" t="s">
        <v>1025</v>
      </c>
      <c r="P943" s="17" t="s">
        <v>1026</v>
      </c>
      <c r="Q943" s="17" t="s">
        <v>1023</v>
      </c>
      <c r="R943" s="17" t="str">
        <f>VLOOKUP(A943,[2]Export!$A:$I,9,0)</f>
        <v>Não Comprou</v>
      </c>
      <c r="S943" s="17" t="s">
        <v>1023</v>
      </c>
      <c r="T943" s="20"/>
      <c r="U943" s="17"/>
    </row>
    <row r="944" spans="1:21" x14ac:dyDescent="0.35">
      <c r="A944" s="4">
        <v>34152830000156</v>
      </c>
      <c r="B944" s="7"/>
      <c r="C944" s="4"/>
      <c r="D944" s="1" t="s">
        <v>548</v>
      </c>
      <c r="E944" s="1" t="s">
        <v>452</v>
      </c>
      <c r="F944" s="1" t="s">
        <v>15</v>
      </c>
      <c r="G944" s="10" t="s">
        <v>16</v>
      </c>
      <c r="H944" s="1" t="s">
        <v>17</v>
      </c>
      <c r="I944" s="21" t="s">
        <v>1071</v>
      </c>
      <c r="J944" s="18">
        <v>3358.3124530369073</v>
      </c>
      <c r="K944" s="18">
        <f>VLOOKUP(A944,[1]Export!$A:$C,3,0)</f>
        <v>692.85</v>
      </c>
      <c r="L944" s="19">
        <f t="shared" si="30"/>
        <v>0.20630897502507808</v>
      </c>
      <c r="M944" s="18">
        <f>VLOOKUP(A944,[1]Export!$A:$G,7,0)</f>
        <v>0</v>
      </c>
      <c r="N944" s="19">
        <f t="shared" si="31"/>
        <v>0</v>
      </c>
      <c r="O944" s="17" t="s">
        <v>1029</v>
      </c>
      <c r="P944" s="17" t="s">
        <v>1026</v>
      </c>
      <c r="Q944" s="17" t="s">
        <v>1023</v>
      </c>
      <c r="R944" s="17" t="str">
        <f>VLOOKUP(A944,[2]Export!$A:$I,9,0)</f>
        <v>Não Comprou</v>
      </c>
      <c r="S944" s="17" t="s">
        <v>1022</v>
      </c>
      <c r="T944" s="20"/>
      <c r="U944" s="17"/>
    </row>
    <row r="945" spans="1:21" x14ac:dyDescent="0.35">
      <c r="A945" s="5">
        <v>34508395000150</v>
      </c>
      <c r="B945" s="7"/>
      <c r="C945" s="4"/>
      <c r="D945" s="6" t="s">
        <v>883</v>
      </c>
      <c r="E945" s="6" t="s">
        <v>152</v>
      </c>
      <c r="F945" s="6" t="s">
        <v>8</v>
      </c>
      <c r="G945" s="11" t="s">
        <v>20</v>
      </c>
      <c r="H945" s="6" t="s">
        <v>17</v>
      </c>
      <c r="I945" s="21" t="s">
        <v>1070</v>
      </c>
      <c r="J945" s="18">
        <v>633.22358096077608</v>
      </c>
      <c r="K945" s="18">
        <f>VLOOKUP(A945,[1]Export!$A:$C,3,0)</f>
        <v>314.59000000000003</v>
      </c>
      <c r="L945" s="19">
        <f t="shared" si="30"/>
        <v>0.49680714594153241</v>
      </c>
      <c r="M945" s="18">
        <f>VLOOKUP(A945,[1]Export!$A:$G,7,0)</f>
        <v>0</v>
      </c>
      <c r="N945" s="19">
        <f t="shared" si="31"/>
        <v>0</v>
      </c>
      <c r="O945" s="17" t="s">
        <v>1025</v>
      </c>
      <c r="P945" s="17" t="s">
        <v>1026</v>
      </c>
      <c r="Q945" s="17" t="s">
        <v>1023</v>
      </c>
      <c r="R945" s="17" t="str">
        <f>VLOOKUP(A945,[2]Export!$A:$I,9,0)</f>
        <v>Não Comprou</v>
      </c>
      <c r="S945" s="17" t="s">
        <v>1023</v>
      </c>
      <c r="T945" s="20"/>
      <c r="U945" s="17"/>
    </row>
    <row r="946" spans="1:21" x14ac:dyDescent="0.35">
      <c r="A946" s="4">
        <v>27785214000258</v>
      </c>
      <c r="B946" s="7" t="s">
        <v>1010</v>
      </c>
      <c r="C946" s="4"/>
      <c r="D946" s="1" t="s">
        <v>884</v>
      </c>
      <c r="E946" s="1" t="s">
        <v>443</v>
      </c>
      <c r="F946" s="1" t="s">
        <v>15</v>
      </c>
      <c r="G946" s="10" t="s">
        <v>36</v>
      </c>
      <c r="H946" s="1" t="s">
        <v>17</v>
      </c>
      <c r="I946" s="21" t="s">
        <v>1071</v>
      </c>
      <c r="J946" s="18">
        <v>6839.2124209120366</v>
      </c>
      <c r="K946" s="18">
        <f>VLOOKUP(A946,[1]Export!$A:$C,3,0)</f>
        <v>1242.8500000000001</v>
      </c>
      <c r="L946" s="19">
        <f t="shared" si="30"/>
        <v>0.18172414066271406</v>
      </c>
      <c r="M946" s="18">
        <f>VLOOKUP(A946,[1]Export!$A:$G,7,0)</f>
        <v>3200.0699999999997</v>
      </c>
      <c r="N946" s="19">
        <f t="shared" si="31"/>
        <v>0.46790036674621338</v>
      </c>
      <c r="O946" s="17" t="s">
        <v>1027</v>
      </c>
      <c r="P946" s="17" t="s">
        <v>1028</v>
      </c>
      <c r="Q946" s="17" t="s">
        <v>1023</v>
      </c>
      <c r="R946" s="17" t="str">
        <f>VLOOKUP(A946,[2]Export!$A:$I,9,0)</f>
        <v>Comprou Marcas</v>
      </c>
      <c r="S946" s="17" t="s">
        <v>1022</v>
      </c>
      <c r="T946" s="20"/>
      <c r="U946" s="17"/>
    </row>
    <row r="947" spans="1:21" x14ac:dyDescent="0.35">
      <c r="A947" s="5">
        <v>32338157000118</v>
      </c>
      <c r="B947" s="7"/>
      <c r="C947" s="4"/>
      <c r="D947" s="6" t="s">
        <v>885</v>
      </c>
      <c r="E947" s="6" t="s">
        <v>307</v>
      </c>
      <c r="F947" s="6" t="s">
        <v>8</v>
      </c>
      <c r="G947" s="11" t="s">
        <v>20</v>
      </c>
      <c r="H947" s="6" t="s">
        <v>17</v>
      </c>
      <c r="I947" s="21" t="s">
        <v>1070</v>
      </c>
      <c r="J947" s="18">
        <v>1062.2899959688434</v>
      </c>
      <c r="K947" s="18">
        <f>VLOOKUP(A947,[1]Export!$A:$C,3,0)</f>
        <v>303.13</v>
      </c>
      <c r="L947" s="19">
        <f t="shared" si="30"/>
        <v>0.28535522423284754</v>
      </c>
      <c r="M947" s="18">
        <f>VLOOKUP(A947,[1]Export!$A:$G,7,0)</f>
        <v>0</v>
      </c>
      <c r="N947" s="19">
        <f t="shared" si="31"/>
        <v>0</v>
      </c>
      <c r="O947" s="17" t="s">
        <v>1025</v>
      </c>
      <c r="P947" s="17" t="s">
        <v>1026</v>
      </c>
      <c r="Q947" s="17" t="s">
        <v>1023</v>
      </c>
      <c r="R947" s="17" t="str">
        <f>VLOOKUP(A947,[2]Export!$A:$I,9,0)</f>
        <v>Não Comprou</v>
      </c>
      <c r="S947" s="17" t="s">
        <v>1022</v>
      </c>
      <c r="T947" s="20"/>
      <c r="U947" s="17"/>
    </row>
    <row r="948" spans="1:21" x14ac:dyDescent="0.35">
      <c r="A948" s="4">
        <v>33007949000172</v>
      </c>
      <c r="B948" s="7"/>
      <c r="C948" s="4"/>
      <c r="D948" s="1" t="s">
        <v>810</v>
      </c>
      <c r="E948" s="1" t="s">
        <v>390</v>
      </c>
      <c r="F948" s="1" t="s">
        <v>8</v>
      </c>
      <c r="G948" s="10" t="s">
        <v>36</v>
      </c>
      <c r="H948" s="1" t="s">
        <v>17</v>
      </c>
      <c r="I948" s="21" t="s">
        <v>1070</v>
      </c>
      <c r="J948" s="18">
        <v>7742.3313115720575</v>
      </c>
      <c r="K948" s="18">
        <f>VLOOKUP(A948,[1]Export!$A:$C,3,0)</f>
        <v>4090.9099999999989</v>
      </c>
      <c r="L948" s="19">
        <f t="shared" si="30"/>
        <v>0.52838219334343517</v>
      </c>
      <c r="M948" s="18">
        <f>VLOOKUP(A948,[1]Export!$A:$G,7,0)</f>
        <v>5914</v>
      </c>
      <c r="N948" s="19">
        <f t="shared" si="31"/>
        <v>0.76385261260528259</v>
      </c>
      <c r="O948" s="17"/>
      <c r="P948" s="17"/>
      <c r="Q948" s="17"/>
      <c r="R948" s="17" t="str">
        <f>VLOOKUP(A948,[2]Export!$A:$I,9,0)</f>
        <v>Comprou Marcas</v>
      </c>
      <c r="S948" s="17"/>
      <c r="T948" s="20"/>
      <c r="U948" s="17"/>
    </row>
    <row r="949" spans="1:21" x14ac:dyDescent="0.35">
      <c r="A949" s="5">
        <v>33379672000109</v>
      </c>
      <c r="B949" s="7"/>
      <c r="C949" s="4"/>
      <c r="D949" s="6" t="s">
        <v>886</v>
      </c>
      <c r="E949" s="6" t="s">
        <v>52</v>
      </c>
      <c r="F949" s="6" t="s">
        <v>8</v>
      </c>
      <c r="G949" s="11" t="s">
        <v>36</v>
      </c>
      <c r="H949" s="6" t="s">
        <v>17</v>
      </c>
      <c r="I949" s="21" t="s">
        <v>1074</v>
      </c>
      <c r="J949" s="18">
        <v>8119.5403341227693</v>
      </c>
      <c r="K949" s="18">
        <f>VLOOKUP(A949,[1]Export!$A:$C,3,0)</f>
        <v>7400.2199999999984</v>
      </c>
      <c r="L949" s="19">
        <f t="shared" si="30"/>
        <v>0.91140873688381208</v>
      </c>
      <c r="M949" s="18">
        <f>VLOOKUP(A949,[1]Export!$A:$G,7,0)</f>
        <v>6136.5300000000007</v>
      </c>
      <c r="N949" s="19">
        <f t="shared" si="31"/>
        <v>0.75577307919894554</v>
      </c>
      <c r="O949" s="17" t="s">
        <v>1025</v>
      </c>
      <c r="P949" s="17" t="s">
        <v>1026</v>
      </c>
      <c r="Q949" s="17" t="s">
        <v>1023</v>
      </c>
      <c r="R949" s="17" t="str">
        <f>VLOOKUP(A949,[2]Export!$A:$I,9,0)</f>
        <v>Comprou Marcas</v>
      </c>
      <c r="S949" s="17" t="s">
        <v>1022</v>
      </c>
      <c r="T949" s="20"/>
      <c r="U949" s="17"/>
    </row>
    <row r="950" spans="1:21" x14ac:dyDescent="0.35">
      <c r="A950" s="4">
        <v>55733059000180</v>
      </c>
      <c r="B950" s="7"/>
      <c r="C950" s="4"/>
      <c r="D950" s="1" t="s">
        <v>759</v>
      </c>
      <c r="E950" s="1" t="s">
        <v>760</v>
      </c>
      <c r="F950" s="1" t="s">
        <v>48</v>
      </c>
      <c r="G950" s="10" t="s">
        <v>38</v>
      </c>
      <c r="H950" s="1" t="s">
        <v>17</v>
      </c>
      <c r="I950" s="21" t="s">
        <v>1075</v>
      </c>
      <c r="J950" s="18">
        <v>1399.7241962443682</v>
      </c>
      <c r="K950" s="18">
        <f>VLOOKUP(A950,[1]Export!$A:$C,3,0)</f>
        <v>559.74</v>
      </c>
      <c r="L950" s="19">
        <f t="shared" si="30"/>
        <v>0.39989306572098354</v>
      </c>
      <c r="M950" s="18">
        <f>VLOOKUP(A950,[1]Export!$A:$G,7,0)</f>
        <v>0</v>
      </c>
      <c r="N950" s="19">
        <f t="shared" si="31"/>
        <v>0</v>
      </c>
      <c r="O950" s="17"/>
      <c r="P950" s="17"/>
      <c r="Q950" s="17"/>
      <c r="R950" s="17" t="str">
        <f>VLOOKUP(A950,[2]Export!$A:$I,9,0)</f>
        <v>Não Comprou</v>
      </c>
      <c r="S950" s="17"/>
      <c r="T950" s="20"/>
      <c r="U950" s="17"/>
    </row>
    <row r="951" spans="1:21" x14ac:dyDescent="0.35">
      <c r="A951" s="5">
        <v>31230095000163</v>
      </c>
      <c r="B951" s="7"/>
      <c r="C951" s="4"/>
      <c r="D951" s="6" t="s">
        <v>888</v>
      </c>
      <c r="E951" s="6" t="s">
        <v>544</v>
      </c>
      <c r="F951" s="6" t="s">
        <v>15</v>
      </c>
      <c r="G951" s="11" t="s">
        <v>20</v>
      </c>
      <c r="H951" s="6" t="s">
        <v>17</v>
      </c>
      <c r="I951" s="21" t="s">
        <v>1075</v>
      </c>
      <c r="J951" s="18">
        <v>11090.109594181398</v>
      </c>
      <c r="K951" s="18">
        <f>VLOOKUP(A951,[1]Export!$A:$C,3,0)</f>
        <v>1531.66</v>
      </c>
      <c r="L951" s="19">
        <f t="shared" si="30"/>
        <v>0.13811044760131222</v>
      </c>
      <c r="M951" s="18">
        <f>VLOOKUP(A951,[1]Export!$A:$G,7,0)</f>
        <v>1712.69</v>
      </c>
      <c r="N951" s="19">
        <f t="shared" si="31"/>
        <v>0.15443400134644206</v>
      </c>
      <c r="O951" s="17" t="s">
        <v>1027</v>
      </c>
      <c r="P951" s="17" t="s">
        <v>1028</v>
      </c>
      <c r="Q951" s="17" t="s">
        <v>1022</v>
      </c>
      <c r="R951" s="17" t="str">
        <f>VLOOKUP(A951,[2]Export!$A:$I,9,0)</f>
        <v>Comprou Marcas</v>
      </c>
      <c r="S951" s="17" t="s">
        <v>1022</v>
      </c>
      <c r="T951" s="20"/>
      <c r="U951" s="17"/>
    </row>
    <row r="952" spans="1:21" x14ac:dyDescent="0.35">
      <c r="A952" s="4">
        <v>546706000153</v>
      </c>
      <c r="B952" s="7"/>
      <c r="C952" s="4"/>
      <c r="D952" s="1" t="s">
        <v>449</v>
      </c>
      <c r="E952" s="1" t="s">
        <v>232</v>
      </c>
      <c r="F952" s="1" t="s">
        <v>8</v>
      </c>
      <c r="G952" s="10" t="s">
        <v>20</v>
      </c>
      <c r="H952" s="1" t="s">
        <v>17</v>
      </c>
      <c r="I952" s="21" t="s">
        <v>1070</v>
      </c>
      <c r="J952" s="18">
        <v>5028.1724821632606</v>
      </c>
      <c r="K952" s="18">
        <f>VLOOKUP(A952,[1]Export!$A:$C,3,0)</f>
        <v>2179.3000000000002</v>
      </c>
      <c r="L952" s="19">
        <f t="shared" si="30"/>
        <v>0.43341790834160171</v>
      </c>
      <c r="M952" s="18">
        <f>VLOOKUP(A952,[1]Export!$A:$G,7,0)</f>
        <v>2124.17</v>
      </c>
      <c r="N952" s="19">
        <f t="shared" si="31"/>
        <v>0.42245368621207735</v>
      </c>
      <c r="O952" s="17" t="s">
        <v>1030</v>
      </c>
      <c r="P952" s="17" t="s">
        <v>1026</v>
      </c>
      <c r="Q952" s="17" t="s">
        <v>1023</v>
      </c>
      <c r="R952" s="17" t="str">
        <f>VLOOKUP(A952,[2]Export!$A:$I,9,0)</f>
        <v>Comprou Marcas</v>
      </c>
      <c r="S952" s="17" t="s">
        <v>1022</v>
      </c>
      <c r="T952" s="20"/>
      <c r="U952" s="17"/>
    </row>
    <row r="953" spans="1:21" x14ac:dyDescent="0.35">
      <c r="A953" s="5">
        <v>1177047000198</v>
      </c>
      <c r="B953" s="7"/>
      <c r="C953" s="4"/>
      <c r="D953" s="6" t="s">
        <v>889</v>
      </c>
      <c r="E953" s="6" t="s">
        <v>890</v>
      </c>
      <c r="F953" s="6" t="s">
        <v>8</v>
      </c>
      <c r="G953" s="11" t="s">
        <v>36</v>
      </c>
      <c r="H953" s="6" t="s">
        <v>17</v>
      </c>
      <c r="I953" s="21" t="s">
        <v>1074</v>
      </c>
      <c r="J953" s="18">
        <v>11841.622491329696</v>
      </c>
      <c r="K953" s="18">
        <f>VLOOKUP(A953,[1]Export!$A:$C,3,0)</f>
        <v>3244.04</v>
      </c>
      <c r="L953" s="19">
        <f t="shared" si="30"/>
        <v>0.27395232387920238</v>
      </c>
      <c r="M953" s="18">
        <f>VLOOKUP(A953,[1]Export!$A:$G,7,0)</f>
        <v>7479.91</v>
      </c>
      <c r="N953" s="19">
        <f t="shared" si="31"/>
        <v>0.63166259568540606</v>
      </c>
      <c r="O953" s="17" t="s">
        <v>1025</v>
      </c>
      <c r="P953" s="17" t="s">
        <v>1026</v>
      </c>
      <c r="Q953" s="17" t="s">
        <v>1023</v>
      </c>
      <c r="R953" s="17" t="str">
        <f>VLOOKUP(A953,[2]Export!$A:$I,9,0)</f>
        <v>Comprou Marcas</v>
      </c>
      <c r="S953" s="17" t="s">
        <v>1022</v>
      </c>
      <c r="T953" s="20">
        <v>11</v>
      </c>
      <c r="U953" s="17"/>
    </row>
    <row r="954" spans="1:21" x14ac:dyDescent="0.35">
      <c r="A954" s="4">
        <v>1756694000154</v>
      </c>
      <c r="B954" s="7"/>
      <c r="C954" s="4"/>
      <c r="D954" s="1" t="s">
        <v>222</v>
      </c>
      <c r="E954" s="1" t="s">
        <v>155</v>
      </c>
      <c r="F954" s="1" t="s">
        <v>15</v>
      </c>
      <c r="G954" s="10" t="s">
        <v>33</v>
      </c>
      <c r="H954" s="1" t="s">
        <v>17</v>
      </c>
      <c r="I954" s="21" t="s">
        <v>1071</v>
      </c>
      <c r="J954" s="18">
        <v>3008.8332133980834</v>
      </c>
      <c r="K954" s="18">
        <f>VLOOKUP(A954,[1]Export!$A:$C,3,0)</f>
        <v>1372.39</v>
      </c>
      <c r="L954" s="19">
        <f t="shared" si="30"/>
        <v>0.45612033059488372</v>
      </c>
      <c r="M954" s="18">
        <f>VLOOKUP(A954,[1]Export!$A:$G,7,0)</f>
        <v>0</v>
      </c>
      <c r="N954" s="19">
        <f t="shared" si="31"/>
        <v>0</v>
      </c>
      <c r="O954" s="17" t="s">
        <v>1025</v>
      </c>
      <c r="P954" s="17" t="s">
        <v>1026</v>
      </c>
      <c r="Q954" s="17" t="s">
        <v>1023</v>
      </c>
      <c r="R954" s="17" t="str">
        <f>VLOOKUP(A954,[2]Export!$A:$I,9,0)</f>
        <v>Não Comprou</v>
      </c>
      <c r="S954" s="17" t="s">
        <v>1022</v>
      </c>
      <c r="T954" s="20"/>
      <c r="U954" s="17"/>
    </row>
    <row r="955" spans="1:21" x14ac:dyDescent="0.35">
      <c r="A955" s="5">
        <v>2736133000156</v>
      </c>
      <c r="B955" s="7"/>
      <c r="C955" s="4"/>
      <c r="D955" s="6" t="s">
        <v>891</v>
      </c>
      <c r="E955" s="6" t="s">
        <v>22</v>
      </c>
      <c r="F955" s="6" t="s">
        <v>8</v>
      </c>
      <c r="G955" s="11" t="s">
        <v>190</v>
      </c>
      <c r="H955" s="6" t="s">
        <v>17</v>
      </c>
      <c r="I955" s="21" t="s">
        <v>1070</v>
      </c>
      <c r="J955" s="18">
        <v>2216.0874988899022</v>
      </c>
      <c r="K955" s="18">
        <f>VLOOKUP(A955,[1]Export!$A:$C,3,0)</f>
        <v>490.84</v>
      </c>
      <c r="L955" s="19">
        <f t="shared" si="30"/>
        <v>0.2214894494219542</v>
      </c>
      <c r="M955" s="18">
        <f>VLOOKUP(A955,[1]Export!$A:$G,7,0)</f>
        <v>395.31</v>
      </c>
      <c r="N955" s="19">
        <f t="shared" si="31"/>
        <v>0.17838194574809046</v>
      </c>
      <c r="O955" s="17" t="s">
        <v>1025</v>
      </c>
      <c r="P955" s="17" t="s">
        <v>1026</v>
      </c>
      <c r="Q955" s="17" t="s">
        <v>1023</v>
      </c>
      <c r="R955" s="17" t="str">
        <f>VLOOKUP(A955,[2]Export!$A:$I,9,0)</f>
        <v>Comprou Marcas</v>
      </c>
      <c r="S955" s="17" t="s">
        <v>1022</v>
      </c>
      <c r="T955" s="20"/>
      <c r="U955" s="17"/>
    </row>
    <row r="956" spans="1:21" x14ac:dyDescent="0.35">
      <c r="A956" s="4">
        <v>6213559000186</v>
      </c>
      <c r="B956" s="7"/>
      <c r="C956" s="4"/>
      <c r="D956" s="1" t="s">
        <v>230</v>
      </c>
      <c r="E956" s="1" t="s">
        <v>50</v>
      </c>
      <c r="F956" s="1" t="s">
        <v>48</v>
      </c>
      <c r="G956" s="10" t="s">
        <v>276</v>
      </c>
      <c r="H956" s="1" t="s">
        <v>17</v>
      </c>
      <c r="I956" s="21" t="s">
        <v>1073</v>
      </c>
      <c r="J956" s="18">
        <v>738.41619361115602</v>
      </c>
      <c r="K956" s="18">
        <f>VLOOKUP(A956,[1]Export!$A:$C,3,0)</f>
        <v>207.12</v>
      </c>
      <c r="L956" s="19">
        <f t="shared" si="30"/>
        <v>0.28049222348049929</v>
      </c>
      <c r="M956" s="18">
        <f>VLOOKUP(A956,[1]Export!$A:$G,7,0)</f>
        <v>0</v>
      </c>
      <c r="N956" s="19">
        <f t="shared" si="31"/>
        <v>0</v>
      </c>
      <c r="O956" s="17" t="s">
        <v>1029</v>
      </c>
      <c r="P956" s="17" t="s">
        <v>1026</v>
      </c>
      <c r="Q956" s="17" t="s">
        <v>1022</v>
      </c>
      <c r="R956" s="17" t="str">
        <f>VLOOKUP(A956,[2]Export!$A:$I,9,0)</f>
        <v>Não Comprou</v>
      </c>
      <c r="S956" s="17" t="s">
        <v>1023</v>
      </c>
      <c r="T956" s="20"/>
      <c r="U956" s="17"/>
    </row>
    <row r="957" spans="1:21" x14ac:dyDescent="0.35">
      <c r="A957" s="5">
        <v>20330018000169</v>
      </c>
      <c r="B957" s="7"/>
      <c r="C957" s="4">
        <v>13478</v>
      </c>
      <c r="D957" s="6" t="s">
        <v>59</v>
      </c>
      <c r="E957" s="6" t="s">
        <v>171</v>
      </c>
      <c r="F957" s="6" t="s">
        <v>8</v>
      </c>
      <c r="G957" s="11" t="s">
        <v>9</v>
      </c>
      <c r="H957" s="6" t="s">
        <v>10</v>
      </c>
      <c r="I957" s="21" t="s">
        <v>1072</v>
      </c>
      <c r="J957" s="18">
        <v>10033.688578691679</v>
      </c>
      <c r="K957" s="18">
        <f>VLOOKUP(A957,[1]Export!$A:$C,3,0)</f>
        <v>5785.4399999999987</v>
      </c>
      <c r="L957" s="19">
        <f t="shared" si="30"/>
        <v>0.57660151146074123</v>
      </c>
      <c r="M957" s="18">
        <f>VLOOKUP(A957,[1]Export!$A:$G,7,0)</f>
        <v>6579.1100000000006</v>
      </c>
      <c r="N957" s="19">
        <f t="shared" si="31"/>
        <v>0.65570203304614316</v>
      </c>
      <c r="O957" s="17" t="s">
        <v>1027</v>
      </c>
      <c r="P957" s="17" t="s">
        <v>1028</v>
      </c>
      <c r="Q957" s="17" t="s">
        <v>1023</v>
      </c>
      <c r="R957" s="17" t="str">
        <f>VLOOKUP(A957,[2]Export!$A:$I,9,0)</f>
        <v>Comprou Marcas</v>
      </c>
      <c r="S957" s="17" t="s">
        <v>1022</v>
      </c>
      <c r="T957" s="20"/>
      <c r="U957" s="17"/>
    </row>
    <row r="958" spans="1:21" x14ac:dyDescent="0.35">
      <c r="A958" s="4">
        <v>1203805000103</v>
      </c>
      <c r="B958" s="7"/>
      <c r="C958" s="4"/>
      <c r="D958" s="1" t="s">
        <v>893</v>
      </c>
      <c r="E958" s="1" t="s">
        <v>102</v>
      </c>
      <c r="F958" s="1" t="s">
        <v>48</v>
      </c>
      <c r="G958" s="10" t="s">
        <v>20</v>
      </c>
      <c r="H958" s="1" t="s">
        <v>17</v>
      </c>
      <c r="I958" s="21" t="s">
        <v>1073</v>
      </c>
      <c r="J958" s="18">
        <v>2933.4970010060815</v>
      </c>
      <c r="K958" s="18">
        <f>VLOOKUP(A958,[1]Export!$A:$C,3,0)</f>
        <v>1484.6299999999999</v>
      </c>
      <c r="L958" s="19">
        <f t="shared" si="30"/>
        <v>0.50609562562730637</v>
      </c>
      <c r="M958" s="18">
        <f>VLOOKUP(A958,[1]Export!$A:$G,7,0)</f>
        <v>830.6</v>
      </c>
      <c r="N958" s="19">
        <f t="shared" si="31"/>
        <v>0.28314329270325989</v>
      </c>
      <c r="O958" s="17" t="s">
        <v>1025</v>
      </c>
      <c r="P958" s="17" t="s">
        <v>1026</v>
      </c>
      <c r="Q958" s="17" t="s">
        <v>1023</v>
      </c>
      <c r="R958" s="17" t="str">
        <f>VLOOKUP(A958,[2]Export!$A:$I,9,0)</f>
        <v>Comprou Marcas</v>
      </c>
      <c r="S958" s="17" t="s">
        <v>1023</v>
      </c>
      <c r="T958" s="20"/>
      <c r="U958" s="17"/>
    </row>
    <row r="959" spans="1:21" x14ac:dyDescent="0.35">
      <c r="A959" s="5">
        <v>1340477000189</v>
      </c>
      <c r="B959" s="7"/>
      <c r="C959" s="4"/>
      <c r="D959" s="6" t="s">
        <v>894</v>
      </c>
      <c r="E959" s="6" t="s">
        <v>303</v>
      </c>
      <c r="F959" s="6" t="s">
        <v>48</v>
      </c>
      <c r="G959" s="11" t="s">
        <v>20</v>
      </c>
      <c r="H959" s="6" t="s">
        <v>17</v>
      </c>
      <c r="I959" s="21" t="s">
        <v>1073</v>
      </c>
      <c r="J959" s="18">
        <v>3566.0740800994085</v>
      </c>
      <c r="K959" s="18">
        <f>VLOOKUP(A959,[1]Export!$A:$C,3,0)</f>
        <v>1829.6399999999999</v>
      </c>
      <c r="L959" s="19">
        <f t="shared" si="30"/>
        <v>0.51306842171629718</v>
      </c>
      <c r="M959" s="18">
        <f>VLOOKUP(A959,[1]Export!$A:$G,7,0)</f>
        <v>712.55000000000007</v>
      </c>
      <c r="N959" s="19">
        <f t="shared" si="31"/>
        <v>0.19981357201085875</v>
      </c>
      <c r="O959" s="17" t="s">
        <v>1027</v>
      </c>
      <c r="P959" s="17" t="s">
        <v>1028</v>
      </c>
      <c r="Q959" s="17" t="s">
        <v>1023</v>
      </c>
      <c r="R959" s="17" t="str">
        <f>VLOOKUP(A959,[2]Export!$A:$I,9,0)</f>
        <v>Comprou Marcas</v>
      </c>
      <c r="S959" s="17" t="s">
        <v>1022</v>
      </c>
      <c r="T959" s="20"/>
      <c r="U959" s="17"/>
    </row>
    <row r="960" spans="1:21" x14ac:dyDescent="0.35">
      <c r="A960" s="4">
        <v>2366173000153</v>
      </c>
      <c r="B960" s="7"/>
      <c r="C960" s="4"/>
      <c r="D960" s="1" t="s">
        <v>895</v>
      </c>
      <c r="E960" s="1" t="s">
        <v>584</v>
      </c>
      <c r="F960" s="1" t="s">
        <v>48</v>
      </c>
      <c r="G960" s="10" t="s">
        <v>20</v>
      </c>
      <c r="H960" s="1" t="s">
        <v>17</v>
      </c>
      <c r="I960" s="21" t="s">
        <v>1075</v>
      </c>
      <c r="J960" s="18">
        <v>7880.0484539707613</v>
      </c>
      <c r="K960" s="18">
        <f>VLOOKUP(A960,[1]Export!$A:$C,3,0)</f>
        <v>2823.9999999999995</v>
      </c>
      <c r="L960" s="19">
        <f t="shared" si="30"/>
        <v>0.35837343088632712</v>
      </c>
      <c r="M960" s="18">
        <f>VLOOKUP(A960,[1]Export!$A:$G,7,0)</f>
        <v>0</v>
      </c>
      <c r="N960" s="19">
        <f t="shared" si="31"/>
        <v>0</v>
      </c>
      <c r="O960" s="17" t="s">
        <v>1025</v>
      </c>
      <c r="P960" s="17" t="s">
        <v>1026</v>
      </c>
      <c r="Q960" s="17" t="s">
        <v>1023</v>
      </c>
      <c r="R960" s="17" t="str">
        <f>VLOOKUP(A960,[2]Export!$A:$I,9,0)</f>
        <v>Comprou SG</v>
      </c>
      <c r="S960" s="17" t="s">
        <v>1023</v>
      </c>
      <c r="T960" s="20"/>
      <c r="U960" s="17"/>
    </row>
    <row r="961" spans="1:21" x14ac:dyDescent="0.35">
      <c r="A961" s="5">
        <v>3961703000174</v>
      </c>
      <c r="B961" s="7"/>
      <c r="C961" s="4"/>
      <c r="D961" s="6" t="s">
        <v>896</v>
      </c>
      <c r="E961" s="6" t="s">
        <v>30</v>
      </c>
      <c r="F961" s="6" t="s">
        <v>15</v>
      </c>
      <c r="G961" s="11" t="s">
        <v>36</v>
      </c>
      <c r="H961" s="6" t="s">
        <v>17</v>
      </c>
      <c r="I961" s="21" t="s">
        <v>1071</v>
      </c>
      <c r="J961" s="18">
        <v>4748.6352156567445</v>
      </c>
      <c r="K961" s="18">
        <f>VLOOKUP(A961,[1]Export!$A:$C,3,0)</f>
        <v>2299.0300000000002</v>
      </c>
      <c r="L961" s="19">
        <f t="shared" si="30"/>
        <v>0.48414542191403942</v>
      </c>
      <c r="M961" s="18">
        <f>VLOOKUP(A961,[1]Export!$A:$G,7,0)</f>
        <v>0</v>
      </c>
      <c r="N961" s="19">
        <f t="shared" si="31"/>
        <v>0</v>
      </c>
      <c r="O961" s="17" t="s">
        <v>1025</v>
      </c>
      <c r="P961" s="17" t="s">
        <v>1026</v>
      </c>
      <c r="Q961" s="17" t="s">
        <v>1022</v>
      </c>
      <c r="R961" s="17" t="str">
        <f>VLOOKUP(A961,[2]Export!$A:$I,9,0)</f>
        <v>Não Comprou</v>
      </c>
      <c r="S961" s="17" t="s">
        <v>1023</v>
      </c>
      <c r="T961" s="20"/>
      <c r="U961" s="17"/>
    </row>
    <row r="962" spans="1:21" x14ac:dyDescent="0.35">
      <c r="A962" s="4">
        <v>12930121000111</v>
      </c>
      <c r="B962" s="7"/>
      <c r="C962" s="4"/>
      <c r="D962" s="1" t="s">
        <v>897</v>
      </c>
      <c r="E962" s="1" t="s">
        <v>113</v>
      </c>
      <c r="F962" s="1" t="s">
        <v>8</v>
      </c>
      <c r="G962" s="10" t="s">
        <v>36</v>
      </c>
      <c r="H962" s="1" t="s">
        <v>17</v>
      </c>
      <c r="I962" s="21" t="s">
        <v>1074</v>
      </c>
      <c r="J962" s="18">
        <v>4359.5926476783907</v>
      </c>
      <c r="K962" s="18">
        <f>VLOOKUP(A962,[1]Export!$A:$C,3,0)</f>
        <v>1886.8700000000001</v>
      </c>
      <c r="L962" s="19">
        <f t="shared" si="30"/>
        <v>0.43280878570267639</v>
      </c>
      <c r="M962" s="18">
        <f>VLOOKUP(A962,[1]Export!$A:$G,7,0)</f>
        <v>2195.7199999999998</v>
      </c>
      <c r="N962" s="19">
        <f t="shared" si="31"/>
        <v>0.50365256055959362</v>
      </c>
      <c r="O962" s="17" t="s">
        <v>1025</v>
      </c>
      <c r="P962" s="17" t="s">
        <v>1026</v>
      </c>
      <c r="Q962" s="17" t="s">
        <v>1023</v>
      </c>
      <c r="R962" s="17" t="str">
        <f>VLOOKUP(A962,[2]Export!$A:$I,9,0)</f>
        <v>Comprou Marcas</v>
      </c>
      <c r="S962" s="17" t="s">
        <v>1022</v>
      </c>
      <c r="T962" s="20"/>
      <c r="U962" s="17"/>
    </row>
    <row r="963" spans="1:21" x14ac:dyDescent="0.35">
      <c r="A963" s="5">
        <v>14314400000186</v>
      </c>
      <c r="B963" s="7"/>
      <c r="C963" s="4"/>
      <c r="D963" s="6" t="s">
        <v>898</v>
      </c>
      <c r="E963" s="6" t="s">
        <v>61</v>
      </c>
      <c r="F963" s="6" t="s">
        <v>8</v>
      </c>
      <c r="G963" s="11" t="s">
        <v>20</v>
      </c>
      <c r="H963" s="6" t="s">
        <v>17</v>
      </c>
      <c r="I963" s="21" t="s">
        <v>1068</v>
      </c>
      <c r="J963" s="18">
        <v>4242.8465682843471</v>
      </c>
      <c r="K963" s="18">
        <f>VLOOKUP(A963,[1]Export!$A:$C,3,0)</f>
        <v>492.15</v>
      </c>
      <c r="L963" s="19">
        <f t="shared" si="30"/>
        <v>0.11599523859261485</v>
      </c>
      <c r="M963" s="18">
        <f>VLOOKUP(A963,[1]Export!$A:$G,7,0)</f>
        <v>209.52</v>
      </c>
      <c r="N963" s="19">
        <f t="shared" si="31"/>
        <v>4.9381941257593549E-2</v>
      </c>
      <c r="O963" s="17" t="s">
        <v>1025</v>
      </c>
      <c r="P963" s="17" t="s">
        <v>1026</v>
      </c>
      <c r="Q963" s="17" t="s">
        <v>1023</v>
      </c>
      <c r="R963" s="17" t="str">
        <f>VLOOKUP(A963,[2]Export!$A:$I,9,0)</f>
        <v>Comprou Marcas</v>
      </c>
      <c r="S963" s="17" t="s">
        <v>1022</v>
      </c>
      <c r="T963" s="20"/>
      <c r="U963" s="17"/>
    </row>
    <row r="964" spans="1:21" x14ac:dyDescent="0.35">
      <c r="A964" s="4">
        <v>18387529000175</v>
      </c>
      <c r="B964" s="7"/>
      <c r="C964" s="4"/>
      <c r="D964" s="1" t="s">
        <v>899</v>
      </c>
      <c r="E964" s="1" t="s">
        <v>458</v>
      </c>
      <c r="F964" s="1" t="s">
        <v>48</v>
      </c>
      <c r="G964" s="10" t="s">
        <v>20</v>
      </c>
      <c r="H964" s="1" t="s">
        <v>17</v>
      </c>
      <c r="I964" s="21" t="s">
        <v>1075</v>
      </c>
      <c r="J964" s="18">
        <v>5736.4625464362516</v>
      </c>
      <c r="K964" s="18">
        <f>VLOOKUP(A964,[1]Export!$A:$C,3,0)</f>
        <v>817.14</v>
      </c>
      <c r="L964" s="19">
        <f t="shared" si="30"/>
        <v>0.14244667221049739</v>
      </c>
      <c r="M964" s="18">
        <f>VLOOKUP(A964,[1]Export!$A:$G,7,0)</f>
        <v>232.99</v>
      </c>
      <c r="N964" s="19">
        <f t="shared" si="31"/>
        <v>4.0615622975651411E-2</v>
      </c>
      <c r="O964" s="17" t="s">
        <v>1025</v>
      </c>
      <c r="P964" s="17" t="s">
        <v>1026</v>
      </c>
      <c r="Q964" s="17" t="s">
        <v>1022</v>
      </c>
      <c r="R964" s="17" t="str">
        <f>VLOOKUP(A964,[2]Export!$A:$I,9,0)</f>
        <v>Comprou Marcas e SG</v>
      </c>
      <c r="S964" s="17" t="s">
        <v>1023</v>
      </c>
      <c r="T964" s="20"/>
      <c r="U964" s="17"/>
    </row>
    <row r="965" spans="1:21" x14ac:dyDescent="0.35">
      <c r="A965" s="5">
        <v>18208965000130</v>
      </c>
      <c r="B965" s="7"/>
      <c r="C965" s="4"/>
      <c r="D965" s="6" t="s">
        <v>900</v>
      </c>
      <c r="E965" s="6" t="s">
        <v>89</v>
      </c>
      <c r="F965" s="6" t="s">
        <v>15</v>
      </c>
      <c r="G965" s="11" t="s">
        <v>33</v>
      </c>
      <c r="H965" s="6" t="s">
        <v>17</v>
      </c>
      <c r="I965" s="21" t="s">
        <v>1069</v>
      </c>
      <c r="J965" s="18">
        <v>9579.9180391455448</v>
      </c>
      <c r="K965" s="18">
        <f>VLOOKUP(A965,[1]Export!$A:$C,3,0)</f>
        <v>2584.44</v>
      </c>
      <c r="L965" s="19">
        <f t="shared" si="30"/>
        <v>0.26977683832360971</v>
      </c>
      <c r="M965" s="18">
        <f>VLOOKUP(A965,[1]Export!$A:$G,7,0)</f>
        <v>155.74</v>
      </c>
      <c r="N965" s="19">
        <f t="shared" si="31"/>
        <v>1.6256924053380608E-2</v>
      </c>
      <c r="O965" s="17" t="s">
        <v>1025</v>
      </c>
      <c r="P965" s="17" t="s">
        <v>1026</v>
      </c>
      <c r="Q965" s="17" t="s">
        <v>1023</v>
      </c>
      <c r="R965" s="17" t="str">
        <f>VLOOKUP(A965,[2]Export!$A:$I,9,0)</f>
        <v>Comprou Marcas</v>
      </c>
      <c r="S965" s="17" t="s">
        <v>1023</v>
      </c>
      <c r="T965" s="20"/>
      <c r="U965" s="17"/>
    </row>
    <row r="966" spans="1:21" x14ac:dyDescent="0.35">
      <c r="A966" s="4">
        <v>20103913000221</v>
      </c>
      <c r="B966" s="7" t="s">
        <v>1007</v>
      </c>
      <c r="C966" s="4">
        <v>14154</v>
      </c>
      <c r="D966" s="1" t="s">
        <v>537</v>
      </c>
      <c r="E966" s="1" t="s">
        <v>61</v>
      </c>
      <c r="F966" s="1" t="s">
        <v>8</v>
      </c>
      <c r="G966" s="10" t="s">
        <v>36</v>
      </c>
      <c r="H966" s="1" t="s">
        <v>17</v>
      </c>
      <c r="I966" s="21" t="s">
        <v>1068</v>
      </c>
      <c r="J966" s="18">
        <v>109379.35507270852</v>
      </c>
      <c r="K966" s="18">
        <f>VLOOKUP(A966,[1]Export!$A:$C,3,0)</f>
        <v>46477.430000000008</v>
      </c>
      <c r="L966" s="19">
        <f t="shared" si="30"/>
        <v>0.42491958349091319</v>
      </c>
      <c r="M966" s="18">
        <f>VLOOKUP(A966,[1]Export!$A:$G,7,0)</f>
        <v>54592.080000000009</v>
      </c>
      <c r="N966" s="19">
        <f t="shared" si="31"/>
        <v>0.49910771519644292</v>
      </c>
      <c r="O966" s="17" t="s">
        <v>1029</v>
      </c>
      <c r="P966" s="17" t="s">
        <v>1026</v>
      </c>
      <c r="Q966" s="17" t="s">
        <v>1022</v>
      </c>
      <c r="R966" s="17" t="str">
        <f>VLOOKUP(A966,[2]Export!$A:$I,9,0)</f>
        <v>Comprou Marcas</v>
      </c>
      <c r="S966" s="17" t="s">
        <v>1022</v>
      </c>
      <c r="T966" s="20">
        <v>11</v>
      </c>
      <c r="U966" s="17">
        <v>11</v>
      </c>
    </row>
    <row r="967" spans="1:21" x14ac:dyDescent="0.35">
      <c r="A967" s="5">
        <v>20718662000109</v>
      </c>
      <c r="B967" s="7"/>
      <c r="C967" s="4">
        <v>13688</v>
      </c>
      <c r="D967" s="6" t="s">
        <v>25</v>
      </c>
      <c r="E967" s="6" t="s">
        <v>100</v>
      </c>
      <c r="F967" s="6" t="s">
        <v>15</v>
      </c>
      <c r="G967" s="11" t="s">
        <v>9</v>
      </c>
      <c r="H967" s="6" t="s">
        <v>10</v>
      </c>
      <c r="I967" s="21" t="s">
        <v>1075</v>
      </c>
      <c r="J967" s="18">
        <v>2189.3410962808362</v>
      </c>
      <c r="K967" s="18">
        <f>VLOOKUP(A967,[1]Export!$A:$C,3,0)</f>
        <v>1268.6400000000001</v>
      </c>
      <c r="L967" s="19">
        <f t="shared" si="30"/>
        <v>0.57946201355061311</v>
      </c>
      <c r="M967" s="18">
        <f>VLOOKUP(A967,[1]Export!$A:$G,7,0)</f>
        <v>1473.3</v>
      </c>
      <c r="N967" s="19">
        <f t="shared" si="31"/>
        <v>0.67294219365944496</v>
      </c>
      <c r="O967" s="17" t="s">
        <v>1027</v>
      </c>
      <c r="P967" s="17" t="s">
        <v>1028</v>
      </c>
      <c r="Q967" s="17" t="s">
        <v>1023</v>
      </c>
      <c r="R967" s="17" t="str">
        <f>VLOOKUP(A967,[2]Export!$A:$I,9,0)</f>
        <v>Comprou Marcas</v>
      </c>
      <c r="S967" s="17" t="s">
        <v>1022</v>
      </c>
      <c r="T967" s="20"/>
      <c r="U967" s="17"/>
    </row>
    <row r="968" spans="1:21" x14ac:dyDescent="0.35">
      <c r="A968" s="4">
        <v>20884408000180</v>
      </c>
      <c r="B968" s="7"/>
      <c r="C968" s="4"/>
      <c r="D968" s="1" t="s">
        <v>104</v>
      </c>
      <c r="E968" s="1" t="s">
        <v>138</v>
      </c>
      <c r="F968" s="1" t="s">
        <v>15</v>
      </c>
      <c r="G968" s="10" t="s">
        <v>9</v>
      </c>
      <c r="H968" s="1" t="s">
        <v>10</v>
      </c>
      <c r="I968" s="21" t="s">
        <v>1071</v>
      </c>
      <c r="J968" s="18">
        <v>37947.634731630598</v>
      </c>
      <c r="K968" s="18">
        <f>VLOOKUP(A968,[1]Export!$A:$C,3,0)</f>
        <v>16401.349999999999</v>
      </c>
      <c r="L968" s="19">
        <f t="shared" si="30"/>
        <v>0.43221007359198954</v>
      </c>
      <c r="M968" s="18">
        <f>VLOOKUP(A968,[1]Export!$A:$G,7,0)</f>
        <v>4918.28</v>
      </c>
      <c r="N968" s="19">
        <f t="shared" si="31"/>
        <v>0.12960702385754894</v>
      </c>
      <c r="O968" s="17" t="s">
        <v>1027</v>
      </c>
      <c r="P968" s="17" t="s">
        <v>1028</v>
      </c>
      <c r="Q968" s="17" t="s">
        <v>1023</v>
      </c>
      <c r="R968" s="17" t="str">
        <f>VLOOKUP(A968,[2]Export!$A:$I,9,0)</f>
        <v>Comprou Marcas</v>
      </c>
      <c r="S968" s="17" t="s">
        <v>1022</v>
      </c>
      <c r="T968" s="20"/>
      <c r="U968" s="17"/>
    </row>
    <row r="969" spans="1:21" x14ac:dyDescent="0.35">
      <c r="A969" s="5">
        <v>21013882000108</v>
      </c>
      <c r="B969" s="7" t="s">
        <v>1008</v>
      </c>
      <c r="C969" s="4">
        <v>148177</v>
      </c>
      <c r="D969" s="6" t="s">
        <v>90</v>
      </c>
      <c r="E969" s="6" t="s">
        <v>82</v>
      </c>
      <c r="F969" s="6" t="s">
        <v>8</v>
      </c>
      <c r="G969" s="11" t="s">
        <v>64</v>
      </c>
      <c r="H969" s="6" t="s">
        <v>17</v>
      </c>
      <c r="I969" s="21" t="s">
        <v>1072</v>
      </c>
      <c r="J969" s="18">
        <v>26562.718355517278</v>
      </c>
      <c r="K969" s="18">
        <f>VLOOKUP(A969,[1]Export!$A:$C,3,0)</f>
        <v>23563.549999999996</v>
      </c>
      <c r="L969" s="19">
        <f t="shared" si="30"/>
        <v>0.88709106065967336</v>
      </c>
      <c r="M969" s="18">
        <f>VLOOKUP(A969,[1]Export!$A:$G,7,0)</f>
        <v>22659.54</v>
      </c>
      <c r="N969" s="19">
        <f t="shared" si="31"/>
        <v>0.85305802277926279</v>
      </c>
      <c r="O969" s="17" t="s">
        <v>1025</v>
      </c>
      <c r="P969" s="17" t="s">
        <v>1026</v>
      </c>
      <c r="Q969" s="17" t="s">
        <v>1022</v>
      </c>
      <c r="R969" s="17" t="str">
        <f>VLOOKUP(A969,[2]Export!$A:$I,9,0)</f>
        <v>Comprou Marcas</v>
      </c>
      <c r="S969" s="17" t="s">
        <v>1022</v>
      </c>
      <c r="T969" s="20">
        <v>4</v>
      </c>
      <c r="U969" s="17"/>
    </row>
    <row r="970" spans="1:21" x14ac:dyDescent="0.35">
      <c r="A970" s="4">
        <v>21406206000196</v>
      </c>
      <c r="B970" s="7"/>
      <c r="C970" s="4"/>
      <c r="D970" s="1" t="s">
        <v>897</v>
      </c>
      <c r="E970" s="1" t="s">
        <v>94</v>
      </c>
      <c r="F970" s="1" t="s">
        <v>15</v>
      </c>
      <c r="G970" s="10" t="s">
        <v>36</v>
      </c>
      <c r="H970" s="1" t="s">
        <v>17</v>
      </c>
      <c r="I970" s="21" t="s">
        <v>1071</v>
      </c>
      <c r="J970" s="18">
        <v>3200.8169605041717</v>
      </c>
      <c r="K970" s="18">
        <f>VLOOKUP(A970,[1]Export!$A:$C,3,0)</f>
        <v>1552.22</v>
      </c>
      <c r="L970" s="19">
        <f t="shared" si="30"/>
        <v>0.48494494347952483</v>
      </c>
      <c r="M970" s="18">
        <f>VLOOKUP(A970,[1]Export!$A:$G,7,0)</f>
        <v>2788.5099999999998</v>
      </c>
      <c r="N970" s="19">
        <f t="shared" si="31"/>
        <v>0.87118696083164093</v>
      </c>
      <c r="O970" s="17" t="s">
        <v>1027</v>
      </c>
      <c r="P970" s="17" t="s">
        <v>1028</v>
      </c>
      <c r="Q970" s="17" t="s">
        <v>1023</v>
      </c>
      <c r="R970" s="17" t="str">
        <f>VLOOKUP(A970,[2]Export!$A:$I,9,0)</f>
        <v>Comprou Marcas</v>
      </c>
      <c r="S970" s="17" t="s">
        <v>1022</v>
      </c>
      <c r="T970" s="20">
        <v>1</v>
      </c>
      <c r="U970" s="17"/>
    </row>
    <row r="971" spans="1:21" x14ac:dyDescent="0.35">
      <c r="A971" s="5">
        <v>24920461000140</v>
      </c>
      <c r="B971" s="7"/>
      <c r="C971" s="4"/>
      <c r="D971" s="6" t="s">
        <v>901</v>
      </c>
      <c r="E971" s="6" t="s">
        <v>260</v>
      </c>
      <c r="F971" s="6" t="s">
        <v>8</v>
      </c>
      <c r="G971" s="11" t="s">
        <v>64</v>
      </c>
      <c r="H971" s="6" t="s">
        <v>17</v>
      </c>
      <c r="I971" s="21" t="s">
        <v>1068</v>
      </c>
      <c r="J971" s="18">
        <v>17861.074267916858</v>
      </c>
      <c r="K971" s="18">
        <f>VLOOKUP(A971,[1]Export!$A:$C,3,0)</f>
        <v>9839.4599999999973</v>
      </c>
      <c r="L971" s="19">
        <f t="shared" si="30"/>
        <v>0.55088847694196263</v>
      </c>
      <c r="M971" s="18">
        <f>VLOOKUP(A971,[1]Export!$A:$G,7,0)</f>
        <v>11965.179999999998</v>
      </c>
      <c r="N971" s="19">
        <f t="shared" si="31"/>
        <v>0.66990259491236637</v>
      </c>
      <c r="O971" s="17" t="s">
        <v>1029</v>
      </c>
      <c r="P971" s="17" t="s">
        <v>1026</v>
      </c>
      <c r="Q971" s="17" t="s">
        <v>1022</v>
      </c>
      <c r="R971" s="17" t="str">
        <f>VLOOKUP(A971,[2]Export!$A:$I,9,0)</f>
        <v>Comprou Marcas</v>
      </c>
      <c r="S971" s="17" t="s">
        <v>1022</v>
      </c>
      <c r="T971" s="20">
        <v>4</v>
      </c>
      <c r="U971" s="17"/>
    </row>
    <row r="972" spans="1:21" x14ac:dyDescent="0.35">
      <c r="A972" s="4">
        <v>27230522000136</v>
      </c>
      <c r="B972" s="7"/>
      <c r="C972" s="4"/>
      <c r="D972" s="1" t="s">
        <v>902</v>
      </c>
      <c r="E972" s="1" t="s">
        <v>14</v>
      </c>
      <c r="F972" s="1" t="s">
        <v>15</v>
      </c>
      <c r="G972" s="10" t="s">
        <v>20</v>
      </c>
      <c r="H972" s="1" t="s">
        <v>17</v>
      </c>
      <c r="I972" s="21" t="s">
        <v>1069</v>
      </c>
      <c r="J972" s="18">
        <v>9463.1829572472234</v>
      </c>
      <c r="K972" s="18">
        <f>VLOOKUP(A972,[1]Export!$A:$C,3,0)</f>
        <v>2862.9399999999996</v>
      </c>
      <c r="L972" s="19">
        <f t="shared" si="30"/>
        <v>0.30253457139465573</v>
      </c>
      <c r="M972" s="18">
        <f>VLOOKUP(A972,[1]Export!$A:$G,7,0)</f>
        <v>892.56</v>
      </c>
      <c r="N972" s="19">
        <f t="shared" si="31"/>
        <v>9.4319216275581735E-2</v>
      </c>
      <c r="O972" s="17" t="s">
        <v>1025</v>
      </c>
      <c r="P972" s="17" t="s">
        <v>1026</v>
      </c>
      <c r="Q972" s="17" t="s">
        <v>1023</v>
      </c>
      <c r="R972" s="17" t="str">
        <f>VLOOKUP(A972,[2]Export!$A:$I,9,0)</f>
        <v>Comprou Marcas</v>
      </c>
      <c r="S972" s="17" t="s">
        <v>1022</v>
      </c>
      <c r="T972" s="20"/>
      <c r="U972" s="17"/>
    </row>
    <row r="973" spans="1:21" x14ac:dyDescent="0.35">
      <c r="A973" s="5">
        <v>29776784000126</v>
      </c>
      <c r="B973" s="7"/>
      <c r="C973" s="4"/>
      <c r="D973" s="6" t="s">
        <v>903</v>
      </c>
      <c r="E973" s="6" t="s">
        <v>14</v>
      </c>
      <c r="F973" s="6" t="s">
        <v>15</v>
      </c>
      <c r="G973" s="11" t="s">
        <v>16</v>
      </c>
      <c r="H973" s="6" t="s">
        <v>17</v>
      </c>
      <c r="I973" s="21" t="s">
        <v>1069</v>
      </c>
      <c r="J973" s="18">
        <v>3317.1221200505761</v>
      </c>
      <c r="K973" s="18">
        <f>VLOOKUP(A973,[1]Export!$A:$C,3,0)</f>
        <v>607.16</v>
      </c>
      <c r="L973" s="19">
        <f t="shared" ref="L973:L1036" si="32">K973/J973</f>
        <v>0.18303818129877672</v>
      </c>
      <c r="M973" s="18">
        <f>VLOOKUP(A973,[1]Export!$A:$G,7,0)</f>
        <v>1634.9299999999996</v>
      </c>
      <c r="N973" s="19">
        <f t="shared" ref="N973:N1036" si="33">M973/J973</f>
        <v>0.49287603556032838</v>
      </c>
      <c r="O973" s="17" t="s">
        <v>1025</v>
      </c>
      <c r="P973" s="17" t="s">
        <v>1026</v>
      </c>
      <c r="Q973" s="17" t="s">
        <v>1023</v>
      </c>
      <c r="R973" s="17" t="str">
        <f>VLOOKUP(A973,[2]Export!$A:$I,9,0)</f>
        <v>Comprou Marcas</v>
      </c>
      <c r="S973" s="17" t="s">
        <v>1023</v>
      </c>
      <c r="T973" s="20"/>
      <c r="U973" s="17"/>
    </row>
    <row r="974" spans="1:21" x14ac:dyDescent="0.35">
      <c r="A974" s="4">
        <v>30516011000190</v>
      </c>
      <c r="B974" s="7"/>
      <c r="C974" s="4"/>
      <c r="D974" s="1" t="s">
        <v>904</v>
      </c>
      <c r="E974" s="1" t="s">
        <v>160</v>
      </c>
      <c r="F974" s="1" t="s">
        <v>8</v>
      </c>
      <c r="G974" s="10" t="s">
        <v>20</v>
      </c>
      <c r="H974" s="1" t="s">
        <v>17</v>
      </c>
      <c r="I974" s="21" t="s">
        <v>1070</v>
      </c>
      <c r="J974" s="18">
        <v>4262.2052708436695</v>
      </c>
      <c r="K974" s="18">
        <f>VLOOKUP(A974,[1]Export!$A:$C,3,0)</f>
        <v>1635.27</v>
      </c>
      <c r="L974" s="19">
        <f t="shared" si="32"/>
        <v>0.3836675842870213</v>
      </c>
      <c r="M974" s="18">
        <f>VLOOKUP(A974,[1]Export!$A:$G,7,0)</f>
        <v>0</v>
      </c>
      <c r="N974" s="19">
        <f t="shared" si="33"/>
        <v>0</v>
      </c>
      <c r="O974" s="17" t="s">
        <v>1025</v>
      </c>
      <c r="P974" s="17" t="s">
        <v>1026</v>
      </c>
      <c r="Q974" s="17" t="s">
        <v>1023</v>
      </c>
      <c r="R974" s="17" t="str">
        <f>VLOOKUP(A974,[2]Export!$A:$I,9,0)</f>
        <v>Não Comprou</v>
      </c>
      <c r="S974" s="17" t="s">
        <v>1022</v>
      </c>
      <c r="T974" s="20"/>
      <c r="U974" s="17"/>
    </row>
    <row r="975" spans="1:21" x14ac:dyDescent="0.35">
      <c r="A975" s="5">
        <v>30658717000196</v>
      </c>
      <c r="B975" s="7"/>
      <c r="C975" s="4"/>
      <c r="D975" s="6" t="s">
        <v>905</v>
      </c>
      <c r="E975" s="6" t="s">
        <v>43</v>
      </c>
      <c r="F975" s="6" t="s">
        <v>8</v>
      </c>
      <c r="G975" s="11" t="s">
        <v>20</v>
      </c>
      <c r="H975" s="6" t="s">
        <v>17</v>
      </c>
      <c r="I975" s="21" t="s">
        <v>1070</v>
      </c>
      <c r="J975" s="18">
        <v>2453.8984758956144</v>
      </c>
      <c r="K975" s="18">
        <f>VLOOKUP(A975,[1]Export!$A:$C,3,0)</f>
        <v>574.87000000000012</v>
      </c>
      <c r="L975" s="19">
        <f t="shared" si="32"/>
        <v>0.23426804558007897</v>
      </c>
      <c r="M975" s="18">
        <f>VLOOKUP(A975,[1]Export!$A:$G,7,0)</f>
        <v>0</v>
      </c>
      <c r="N975" s="19">
        <f t="shared" si="33"/>
        <v>0</v>
      </c>
      <c r="O975" s="17" t="s">
        <v>1025</v>
      </c>
      <c r="P975" s="17" t="s">
        <v>1026</v>
      </c>
      <c r="Q975" s="17" t="s">
        <v>1023</v>
      </c>
      <c r="R975" s="17" t="str">
        <f>VLOOKUP(A975,[2]Export!$A:$I,9,0)</f>
        <v>Não Comprou</v>
      </c>
      <c r="S975" s="17" t="s">
        <v>1022</v>
      </c>
      <c r="T975" s="20"/>
      <c r="U975" s="17"/>
    </row>
    <row r="976" spans="1:21" x14ac:dyDescent="0.35">
      <c r="A976" s="4">
        <v>31832914000142</v>
      </c>
      <c r="B976" s="7"/>
      <c r="C976" s="4"/>
      <c r="D976" s="1" t="s">
        <v>548</v>
      </c>
      <c r="E976" s="1" t="s">
        <v>14</v>
      </c>
      <c r="F976" s="1" t="s">
        <v>15</v>
      </c>
      <c r="G976" s="10" t="s">
        <v>16</v>
      </c>
      <c r="H976" s="1" t="s">
        <v>17</v>
      </c>
      <c r="I976" s="21" t="s">
        <v>1069</v>
      </c>
      <c r="J976" s="18">
        <v>2497.6734789300344</v>
      </c>
      <c r="K976" s="18">
        <f>VLOOKUP(A976,[1]Export!$A:$C,3,0)</f>
        <v>1682.9099999999996</v>
      </c>
      <c r="L976" s="19">
        <f t="shared" si="32"/>
        <v>0.67379103561644604</v>
      </c>
      <c r="M976" s="18">
        <f>VLOOKUP(A976,[1]Export!$A:$G,7,0)</f>
        <v>1599.8300000000002</v>
      </c>
      <c r="N976" s="19">
        <f t="shared" si="33"/>
        <v>0.64052808083038271</v>
      </c>
      <c r="O976" s="17" t="s">
        <v>1029</v>
      </c>
      <c r="P976" s="17" t="s">
        <v>1026</v>
      </c>
      <c r="Q976" s="17" t="s">
        <v>1023</v>
      </c>
      <c r="R976" s="17" t="str">
        <f>VLOOKUP(A976,[2]Export!$A:$I,9,0)</f>
        <v>Comprou Marcas</v>
      </c>
      <c r="S976" s="17" t="s">
        <v>1023</v>
      </c>
      <c r="T976" s="20"/>
      <c r="U976" s="17"/>
    </row>
    <row r="977" spans="1:21" x14ac:dyDescent="0.35">
      <c r="A977" s="5">
        <v>32666944000199</v>
      </c>
      <c r="B977" s="7"/>
      <c r="C977" s="4"/>
      <c r="D977" s="6" t="s">
        <v>906</v>
      </c>
      <c r="E977" s="6" t="s">
        <v>259</v>
      </c>
      <c r="F977" s="6" t="s">
        <v>15</v>
      </c>
      <c r="G977" s="11" t="s">
        <v>36</v>
      </c>
      <c r="H977" s="6" t="s">
        <v>17</v>
      </c>
      <c r="I977" s="21" t="s">
        <v>1071</v>
      </c>
      <c r="J977" s="18">
        <v>4581.2747624686317</v>
      </c>
      <c r="K977" s="18">
        <f>VLOOKUP(A977,[1]Export!$A:$C,3,0)</f>
        <v>2477.9899999999998</v>
      </c>
      <c r="L977" s="19">
        <f t="shared" si="32"/>
        <v>0.54089530283154819</v>
      </c>
      <c r="M977" s="18">
        <f>VLOOKUP(A977,[1]Export!$A:$G,7,0)</f>
        <v>5734.8600000000015</v>
      </c>
      <c r="N977" s="19">
        <f t="shared" si="33"/>
        <v>1.251804420678265</v>
      </c>
      <c r="O977" s="17" t="s">
        <v>1025</v>
      </c>
      <c r="P977" s="17" t="s">
        <v>1026</v>
      </c>
      <c r="Q977" s="17" t="s">
        <v>1023</v>
      </c>
      <c r="R977" s="17" t="str">
        <f>VLOOKUP(A977,[2]Export!$A:$I,9,0)</f>
        <v>Comprou Marcas</v>
      </c>
      <c r="S977" s="17" t="s">
        <v>1023</v>
      </c>
      <c r="T977" s="20"/>
      <c r="U977" s="17"/>
    </row>
    <row r="978" spans="1:21" x14ac:dyDescent="0.35">
      <c r="A978" s="4">
        <v>21784054000165</v>
      </c>
      <c r="B978" s="7"/>
      <c r="C978" s="4"/>
      <c r="D978" s="1" t="s">
        <v>907</v>
      </c>
      <c r="E978" s="1" t="s">
        <v>908</v>
      </c>
      <c r="F978" s="1" t="s">
        <v>15</v>
      </c>
      <c r="G978" s="10" t="s">
        <v>36</v>
      </c>
      <c r="H978" s="1" t="s">
        <v>17</v>
      </c>
      <c r="I978" s="21" t="s">
        <v>1069</v>
      </c>
      <c r="J978" s="18">
        <v>14956.636530679785</v>
      </c>
      <c r="K978" s="18">
        <f>VLOOKUP(A978,[1]Export!$A:$C,3,0)</f>
        <v>4150.3900000000003</v>
      </c>
      <c r="L978" s="19">
        <f t="shared" si="32"/>
        <v>0.27749487603623429</v>
      </c>
      <c r="M978" s="18">
        <f>VLOOKUP(A978,[1]Export!$A:$G,7,0)</f>
        <v>9026.89</v>
      </c>
      <c r="N978" s="19">
        <f t="shared" si="33"/>
        <v>0.60353743179381281</v>
      </c>
      <c r="O978" s="17" t="s">
        <v>1025</v>
      </c>
      <c r="P978" s="17" t="s">
        <v>1026</v>
      </c>
      <c r="Q978" s="17" t="s">
        <v>1022</v>
      </c>
      <c r="R978" s="17" t="str">
        <f>VLOOKUP(A978,[2]Export!$A:$I,9,0)</f>
        <v>Comprou Marcas</v>
      </c>
      <c r="S978" s="17" t="s">
        <v>1022</v>
      </c>
      <c r="T978" s="20"/>
      <c r="U978" s="17"/>
    </row>
    <row r="979" spans="1:21" x14ac:dyDescent="0.35">
      <c r="A979" s="5">
        <v>9417126000130</v>
      </c>
      <c r="B979" s="7"/>
      <c r="C979" s="4"/>
      <c r="D979" s="6" t="s">
        <v>179</v>
      </c>
      <c r="E979" s="6" t="s">
        <v>427</v>
      </c>
      <c r="F979" s="6" t="s">
        <v>48</v>
      </c>
      <c r="G979" s="11" t="s">
        <v>87</v>
      </c>
      <c r="H979" s="6" t="s">
        <v>17</v>
      </c>
      <c r="I979" s="21" t="s">
        <v>1075</v>
      </c>
      <c r="J979" s="18">
        <v>6461.2602494081766</v>
      </c>
      <c r="K979" s="18">
        <f>VLOOKUP(A979,[1]Export!$A:$C,3,0)</f>
        <v>3073.2099999999996</v>
      </c>
      <c r="L979" s="19">
        <f t="shared" si="32"/>
        <v>0.47563631263444189</v>
      </c>
      <c r="M979" s="18">
        <f>VLOOKUP(A979,[1]Export!$A:$G,7,0)</f>
        <v>2671.2499999999991</v>
      </c>
      <c r="N979" s="19">
        <f t="shared" si="33"/>
        <v>0.413425538809503</v>
      </c>
      <c r="O979" s="17" t="s">
        <v>1027</v>
      </c>
      <c r="P979" s="17" t="s">
        <v>1026</v>
      </c>
      <c r="Q979" s="17" t="s">
        <v>1023</v>
      </c>
      <c r="R979" s="17" t="str">
        <f>VLOOKUP(A979,[2]Export!$A:$I,9,0)</f>
        <v>Comprou Marcas e SG</v>
      </c>
      <c r="S979" s="17" t="s">
        <v>1022</v>
      </c>
      <c r="T979" s="20"/>
      <c r="U979" s="17"/>
    </row>
    <row r="980" spans="1:21" x14ac:dyDescent="0.35">
      <c r="A980" s="5">
        <v>41651815000118</v>
      </c>
      <c r="B980" s="7"/>
      <c r="C980" s="4"/>
      <c r="D980" s="6" t="s">
        <v>104</v>
      </c>
      <c r="E980" s="6" t="s">
        <v>691</v>
      </c>
      <c r="F980" s="6" t="s">
        <v>8</v>
      </c>
      <c r="G980" s="11" t="s">
        <v>9</v>
      </c>
      <c r="H980" s="6" t="s">
        <v>10</v>
      </c>
      <c r="I980" s="21" t="s">
        <v>1072</v>
      </c>
      <c r="J980" s="18">
        <v>7919.1712958777498</v>
      </c>
      <c r="K980" s="18">
        <f>VLOOKUP(A980,[1]Export!$A:$C,3,0)</f>
        <v>2969.3800000000006</v>
      </c>
      <c r="L980" s="19">
        <f t="shared" si="32"/>
        <v>0.37496095097042331</v>
      </c>
      <c r="M980" s="18">
        <f>VLOOKUP(A980,[1]Export!$A:$G,7,0)</f>
        <v>261.95</v>
      </c>
      <c r="N980" s="19">
        <f t="shared" si="33"/>
        <v>3.3077956040217946E-2</v>
      </c>
      <c r="O980" s="17" t="s">
        <v>1027</v>
      </c>
      <c r="P980" s="17" t="s">
        <v>1028</v>
      </c>
      <c r="Q980" s="17" t="s">
        <v>1023</v>
      </c>
      <c r="R980" s="17" t="str">
        <f>VLOOKUP(A980,[2]Export!$A:$I,9,0)</f>
        <v>Comprou Marcas</v>
      </c>
      <c r="S980" s="17" t="s">
        <v>1022</v>
      </c>
      <c r="T980" s="20"/>
      <c r="U980" s="17"/>
    </row>
    <row r="981" spans="1:21" x14ac:dyDescent="0.35">
      <c r="A981" s="5">
        <v>11780832000194</v>
      </c>
      <c r="B981" s="7"/>
      <c r="C981" s="4"/>
      <c r="D981" s="6" t="s">
        <v>705</v>
      </c>
      <c r="E981" s="6" t="s">
        <v>706</v>
      </c>
      <c r="F981" s="6" t="s">
        <v>8</v>
      </c>
      <c r="G981" s="11" t="s">
        <v>9</v>
      </c>
      <c r="H981" s="6" t="s">
        <v>10</v>
      </c>
      <c r="I981" s="21" t="s">
        <v>1072</v>
      </c>
      <c r="J981" s="18">
        <v>17836.010867532259</v>
      </c>
      <c r="K981" s="18">
        <f>VLOOKUP(A981,[1]Export!$A:$C,3,0)</f>
        <v>9201.9499999999971</v>
      </c>
      <c r="L981" s="19">
        <f t="shared" si="32"/>
        <v>0.51591973498685995</v>
      </c>
      <c r="M981" s="18">
        <f>VLOOKUP(A981,[1]Export!$A:$G,7,0)</f>
        <v>10807.380000000005</v>
      </c>
      <c r="N981" s="19">
        <f t="shared" si="33"/>
        <v>0.60593033275580666</v>
      </c>
      <c r="O981" s="17" t="s">
        <v>1027</v>
      </c>
      <c r="P981" s="17" t="s">
        <v>1028</v>
      </c>
      <c r="Q981" s="17" t="s">
        <v>1023</v>
      </c>
      <c r="R981" s="17" t="str">
        <f>VLOOKUP(A981,[2]Export!$A:$I,9,0)</f>
        <v>Comprou Marcas</v>
      </c>
      <c r="S981" s="17" t="s">
        <v>1022</v>
      </c>
      <c r="T981" s="20">
        <v>1</v>
      </c>
      <c r="U981" s="17"/>
    </row>
    <row r="982" spans="1:21" x14ac:dyDescent="0.35">
      <c r="A982" s="4">
        <v>10392940000127</v>
      </c>
      <c r="B982" s="7"/>
      <c r="C982" s="4"/>
      <c r="D982" s="1" t="s">
        <v>337</v>
      </c>
      <c r="E982" s="1" t="s">
        <v>232</v>
      </c>
      <c r="F982" s="1" t="s">
        <v>8</v>
      </c>
      <c r="G982" s="10" t="s">
        <v>20</v>
      </c>
      <c r="H982" s="1" t="s">
        <v>17</v>
      </c>
      <c r="I982" s="21" t="s">
        <v>1070</v>
      </c>
      <c r="J982" s="18">
        <v>286.4697343751962</v>
      </c>
      <c r="K982" s="18">
        <f>VLOOKUP(A982,[1]Export!$A:$C,3,0)</f>
        <v>0</v>
      </c>
      <c r="L982" s="19">
        <f t="shared" si="32"/>
        <v>0</v>
      </c>
      <c r="M982" s="18">
        <f>VLOOKUP(A982,[1]Export!$A:$G,7,0)</f>
        <v>0</v>
      </c>
      <c r="N982" s="19">
        <f t="shared" si="33"/>
        <v>0</v>
      </c>
      <c r="O982" s="17" t="s">
        <v>1025</v>
      </c>
      <c r="P982" s="17" t="s">
        <v>1026</v>
      </c>
      <c r="Q982" s="17" t="s">
        <v>1023</v>
      </c>
      <c r="R982" s="17" t="str">
        <f>VLOOKUP(A982,[2]Export!$A:$I,9,0)</f>
        <v>Não Comprou</v>
      </c>
      <c r="S982" s="17" t="s">
        <v>1023</v>
      </c>
      <c r="T982" s="20"/>
      <c r="U982" s="17"/>
    </row>
    <row r="983" spans="1:21" x14ac:dyDescent="0.35">
      <c r="A983" s="5">
        <v>10588126000263</v>
      </c>
      <c r="B983" s="7"/>
      <c r="C983" s="4"/>
      <c r="D983" s="6" t="s">
        <v>449</v>
      </c>
      <c r="E983" s="6" t="s">
        <v>232</v>
      </c>
      <c r="F983" s="6" t="s">
        <v>8</v>
      </c>
      <c r="G983" s="11" t="s">
        <v>20</v>
      </c>
      <c r="H983" s="6" t="s">
        <v>17</v>
      </c>
      <c r="I983" s="21" t="s">
        <v>1070</v>
      </c>
      <c r="J983" s="18">
        <v>21670.978108473293</v>
      </c>
      <c r="K983" s="18">
        <f>VLOOKUP(A983,[1]Export!$A:$C,3,0)</f>
        <v>11349.64</v>
      </c>
      <c r="L983" s="19">
        <f t="shared" si="32"/>
        <v>0.52372532255765236</v>
      </c>
      <c r="M983" s="18">
        <f>VLOOKUP(A983,[1]Export!$A:$G,7,0)</f>
        <v>10470.950000000001</v>
      </c>
      <c r="N983" s="19">
        <f t="shared" si="33"/>
        <v>0.48317846788400787</v>
      </c>
      <c r="O983" s="17" t="s">
        <v>1025</v>
      </c>
      <c r="P983" s="17" t="s">
        <v>1026</v>
      </c>
      <c r="Q983" s="17" t="s">
        <v>1023</v>
      </c>
      <c r="R983" s="17" t="str">
        <f>VLOOKUP(A983,[2]Export!$A:$I,9,0)</f>
        <v>Comprou Marcas</v>
      </c>
      <c r="S983" s="17" t="s">
        <v>1022</v>
      </c>
      <c r="T983" s="20"/>
      <c r="U983" s="17"/>
    </row>
    <row r="984" spans="1:21" x14ac:dyDescent="0.35">
      <c r="A984" s="4">
        <v>8087667001076</v>
      </c>
      <c r="B984" s="7" t="s">
        <v>1001</v>
      </c>
      <c r="C984" s="4"/>
      <c r="D984" s="1" t="s">
        <v>218</v>
      </c>
      <c r="E984" s="1" t="s">
        <v>388</v>
      </c>
      <c r="F984" s="1" t="s">
        <v>8</v>
      </c>
      <c r="G984" s="10" t="s">
        <v>36</v>
      </c>
      <c r="H984" s="1" t="s">
        <v>17</v>
      </c>
      <c r="I984" s="21" t="s">
        <v>1072</v>
      </c>
      <c r="J984" s="18">
        <v>9042.4323150841465</v>
      </c>
      <c r="K984" s="18">
        <f>VLOOKUP(A984,[1]Export!$A:$C,3,0)</f>
        <v>3180.5700000000006</v>
      </c>
      <c r="L984" s="19">
        <f t="shared" si="32"/>
        <v>0.35173832539441058</v>
      </c>
      <c r="M984" s="18">
        <f>VLOOKUP(A984,[1]Export!$A:$G,7,0)</f>
        <v>2381.5100000000002</v>
      </c>
      <c r="N984" s="19">
        <f t="shared" si="33"/>
        <v>0.26337050884276797</v>
      </c>
      <c r="O984" s="17" t="s">
        <v>1025</v>
      </c>
      <c r="P984" s="17" t="s">
        <v>1026</v>
      </c>
      <c r="Q984" s="17" t="s">
        <v>1022</v>
      </c>
      <c r="R984" s="17" t="str">
        <f>VLOOKUP(A984,[2]Export!$A:$I,9,0)</f>
        <v>Comprou Marcas</v>
      </c>
      <c r="S984" s="17" t="s">
        <v>1022</v>
      </c>
      <c r="T984" s="20"/>
      <c r="U984" s="17"/>
    </row>
    <row r="985" spans="1:21" x14ac:dyDescent="0.35">
      <c r="A985" s="5">
        <v>23585408000178</v>
      </c>
      <c r="B985" s="7"/>
      <c r="C985" s="4"/>
      <c r="D985" s="6" t="s">
        <v>59</v>
      </c>
      <c r="E985" s="6" t="s">
        <v>642</v>
      </c>
      <c r="F985" s="6" t="s">
        <v>8</v>
      </c>
      <c r="G985" s="11" t="s">
        <v>9</v>
      </c>
      <c r="H985" s="6" t="s">
        <v>10</v>
      </c>
      <c r="I985" s="21" t="s">
        <v>1072</v>
      </c>
      <c r="J985" s="18">
        <v>22195.273331300854</v>
      </c>
      <c r="K985" s="18">
        <f>VLOOKUP(A985,[1]Export!$A:$C,3,0)</f>
        <v>6627.7199999999993</v>
      </c>
      <c r="L985" s="19">
        <f t="shared" si="32"/>
        <v>0.29860952379681965</v>
      </c>
      <c r="M985" s="18">
        <f>VLOOKUP(A985,[1]Export!$A:$G,7,0)</f>
        <v>2865.98</v>
      </c>
      <c r="N985" s="19">
        <f t="shared" si="33"/>
        <v>0.12912569073696675</v>
      </c>
      <c r="O985" s="17" t="s">
        <v>1027</v>
      </c>
      <c r="P985" s="17" t="s">
        <v>1028</v>
      </c>
      <c r="Q985" s="17" t="s">
        <v>1023</v>
      </c>
      <c r="R985" s="17" t="str">
        <f>VLOOKUP(A985,[2]Export!$A:$I,9,0)</f>
        <v>Comprou Marcas</v>
      </c>
      <c r="S985" s="17" t="s">
        <v>1022</v>
      </c>
      <c r="T985" s="20"/>
      <c r="U985" s="17"/>
    </row>
    <row r="986" spans="1:21" x14ac:dyDescent="0.35">
      <c r="A986" s="4">
        <v>19909093000280</v>
      </c>
      <c r="B986" s="7"/>
      <c r="C986" s="4"/>
      <c r="D986" s="1" t="s">
        <v>25</v>
      </c>
      <c r="E986" s="1" t="s">
        <v>588</v>
      </c>
      <c r="F986" s="1" t="s">
        <v>8</v>
      </c>
      <c r="G986" s="10" t="s">
        <v>9</v>
      </c>
      <c r="H986" s="1" t="s">
        <v>10</v>
      </c>
      <c r="I986" s="21" t="s">
        <v>1068</v>
      </c>
      <c r="J986" s="18">
        <v>1204.3150601310394</v>
      </c>
      <c r="K986" s="18">
        <f>VLOOKUP(A986,[1]Export!$A:$C,3,0)</f>
        <v>1599.8100000000002</v>
      </c>
      <c r="L986" s="19">
        <f t="shared" si="32"/>
        <v>1.3283982347824561</v>
      </c>
      <c r="M986" s="18">
        <f>VLOOKUP(A986,[1]Export!$A:$G,7,0)</f>
        <v>0</v>
      </c>
      <c r="N986" s="19">
        <f t="shared" si="33"/>
        <v>0</v>
      </c>
      <c r="O986" s="17" t="s">
        <v>1025</v>
      </c>
      <c r="P986" s="17" t="s">
        <v>1026</v>
      </c>
      <c r="Q986" s="17" t="s">
        <v>1023</v>
      </c>
      <c r="R986" s="17" t="str">
        <f>VLOOKUP(A986,[2]Export!$A:$I,9,0)</f>
        <v>Não Comprou</v>
      </c>
      <c r="S986" s="17" t="s">
        <v>1022</v>
      </c>
      <c r="T986" s="20"/>
      <c r="U986" s="17"/>
    </row>
    <row r="987" spans="1:21" x14ac:dyDescent="0.35">
      <c r="A987" s="5">
        <v>10698745000120</v>
      </c>
      <c r="B987" s="7"/>
      <c r="C987" s="4"/>
      <c r="D987" s="6" t="s">
        <v>911</v>
      </c>
      <c r="E987" s="6" t="s">
        <v>96</v>
      </c>
      <c r="F987" s="6" t="s">
        <v>8</v>
      </c>
      <c r="G987" s="11" t="s">
        <v>20</v>
      </c>
      <c r="H987" s="6" t="s">
        <v>17</v>
      </c>
      <c r="I987" s="21" t="s">
        <v>1074</v>
      </c>
      <c r="J987" s="18">
        <v>3847.6724072764064</v>
      </c>
      <c r="K987" s="18">
        <f>VLOOKUP(A987,[1]Export!$A:$C,3,0)</f>
        <v>987.2</v>
      </c>
      <c r="L987" s="19">
        <f t="shared" si="32"/>
        <v>0.25657069924484405</v>
      </c>
      <c r="M987" s="18">
        <f>VLOOKUP(A987,[1]Export!$A:$G,7,0)</f>
        <v>0</v>
      </c>
      <c r="N987" s="19">
        <f t="shared" si="33"/>
        <v>0</v>
      </c>
      <c r="O987" s="17" t="s">
        <v>1025</v>
      </c>
      <c r="P987" s="17" t="s">
        <v>1026</v>
      </c>
      <c r="Q987" s="17" t="s">
        <v>1023</v>
      </c>
      <c r="R987" s="17" t="str">
        <f>VLOOKUP(A987,[2]Export!$A:$I,9,0)</f>
        <v>Não Comprou</v>
      </c>
      <c r="S987" s="17" t="s">
        <v>1023</v>
      </c>
      <c r="T987" s="20"/>
      <c r="U987" s="17"/>
    </row>
    <row r="988" spans="1:21" x14ac:dyDescent="0.35">
      <c r="A988" s="4">
        <v>10737685000530</v>
      </c>
      <c r="B988" s="7"/>
      <c r="C988" s="4"/>
      <c r="D988" s="1" t="s">
        <v>183</v>
      </c>
      <c r="E988" s="1" t="s">
        <v>595</v>
      </c>
      <c r="F988" s="1" t="s">
        <v>8</v>
      </c>
      <c r="G988" s="10" t="s">
        <v>64</v>
      </c>
      <c r="H988" s="1" t="s">
        <v>17</v>
      </c>
      <c r="I988" s="21" t="s">
        <v>1068</v>
      </c>
      <c r="J988" s="18">
        <v>1047.263727799746</v>
      </c>
      <c r="K988" s="18">
        <f>VLOOKUP(A988,[1]Export!$A:$C,3,0)</f>
        <v>1581.1299999999999</v>
      </c>
      <c r="L988" s="19">
        <f t="shared" si="32"/>
        <v>1.5097725224589635</v>
      </c>
      <c r="M988" s="18">
        <f>VLOOKUP(A988,[1]Export!$A:$G,7,0)</f>
        <v>1446.1000000000001</v>
      </c>
      <c r="N988" s="19">
        <f t="shared" si="33"/>
        <v>1.3808365186467322</v>
      </c>
      <c r="O988" s="17" t="s">
        <v>1025</v>
      </c>
      <c r="P988" s="17" t="s">
        <v>1026</v>
      </c>
      <c r="Q988" s="17" t="s">
        <v>1023</v>
      </c>
      <c r="R988" s="17" t="str">
        <f>VLOOKUP(A988,[2]Export!$A:$I,9,0)</f>
        <v>Comprou Marcas</v>
      </c>
      <c r="S988" s="17" t="s">
        <v>1023</v>
      </c>
      <c r="T988" s="20"/>
      <c r="U988" s="17"/>
    </row>
    <row r="989" spans="1:21" x14ac:dyDescent="0.35">
      <c r="A989" s="5">
        <v>10816100000144</v>
      </c>
      <c r="B989" s="7"/>
      <c r="C989" s="4"/>
      <c r="D989" s="6" t="s">
        <v>912</v>
      </c>
      <c r="E989" s="6" t="s">
        <v>293</v>
      </c>
      <c r="F989" s="6" t="s">
        <v>15</v>
      </c>
      <c r="G989" s="11" t="s">
        <v>9</v>
      </c>
      <c r="H989" s="6" t="s">
        <v>10</v>
      </c>
      <c r="I989" s="21" t="s">
        <v>1069</v>
      </c>
      <c r="J989" s="18">
        <v>7024.5790748423597</v>
      </c>
      <c r="K989" s="18">
        <f>VLOOKUP(A989,[1]Export!$A:$C,3,0)</f>
        <v>2835.41</v>
      </c>
      <c r="L989" s="19">
        <f t="shared" si="32"/>
        <v>0.40364126729737609</v>
      </c>
      <c r="M989" s="18">
        <f>VLOOKUP(A989,[1]Export!$A:$G,7,0)</f>
        <v>0</v>
      </c>
      <c r="N989" s="19">
        <f t="shared" si="33"/>
        <v>0</v>
      </c>
      <c r="O989" s="17" t="s">
        <v>1027</v>
      </c>
      <c r="P989" s="17" t="s">
        <v>1028</v>
      </c>
      <c r="Q989" s="17" t="s">
        <v>1023</v>
      </c>
      <c r="R989" s="17" t="str">
        <f>VLOOKUP(A989,[2]Export!$A:$I,9,0)</f>
        <v>Não Comprou</v>
      </c>
      <c r="S989" s="17" t="s">
        <v>1022</v>
      </c>
      <c r="T989" s="20"/>
      <c r="U989" s="17"/>
    </row>
    <row r="990" spans="1:21" x14ac:dyDescent="0.35">
      <c r="A990" s="4">
        <v>25043201000105</v>
      </c>
      <c r="B990" s="7"/>
      <c r="C990" s="4"/>
      <c r="D990" s="1" t="s">
        <v>90</v>
      </c>
      <c r="E990" s="1" t="s">
        <v>160</v>
      </c>
      <c r="F990" s="1" t="s">
        <v>8</v>
      </c>
      <c r="G990" s="10" t="s">
        <v>64</v>
      </c>
      <c r="H990" s="1" t="s">
        <v>17</v>
      </c>
      <c r="I990" s="21" t="s">
        <v>1070</v>
      </c>
      <c r="J990" s="18">
        <v>4587.6605217975994</v>
      </c>
      <c r="K990" s="18">
        <f>VLOOKUP(A990,[1]Export!$A:$C,3,0)</f>
        <v>1463.6299999999999</v>
      </c>
      <c r="L990" s="19">
        <f t="shared" si="32"/>
        <v>0.31903624800609715</v>
      </c>
      <c r="M990" s="18">
        <f>VLOOKUP(A990,[1]Export!$A:$G,7,0)</f>
        <v>0</v>
      </c>
      <c r="N990" s="19">
        <f t="shared" si="33"/>
        <v>0</v>
      </c>
      <c r="O990" s="17" t="s">
        <v>1029</v>
      </c>
      <c r="P990" s="17" t="s">
        <v>1026</v>
      </c>
      <c r="Q990" s="17" t="s">
        <v>1022</v>
      </c>
      <c r="R990" s="17" t="str">
        <f>VLOOKUP(A990,[2]Export!$A:$I,9,0)</f>
        <v>Não Comprou</v>
      </c>
      <c r="S990" s="17" t="s">
        <v>1022</v>
      </c>
      <c r="T990" s="20"/>
      <c r="U990" s="17"/>
    </row>
    <row r="991" spans="1:21" x14ac:dyDescent="0.35">
      <c r="A991" s="5">
        <v>17479487000130</v>
      </c>
      <c r="B991" s="7"/>
      <c r="C991" s="4"/>
      <c r="D991" s="6" t="s">
        <v>913</v>
      </c>
      <c r="E991" s="6" t="s">
        <v>14</v>
      </c>
      <c r="F991" s="6" t="s">
        <v>15</v>
      </c>
      <c r="G991" s="11" t="s">
        <v>16</v>
      </c>
      <c r="H991" s="6" t="s">
        <v>17</v>
      </c>
      <c r="I991" s="21" t="s">
        <v>1069</v>
      </c>
      <c r="J991" s="18">
        <v>2401.6494304938119</v>
      </c>
      <c r="K991" s="18">
        <f>VLOOKUP(A991,[1]Export!$A:$C,3,0)</f>
        <v>819.84999999999991</v>
      </c>
      <c r="L991" s="19">
        <f t="shared" si="32"/>
        <v>0.34136955610187769</v>
      </c>
      <c r="M991" s="18">
        <f>VLOOKUP(A991,[1]Export!$A:$G,7,0)</f>
        <v>702.12</v>
      </c>
      <c r="N991" s="19">
        <f t="shared" si="33"/>
        <v>0.29234907938067989</v>
      </c>
      <c r="O991" s="17" t="s">
        <v>1027</v>
      </c>
      <c r="P991" s="17" t="s">
        <v>1028</v>
      </c>
      <c r="Q991" s="17" t="s">
        <v>1023</v>
      </c>
      <c r="R991" s="17" t="str">
        <f>VLOOKUP(A991,[2]Export!$A:$I,9,0)</f>
        <v>Comprou Marcas</v>
      </c>
      <c r="S991" s="17" t="s">
        <v>1022</v>
      </c>
      <c r="T991" s="20"/>
      <c r="U991" s="17"/>
    </row>
    <row r="992" spans="1:21" x14ac:dyDescent="0.35">
      <c r="A992" s="4">
        <v>17479487000210</v>
      </c>
      <c r="B992" s="7"/>
      <c r="C992" s="4"/>
      <c r="D992" s="1" t="s">
        <v>490</v>
      </c>
      <c r="E992" s="1" t="s">
        <v>14</v>
      </c>
      <c r="F992" s="1" t="s">
        <v>15</v>
      </c>
      <c r="G992" s="10" t="s">
        <v>20</v>
      </c>
      <c r="H992" s="1" t="s">
        <v>17</v>
      </c>
      <c r="I992" s="21" t="s">
        <v>1069</v>
      </c>
      <c r="J992" s="18">
        <v>2356.3560690180548</v>
      </c>
      <c r="K992" s="18">
        <f>VLOOKUP(A992,[1]Export!$A:$C,3,0)</f>
        <v>234.25</v>
      </c>
      <c r="L992" s="19">
        <f t="shared" si="32"/>
        <v>9.9411970491207258E-2</v>
      </c>
      <c r="M992" s="18">
        <f>VLOOKUP(A992,[1]Export!$A:$G,7,0)</f>
        <v>373.19</v>
      </c>
      <c r="N992" s="19">
        <f t="shared" si="33"/>
        <v>0.15837589441884156</v>
      </c>
      <c r="O992" s="17" t="s">
        <v>1027</v>
      </c>
      <c r="P992" s="17" t="s">
        <v>1028</v>
      </c>
      <c r="Q992" s="17" t="s">
        <v>1023</v>
      </c>
      <c r="R992" s="17" t="str">
        <f>VLOOKUP(A992,[2]Export!$A:$I,9,0)</f>
        <v>Comprou Marcas</v>
      </c>
      <c r="S992" s="17" t="s">
        <v>1023</v>
      </c>
      <c r="T992" s="20"/>
      <c r="U992" s="17"/>
    </row>
    <row r="993" spans="1:21" x14ac:dyDescent="0.35">
      <c r="A993" s="5">
        <v>18332251000309</v>
      </c>
      <c r="B993" s="7" t="s">
        <v>998</v>
      </c>
      <c r="C993" s="4"/>
      <c r="D993" s="6" t="s">
        <v>25</v>
      </c>
      <c r="E993" s="6" t="s">
        <v>14</v>
      </c>
      <c r="F993" s="6" t="s">
        <v>15</v>
      </c>
      <c r="G993" s="11" t="s">
        <v>9</v>
      </c>
      <c r="H993" s="6" t="s">
        <v>10</v>
      </c>
      <c r="I993" s="21" t="s">
        <v>1069</v>
      </c>
      <c r="J993" s="18">
        <v>5844.8708303680378</v>
      </c>
      <c r="K993" s="18">
        <f>VLOOKUP(A993,[1]Export!$A:$C,3,0)</f>
        <v>1942.8200000000002</v>
      </c>
      <c r="L993" s="19">
        <f t="shared" si="32"/>
        <v>0.3323974226950821</v>
      </c>
      <c r="M993" s="18">
        <f>VLOOKUP(A993,[1]Export!$A:$G,7,0)</f>
        <v>2306.2799999999997</v>
      </c>
      <c r="N993" s="19">
        <f t="shared" si="33"/>
        <v>0.39458185936587731</v>
      </c>
      <c r="O993" s="17" t="s">
        <v>1027</v>
      </c>
      <c r="P993" s="17" t="s">
        <v>1028</v>
      </c>
      <c r="Q993" s="17" t="s">
        <v>1023</v>
      </c>
      <c r="R993" s="17" t="str">
        <f>VLOOKUP(A993,[2]Export!$A:$I,9,0)</f>
        <v>Comprou Marcas</v>
      </c>
      <c r="S993" s="17" t="s">
        <v>1022</v>
      </c>
      <c r="T993" s="20"/>
      <c r="U993" s="17"/>
    </row>
    <row r="994" spans="1:21" x14ac:dyDescent="0.35">
      <c r="A994" s="4">
        <v>19909093000108</v>
      </c>
      <c r="B994" s="7"/>
      <c r="C994" s="4"/>
      <c r="D994" s="1" t="s">
        <v>25</v>
      </c>
      <c r="E994" s="1" t="s">
        <v>588</v>
      </c>
      <c r="F994" s="1" t="s">
        <v>8</v>
      </c>
      <c r="G994" s="10" t="s">
        <v>9</v>
      </c>
      <c r="H994" s="1" t="s">
        <v>10</v>
      </c>
      <c r="I994" s="21" t="s">
        <v>1068</v>
      </c>
      <c r="J994" s="18">
        <v>14853.094435978976</v>
      </c>
      <c r="K994" s="18">
        <f>VLOOKUP(A994,[1]Export!$A:$C,3,0)</f>
        <v>7141.04</v>
      </c>
      <c r="L994" s="19">
        <f t="shared" si="32"/>
        <v>0.48077793020032933</v>
      </c>
      <c r="M994" s="18">
        <f>VLOOKUP(A994,[1]Export!$A:$G,7,0)</f>
        <v>0</v>
      </c>
      <c r="N994" s="19">
        <f t="shared" si="33"/>
        <v>0</v>
      </c>
      <c r="O994" s="17" t="s">
        <v>1027</v>
      </c>
      <c r="P994" s="17" t="s">
        <v>1028</v>
      </c>
      <c r="Q994" s="17" t="s">
        <v>1023</v>
      </c>
      <c r="R994" s="17" t="str">
        <f>VLOOKUP(A994,[2]Export!$A:$I,9,0)</f>
        <v>Não Comprou</v>
      </c>
      <c r="S994" s="17" t="s">
        <v>1022</v>
      </c>
      <c r="T994" s="20"/>
      <c r="U994" s="17"/>
    </row>
    <row r="995" spans="1:21" x14ac:dyDescent="0.35">
      <c r="A995" s="5">
        <v>21287037000112</v>
      </c>
      <c r="B995" s="7"/>
      <c r="C995" s="4"/>
      <c r="D995" s="6" t="s">
        <v>914</v>
      </c>
      <c r="E995" s="6" t="s">
        <v>542</v>
      </c>
      <c r="F995" s="6" t="s">
        <v>15</v>
      </c>
      <c r="G995" s="11" t="s">
        <v>20</v>
      </c>
      <c r="H995" s="6" t="s">
        <v>17</v>
      </c>
      <c r="I995" s="21" t="s">
        <v>1075</v>
      </c>
      <c r="J995" s="18">
        <v>3111.2412585858465</v>
      </c>
      <c r="K995" s="18">
        <f>VLOOKUP(A995,[1]Export!$A:$C,3,0)</f>
        <v>693.61</v>
      </c>
      <c r="L995" s="19">
        <f t="shared" si="32"/>
        <v>0.22293674528964905</v>
      </c>
      <c r="M995" s="18">
        <f>VLOOKUP(A995,[1]Export!$A:$G,7,0)</f>
        <v>0</v>
      </c>
      <c r="N995" s="19">
        <f t="shared" si="33"/>
        <v>0</v>
      </c>
      <c r="O995" s="17" t="s">
        <v>1025</v>
      </c>
      <c r="P995" s="17" t="s">
        <v>1026</v>
      </c>
      <c r="Q995" s="17" t="s">
        <v>1023</v>
      </c>
      <c r="R995" s="17" t="str">
        <f>VLOOKUP(A995,[2]Export!$A:$I,9,0)</f>
        <v>Não Comprou</v>
      </c>
      <c r="S995" s="17" t="s">
        <v>1023</v>
      </c>
      <c r="T995" s="20"/>
      <c r="U995" s="17"/>
    </row>
    <row r="996" spans="1:21" x14ac:dyDescent="0.35">
      <c r="A996" s="4">
        <v>43857147000105</v>
      </c>
      <c r="B996" s="7"/>
      <c r="C996" s="4"/>
      <c r="D996" s="1" t="s">
        <v>915</v>
      </c>
      <c r="E996" s="1" t="s">
        <v>390</v>
      </c>
      <c r="F996" s="1" t="s">
        <v>8</v>
      </c>
      <c r="G996" s="10" t="s">
        <v>16</v>
      </c>
      <c r="H996" s="1" t="s">
        <v>17</v>
      </c>
      <c r="I996" s="21" t="s">
        <v>1070</v>
      </c>
      <c r="J996" s="18">
        <v>426.65398475353516</v>
      </c>
      <c r="K996" s="18">
        <f>VLOOKUP(A996,[1]Export!$A:$C,3,0)</f>
        <v>126.03</v>
      </c>
      <c r="L996" s="19">
        <f t="shared" si="32"/>
        <v>0.29539159249339636</v>
      </c>
      <c r="M996" s="18">
        <f>VLOOKUP(A996,[1]Export!$A:$G,7,0)</f>
        <v>0</v>
      </c>
      <c r="N996" s="19">
        <f t="shared" si="33"/>
        <v>0</v>
      </c>
      <c r="O996" s="17"/>
      <c r="P996" s="17"/>
      <c r="Q996" s="17"/>
      <c r="R996" s="17" t="str">
        <f>VLOOKUP(A996,[2]Export!$A:$I,9,0)</f>
        <v>Não Comprou</v>
      </c>
      <c r="S996" s="17"/>
      <c r="T996" s="20"/>
      <c r="U996" s="17"/>
    </row>
    <row r="997" spans="1:21" x14ac:dyDescent="0.35">
      <c r="A997" s="5">
        <v>19825473000318</v>
      </c>
      <c r="B997" s="7"/>
      <c r="C997" s="4"/>
      <c r="D997" s="6" t="s">
        <v>916</v>
      </c>
      <c r="E997" s="6" t="s">
        <v>260</v>
      </c>
      <c r="F997" s="6" t="s">
        <v>8</v>
      </c>
      <c r="G997" s="11" t="s">
        <v>33</v>
      </c>
      <c r="H997" s="6" t="s">
        <v>17</v>
      </c>
      <c r="I997" s="21" t="s">
        <v>1068</v>
      </c>
      <c r="J997" s="18">
        <v>13789.394358119849</v>
      </c>
      <c r="K997" s="18">
        <f>VLOOKUP(A997,[1]Export!$A:$C,3,0)</f>
        <v>8879.5499999999993</v>
      </c>
      <c r="L997" s="19">
        <f t="shared" si="32"/>
        <v>0.64394053642909266</v>
      </c>
      <c r="M997" s="18">
        <f>VLOOKUP(A997,[1]Export!$A:$G,7,0)</f>
        <v>11148.03</v>
      </c>
      <c r="N997" s="19">
        <f t="shared" si="33"/>
        <v>0.80844957439595688</v>
      </c>
      <c r="O997" s="17" t="s">
        <v>1025</v>
      </c>
      <c r="P997" s="17" t="s">
        <v>1026</v>
      </c>
      <c r="Q997" s="17" t="s">
        <v>1023</v>
      </c>
      <c r="R997" s="17" t="str">
        <f>VLOOKUP(A997,[2]Export!$A:$I,9,0)</f>
        <v>Comprou Marcas</v>
      </c>
      <c r="S997" s="17" t="s">
        <v>1022</v>
      </c>
      <c r="T997" s="20">
        <v>4</v>
      </c>
      <c r="U997" s="17">
        <v>6</v>
      </c>
    </row>
    <row r="998" spans="1:21" x14ac:dyDescent="0.35">
      <c r="A998" s="4">
        <v>21013882000442</v>
      </c>
      <c r="B998" s="7" t="s">
        <v>1008</v>
      </c>
      <c r="C998" s="4"/>
      <c r="D998" s="1" t="s">
        <v>90</v>
      </c>
      <c r="E998" s="1" t="s">
        <v>82</v>
      </c>
      <c r="F998" s="1" t="s">
        <v>8</v>
      </c>
      <c r="G998" s="10" t="s">
        <v>64</v>
      </c>
      <c r="H998" s="1" t="s">
        <v>17</v>
      </c>
      <c r="I998" s="21" t="s">
        <v>1072</v>
      </c>
      <c r="J998" s="18">
        <v>9478.8157521425092</v>
      </c>
      <c r="K998" s="18">
        <f>VLOOKUP(A998,[1]Export!$A:$C,3,0)</f>
        <v>7143.2999999999984</v>
      </c>
      <c r="L998" s="19">
        <f t="shared" si="32"/>
        <v>0.7536067992866502</v>
      </c>
      <c r="M998" s="18">
        <f>VLOOKUP(A998,[1]Export!$A:$G,7,0)</f>
        <v>4845.8199999999979</v>
      </c>
      <c r="N998" s="19">
        <f t="shared" si="33"/>
        <v>0.5112263099854738</v>
      </c>
      <c r="O998" s="17" t="s">
        <v>1029</v>
      </c>
      <c r="P998" s="17" t="s">
        <v>1026</v>
      </c>
      <c r="Q998" s="17" t="s">
        <v>1022</v>
      </c>
      <c r="R998" s="17" t="str">
        <f>VLOOKUP(A998,[2]Export!$A:$I,9,0)</f>
        <v>Comprou Marcas</v>
      </c>
      <c r="S998" s="17" t="s">
        <v>1022</v>
      </c>
      <c r="T998" s="20">
        <v>4</v>
      </c>
      <c r="U998" s="17"/>
    </row>
    <row r="999" spans="1:21" x14ac:dyDescent="0.35">
      <c r="A999" s="5">
        <v>21483918000109</v>
      </c>
      <c r="B999" s="7"/>
      <c r="C999" s="4"/>
      <c r="D999" s="6" t="s">
        <v>917</v>
      </c>
      <c r="E999" s="6" t="s">
        <v>35</v>
      </c>
      <c r="F999" s="6" t="s">
        <v>8</v>
      </c>
      <c r="G999" s="11" t="s">
        <v>918</v>
      </c>
      <c r="H999" s="6" t="s">
        <v>17</v>
      </c>
      <c r="I999" s="21" t="s">
        <v>1072</v>
      </c>
      <c r="J999" s="18">
        <v>1017.4076593016184</v>
      </c>
      <c r="K999" s="18">
        <f>VLOOKUP(A999,[1]Export!$A:$C,3,0)</f>
        <v>667.07999999999993</v>
      </c>
      <c r="L999" s="19">
        <f t="shared" si="32"/>
        <v>0.65566638298939606</v>
      </c>
      <c r="M999" s="18">
        <f>VLOOKUP(A999,[1]Export!$A:$G,7,0)</f>
        <v>0</v>
      </c>
      <c r="N999" s="19">
        <f t="shared" si="33"/>
        <v>0</v>
      </c>
      <c r="O999" s="17" t="s">
        <v>1025</v>
      </c>
      <c r="P999" s="17" t="s">
        <v>1026</v>
      </c>
      <c r="Q999" s="17" t="s">
        <v>1023</v>
      </c>
      <c r="R999" s="17" t="str">
        <f>VLOOKUP(A999,[2]Export!$A:$I,9,0)</f>
        <v>Não Comprou</v>
      </c>
      <c r="S999" s="17" t="s">
        <v>1023</v>
      </c>
      <c r="T999" s="20"/>
      <c r="U999" s="17"/>
    </row>
    <row r="1000" spans="1:21" x14ac:dyDescent="0.35">
      <c r="A1000" s="4">
        <v>22019833000137</v>
      </c>
      <c r="B1000" s="7" t="s">
        <v>346</v>
      </c>
      <c r="C1000" s="4"/>
      <c r="D1000" s="1" t="s">
        <v>346</v>
      </c>
      <c r="E1000" s="1" t="s">
        <v>52</v>
      </c>
      <c r="F1000" s="1" t="s">
        <v>8</v>
      </c>
      <c r="G1000" s="10" t="s">
        <v>36</v>
      </c>
      <c r="H1000" s="1" t="s">
        <v>17</v>
      </c>
      <c r="I1000" s="21" t="s">
        <v>1074</v>
      </c>
      <c r="J1000" s="18">
        <v>5887.8773572750324</v>
      </c>
      <c r="K1000" s="18">
        <f>VLOOKUP(A1000,[1]Export!$A:$C,3,0)</f>
        <v>1628.9900000000002</v>
      </c>
      <c r="L1000" s="19">
        <f t="shared" si="32"/>
        <v>0.27666846660575023</v>
      </c>
      <c r="M1000" s="18">
        <f>VLOOKUP(A1000,[1]Export!$A:$G,7,0)</f>
        <v>137.85</v>
      </c>
      <c r="N1000" s="19">
        <f t="shared" si="33"/>
        <v>2.3412512121991334E-2</v>
      </c>
      <c r="O1000" s="17" t="s">
        <v>1025</v>
      </c>
      <c r="P1000" s="17" t="s">
        <v>1026</v>
      </c>
      <c r="Q1000" s="17" t="s">
        <v>1023</v>
      </c>
      <c r="R1000" s="17" t="str">
        <f>VLOOKUP(A1000,[2]Export!$A:$I,9,0)</f>
        <v>Comprou Marcas</v>
      </c>
      <c r="S1000" s="17" t="s">
        <v>1022</v>
      </c>
      <c r="T1000" s="20"/>
      <c r="U1000" s="17"/>
    </row>
    <row r="1001" spans="1:21" x14ac:dyDescent="0.35">
      <c r="A1001" s="5">
        <v>22977550000106</v>
      </c>
      <c r="B1001" s="7"/>
      <c r="C1001" s="4"/>
      <c r="D1001" s="6" t="s">
        <v>919</v>
      </c>
      <c r="E1001" s="6" t="s">
        <v>436</v>
      </c>
      <c r="F1001" s="6" t="s">
        <v>8</v>
      </c>
      <c r="G1001" s="11" t="s">
        <v>16</v>
      </c>
      <c r="H1001" s="6" t="s">
        <v>17</v>
      </c>
      <c r="I1001" s="21" t="s">
        <v>1072</v>
      </c>
      <c r="J1001" s="18">
        <v>1954.8323999886156</v>
      </c>
      <c r="K1001" s="18">
        <f>VLOOKUP(A1001,[1]Export!$A:$C,3,0)</f>
        <v>0</v>
      </c>
      <c r="L1001" s="19">
        <f t="shared" si="32"/>
        <v>0</v>
      </c>
      <c r="M1001" s="18">
        <f>VLOOKUP(A1001,[1]Export!$A:$G,7,0)</f>
        <v>0</v>
      </c>
      <c r="N1001" s="19">
        <f t="shared" si="33"/>
        <v>0</v>
      </c>
      <c r="O1001" s="17" t="s">
        <v>1027</v>
      </c>
      <c r="P1001" s="17" t="s">
        <v>1028</v>
      </c>
      <c r="Q1001" s="17" t="s">
        <v>1023</v>
      </c>
      <c r="R1001" s="17" t="str">
        <f>VLOOKUP(A1001,[2]Export!$A:$I,9,0)</f>
        <v>Não Comprou</v>
      </c>
      <c r="S1001" s="17" t="s">
        <v>1022</v>
      </c>
      <c r="T1001" s="20"/>
      <c r="U1001" s="17"/>
    </row>
    <row r="1002" spans="1:21" x14ac:dyDescent="0.35">
      <c r="A1002" s="4">
        <v>23866159000199</v>
      </c>
      <c r="B1002" s="7"/>
      <c r="C1002" s="4"/>
      <c r="D1002" s="1" t="s">
        <v>920</v>
      </c>
      <c r="E1002" s="1" t="s">
        <v>305</v>
      </c>
      <c r="F1002" s="1" t="s">
        <v>15</v>
      </c>
      <c r="G1002" s="10" t="s">
        <v>36</v>
      </c>
      <c r="H1002" s="1" t="s">
        <v>17</v>
      </c>
      <c r="I1002" s="21" t="s">
        <v>1071</v>
      </c>
      <c r="J1002" s="18">
        <v>3446.182249778793</v>
      </c>
      <c r="K1002" s="18">
        <f>VLOOKUP(A1002,[1]Export!$A:$C,3,0)</f>
        <v>881.2299999999999</v>
      </c>
      <c r="L1002" s="19">
        <f t="shared" si="32"/>
        <v>0.25571195489053583</v>
      </c>
      <c r="M1002" s="18">
        <f>VLOOKUP(A1002,[1]Export!$A:$G,7,0)</f>
        <v>0</v>
      </c>
      <c r="N1002" s="19">
        <f t="shared" si="33"/>
        <v>0</v>
      </c>
      <c r="O1002" s="17" t="s">
        <v>1025</v>
      </c>
      <c r="P1002" s="17" t="s">
        <v>1026</v>
      </c>
      <c r="Q1002" s="17" t="s">
        <v>1023</v>
      </c>
      <c r="R1002" s="17" t="str">
        <f>VLOOKUP(A1002,[2]Export!$A:$I,9,0)</f>
        <v>Não Comprou</v>
      </c>
      <c r="S1002" s="17" t="s">
        <v>1023</v>
      </c>
      <c r="T1002" s="20"/>
      <c r="U1002" s="17"/>
    </row>
    <row r="1003" spans="1:21" x14ac:dyDescent="0.35">
      <c r="A1003" s="5">
        <v>33156596000172</v>
      </c>
      <c r="B1003" s="7"/>
      <c r="C1003" s="4"/>
      <c r="D1003" s="6" t="s">
        <v>397</v>
      </c>
      <c r="E1003" s="6" t="s">
        <v>221</v>
      </c>
      <c r="F1003" s="6" t="s">
        <v>15</v>
      </c>
      <c r="G1003" s="11" t="s">
        <v>20</v>
      </c>
      <c r="H1003" s="6" t="s">
        <v>17</v>
      </c>
      <c r="I1003" s="21" t="s">
        <v>1075</v>
      </c>
      <c r="J1003" s="18">
        <v>3412.4468953404289</v>
      </c>
      <c r="K1003" s="18">
        <f>VLOOKUP(A1003,[1]Export!$A:$C,3,0)</f>
        <v>342.65999999999997</v>
      </c>
      <c r="L1003" s="19">
        <f t="shared" si="32"/>
        <v>0.10041474944793709</v>
      </c>
      <c r="M1003" s="18">
        <f>VLOOKUP(A1003,[1]Export!$A:$G,7,0)</f>
        <v>0</v>
      </c>
      <c r="N1003" s="19">
        <f t="shared" si="33"/>
        <v>0</v>
      </c>
      <c r="O1003" s="17" t="s">
        <v>1025</v>
      </c>
      <c r="P1003" s="17" t="s">
        <v>1026</v>
      </c>
      <c r="Q1003" s="17" t="s">
        <v>1023</v>
      </c>
      <c r="R1003" s="17" t="str">
        <f>VLOOKUP(A1003,[2]Export!$A:$I,9,0)</f>
        <v>Não Comprou</v>
      </c>
      <c r="S1003" s="17" t="s">
        <v>1023</v>
      </c>
      <c r="T1003" s="20">
        <v>1</v>
      </c>
      <c r="U1003" s="17"/>
    </row>
    <row r="1004" spans="1:21" x14ac:dyDescent="0.35">
      <c r="A1004" s="4">
        <v>26851782000166</v>
      </c>
      <c r="B1004" s="7"/>
      <c r="C1004" s="4"/>
      <c r="D1004" s="1" t="s">
        <v>921</v>
      </c>
      <c r="E1004" s="1" t="s">
        <v>129</v>
      </c>
      <c r="F1004" s="1" t="s">
        <v>15</v>
      </c>
      <c r="G1004" s="10" t="s">
        <v>20</v>
      </c>
      <c r="H1004" s="1" t="s">
        <v>17</v>
      </c>
      <c r="I1004" s="21" t="s">
        <v>1071</v>
      </c>
      <c r="J1004" s="18">
        <v>1882.8532025039981</v>
      </c>
      <c r="K1004" s="18">
        <f>VLOOKUP(A1004,[1]Export!$A:$C,3,0)</f>
        <v>1037.8200000000002</v>
      </c>
      <c r="L1004" s="19">
        <f t="shared" si="32"/>
        <v>0.55119538720268157</v>
      </c>
      <c r="M1004" s="18">
        <f>VLOOKUP(A1004,[1]Export!$A:$G,7,0)</f>
        <v>0</v>
      </c>
      <c r="N1004" s="19">
        <f t="shared" si="33"/>
        <v>0</v>
      </c>
      <c r="O1004" s="17" t="s">
        <v>1025</v>
      </c>
      <c r="P1004" s="17" t="s">
        <v>1026</v>
      </c>
      <c r="Q1004" s="17" t="s">
        <v>1023</v>
      </c>
      <c r="R1004" s="17" t="str">
        <f>VLOOKUP(A1004,[2]Export!$A:$I,9,0)</f>
        <v>Não Comprou</v>
      </c>
      <c r="S1004" s="17" t="s">
        <v>1023</v>
      </c>
      <c r="T1004" s="20"/>
      <c r="U1004" s="17"/>
    </row>
    <row r="1005" spans="1:21" x14ac:dyDescent="0.35">
      <c r="A1005" s="5">
        <v>27114394000165</v>
      </c>
      <c r="B1005" s="7"/>
      <c r="C1005" s="4"/>
      <c r="D1005" s="6" t="s">
        <v>922</v>
      </c>
      <c r="E1005" s="6" t="s">
        <v>379</v>
      </c>
      <c r="F1005" s="6" t="s">
        <v>15</v>
      </c>
      <c r="G1005" s="11" t="s">
        <v>20</v>
      </c>
      <c r="H1005" s="6" t="s">
        <v>17</v>
      </c>
      <c r="I1005" s="21" t="s">
        <v>1075</v>
      </c>
      <c r="J1005" s="18">
        <v>799.14075678287793</v>
      </c>
      <c r="K1005" s="18">
        <f>VLOOKUP(A1005,[1]Export!$A:$C,3,0)</f>
        <v>45.08</v>
      </c>
      <c r="L1005" s="19">
        <f t="shared" si="32"/>
        <v>5.6410588018911391E-2</v>
      </c>
      <c r="M1005" s="18">
        <f>VLOOKUP(A1005,[1]Export!$A:$G,7,0)</f>
        <v>0</v>
      </c>
      <c r="N1005" s="19">
        <f t="shared" si="33"/>
        <v>0</v>
      </c>
      <c r="O1005" s="17" t="s">
        <v>1025</v>
      </c>
      <c r="P1005" s="17" t="s">
        <v>1026</v>
      </c>
      <c r="Q1005" s="17" t="s">
        <v>1023</v>
      </c>
      <c r="R1005" s="17" t="str">
        <f>VLOOKUP(A1005,[2]Export!$A:$I,9,0)</f>
        <v>Não Comprou</v>
      </c>
      <c r="S1005" s="17" t="s">
        <v>1023</v>
      </c>
      <c r="T1005" s="20"/>
      <c r="U1005" s="17"/>
    </row>
    <row r="1006" spans="1:21" x14ac:dyDescent="0.35">
      <c r="A1006" s="4">
        <v>12113721000197</v>
      </c>
      <c r="B1006" s="7"/>
      <c r="C1006" s="4"/>
      <c r="D1006" s="1" t="s">
        <v>923</v>
      </c>
      <c r="E1006" s="1" t="s">
        <v>596</v>
      </c>
      <c r="F1006" s="1" t="s">
        <v>48</v>
      </c>
      <c r="G1006" s="10" t="s">
        <v>16</v>
      </c>
      <c r="H1006" s="1" t="s">
        <v>17</v>
      </c>
      <c r="I1006" s="21" t="s">
        <v>1073</v>
      </c>
      <c r="J1006" s="18">
        <v>5727.7597048500475</v>
      </c>
      <c r="K1006" s="18">
        <f>VLOOKUP(A1006,[1]Export!$A:$C,3,0)</f>
        <v>776.44</v>
      </c>
      <c r="L1006" s="19">
        <f t="shared" si="32"/>
        <v>0.13555736274036434</v>
      </c>
      <c r="M1006" s="18">
        <f>VLOOKUP(A1006,[1]Export!$A:$G,7,0)</f>
        <v>0</v>
      </c>
      <c r="N1006" s="19">
        <f t="shared" si="33"/>
        <v>0</v>
      </c>
      <c r="O1006" s="17" t="s">
        <v>1027</v>
      </c>
      <c r="P1006" s="17" t="s">
        <v>1028</v>
      </c>
      <c r="Q1006" s="17" t="s">
        <v>1023</v>
      </c>
      <c r="R1006" s="17" t="str">
        <f>VLOOKUP(A1006,[2]Export!$A:$I,9,0)</f>
        <v>Comprou Marcas e SG</v>
      </c>
      <c r="S1006" s="17" t="s">
        <v>1022</v>
      </c>
      <c r="T1006" s="20"/>
      <c r="U1006" s="17"/>
    </row>
    <row r="1007" spans="1:21" x14ac:dyDescent="0.35">
      <c r="A1007" s="5">
        <v>932885000167</v>
      </c>
      <c r="B1007" s="7"/>
      <c r="C1007" s="4"/>
      <c r="D1007" s="6" t="s">
        <v>924</v>
      </c>
      <c r="E1007" s="6" t="s">
        <v>925</v>
      </c>
      <c r="F1007" s="6" t="s">
        <v>48</v>
      </c>
      <c r="G1007" s="11" t="s">
        <v>20</v>
      </c>
      <c r="H1007" s="6" t="s">
        <v>17</v>
      </c>
      <c r="I1007" s="21" t="s">
        <v>1073</v>
      </c>
      <c r="J1007" s="18">
        <v>7962.8837971881203</v>
      </c>
      <c r="K1007" s="18">
        <f>VLOOKUP(A1007,[1]Export!$A:$C,3,0)</f>
        <v>5448.4700000000021</v>
      </c>
      <c r="L1007" s="19">
        <f t="shared" si="32"/>
        <v>0.68423326759131953</v>
      </c>
      <c r="M1007" s="18">
        <f>VLOOKUP(A1007,[1]Export!$A:$G,7,0)</f>
        <v>4821.6600000000008</v>
      </c>
      <c r="N1007" s="19">
        <f t="shared" si="33"/>
        <v>0.60551681059349893</v>
      </c>
      <c r="O1007" s="17" t="s">
        <v>1025</v>
      </c>
      <c r="P1007" s="17" t="s">
        <v>1026</v>
      </c>
      <c r="Q1007" s="17" t="s">
        <v>1023</v>
      </c>
      <c r="R1007" s="17" t="str">
        <f>VLOOKUP(A1007,[2]Export!$A:$I,9,0)</f>
        <v>Comprou Marcas</v>
      </c>
      <c r="S1007" s="17" t="s">
        <v>1023</v>
      </c>
      <c r="T1007" s="20"/>
      <c r="U1007" s="17"/>
    </row>
    <row r="1008" spans="1:21" x14ac:dyDescent="0.35">
      <c r="A1008" s="4">
        <v>2291187000155</v>
      </c>
      <c r="B1008" s="7"/>
      <c r="C1008" s="4"/>
      <c r="D1008" s="1" t="s">
        <v>926</v>
      </c>
      <c r="E1008" s="1" t="s">
        <v>316</v>
      </c>
      <c r="F1008" s="1" t="s">
        <v>48</v>
      </c>
      <c r="G1008" s="10" t="s">
        <v>20</v>
      </c>
      <c r="H1008" s="1" t="s">
        <v>17</v>
      </c>
      <c r="I1008" s="21" t="s">
        <v>1073</v>
      </c>
      <c r="J1008" s="18">
        <v>2869.5116401016771</v>
      </c>
      <c r="K1008" s="18">
        <f>VLOOKUP(A1008,[1]Export!$A:$C,3,0)</f>
        <v>130.27000000000001</v>
      </c>
      <c r="L1008" s="19">
        <f t="shared" si="32"/>
        <v>4.5397968831861604E-2</v>
      </c>
      <c r="M1008" s="18">
        <f>VLOOKUP(A1008,[1]Export!$A:$G,7,0)</f>
        <v>0</v>
      </c>
      <c r="N1008" s="19">
        <f t="shared" si="33"/>
        <v>0</v>
      </c>
      <c r="O1008" s="17" t="s">
        <v>1027</v>
      </c>
      <c r="P1008" s="17" t="s">
        <v>1026</v>
      </c>
      <c r="Q1008" s="17" t="s">
        <v>1023</v>
      </c>
      <c r="R1008" s="17" t="str">
        <f>VLOOKUP(A1008,[2]Export!$A:$I,9,0)</f>
        <v>Comprou Marcas</v>
      </c>
      <c r="S1008" s="17" t="s">
        <v>1022</v>
      </c>
      <c r="T1008" s="20"/>
      <c r="U1008" s="17"/>
    </row>
    <row r="1009" spans="1:21" x14ac:dyDescent="0.35">
      <c r="A1009" s="5">
        <v>5335462000183</v>
      </c>
      <c r="B1009" s="7"/>
      <c r="C1009" s="4"/>
      <c r="D1009" s="6" t="s">
        <v>927</v>
      </c>
      <c r="E1009" s="6" t="s">
        <v>125</v>
      </c>
      <c r="F1009" s="6" t="s">
        <v>15</v>
      </c>
      <c r="G1009" s="11" t="s">
        <v>20</v>
      </c>
      <c r="H1009" s="6" t="s">
        <v>17</v>
      </c>
      <c r="I1009" s="21" t="s">
        <v>1069</v>
      </c>
      <c r="J1009" s="18">
        <v>2019.6289893893809</v>
      </c>
      <c r="K1009" s="18">
        <f>VLOOKUP(A1009,[1]Export!$A:$C,3,0)</f>
        <v>656.86999999999989</v>
      </c>
      <c r="L1009" s="19">
        <f t="shared" si="32"/>
        <v>0.32524290523211369</v>
      </c>
      <c r="M1009" s="18">
        <f>VLOOKUP(A1009,[1]Export!$A:$G,7,0)</f>
        <v>0</v>
      </c>
      <c r="N1009" s="19">
        <f t="shared" si="33"/>
        <v>0</v>
      </c>
      <c r="O1009" s="17" t="s">
        <v>1025</v>
      </c>
      <c r="P1009" s="17" t="s">
        <v>1026</v>
      </c>
      <c r="Q1009" s="17" t="s">
        <v>1023</v>
      </c>
      <c r="R1009" s="17" t="str">
        <f>VLOOKUP(A1009,[2]Export!$A:$I,9,0)</f>
        <v>Não Comprou</v>
      </c>
      <c r="S1009" s="17" t="s">
        <v>1023</v>
      </c>
      <c r="T1009" s="20"/>
      <c r="U1009" s="17"/>
    </row>
    <row r="1010" spans="1:21" x14ac:dyDescent="0.35">
      <c r="A1010" s="4">
        <v>15794259000200</v>
      </c>
      <c r="B1010" s="7"/>
      <c r="C1010" s="4"/>
      <c r="D1010" s="1" t="s">
        <v>928</v>
      </c>
      <c r="E1010" s="1" t="s">
        <v>166</v>
      </c>
      <c r="F1010" s="1" t="s">
        <v>8</v>
      </c>
      <c r="G1010" s="10" t="s">
        <v>36</v>
      </c>
      <c r="H1010" s="1" t="s">
        <v>17</v>
      </c>
      <c r="I1010" s="21" t="s">
        <v>1070</v>
      </c>
      <c r="J1010" s="18">
        <v>3157.0520799078472</v>
      </c>
      <c r="K1010" s="18">
        <f>VLOOKUP(A1010,[1]Export!$A:$C,3,0)</f>
        <v>415.54</v>
      </c>
      <c r="L1010" s="19">
        <f t="shared" si="32"/>
        <v>0.13162278907104041</v>
      </c>
      <c r="M1010" s="18">
        <f>VLOOKUP(A1010,[1]Export!$A:$G,7,0)</f>
        <v>0</v>
      </c>
      <c r="N1010" s="19">
        <f t="shared" si="33"/>
        <v>0</v>
      </c>
      <c r="O1010" s="17" t="s">
        <v>1025</v>
      </c>
      <c r="P1010" s="17" t="s">
        <v>1026</v>
      </c>
      <c r="Q1010" s="17" t="s">
        <v>1023</v>
      </c>
      <c r="R1010" s="17" t="str">
        <f>VLOOKUP(A1010,[2]Export!$A:$I,9,0)</f>
        <v>Não Comprou</v>
      </c>
      <c r="S1010" s="17" t="s">
        <v>1023</v>
      </c>
      <c r="T1010" s="20"/>
      <c r="U1010" s="17"/>
    </row>
    <row r="1011" spans="1:21" x14ac:dyDescent="0.35">
      <c r="A1011" s="5">
        <v>15317875000199</v>
      </c>
      <c r="B1011" s="7"/>
      <c r="C1011" s="4"/>
      <c r="D1011" s="6" t="s">
        <v>179</v>
      </c>
      <c r="E1011" s="6" t="s">
        <v>358</v>
      </c>
      <c r="F1011" s="6" t="s">
        <v>15</v>
      </c>
      <c r="G1011" s="11" t="s">
        <v>36</v>
      </c>
      <c r="H1011" s="6" t="s">
        <v>17</v>
      </c>
      <c r="I1011" s="21" t="s">
        <v>1071</v>
      </c>
      <c r="J1011" s="18">
        <v>4935.7920655737125</v>
      </c>
      <c r="K1011" s="18">
        <f>VLOOKUP(A1011,[1]Export!$A:$C,3,0)</f>
        <v>3999.8600000000006</v>
      </c>
      <c r="L1011" s="19">
        <f t="shared" si="32"/>
        <v>0.81037854651502139</v>
      </c>
      <c r="M1011" s="18">
        <f>VLOOKUP(A1011,[1]Export!$A:$G,7,0)</f>
        <v>2772.4200000000005</v>
      </c>
      <c r="N1011" s="19">
        <f t="shared" si="33"/>
        <v>0.56169708188015977</v>
      </c>
      <c r="O1011" s="17" t="s">
        <v>1025</v>
      </c>
      <c r="P1011" s="17" t="s">
        <v>1026</v>
      </c>
      <c r="Q1011" s="17" t="s">
        <v>1022</v>
      </c>
      <c r="R1011" s="17" t="str">
        <f>VLOOKUP(A1011,[2]Export!$A:$I,9,0)</f>
        <v>Comprou Marcas</v>
      </c>
      <c r="S1011" s="17" t="s">
        <v>1023</v>
      </c>
      <c r="T1011" s="20"/>
      <c r="U1011" s="17"/>
    </row>
    <row r="1012" spans="1:21" x14ac:dyDescent="0.35">
      <c r="A1012" s="4">
        <v>22379586000180</v>
      </c>
      <c r="B1012" s="7" t="s">
        <v>996</v>
      </c>
      <c r="C1012" s="4"/>
      <c r="D1012" s="1" t="s">
        <v>59</v>
      </c>
      <c r="E1012" s="1" t="s">
        <v>324</v>
      </c>
      <c r="F1012" s="1" t="s">
        <v>15</v>
      </c>
      <c r="G1012" s="10" t="s">
        <v>9</v>
      </c>
      <c r="H1012" s="1" t="s">
        <v>10</v>
      </c>
      <c r="I1012" s="21" t="s">
        <v>1071</v>
      </c>
      <c r="J1012" s="18">
        <v>9185.263605387765</v>
      </c>
      <c r="K1012" s="18">
        <f>VLOOKUP(A1012,[1]Export!$A:$C,3,0)</f>
        <v>4096.55</v>
      </c>
      <c r="L1012" s="19">
        <f t="shared" si="32"/>
        <v>0.4459915551685531</v>
      </c>
      <c r="M1012" s="18">
        <f>VLOOKUP(A1012,[1]Export!$A:$G,7,0)</f>
        <v>3396.64</v>
      </c>
      <c r="N1012" s="19">
        <f t="shared" si="33"/>
        <v>0.36979232670117879</v>
      </c>
      <c r="O1012" s="17" t="s">
        <v>1027</v>
      </c>
      <c r="P1012" s="17" t="s">
        <v>1028</v>
      </c>
      <c r="Q1012" s="17" t="s">
        <v>1023</v>
      </c>
      <c r="R1012" s="17" t="str">
        <f>VLOOKUP(A1012,[2]Export!$A:$I,9,0)</f>
        <v>Comprou Marcas e SG</v>
      </c>
      <c r="S1012" s="17" t="s">
        <v>1022</v>
      </c>
      <c r="T1012" s="20"/>
      <c r="U1012" s="17"/>
    </row>
    <row r="1013" spans="1:21" x14ac:dyDescent="0.35">
      <c r="A1013" s="5">
        <v>23829894000122</v>
      </c>
      <c r="B1013" s="7"/>
      <c r="C1013" s="4"/>
      <c r="D1013" s="6" t="s">
        <v>449</v>
      </c>
      <c r="E1013" s="6" t="s">
        <v>291</v>
      </c>
      <c r="F1013" s="6" t="s">
        <v>8</v>
      </c>
      <c r="G1013" s="11" t="s">
        <v>36</v>
      </c>
      <c r="H1013" s="6" t="s">
        <v>17</v>
      </c>
      <c r="I1013" s="21" t="s">
        <v>1068</v>
      </c>
      <c r="J1013" s="18">
        <v>18833.694912583302</v>
      </c>
      <c r="K1013" s="18">
        <f>VLOOKUP(A1013,[1]Export!$A:$C,3,0)</f>
        <v>12444.33</v>
      </c>
      <c r="L1013" s="19">
        <f t="shared" si="32"/>
        <v>0.66074819931831885</v>
      </c>
      <c r="M1013" s="18">
        <f>VLOOKUP(A1013,[1]Export!$A:$G,7,0)</f>
        <v>13565.759999999995</v>
      </c>
      <c r="N1013" s="19">
        <f t="shared" si="33"/>
        <v>0.72029201189493319</v>
      </c>
      <c r="O1013" s="17" t="s">
        <v>1025</v>
      </c>
      <c r="P1013" s="17" t="s">
        <v>1026</v>
      </c>
      <c r="Q1013" s="17" t="s">
        <v>1023</v>
      </c>
      <c r="R1013" s="17" t="str">
        <f>VLOOKUP(A1013,[2]Export!$A:$I,9,0)</f>
        <v>Comprou Marcas</v>
      </c>
      <c r="S1013" s="17" t="s">
        <v>1022</v>
      </c>
      <c r="T1013" s="20">
        <v>8</v>
      </c>
      <c r="U1013" s="17"/>
    </row>
    <row r="1014" spans="1:21" x14ac:dyDescent="0.35">
      <c r="A1014" s="5">
        <v>74641994000161</v>
      </c>
      <c r="B1014" s="7"/>
      <c r="C1014" s="4"/>
      <c r="D1014" s="6" t="s">
        <v>852</v>
      </c>
      <c r="E1014" s="6" t="s">
        <v>354</v>
      </c>
      <c r="F1014" s="6" t="s">
        <v>48</v>
      </c>
      <c r="G1014" s="11" t="s">
        <v>38</v>
      </c>
      <c r="H1014" s="6" t="s">
        <v>17</v>
      </c>
      <c r="I1014" s="21" t="s">
        <v>1075</v>
      </c>
      <c r="J1014" s="18">
        <v>2017.1423999901681</v>
      </c>
      <c r="K1014" s="18">
        <f>VLOOKUP(A1014,[1]Export!$A:$C,3,0)</f>
        <v>2175.08</v>
      </c>
      <c r="L1014" s="19">
        <f t="shared" si="32"/>
        <v>1.0782976948036003</v>
      </c>
      <c r="M1014" s="18">
        <f>VLOOKUP(A1014,[1]Export!$A:$G,7,0)</f>
        <v>0</v>
      </c>
      <c r="N1014" s="19">
        <f t="shared" si="33"/>
        <v>0</v>
      </c>
      <c r="O1014" s="17"/>
      <c r="P1014" s="17"/>
      <c r="Q1014" s="17"/>
      <c r="R1014" s="17" t="str">
        <f>VLOOKUP(A1014,[2]Export!$A:$I,9,0)</f>
        <v>Não Comprou</v>
      </c>
      <c r="S1014" s="17"/>
      <c r="T1014" s="20"/>
      <c r="U1014" s="17"/>
    </row>
    <row r="1015" spans="1:21" x14ac:dyDescent="0.35">
      <c r="A1015" s="5">
        <v>19942147000129</v>
      </c>
      <c r="B1015" s="7"/>
      <c r="C1015" s="4"/>
      <c r="D1015" s="6" t="s">
        <v>930</v>
      </c>
      <c r="E1015" s="6" t="s">
        <v>178</v>
      </c>
      <c r="F1015" s="6" t="s">
        <v>15</v>
      </c>
      <c r="G1015" s="11" t="s">
        <v>20</v>
      </c>
      <c r="H1015" s="6" t="s">
        <v>17</v>
      </c>
      <c r="I1015" s="21" t="s">
        <v>1075</v>
      </c>
      <c r="J1015" s="18">
        <v>4435.2294836603733</v>
      </c>
      <c r="K1015" s="18">
        <f>VLOOKUP(A1015,[1]Export!$A:$C,3,0)</f>
        <v>1053.0899999999999</v>
      </c>
      <c r="L1015" s="19">
        <f t="shared" si="32"/>
        <v>0.23743754497476191</v>
      </c>
      <c r="M1015" s="18">
        <f>VLOOKUP(A1015,[1]Export!$A:$G,7,0)</f>
        <v>0</v>
      </c>
      <c r="N1015" s="19">
        <f t="shared" si="33"/>
        <v>0</v>
      </c>
      <c r="O1015" s="17" t="s">
        <v>1029</v>
      </c>
      <c r="P1015" s="17" t="s">
        <v>1026</v>
      </c>
      <c r="Q1015" s="17" t="s">
        <v>1022</v>
      </c>
      <c r="R1015" s="17" t="str">
        <f>VLOOKUP(A1015,[2]Export!$A:$I,9,0)</f>
        <v>Não Comprou</v>
      </c>
      <c r="S1015" s="17" t="s">
        <v>1022</v>
      </c>
      <c r="T1015" s="20"/>
      <c r="U1015" s="17"/>
    </row>
    <row r="1016" spans="1:21" x14ac:dyDescent="0.35">
      <c r="A1016" s="4">
        <v>20119949000112</v>
      </c>
      <c r="B1016" s="7"/>
      <c r="C1016" s="4"/>
      <c r="D1016" s="1" t="s">
        <v>247</v>
      </c>
      <c r="E1016" s="1" t="s">
        <v>14</v>
      </c>
      <c r="F1016" s="1" t="s">
        <v>15</v>
      </c>
      <c r="G1016" s="10" t="s">
        <v>36</v>
      </c>
      <c r="H1016" s="1" t="s">
        <v>17</v>
      </c>
      <c r="I1016" s="21" t="s">
        <v>1069</v>
      </c>
      <c r="J1016" s="18">
        <v>3725.5510871931406</v>
      </c>
      <c r="K1016" s="18">
        <f>VLOOKUP(A1016,[1]Export!$A:$C,3,0)</f>
        <v>656.87</v>
      </c>
      <c r="L1016" s="19">
        <f t="shared" si="32"/>
        <v>0.17631485507151937</v>
      </c>
      <c r="M1016" s="18">
        <f>VLOOKUP(A1016,[1]Export!$A:$G,7,0)</f>
        <v>0</v>
      </c>
      <c r="N1016" s="19">
        <f t="shared" si="33"/>
        <v>0</v>
      </c>
      <c r="O1016" s="17" t="s">
        <v>1029</v>
      </c>
      <c r="P1016" s="17" t="s">
        <v>1026</v>
      </c>
      <c r="Q1016" s="17" t="s">
        <v>1022</v>
      </c>
      <c r="R1016" s="17" t="str">
        <f>VLOOKUP(A1016,[2]Export!$A:$I,9,0)</f>
        <v>Não Comprou</v>
      </c>
      <c r="S1016" s="17" t="s">
        <v>1022</v>
      </c>
      <c r="T1016" s="20"/>
      <c r="U1016" s="17"/>
    </row>
    <row r="1017" spans="1:21" x14ac:dyDescent="0.35">
      <c r="A1017" s="5">
        <v>14324344000160</v>
      </c>
      <c r="B1017" s="7"/>
      <c r="C1017" s="4"/>
      <c r="D1017" s="6" t="s">
        <v>931</v>
      </c>
      <c r="E1017" s="6" t="s">
        <v>330</v>
      </c>
      <c r="F1017" s="6" t="s">
        <v>15</v>
      </c>
      <c r="G1017" s="11" t="s">
        <v>932</v>
      </c>
      <c r="H1017" s="6" t="s">
        <v>17</v>
      </c>
      <c r="I1017" s="21" t="s">
        <v>1071</v>
      </c>
      <c r="J1017" s="18">
        <v>2615.3872434696027</v>
      </c>
      <c r="K1017" s="18">
        <f>VLOOKUP(A1017,[1]Export!$A:$C,3,0)</f>
        <v>325.27</v>
      </c>
      <c r="L1017" s="19">
        <f t="shared" si="32"/>
        <v>0.1243678162047212</v>
      </c>
      <c r="M1017" s="18">
        <f>VLOOKUP(A1017,[1]Export!$A:$G,7,0)</f>
        <v>0</v>
      </c>
      <c r="N1017" s="19">
        <f t="shared" si="33"/>
        <v>0</v>
      </c>
      <c r="O1017" s="17"/>
      <c r="P1017" s="17"/>
      <c r="Q1017" s="17"/>
      <c r="R1017" s="17" t="str">
        <f>VLOOKUP(A1017,[2]Export!$A:$I,9,0)</f>
        <v>Comprou SG</v>
      </c>
      <c r="S1017" s="17"/>
      <c r="T1017" s="20"/>
      <c r="U1017" s="17"/>
    </row>
    <row r="1018" spans="1:21" x14ac:dyDescent="0.35">
      <c r="A1018" s="4">
        <v>15532062000111</v>
      </c>
      <c r="B1018" s="7"/>
      <c r="C1018" s="4"/>
      <c r="D1018" s="1" t="s">
        <v>933</v>
      </c>
      <c r="E1018" s="1" t="s">
        <v>265</v>
      </c>
      <c r="F1018" s="1" t="s">
        <v>15</v>
      </c>
      <c r="G1018" s="10" t="s">
        <v>20</v>
      </c>
      <c r="H1018" s="1" t="s">
        <v>17</v>
      </c>
      <c r="I1018" s="21" t="s">
        <v>1071</v>
      </c>
      <c r="J1018" s="18">
        <v>14881.183312151616</v>
      </c>
      <c r="K1018" s="18">
        <f>VLOOKUP(A1018,[1]Export!$A:$C,3,0)</f>
        <v>4880.49</v>
      </c>
      <c r="L1018" s="19">
        <f t="shared" si="32"/>
        <v>0.32796383846805444</v>
      </c>
      <c r="M1018" s="18">
        <f>VLOOKUP(A1018,[1]Export!$A:$G,7,0)</f>
        <v>0</v>
      </c>
      <c r="N1018" s="19">
        <f t="shared" si="33"/>
        <v>0</v>
      </c>
      <c r="O1018" s="17"/>
      <c r="P1018" s="17"/>
      <c r="Q1018" s="17"/>
      <c r="R1018" s="17" t="str">
        <f>VLOOKUP(A1018,[2]Export!$A:$I,9,0)</f>
        <v>Comprou Marcas</v>
      </c>
      <c r="S1018" s="17"/>
      <c r="T1018" s="20"/>
      <c r="U1018" s="17"/>
    </row>
    <row r="1019" spans="1:21" x14ac:dyDescent="0.35">
      <c r="A1019" s="5">
        <v>12237892000128</v>
      </c>
      <c r="B1019" s="7"/>
      <c r="C1019" s="4"/>
      <c r="D1019" s="6" t="s">
        <v>934</v>
      </c>
      <c r="E1019" s="6" t="s">
        <v>275</v>
      </c>
      <c r="F1019" s="6" t="s">
        <v>15</v>
      </c>
      <c r="G1019" s="11" t="s">
        <v>36</v>
      </c>
      <c r="H1019" s="6" t="s">
        <v>17</v>
      </c>
      <c r="I1019" s="21" t="s">
        <v>1075</v>
      </c>
      <c r="J1019" s="18">
        <v>10452.576830972866</v>
      </c>
      <c r="K1019" s="18">
        <f>VLOOKUP(A1019,[1]Export!$A:$C,3,0)</f>
        <v>5503.0100000000011</v>
      </c>
      <c r="L1019" s="19">
        <f t="shared" si="32"/>
        <v>0.52647400626547824</v>
      </c>
      <c r="M1019" s="18">
        <f>VLOOKUP(A1019,[1]Export!$A:$G,7,0)</f>
        <v>5508.090000000002</v>
      </c>
      <c r="N1019" s="19">
        <f t="shared" si="33"/>
        <v>0.52696001082513355</v>
      </c>
      <c r="O1019" s="17" t="s">
        <v>1030</v>
      </c>
      <c r="P1019" s="17" t="s">
        <v>1026</v>
      </c>
      <c r="Q1019" s="17" t="s">
        <v>1022</v>
      </c>
      <c r="R1019" s="17" t="str">
        <f>VLOOKUP(A1019,[2]Export!$A:$I,9,0)</f>
        <v>Comprou Marcas e SG</v>
      </c>
      <c r="S1019" s="17" t="s">
        <v>1022</v>
      </c>
      <c r="T1019" s="20"/>
      <c r="U1019" s="17"/>
    </row>
    <row r="1020" spans="1:21" x14ac:dyDescent="0.35">
      <c r="A1020" s="4">
        <v>36876993000107</v>
      </c>
      <c r="B1020" s="7"/>
      <c r="C1020" s="4"/>
      <c r="D1020" s="1" t="s">
        <v>935</v>
      </c>
      <c r="E1020" s="1" t="s">
        <v>115</v>
      </c>
      <c r="F1020" s="1" t="s">
        <v>8</v>
      </c>
      <c r="G1020" s="10" t="s">
        <v>36</v>
      </c>
      <c r="H1020" s="1" t="s">
        <v>17</v>
      </c>
      <c r="I1020" s="21" t="s">
        <v>1068</v>
      </c>
      <c r="J1020" s="18">
        <v>5904.9096826950554</v>
      </c>
      <c r="K1020" s="18">
        <f>VLOOKUP(A1020,[1]Export!$A:$C,3,0)</f>
        <v>3138.68</v>
      </c>
      <c r="L1020" s="19">
        <f t="shared" si="32"/>
        <v>0.53153734242510497</v>
      </c>
      <c r="M1020" s="18">
        <f>VLOOKUP(A1020,[1]Export!$A:$G,7,0)</f>
        <v>1977.2800000000004</v>
      </c>
      <c r="N1020" s="19">
        <f t="shared" si="33"/>
        <v>0.33485355513474196</v>
      </c>
      <c r="O1020" s="17" t="s">
        <v>1025</v>
      </c>
      <c r="P1020" s="17" t="s">
        <v>1026</v>
      </c>
      <c r="Q1020" s="17" t="s">
        <v>1023</v>
      </c>
      <c r="R1020" s="17" t="str">
        <f>VLOOKUP(A1020,[2]Export!$A:$I,9,0)</f>
        <v>Comprou Marcas</v>
      </c>
      <c r="S1020" s="17" t="s">
        <v>1023</v>
      </c>
      <c r="T1020" s="20"/>
      <c r="U1020" s="17"/>
    </row>
    <row r="1021" spans="1:21" x14ac:dyDescent="0.35">
      <c r="A1021" s="5">
        <v>37558194000155</v>
      </c>
      <c r="B1021" s="7"/>
      <c r="C1021" s="4"/>
      <c r="D1021" s="6" t="s">
        <v>936</v>
      </c>
      <c r="E1021" s="6" t="s">
        <v>379</v>
      </c>
      <c r="F1021" s="6" t="s">
        <v>15</v>
      </c>
      <c r="G1021" s="11" t="s">
        <v>36</v>
      </c>
      <c r="H1021" s="6" t="s">
        <v>17</v>
      </c>
      <c r="I1021" s="21" t="s">
        <v>1075</v>
      </c>
      <c r="J1021" s="18">
        <v>4772.5644446766864</v>
      </c>
      <c r="K1021" s="18">
        <f>VLOOKUP(A1021,[1]Export!$A:$C,3,0)</f>
        <v>1357.58</v>
      </c>
      <c r="L1021" s="19">
        <f t="shared" si="32"/>
        <v>0.28445503790194876</v>
      </c>
      <c r="M1021" s="18">
        <f>VLOOKUP(A1021,[1]Export!$A:$G,7,0)</f>
        <v>1068.9100000000001</v>
      </c>
      <c r="N1021" s="19">
        <f t="shared" si="33"/>
        <v>0.22396973626878128</v>
      </c>
      <c r="O1021" s="17" t="s">
        <v>1029</v>
      </c>
      <c r="P1021" s="17" t="s">
        <v>1026</v>
      </c>
      <c r="Q1021" s="17" t="s">
        <v>1022</v>
      </c>
      <c r="R1021" s="17" t="str">
        <f>VLOOKUP(A1021,[2]Export!$A:$I,9,0)</f>
        <v>Comprou Marcas</v>
      </c>
      <c r="S1021" s="17" t="s">
        <v>1023</v>
      </c>
      <c r="T1021" s="20"/>
      <c r="U1021" s="17"/>
    </row>
    <row r="1022" spans="1:21" x14ac:dyDescent="0.35">
      <c r="A1022" s="4">
        <v>22073444000190</v>
      </c>
      <c r="B1022" s="7"/>
      <c r="C1022" s="4"/>
      <c r="D1022" s="1" t="s">
        <v>937</v>
      </c>
      <c r="E1022" s="1" t="s">
        <v>35</v>
      </c>
      <c r="F1022" s="1" t="s">
        <v>8</v>
      </c>
      <c r="G1022" s="10" t="s">
        <v>16</v>
      </c>
      <c r="H1022" s="1" t="s">
        <v>17</v>
      </c>
      <c r="I1022" s="21" t="s">
        <v>1072</v>
      </c>
      <c r="J1022" s="18">
        <v>2196.2146512853433</v>
      </c>
      <c r="K1022" s="18">
        <f>VLOOKUP(A1022,[1]Export!$A:$C,3,0)</f>
        <v>1975.7000000000003</v>
      </c>
      <c r="L1022" s="19">
        <f t="shared" si="32"/>
        <v>0.89959330653026748</v>
      </c>
      <c r="M1022" s="18">
        <f>VLOOKUP(A1022,[1]Export!$A:$G,7,0)</f>
        <v>238.66</v>
      </c>
      <c r="N1022" s="19">
        <f t="shared" si="33"/>
        <v>0.10866879512907505</v>
      </c>
      <c r="O1022" s="17" t="s">
        <v>1029</v>
      </c>
      <c r="P1022" s="17" t="s">
        <v>1026</v>
      </c>
      <c r="Q1022" s="17" t="s">
        <v>1023</v>
      </c>
      <c r="R1022" s="17" t="str">
        <f>VLOOKUP(A1022,[2]Export!$A:$I,9,0)</f>
        <v>Comprou Marcas</v>
      </c>
      <c r="S1022" s="17" t="s">
        <v>1022</v>
      </c>
      <c r="T1022" s="20"/>
      <c r="U1022" s="17"/>
    </row>
    <row r="1023" spans="1:21" x14ac:dyDescent="0.35">
      <c r="A1023" s="5">
        <v>22355280000193</v>
      </c>
      <c r="B1023" s="7" t="s">
        <v>1003</v>
      </c>
      <c r="C1023" s="4"/>
      <c r="D1023" s="6" t="s">
        <v>938</v>
      </c>
      <c r="E1023" s="6" t="s">
        <v>540</v>
      </c>
      <c r="F1023" s="6" t="s">
        <v>8</v>
      </c>
      <c r="G1023" s="11" t="s">
        <v>36</v>
      </c>
      <c r="H1023" s="6" t="s">
        <v>17</v>
      </c>
      <c r="I1023" s="21" t="s">
        <v>1074</v>
      </c>
      <c r="J1023" s="18">
        <v>1761.7158770568665</v>
      </c>
      <c r="K1023" s="18">
        <f>VLOOKUP(A1023,[1]Export!$A:$C,3,0)</f>
        <v>245.03000000000003</v>
      </c>
      <c r="L1023" s="19">
        <f t="shared" si="32"/>
        <v>0.13908599178282294</v>
      </c>
      <c r="M1023" s="18">
        <f>VLOOKUP(A1023,[1]Export!$A:$G,7,0)</f>
        <v>137.85</v>
      </c>
      <c r="N1023" s="19">
        <f t="shared" si="33"/>
        <v>7.8247577714002939E-2</v>
      </c>
      <c r="O1023" s="17" t="s">
        <v>1025</v>
      </c>
      <c r="P1023" s="17" t="s">
        <v>1026</v>
      </c>
      <c r="Q1023" s="17" t="s">
        <v>1023</v>
      </c>
      <c r="R1023" s="17" t="str">
        <f>VLOOKUP(A1023,[2]Export!$A:$I,9,0)</f>
        <v>Comprou Marcas</v>
      </c>
      <c r="S1023" s="17" t="s">
        <v>1022</v>
      </c>
      <c r="T1023" s="20"/>
      <c r="U1023" s="17"/>
    </row>
    <row r="1024" spans="1:21" x14ac:dyDescent="0.35">
      <c r="A1024" s="4">
        <v>25064025000180</v>
      </c>
      <c r="B1024" s="7"/>
      <c r="C1024" s="4"/>
      <c r="D1024" s="1" t="s">
        <v>939</v>
      </c>
      <c r="E1024" s="1" t="s">
        <v>61</v>
      </c>
      <c r="F1024" s="1" t="s">
        <v>8</v>
      </c>
      <c r="G1024" s="10" t="s">
        <v>20</v>
      </c>
      <c r="H1024" s="1" t="s">
        <v>17</v>
      </c>
      <c r="I1024" s="21" t="s">
        <v>1068</v>
      </c>
      <c r="J1024" s="18">
        <v>7790.4604352144634</v>
      </c>
      <c r="K1024" s="18">
        <f>VLOOKUP(A1024,[1]Export!$A:$C,3,0)</f>
        <v>3007.7599999999998</v>
      </c>
      <c r="L1024" s="19">
        <f t="shared" si="32"/>
        <v>0.38608244339504166</v>
      </c>
      <c r="M1024" s="18">
        <f>VLOOKUP(A1024,[1]Export!$A:$G,7,0)</f>
        <v>4249.7500000000009</v>
      </c>
      <c r="N1024" s="19">
        <f t="shared" si="33"/>
        <v>0.54550691006532392</v>
      </c>
      <c r="O1024" s="17" t="s">
        <v>1025</v>
      </c>
      <c r="P1024" s="17" t="s">
        <v>1026</v>
      </c>
      <c r="Q1024" s="17" t="s">
        <v>1023</v>
      </c>
      <c r="R1024" s="17" t="str">
        <f>VLOOKUP(A1024,[2]Export!$A:$I,9,0)</f>
        <v>Comprou Marcas</v>
      </c>
      <c r="S1024" s="17" t="s">
        <v>1023</v>
      </c>
      <c r="T1024" s="20"/>
      <c r="U1024" s="17"/>
    </row>
    <row r="1025" spans="1:21" x14ac:dyDescent="0.35">
      <c r="A1025" s="5">
        <v>27960067000124</v>
      </c>
      <c r="B1025" s="7"/>
      <c r="C1025" s="4"/>
      <c r="D1025" s="6" t="s">
        <v>940</v>
      </c>
      <c r="E1025" s="6" t="s">
        <v>14</v>
      </c>
      <c r="F1025" s="6" t="s">
        <v>15</v>
      </c>
      <c r="G1025" s="11" t="s">
        <v>36</v>
      </c>
      <c r="H1025" s="6" t="s">
        <v>17</v>
      </c>
      <c r="I1025" s="21" t="s">
        <v>1069</v>
      </c>
      <c r="J1025" s="18">
        <v>16628.131214617653</v>
      </c>
      <c r="K1025" s="18">
        <f>VLOOKUP(A1025,[1]Export!$A:$C,3,0)</f>
        <v>3645.19</v>
      </c>
      <c r="L1025" s="19">
        <f t="shared" si="32"/>
        <v>0.21921826048591339</v>
      </c>
      <c r="M1025" s="18">
        <f>VLOOKUP(A1025,[1]Export!$A:$G,7,0)</f>
        <v>14195.499999999996</v>
      </c>
      <c r="N1025" s="19">
        <f t="shared" si="33"/>
        <v>0.85370387187712649</v>
      </c>
      <c r="O1025" s="17" t="s">
        <v>1027</v>
      </c>
      <c r="P1025" s="17" t="s">
        <v>1028</v>
      </c>
      <c r="Q1025" s="17" t="s">
        <v>1023</v>
      </c>
      <c r="R1025" s="17" t="str">
        <f>VLOOKUP(A1025,[2]Export!$A:$I,9,0)</f>
        <v>Comprou Marcas e SG</v>
      </c>
      <c r="S1025" s="17" t="s">
        <v>1022</v>
      </c>
      <c r="T1025" s="20"/>
      <c r="U1025" s="17"/>
    </row>
    <row r="1026" spans="1:21" x14ac:dyDescent="0.35">
      <c r="A1026" s="4">
        <v>7556217000121</v>
      </c>
      <c r="B1026" s="7"/>
      <c r="C1026" s="4"/>
      <c r="D1026" s="1" t="s">
        <v>941</v>
      </c>
      <c r="E1026" s="1" t="s">
        <v>157</v>
      </c>
      <c r="F1026" s="1" t="s">
        <v>48</v>
      </c>
      <c r="G1026" s="10" t="s">
        <v>20</v>
      </c>
      <c r="H1026" s="1" t="s">
        <v>17</v>
      </c>
      <c r="I1026" s="21" t="s">
        <v>1073</v>
      </c>
      <c r="J1026" s="18">
        <v>5114.3368165905795</v>
      </c>
      <c r="K1026" s="18">
        <f>VLOOKUP(A1026,[1]Export!$A:$C,3,0)</f>
        <v>1791.8300000000002</v>
      </c>
      <c r="L1026" s="19">
        <f t="shared" si="32"/>
        <v>0.35035432046388088</v>
      </c>
      <c r="M1026" s="18">
        <f>VLOOKUP(A1026,[1]Export!$A:$G,7,0)</f>
        <v>0</v>
      </c>
      <c r="N1026" s="19">
        <f t="shared" si="33"/>
        <v>0</v>
      </c>
      <c r="O1026" s="17" t="s">
        <v>1025</v>
      </c>
      <c r="P1026" s="17" t="s">
        <v>1026</v>
      </c>
      <c r="Q1026" s="17" t="s">
        <v>1023</v>
      </c>
      <c r="R1026" s="17" t="str">
        <f>VLOOKUP(A1026,[2]Export!$A:$I,9,0)</f>
        <v>Comprou SG</v>
      </c>
      <c r="S1026" s="17" t="s">
        <v>1023</v>
      </c>
      <c r="T1026" s="20"/>
      <c r="U1026" s="17"/>
    </row>
    <row r="1027" spans="1:21" x14ac:dyDescent="0.35">
      <c r="A1027" s="5">
        <v>8087667000509</v>
      </c>
      <c r="B1027" s="7" t="s">
        <v>1001</v>
      </c>
      <c r="C1027" s="4"/>
      <c r="D1027" s="6" t="s">
        <v>218</v>
      </c>
      <c r="E1027" s="6" t="s">
        <v>35</v>
      </c>
      <c r="F1027" s="6" t="s">
        <v>8</v>
      </c>
      <c r="G1027" s="11" t="s">
        <v>36</v>
      </c>
      <c r="H1027" s="6" t="s">
        <v>17</v>
      </c>
      <c r="I1027" s="21" t="s">
        <v>1072</v>
      </c>
      <c r="J1027" s="18">
        <v>20483.428399132503</v>
      </c>
      <c r="K1027" s="18">
        <f>VLOOKUP(A1027,[1]Export!$A:$C,3,0)</f>
        <v>7209.88</v>
      </c>
      <c r="L1027" s="19">
        <f t="shared" si="32"/>
        <v>0.35198599860877522</v>
      </c>
      <c r="M1027" s="18">
        <f>VLOOKUP(A1027,[1]Export!$A:$G,7,0)</f>
        <v>5957.4700000000012</v>
      </c>
      <c r="N1027" s="19">
        <f t="shared" si="33"/>
        <v>0.29084340198891251</v>
      </c>
      <c r="O1027" s="17" t="s">
        <v>1025</v>
      </c>
      <c r="P1027" s="17" t="s">
        <v>1026</v>
      </c>
      <c r="Q1027" s="17" t="s">
        <v>1023</v>
      </c>
      <c r="R1027" s="17" t="str">
        <f>VLOOKUP(A1027,[2]Export!$A:$I,9,0)</f>
        <v>Comprou Marcas</v>
      </c>
      <c r="S1027" s="17" t="s">
        <v>1022</v>
      </c>
      <c r="T1027" s="20">
        <v>4</v>
      </c>
      <c r="U1027" s="17"/>
    </row>
    <row r="1028" spans="1:21" x14ac:dyDescent="0.35">
      <c r="A1028" s="4">
        <v>8954952000156</v>
      </c>
      <c r="B1028" s="7" t="s">
        <v>227</v>
      </c>
      <c r="C1028" s="4">
        <v>13672</v>
      </c>
      <c r="D1028" s="1" t="s">
        <v>227</v>
      </c>
      <c r="E1028" s="1" t="s">
        <v>35</v>
      </c>
      <c r="F1028" s="1" t="s">
        <v>8</v>
      </c>
      <c r="G1028" s="10" t="s">
        <v>16</v>
      </c>
      <c r="H1028" s="1" t="s">
        <v>17</v>
      </c>
      <c r="I1028" s="21" t="s">
        <v>1072</v>
      </c>
      <c r="J1028" s="18">
        <v>6563.4034575822798</v>
      </c>
      <c r="K1028" s="18">
        <f>VLOOKUP(A1028,[1]Export!$A:$C,3,0)</f>
        <v>1268.3300000000002</v>
      </c>
      <c r="L1028" s="19">
        <f t="shared" si="32"/>
        <v>0.19324272965953049</v>
      </c>
      <c r="M1028" s="18">
        <f>VLOOKUP(A1028,[1]Export!$A:$G,7,0)</f>
        <v>1392.72</v>
      </c>
      <c r="N1028" s="19">
        <f t="shared" si="33"/>
        <v>0.21219478720161256</v>
      </c>
      <c r="O1028" s="17" t="s">
        <v>1027</v>
      </c>
      <c r="P1028" s="17" t="s">
        <v>1028</v>
      </c>
      <c r="Q1028" s="17" t="s">
        <v>1023</v>
      </c>
      <c r="R1028" s="17" t="str">
        <f>VLOOKUP(A1028,[2]Export!$A:$I,9,0)</f>
        <v>Comprou Marcas e SG</v>
      </c>
      <c r="S1028" s="17" t="s">
        <v>1022</v>
      </c>
      <c r="T1028" s="20"/>
      <c r="U1028" s="17"/>
    </row>
    <row r="1029" spans="1:21" x14ac:dyDescent="0.35">
      <c r="A1029" s="5">
        <v>10378095000135</v>
      </c>
      <c r="B1029" s="7"/>
      <c r="C1029" s="4"/>
      <c r="D1029" s="6" t="s">
        <v>942</v>
      </c>
      <c r="E1029" s="6" t="s">
        <v>458</v>
      </c>
      <c r="F1029" s="6" t="s">
        <v>48</v>
      </c>
      <c r="G1029" s="11" t="s">
        <v>20</v>
      </c>
      <c r="H1029" s="6" t="s">
        <v>17</v>
      </c>
      <c r="I1029" s="21" t="s">
        <v>1075</v>
      </c>
      <c r="J1029" s="18">
        <v>15712.059192598848</v>
      </c>
      <c r="K1029" s="18">
        <f>VLOOKUP(A1029,[1]Export!$A:$C,3,0)</f>
        <v>6083.97</v>
      </c>
      <c r="L1029" s="19">
        <f t="shared" si="32"/>
        <v>0.38721659111784973</v>
      </c>
      <c r="M1029" s="18">
        <f>VLOOKUP(A1029,[1]Export!$A:$G,7,0)</f>
        <v>4833.7599999999993</v>
      </c>
      <c r="N1029" s="19">
        <f t="shared" si="33"/>
        <v>0.30764649882918832</v>
      </c>
      <c r="O1029" s="17" t="s">
        <v>1025</v>
      </c>
      <c r="P1029" s="17" t="s">
        <v>1026</v>
      </c>
      <c r="Q1029" s="17" t="s">
        <v>1022</v>
      </c>
      <c r="R1029" s="17" t="str">
        <f>VLOOKUP(A1029,[2]Export!$A:$I,9,0)</f>
        <v>Comprou Marcas e SG</v>
      </c>
      <c r="S1029" s="17" t="s">
        <v>1022</v>
      </c>
      <c r="T1029" s="20"/>
      <c r="U1029" s="17">
        <v>4</v>
      </c>
    </row>
    <row r="1030" spans="1:21" x14ac:dyDescent="0.35">
      <c r="A1030" s="4">
        <v>10693312000181</v>
      </c>
      <c r="B1030" s="7"/>
      <c r="C1030" s="4"/>
      <c r="D1030" s="1" t="s">
        <v>90</v>
      </c>
      <c r="E1030" s="1" t="s">
        <v>166</v>
      </c>
      <c r="F1030" s="1" t="s">
        <v>8</v>
      </c>
      <c r="G1030" s="10" t="s">
        <v>64</v>
      </c>
      <c r="H1030" s="1" t="s">
        <v>17</v>
      </c>
      <c r="I1030" s="21" t="s">
        <v>1070</v>
      </c>
      <c r="J1030" s="18">
        <v>10142.561986512101</v>
      </c>
      <c r="K1030" s="18">
        <f>VLOOKUP(A1030,[1]Export!$A:$C,3,0)</f>
        <v>5469.6200000000008</v>
      </c>
      <c r="L1030" s="19">
        <f t="shared" si="32"/>
        <v>0.53927400269021519</v>
      </c>
      <c r="M1030" s="18">
        <f>VLOOKUP(A1030,[1]Export!$A:$G,7,0)</f>
        <v>6317.5500000000011</v>
      </c>
      <c r="N1030" s="19">
        <f t="shared" si="33"/>
        <v>0.62287516787191233</v>
      </c>
      <c r="O1030" s="17" t="s">
        <v>1029</v>
      </c>
      <c r="P1030" s="17" t="s">
        <v>1026</v>
      </c>
      <c r="Q1030" s="17" t="s">
        <v>1022</v>
      </c>
      <c r="R1030" s="17" t="str">
        <f>VLOOKUP(A1030,[2]Export!$A:$I,9,0)</f>
        <v>Comprou Marcas e SG</v>
      </c>
      <c r="S1030" s="17" t="s">
        <v>1022</v>
      </c>
      <c r="T1030" s="20"/>
      <c r="U1030" s="17"/>
    </row>
    <row r="1031" spans="1:21" x14ac:dyDescent="0.35">
      <c r="A1031" s="5">
        <v>11058284000193</v>
      </c>
      <c r="B1031" s="7"/>
      <c r="C1031" s="4"/>
      <c r="D1031" s="6" t="s">
        <v>943</v>
      </c>
      <c r="E1031" s="6" t="s">
        <v>14</v>
      </c>
      <c r="F1031" s="6" t="s">
        <v>15</v>
      </c>
      <c r="G1031" s="11" t="s">
        <v>20</v>
      </c>
      <c r="H1031" s="6" t="s">
        <v>17</v>
      </c>
      <c r="I1031" s="21" t="s">
        <v>1069</v>
      </c>
      <c r="J1031" s="18">
        <v>5414.564646441997</v>
      </c>
      <c r="K1031" s="18">
        <f>VLOOKUP(A1031,[1]Export!$A:$C,3,0)</f>
        <v>1512.9400000000003</v>
      </c>
      <c r="L1031" s="19">
        <f t="shared" si="32"/>
        <v>0.27942043336654576</v>
      </c>
      <c r="M1031" s="18">
        <f>VLOOKUP(A1031,[1]Export!$A:$G,7,0)</f>
        <v>0</v>
      </c>
      <c r="N1031" s="19">
        <f t="shared" si="33"/>
        <v>0</v>
      </c>
      <c r="O1031" s="17"/>
      <c r="P1031" s="17"/>
      <c r="Q1031" s="17"/>
      <c r="R1031" s="17" t="str">
        <f>VLOOKUP(A1031,[2]Export!$A:$I,9,0)</f>
        <v>Não Comprou</v>
      </c>
      <c r="S1031" s="17"/>
      <c r="T1031" s="20"/>
      <c r="U1031" s="17"/>
    </row>
    <row r="1032" spans="1:21" x14ac:dyDescent="0.35">
      <c r="A1032" s="4">
        <v>11119143000133</v>
      </c>
      <c r="B1032" s="7"/>
      <c r="C1032" s="4"/>
      <c r="D1032" s="1" t="s">
        <v>944</v>
      </c>
      <c r="E1032" s="1" t="s">
        <v>149</v>
      </c>
      <c r="F1032" s="1" t="s">
        <v>8</v>
      </c>
      <c r="G1032" s="10" t="s">
        <v>20</v>
      </c>
      <c r="H1032" s="1" t="s">
        <v>17</v>
      </c>
      <c r="I1032" s="21" t="s">
        <v>1074</v>
      </c>
      <c r="J1032" s="18">
        <v>2218.5139648585409</v>
      </c>
      <c r="K1032" s="18">
        <f>VLOOKUP(A1032,[1]Export!$A:$C,3,0)</f>
        <v>664.17</v>
      </c>
      <c r="L1032" s="19">
        <f t="shared" si="32"/>
        <v>0.2993760735882271</v>
      </c>
      <c r="M1032" s="18">
        <f>VLOOKUP(A1032,[1]Export!$A:$G,7,0)</f>
        <v>0</v>
      </c>
      <c r="N1032" s="19">
        <f t="shared" si="33"/>
        <v>0</v>
      </c>
      <c r="O1032" s="17" t="s">
        <v>1025</v>
      </c>
      <c r="P1032" s="17" t="s">
        <v>1026</v>
      </c>
      <c r="Q1032" s="17" t="s">
        <v>1023</v>
      </c>
      <c r="R1032" s="17" t="str">
        <f>VLOOKUP(A1032,[2]Export!$A:$I,9,0)</f>
        <v>Não Comprou</v>
      </c>
      <c r="S1032" s="17" t="s">
        <v>1022</v>
      </c>
      <c r="T1032" s="20"/>
      <c r="U1032" s="17"/>
    </row>
    <row r="1033" spans="1:21" x14ac:dyDescent="0.35">
      <c r="A1033" s="5">
        <v>11190148000152</v>
      </c>
      <c r="B1033" s="7"/>
      <c r="C1033" s="4"/>
      <c r="D1033" s="6" t="s">
        <v>825</v>
      </c>
      <c r="E1033" s="6" t="s">
        <v>82</v>
      </c>
      <c r="F1033" s="6" t="s">
        <v>8</v>
      </c>
      <c r="G1033" s="11" t="s">
        <v>33</v>
      </c>
      <c r="H1033" s="6" t="s">
        <v>17</v>
      </c>
      <c r="I1033" s="21" t="s">
        <v>1072</v>
      </c>
      <c r="J1033" s="18">
        <v>5868.4269243201752</v>
      </c>
      <c r="K1033" s="18">
        <f>VLOOKUP(A1033,[1]Export!$A:$C,3,0)</f>
        <v>2650.2200000000003</v>
      </c>
      <c r="L1033" s="19">
        <f t="shared" si="32"/>
        <v>0.45160654365769642</v>
      </c>
      <c r="M1033" s="18">
        <f>VLOOKUP(A1033,[1]Export!$A:$G,7,0)</f>
        <v>5679.7299999999987</v>
      </c>
      <c r="N1033" s="19">
        <f t="shared" si="33"/>
        <v>0.9678453993287075</v>
      </c>
      <c r="O1033" s="17" t="s">
        <v>1027</v>
      </c>
      <c r="P1033" s="17" t="s">
        <v>1026</v>
      </c>
      <c r="Q1033" s="17" t="s">
        <v>1023</v>
      </c>
      <c r="R1033" s="17" t="str">
        <f>VLOOKUP(A1033,[2]Export!$A:$I,9,0)</f>
        <v>Comprou Marcas</v>
      </c>
      <c r="S1033" s="17" t="s">
        <v>1022</v>
      </c>
      <c r="T1033" s="20">
        <v>8</v>
      </c>
      <c r="U1033" s="17"/>
    </row>
    <row r="1034" spans="1:21" x14ac:dyDescent="0.35">
      <c r="A1034" s="4">
        <v>4083576000110</v>
      </c>
      <c r="B1034" s="7"/>
      <c r="C1034" s="4"/>
      <c r="D1034" s="1" t="s">
        <v>945</v>
      </c>
      <c r="E1034" s="1" t="s">
        <v>577</v>
      </c>
      <c r="F1034" s="1" t="s">
        <v>15</v>
      </c>
      <c r="G1034" s="10" t="s">
        <v>16</v>
      </c>
      <c r="H1034" s="1" t="s">
        <v>17</v>
      </c>
      <c r="I1034" s="21" t="s">
        <v>1069</v>
      </c>
      <c r="J1034" s="18">
        <v>2585.6272753420217</v>
      </c>
      <c r="K1034" s="18">
        <f>VLOOKUP(A1034,[1]Export!$A:$C,3,0)</f>
        <v>122.39</v>
      </c>
      <c r="L1034" s="19">
        <f t="shared" si="32"/>
        <v>4.733474200522985E-2</v>
      </c>
      <c r="M1034" s="18">
        <f>VLOOKUP(A1034,[1]Export!$A:$G,7,0)</f>
        <v>0</v>
      </c>
      <c r="N1034" s="19">
        <f t="shared" si="33"/>
        <v>0</v>
      </c>
      <c r="O1034" s="17" t="s">
        <v>1029</v>
      </c>
      <c r="P1034" s="17" t="s">
        <v>1026</v>
      </c>
      <c r="Q1034" s="17" t="s">
        <v>1022</v>
      </c>
      <c r="R1034" s="17" t="str">
        <f>VLOOKUP(A1034,[2]Export!$A:$I,9,0)</f>
        <v>Não Comprou</v>
      </c>
      <c r="S1034" s="17" t="s">
        <v>1022</v>
      </c>
      <c r="T1034" s="20"/>
      <c r="U1034" s="17"/>
    </row>
    <row r="1035" spans="1:21" x14ac:dyDescent="0.35">
      <c r="A1035" s="5">
        <v>4110283000185</v>
      </c>
      <c r="B1035" s="7"/>
      <c r="C1035" s="4"/>
      <c r="D1035" s="6" t="s">
        <v>946</v>
      </c>
      <c r="E1035" s="6" t="s">
        <v>400</v>
      </c>
      <c r="F1035" s="6" t="s">
        <v>8</v>
      </c>
      <c r="G1035" s="11" t="s">
        <v>74</v>
      </c>
      <c r="H1035" s="6" t="s">
        <v>17</v>
      </c>
      <c r="I1035" s="21" t="s">
        <v>1074</v>
      </c>
      <c r="J1035" s="18">
        <v>3385.1562555373448</v>
      </c>
      <c r="K1035" s="18">
        <f>VLOOKUP(A1035,[1]Export!$A:$C,3,0)</f>
        <v>1416.1100000000001</v>
      </c>
      <c r="L1035" s="19">
        <f t="shared" si="32"/>
        <v>0.41832928618392923</v>
      </c>
      <c r="M1035" s="18">
        <f>VLOOKUP(A1035,[1]Export!$A:$G,7,0)</f>
        <v>137.85</v>
      </c>
      <c r="N1035" s="19">
        <f t="shared" si="33"/>
        <v>4.0721901618133223E-2</v>
      </c>
      <c r="O1035" s="17" t="s">
        <v>1027</v>
      </c>
      <c r="P1035" s="17" t="s">
        <v>1028</v>
      </c>
      <c r="Q1035" s="17" t="s">
        <v>1023</v>
      </c>
      <c r="R1035" s="17" t="str">
        <f>VLOOKUP(A1035,[2]Export!$A:$I,9,0)</f>
        <v>Comprou Marcas</v>
      </c>
      <c r="S1035" s="17" t="s">
        <v>1022</v>
      </c>
      <c r="T1035" s="20"/>
      <c r="U1035" s="17"/>
    </row>
    <row r="1036" spans="1:21" x14ac:dyDescent="0.35">
      <c r="A1036" s="4">
        <v>4745484000159</v>
      </c>
      <c r="B1036" s="7"/>
      <c r="C1036" s="4"/>
      <c r="D1036" s="1" t="s">
        <v>558</v>
      </c>
      <c r="E1036" s="1" t="s">
        <v>54</v>
      </c>
      <c r="F1036" s="1" t="s">
        <v>15</v>
      </c>
      <c r="G1036" s="10" t="s">
        <v>20</v>
      </c>
      <c r="H1036" s="1" t="s">
        <v>17</v>
      </c>
      <c r="I1036" s="21" t="s">
        <v>1071</v>
      </c>
      <c r="J1036" s="18">
        <v>12098.78460036628</v>
      </c>
      <c r="K1036" s="18">
        <f>VLOOKUP(A1036,[1]Export!$A:$C,3,0)</f>
        <v>4869.74</v>
      </c>
      <c r="L1036" s="19">
        <f t="shared" si="32"/>
        <v>0.40249828068288551</v>
      </c>
      <c r="M1036" s="18">
        <f>VLOOKUP(A1036,[1]Export!$A:$G,7,0)</f>
        <v>0</v>
      </c>
      <c r="N1036" s="19">
        <f t="shared" si="33"/>
        <v>0</v>
      </c>
      <c r="O1036" s="17" t="s">
        <v>1025</v>
      </c>
      <c r="P1036" s="17" t="s">
        <v>1026</v>
      </c>
      <c r="Q1036" s="17" t="s">
        <v>1022</v>
      </c>
      <c r="R1036" s="17" t="str">
        <f>VLOOKUP(A1036,[2]Export!$A:$I,9,0)</f>
        <v>Não Comprou</v>
      </c>
      <c r="S1036" s="17" t="s">
        <v>1022</v>
      </c>
      <c r="T1036" s="20"/>
      <c r="U1036" s="17"/>
    </row>
    <row r="1037" spans="1:21" x14ac:dyDescent="0.35">
      <c r="A1037" s="5">
        <v>4834843003160</v>
      </c>
      <c r="B1037" s="7" t="s">
        <v>994</v>
      </c>
      <c r="C1037" s="4"/>
      <c r="D1037" s="6" t="s">
        <v>91</v>
      </c>
      <c r="E1037" s="6" t="s">
        <v>947</v>
      </c>
      <c r="F1037" s="6" t="s">
        <v>48</v>
      </c>
      <c r="G1037" s="11" t="s">
        <v>92</v>
      </c>
      <c r="H1037" s="6" t="s">
        <v>17</v>
      </c>
      <c r="I1037" s="21" t="s">
        <v>1073</v>
      </c>
      <c r="J1037" s="18">
        <v>4674.485144636531</v>
      </c>
      <c r="K1037" s="18">
        <f>VLOOKUP(A1037,[1]Export!$A:$C,3,0)</f>
        <v>1484.3600000000001</v>
      </c>
      <c r="L1037" s="19">
        <f t="shared" ref="L1037:L1059" si="34">K1037/J1037</f>
        <v>0.31754513151103786</v>
      </c>
      <c r="M1037" s="18">
        <f>VLOOKUP(A1037,[1]Export!$A:$G,7,0)</f>
        <v>1690.8000000000002</v>
      </c>
      <c r="N1037" s="19">
        <f t="shared" ref="N1037:N1059" si="35">M1037/J1037</f>
        <v>0.36170828394652432</v>
      </c>
      <c r="O1037" s="17" t="s">
        <v>1027</v>
      </c>
      <c r="P1037" s="17" t="s">
        <v>1028</v>
      </c>
      <c r="Q1037" s="17" t="s">
        <v>1023</v>
      </c>
      <c r="R1037" s="17" t="str">
        <f>VLOOKUP(A1037,[2]Export!$A:$I,9,0)</f>
        <v>Comprou Marcas</v>
      </c>
      <c r="S1037" s="17" t="s">
        <v>1022</v>
      </c>
      <c r="T1037" s="20"/>
      <c r="U1037" s="17"/>
    </row>
    <row r="1038" spans="1:21" x14ac:dyDescent="0.35">
      <c r="A1038" s="4">
        <v>5344624000301</v>
      </c>
      <c r="B1038" s="7" t="s">
        <v>1011</v>
      </c>
      <c r="C1038" s="4"/>
      <c r="D1038" s="1" t="s">
        <v>25</v>
      </c>
      <c r="E1038" s="1" t="s">
        <v>259</v>
      </c>
      <c r="F1038" s="1" t="s">
        <v>15</v>
      </c>
      <c r="G1038" s="10" t="s">
        <v>9</v>
      </c>
      <c r="H1038" s="1" t="s">
        <v>10</v>
      </c>
      <c r="I1038" s="21" t="s">
        <v>1071</v>
      </c>
      <c r="J1038" s="18">
        <v>10222.147861337417</v>
      </c>
      <c r="K1038" s="18">
        <f>VLOOKUP(A1038,[1]Export!$A:$C,3,0)</f>
        <v>5189.2800000000007</v>
      </c>
      <c r="L1038" s="19">
        <f t="shared" si="34"/>
        <v>0.5076506493930778</v>
      </c>
      <c r="M1038" s="18">
        <f>VLOOKUP(A1038,[1]Export!$A:$G,7,0)</f>
        <v>3452.19</v>
      </c>
      <c r="N1038" s="19">
        <f t="shared" si="35"/>
        <v>0.33771669582837871</v>
      </c>
      <c r="O1038" s="17" t="s">
        <v>1027</v>
      </c>
      <c r="P1038" s="17" t="s">
        <v>1028</v>
      </c>
      <c r="Q1038" s="17" t="s">
        <v>1023</v>
      </c>
      <c r="R1038" s="17" t="str">
        <f>VLOOKUP(A1038,[2]Export!$A:$I,9,0)</f>
        <v>Comprou Marcas</v>
      </c>
      <c r="S1038" s="17" t="s">
        <v>1022</v>
      </c>
      <c r="T1038" s="20"/>
      <c r="U1038" s="17"/>
    </row>
    <row r="1039" spans="1:21" x14ac:dyDescent="0.35">
      <c r="A1039" s="5">
        <v>5438909000140</v>
      </c>
      <c r="B1039" s="7"/>
      <c r="C1039" s="4"/>
      <c r="D1039" s="6" t="s">
        <v>948</v>
      </c>
      <c r="E1039" s="6" t="s">
        <v>354</v>
      </c>
      <c r="F1039" s="6" t="s">
        <v>48</v>
      </c>
      <c r="G1039" s="11" t="s">
        <v>20</v>
      </c>
      <c r="H1039" s="6" t="s">
        <v>17</v>
      </c>
      <c r="I1039" s="21" t="s">
        <v>1075</v>
      </c>
      <c r="J1039" s="18">
        <v>2849.7617744913159</v>
      </c>
      <c r="K1039" s="18">
        <f>VLOOKUP(A1039,[1]Export!$A:$C,3,0)</f>
        <v>1987.4499999999998</v>
      </c>
      <c r="L1039" s="19">
        <f t="shared" si="34"/>
        <v>0.69740917215957843</v>
      </c>
      <c r="M1039" s="18">
        <f>VLOOKUP(A1039,[1]Export!$A:$G,7,0)</f>
        <v>1890.6000000000001</v>
      </c>
      <c r="N1039" s="19">
        <f t="shared" si="35"/>
        <v>0.66342387525970425</v>
      </c>
      <c r="O1039" s="17" t="s">
        <v>1025</v>
      </c>
      <c r="P1039" s="17" t="s">
        <v>1026</v>
      </c>
      <c r="Q1039" s="17" t="s">
        <v>1023</v>
      </c>
      <c r="R1039" s="17" t="str">
        <f>VLOOKUP(A1039,[2]Export!$A:$I,9,0)</f>
        <v>Comprou Marcas</v>
      </c>
      <c r="S1039" s="17" t="s">
        <v>1023</v>
      </c>
      <c r="T1039" s="20"/>
      <c r="U1039" s="17"/>
    </row>
    <row r="1040" spans="1:21" x14ac:dyDescent="0.35">
      <c r="A1040" s="4">
        <v>12564855000124</v>
      </c>
      <c r="B1040" s="7" t="s">
        <v>319</v>
      </c>
      <c r="C1040" s="4"/>
      <c r="D1040" s="1" t="s">
        <v>949</v>
      </c>
      <c r="E1040" s="1" t="s">
        <v>155</v>
      </c>
      <c r="F1040" s="1" t="s">
        <v>15</v>
      </c>
      <c r="G1040" s="10" t="s">
        <v>36</v>
      </c>
      <c r="H1040" s="1" t="s">
        <v>17</v>
      </c>
      <c r="I1040" s="21" t="s">
        <v>1071</v>
      </c>
      <c r="J1040" s="18">
        <v>9498.7797689554736</v>
      </c>
      <c r="K1040" s="18">
        <f>VLOOKUP(A1040,[1]Export!$A:$C,3,0)</f>
        <v>2381.0499999999997</v>
      </c>
      <c r="L1040" s="19">
        <f t="shared" si="34"/>
        <v>0.25066903938355339</v>
      </c>
      <c r="M1040" s="18">
        <f>VLOOKUP(A1040,[1]Export!$A:$G,7,0)</f>
        <v>0</v>
      </c>
      <c r="N1040" s="19">
        <f t="shared" si="35"/>
        <v>0</v>
      </c>
      <c r="O1040" s="17" t="s">
        <v>1025</v>
      </c>
      <c r="P1040" s="17" t="s">
        <v>1026</v>
      </c>
      <c r="Q1040" s="17" t="s">
        <v>1022</v>
      </c>
      <c r="R1040" s="17" t="str">
        <f>VLOOKUP(A1040,[2]Export!$A:$I,9,0)</f>
        <v>Não Comprou</v>
      </c>
      <c r="S1040" s="17" t="s">
        <v>1023</v>
      </c>
      <c r="T1040" s="20"/>
      <c r="U1040" s="17"/>
    </row>
    <row r="1041" spans="1:21" x14ac:dyDescent="0.35">
      <c r="A1041" s="5">
        <v>29974778000183</v>
      </c>
      <c r="B1041" s="7"/>
      <c r="C1041" s="4"/>
      <c r="D1041" s="6" t="s">
        <v>670</v>
      </c>
      <c r="E1041" s="6" t="s">
        <v>22</v>
      </c>
      <c r="F1041" s="6" t="s">
        <v>8</v>
      </c>
      <c r="G1041" s="11" t="s">
        <v>36</v>
      </c>
      <c r="H1041" s="6" t="s">
        <v>17</v>
      </c>
      <c r="I1041" s="21" t="s">
        <v>1070</v>
      </c>
      <c r="J1041" s="18">
        <v>6064.4574749066487</v>
      </c>
      <c r="K1041" s="18">
        <f>VLOOKUP(A1041,[1]Export!$A:$C,3,0)</f>
        <v>1555.07</v>
      </c>
      <c r="L1041" s="19">
        <f t="shared" si="34"/>
        <v>0.25642359707105333</v>
      </c>
      <c r="M1041" s="18">
        <f>VLOOKUP(A1041,[1]Export!$A:$G,7,0)</f>
        <v>5238.119999999999</v>
      </c>
      <c r="N1041" s="19">
        <f t="shared" si="35"/>
        <v>0.86374090702658124</v>
      </c>
      <c r="O1041" s="17" t="s">
        <v>1025</v>
      </c>
      <c r="P1041" s="17" t="s">
        <v>1026</v>
      </c>
      <c r="Q1041" s="17" t="s">
        <v>1022</v>
      </c>
      <c r="R1041" s="17" t="str">
        <f>VLOOKUP(A1041,[2]Export!$A:$I,9,0)</f>
        <v>Comprou Marcas</v>
      </c>
      <c r="S1041" s="17" t="s">
        <v>1022</v>
      </c>
      <c r="T1041" s="20"/>
      <c r="U1041" s="17">
        <v>4</v>
      </c>
    </row>
    <row r="1042" spans="1:21" x14ac:dyDescent="0.35">
      <c r="A1042" s="4">
        <v>32266459000128</v>
      </c>
      <c r="B1042" s="7" t="s">
        <v>950</v>
      </c>
      <c r="C1042" s="4"/>
      <c r="D1042" s="1" t="s">
        <v>950</v>
      </c>
      <c r="E1042" s="1" t="s">
        <v>125</v>
      </c>
      <c r="F1042" s="1" t="s">
        <v>15</v>
      </c>
      <c r="G1042" s="10" t="s">
        <v>20</v>
      </c>
      <c r="H1042" s="1" t="s">
        <v>17</v>
      </c>
      <c r="I1042" s="21" t="s">
        <v>1069</v>
      </c>
      <c r="J1042" s="18">
        <v>8197.0514421515036</v>
      </c>
      <c r="K1042" s="18">
        <f>VLOOKUP(A1042,[1]Export!$A:$C,3,0)</f>
        <v>3690.7700000000004</v>
      </c>
      <c r="L1042" s="19">
        <f t="shared" si="34"/>
        <v>0.45025580552307398</v>
      </c>
      <c r="M1042" s="18">
        <f>VLOOKUP(A1042,[1]Export!$A:$G,7,0)</f>
        <v>3319.9300000000007</v>
      </c>
      <c r="N1042" s="19">
        <f t="shared" si="35"/>
        <v>0.40501514763320912</v>
      </c>
      <c r="O1042" s="17" t="s">
        <v>1027</v>
      </c>
      <c r="P1042" s="17" t="s">
        <v>1028</v>
      </c>
      <c r="Q1042" s="17" t="s">
        <v>1023</v>
      </c>
      <c r="R1042" s="17" t="str">
        <f>VLOOKUP(A1042,[2]Export!$A:$I,9,0)</f>
        <v>Comprou Marcas e SG</v>
      </c>
      <c r="S1042" s="17" t="s">
        <v>1022</v>
      </c>
      <c r="T1042" s="20"/>
      <c r="U1042" s="17"/>
    </row>
    <row r="1043" spans="1:21" x14ac:dyDescent="0.35">
      <c r="A1043" s="5">
        <v>32409163000119</v>
      </c>
      <c r="B1043" s="7"/>
      <c r="C1043" s="4"/>
      <c r="D1043" s="6" t="s">
        <v>951</v>
      </c>
      <c r="E1043" s="6" t="s">
        <v>35</v>
      </c>
      <c r="F1043" s="6" t="s">
        <v>8</v>
      </c>
      <c r="G1043" s="11" t="s">
        <v>36</v>
      </c>
      <c r="H1043" s="6" t="s">
        <v>17</v>
      </c>
      <c r="I1043" s="21" t="s">
        <v>1072</v>
      </c>
      <c r="J1043" s="18">
        <v>573.70855188588598</v>
      </c>
      <c r="K1043" s="18">
        <f>VLOOKUP(A1043,[1]Export!$A:$C,3,0)</f>
        <v>0</v>
      </c>
      <c r="L1043" s="19">
        <f t="shared" si="34"/>
        <v>0</v>
      </c>
      <c r="M1043" s="18">
        <f>VLOOKUP(A1043,[1]Export!$A:$G,7,0)</f>
        <v>0</v>
      </c>
      <c r="N1043" s="19">
        <f t="shared" si="35"/>
        <v>0</v>
      </c>
      <c r="O1043" s="17" t="s">
        <v>1025</v>
      </c>
      <c r="P1043" s="17" t="s">
        <v>1026</v>
      </c>
      <c r="Q1043" s="17" t="s">
        <v>1023</v>
      </c>
      <c r="R1043" s="17" t="str">
        <f>VLOOKUP(A1043,[2]Export!$A:$I,9,0)</f>
        <v>Não Comprou</v>
      </c>
      <c r="S1043" s="17" t="s">
        <v>1023</v>
      </c>
      <c r="T1043" s="20"/>
      <c r="U1043" s="17"/>
    </row>
    <row r="1044" spans="1:21" x14ac:dyDescent="0.35">
      <c r="A1044" s="4">
        <v>33193095000166</v>
      </c>
      <c r="B1044" s="7" t="s">
        <v>1010</v>
      </c>
      <c r="C1044" s="4">
        <v>15476</v>
      </c>
      <c r="D1044" s="1" t="s">
        <v>952</v>
      </c>
      <c r="E1044" s="1" t="s">
        <v>265</v>
      </c>
      <c r="F1044" s="1" t="s">
        <v>15</v>
      </c>
      <c r="G1044" s="10" t="s">
        <v>36</v>
      </c>
      <c r="H1044" s="1" t="s">
        <v>17</v>
      </c>
      <c r="I1044" s="21" t="s">
        <v>1071</v>
      </c>
      <c r="J1044" s="18">
        <v>18711.442631798989</v>
      </c>
      <c r="K1044" s="18">
        <f>VLOOKUP(A1044,[1]Export!$A:$C,3,0)</f>
        <v>3587.8699999999994</v>
      </c>
      <c r="L1044" s="19">
        <f t="shared" si="34"/>
        <v>0.19174737461998931</v>
      </c>
      <c r="M1044" s="18">
        <f>VLOOKUP(A1044,[1]Export!$A:$G,7,0)</f>
        <v>7587.4999999999991</v>
      </c>
      <c r="N1044" s="19">
        <f t="shared" si="35"/>
        <v>0.40550053511670403</v>
      </c>
      <c r="O1044" s="17" t="s">
        <v>1027</v>
      </c>
      <c r="P1044" s="17" t="s">
        <v>1028</v>
      </c>
      <c r="Q1044" s="17" t="s">
        <v>1023</v>
      </c>
      <c r="R1044" s="17" t="str">
        <f>VLOOKUP(A1044,[2]Export!$A:$I,9,0)</f>
        <v>Comprou Marcas</v>
      </c>
      <c r="S1044" s="17" t="s">
        <v>1022</v>
      </c>
      <c r="T1044" s="20"/>
      <c r="U1044" s="17"/>
    </row>
    <row r="1045" spans="1:21" x14ac:dyDescent="0.35">
      <c r="A1045" s="5">
        <v>15116990000103</v>
      </c>
      <c r="B1045" s="7"/>
      <c r="C1045" s="4"/>
      <c r="D1045" s="6" t="s">
        <v>337</v>
      </c>
      <c r="E1045" s="6" t="s">
        <v>115</v>
      </c>
      <c r="F1045" s="6" t="s">
        <v>8</v>
      </c>
      <c r="G1045" s="11" t="s">
        <v>20</v>
      </c>
      <c r="H1045" s="6" t="s">
        <v>17</v>
      </c>
      <c r="I1045" s="21" t="s">
        <v>1068</v>
      </c>
      <c r="J1045" s="18">
        <v>5272.87072824184</v>
      </c>
      <c r="K1045" s="18">
        <f>VLOOKUP(A1045,[1]Export!$A:$C,3,0)</f>
        <v>4486.3200000000006</v>
      </c>
      <c r="L1045" s="19">
        <f t="shared" si="34"/>
        <v>0.85083064448574053</v>
      </c>
      <c r="M1045" s="18">
        <f>VLOOKUP(A1045,[1]Export!$A:$G,7,0)</f>
        <v>3565.92</v>
      </c>
      <c r="N1045" s="19">
        <f t="shared" si="35"/>
        <v>0.67627677289729482</v>
      </c>
      <c r="O1045" s="17" t="s">
        <v>1025</v>
      </c>
      <c r="P1045" s="17" t="s">
        <v>1026</v>
      </c>
      <c r="Q1045" s="17" t="s">
        <v>1023</v>
      </c>
      <c r="R1045" s="17" t="str">
        <f>VLOOKUP(A1045,[2]Export!$A:$I,9,0)</f>
        <v>Comprou Marcas</v>
      </c>
      <c r="S1045" s="17" t="s">
        <v>1023</v>
      </c>
      <c r="T1045" s="20"/>
      <c r="U1045" s="17"/>
    </row>
    <row r="1046" spans="1:21" x14ac:dyDescent="0.35">
      <c r="A1046" s="4">
        <v>15302745000182</v>
      </c>
      <c r="B1046" s="7"/>
      <c r="C1046" s="4"/>
      <c r="D1046" s="1" t="s">
        <v>953</v>
      </c>
      <c r="E1046" s="1" t="s">
        <v>252</v>
      </c>
      <c r="F1046" s="1" t="s">
        <v>15</v>
      </c>
      <c r="G1046" s="10" t="s">
        <v>36</v>
      </c>
      <c r="H1046" s="1" t="s">
        <v>17</v>
      </c>
      <c r="I1046" s="21" t="s">
        <v>1071</v>
      </c>
      <c r="J1046" s="18">
        <v>4400.6658165482495</v>
      </c>
      <c r="K1046" s="18">
        <f>VLOOKUP(A1046,[1]Export!$A:$C,3,0)</f>
        <v>1596.2600000000002</v>
      </c>
      <c r="L1046" s="19">
        <f t="shared" si="34"/>
        <v>0.36273147440494785</v>
      </c>
      <c r="M1046" s="18">
        <f>VLOOKUP(A1046,[1]Export!$A:$G,7,0)</f>
        <v>0</v>
      </c>
      <c r="N1046" s="19">
        <f t="shared" si="35"/>
        <v>0</v>
      </c>
      <c r="O1046" s="17" t="s">
        <v>1025</v>
      </c>
      <c r="P1046" s="17" t="s">
        <v>1026</v>
      </c>
      <c r="Q1046" s="17" t="s">
        <v>1023</v>
      </c>
      <c r="R1046" s="17" t="str">
        <f>VLOOKUP(A1046,[2]Export!$A:$I,9,0)</f>
        <v>Não Comprou</v>
      </c>
      <c r="S1046" s="17" t="s">
        <v>1022</v>
      </c>
      <c r="T1046" s="20"/>
      <c r="U1046" s="17"/>
    </row>
    <row r="1047" spans="1:21" x14ac:dyDescent="0.35">
      <c r="A1047" s="5">
        <v>15349508000177</v>
      </c>
      <c r="B1047" s="7"/>
      <c r="C1047" s="4">
        <v>111244</v>
      </c>
      <c r="D1047" s="6" t="s">
        <v>954</v>
      </c>
      <c r="E1047" s="6" t="s">
        <v>182</v>
      </c>
      <c r="F1047" s="6" t="s">
        <v>8</v>
      </c>
      <c r="G1047" s="11" t="s">
        <v>20</v>
      </c>
      <c r="H1047" s="6" t="s">
        <v>17</v>
      </c>
      <c r="I1047" s="21" t="s">
        <v>1074</v>
      </c>
      <c r="J1047" s="18">
        <v>4600.9061543608559</v>
      </c>
      <c r="K1047" s="18">
        <f>VLOOKUP(A1047,[1]Export!$A:$C,3,0)</f>
        <v>388.71</v>
      </c>
      <c r="L1047" s="19">
        <f t="shared" si="34"/>
        <v>8.4485531101644126E-2</v>
      </c>
      <c r="M1047" s="18">
        <f>VLOOKUP(A1047,[1]Export!$A:$G,7,0)</f>
        <v>0</v>
      </c>
      <c r="N1047" s="19">
        <f t="shared" si="35"/>
        <v>0</v>
      </c>
      <c r="O1047" s="17" t="s">
        <v>1029</v>
      </c>
      <c r="P1047" s="17" t="s">
        <v>1026</v>
      </c>
      <c r="Q1047" s="17" t="s">
        <v>1023</v>
      </c>
      <c r="R1047" s="17" t="str">
        <f>VLOOKUP(A1047,[2]Export!$A:$I,9,0)</f>
        <v>Comprou Marcas</v>
      </c>
      <c r="S1047" s="17" t="s">
        <v>1023</v>
      </c>
      <c r="T1047" s="20"/>
      <c r="U1047" s="17"/>
    </row>
    <row r="1048" spans="1:21" x14ac:dyDescent="0.35">
      <c r="A1048" s="4">
        <v>36431185000136</v>
      </c>
      <c r="B1048" s="7"/>
      <c r="C1048" s="4"/>
      <c r="D1048" s="1" t="s">
        <v>165</v>
      </c>
      <c r="E1048" s="1" t="s">
        <v>332</v>
      </c>
      <c r="F1048" s="1" t="s">
        <v>8</v>
      </c>
      <c r="G1048" s="10" t="s">
        <v>20</v>
      </c>
      <c r="H1048" s="1" t="s">
        <v>17</v>
      </c>
      <c r="I1048" s="21" t="s">
        <v>1074</v>
      </c>
      <c r="J1048" s="18">
        <v>6033.2344752432055</v>
      </c>
      <c r="K1048" s="18">
        <f>VLOOKUP(A1048,[1]Export!$A:$C,3,0)</f>
        <v>1876.8200000000004</v>
      </c>
      <c r="L1048" s="19">
        <f t="shared" si="34"/>
        <v>0.31108023527037609</v>
      </c>
      <c r="M1048" s="18">
        <f>VLOOKUP(A1048,[1]Export!$A:$G,7,0)</f>
        <v>137.85</v>
      </c>
      <c r="N1048" s="19">
        <f t="shared" si="35"/>
        <v>2.2848440677327251E-2</v>
      </c>
      <c r="O1048" s="17" t="s">
        <v>1025</v>
      </c>
      <c r="P1048" s="17" t="s">
        <v>1026</v>
      </c>
      <c r="Q1048" s="17" t="s">
        <v>1023</v>
      </c>
      <c r="R1048" s="17" t="str">
        <f>VLOOKUP(A1048,[2]Export!$A:$I,9,0)</f>
        <v>Comprou Marcas</v>
      </c>
      <c r="S1048" s="17" t="s">
        <v>1022</v>
      </c>
      <c r="T1048" s="20"/>
      <c r="U1048" s="17"/>
    </row>
    <row r="1049" spans="1:21" x14ac:dyDescent="0.35">
      <c r="A1049" s="5">
        <v>57741120000167</v>
      </c>
      <c r="B1049" s="7"/>
      <c r="C1049" s="4"/>
      <c r="D1049" s="6" t="s">
        <v>955</v>
      </c>
      <c r="E1049" s="6" t="s">
        <v>260</v>
      </c>
      <c r="F1049" s="6" t="s">
        <v>8</v>
      </c>
      <c r="G1049" s="11" t="s">
        <v>550</v>
      </c>
      <c r="H1049" s="6" t="s">
        <v>17</v>
      </c>
      <c r="I1049" s="21" t="s">
        <v>1068</v>
      </c>
      <c r="J1049" s="18">
        <v>2792.7041803717734</v>
      </c>
      <c r="K1049" s="18">
        <f>VLOOKUP(A1049,[1]Export!$A:$C,3,0)</f>
        <v>1249.6100000000001</v>
      </c>
      <c r="L1049" s="19">
        <f t="shared" si="34"/>
        <v>0.44745519728969224</v>
      </c>
      <c r="M1049" s="18">
        <f>VLOOKUP(A1049,[1]Export!$A:$G,7,0)</f>
        <v>108.55000000000001</v>
      </c>
      <c r="N1049" s="19">
        <f t="shared" si="35"/>
        <v>3.8869136503225883E-2</v>
      </c>
      <c r="O1049" s="17" t="s">
        <v>1025</v>
      </c>
      <c r="P1049" s="17" t="s">
        <v>1026</v>
      </c>
      <c r="Q1049" s="17" t="s">
        <v>1022</v>
      </c>
      <c r="R1049" s="17" t="str">
        <f>VLOOKUP(A1049,[2]Export!$A:$I,9,0)</f>
        <v>Comprou Marcas</v>
      </c>
      <c r="S1049" s="17" t="s">
        <v>1022</v>
      </c>
      <c r="T1049" s="20"/>
      <c r="U1049" s="17"/>
    </row>
    <row r="1050" spans="1:21" x14ac:dyDescent="0.35">
      <c r="A1050" s="4">
        <v>24092237000108</v>
      </c>
      <c r="B1050" s="7"/>
      <c r="C1050" s="4"/>
      <c r="D1050" s="1" t="s">
        <v>956</v>
      </c>
      <c r="E1050" s="1" t="s">
        <v>208</v>
      </c>
      <c r="F1050" s="1" t="s">
        <v>15</v>
      </c>
      <c r="G1050" s="10" t="s">
        <v>190</v>
      </c>
      <c r="H1050" s="1" t="s">
        <v>17</v>
      </c>
      <c r="I1050" s="21" t="s">
        <v>1069</v>
      </c>
      <c r="J1050" s="18">
        <v>1319.87597329558</v>
      </c>
      <c r="K1050" s="18">
        <f>VLOOKUP(A1050,[1]Export!$A:$C,3,0)</f>
        <v>0</v>
      </c>
      <c r="L1050" s="19">
        <f t="shared" si="34"/>
        <v>0</v>
      </c>
      <c r="M1050" s="18">
        <f>VLOOKUP(A1050,[1]Export!$A:$G,7,0)</f>
        <v>0</v>
      </c>
      <c r="N1050" s="19">
        <f t="shared" si="35"/>
        <v>0</v>
      </c>
      <c r="O1050" s="17" t="s">
        <v>1027</v>
      </c>
      <c r="P1050" s="17" t="s">
        <v>1028</v>
      </c>
      <c r="Q1050" s="17" t="s">
        <v>1023</v>
      </c>
      <c r="R1050" s="17" t="str">
        <f>VLOOKUP(A1050,[2]Export!$A:$I,9,0)</f>
        <v>Não Comprou</v>
      </c>
      <c r="S1050" s="17" t="s">
        <v>1023</v>
      </c>
      <c r="T1050" s="20"/>
      <c r="U1050" s="17"/>
    </row>
    <row r="1051" spans="1:21" x14ac:dyDescent="0.35">
      <c r="A1051" s="5">
        <v>24622755000196</v>
      </c>
      <c r="B1051" s="7"/>
      <c r="C1051" s="4"/>
      <c r="D1051" s="6" t="s">
        <v>957</v>
      </c>
      <c r="E1051" s="6" t="s">
        <v>98</v>
      </c>
      <c r="F1051" s="6" t="s">
        <v>15</v>
      </c>
      <c r="G1051" s="11" t="s">
        <v>621</v>
      </c>
      <c r="H1051" s="6" t="s">
        <v>17</v>
      </c>
      <c r="I1051" s="21" t="s">
        <v>1075</v>
      </c>
      <c r="J1051" s="18">
        <v>3560.6784789011444</v>
      </c>
      <c r="K1051" s="18">
        <f>VLOOKUP(A1051,[1]Export!$A:$C,3,0)</f>
        <v>529.55999999999995</v>
      </c>
      <c r="L1051" s="19">
        <f t="shared" si="34"/>
        <v>0.14872446449122434</v>
      </c>
      <c r="M1051" s="18">
        <f>VLOOKUP(A1051,[1]Export!$A:$G,7,0)</f>
        <v>828.32</v>
      </c>
      <c r="N1051" s="19">
        <f t="shared" si="35"/>
        <v>0.23262982179048827</v>
      </c>
      <c r="O1051" s="17" t="s">
        <v>1025</v>
      </c>
      <c r="P1051" s="17" t="s">
        <v>1026</v>
      </c>
      <c r="Q1051" s="17" t="s">
        <v>1022</v>
      </c>
      <c r="R1051" s="17" t="str">
        <f>VLOOKUP(A1051,[2]Export!$A:$I,9,0)</f>
        <v>Comprou Marcas</v>
      </c>
      <c r="S1051" s="17" t="s">
        <v>1023</v>
      </c>
      <c r="T1051" s="20"/>
      <c r="U1051" s="17"/>
    </row>
    <row r="1052" spans="1:21" x14ac:dyDescent="0.35">
      <c r="A1052" s="4">
        <v>24676884000248</v>
      </c>
      <c r="B1052" s="7"/>
      <c r="C1052" s="4"/>
      <c r="D1052" s="1" t="s">
        <v>958</v>
      </c>
      <c r="E1052" s="1" t="s">
        <v>146</v>
      </c>
      <c r="F1052" s="1" t="s">
        <v>8</v>
      </c>
      <c r="G1052" s="10" t="s">
        <v>20</v>
      </c>
      <c r="H1052" s="1" t="s">
        <v>17</v>
      </c>
      <c r="I1052" s="21" t="s">
        <v>1074</v>
      </c>
      <c r="J1052" s="18">
        <v>10738.475817990426</v>
      </c>
      <c r="K1052" s="18">
        <f>VLOOKUP(A1052,[1]Export!$A:$C,3,0)</f>
        <v>5528.5</v>
      </c>
      <c r="L1052" s="19">
        <f t="shared" si="34"/>
        <v>0.5148309772917653</v>
      </c>
      <c r="M1052" s="18">
        <f>VLOOKUP(A1052,[1]Export!$A:$G,7,0)</f>
        <v>3232.68</v>
      </c>
      <c r="N1052" s="19">
        <f t="shared" si="35"/>
        <v>0.30103713551081557</v>
      </c>
      <c r="O1052" s="17" t="s">
        <v>1025</v>
      </c>
      <c r="P1052" s="17" t="s">
        <v>1026</v>
      </c>
      <c r="Q1052" s="17" t="s">
        <v>1023</v>
      </c>
      <c r="R1052" s="17" t="str">
        <f>VLOOKUP(A1052,[2]Export!$A:$I,9,0)</f>
        <v>Comprou Marcas</v>
      </c>
      <c r="S1052" s="17" t="s">
        <v>1022</v>
      </c>
      <c r="T1052" s="20">
        <v>4</v>
      </c>
      <c r="U1052" s="17"/>
    </row>
    <row r="1053" spans="1:21" x14ac:dyDescent="0.35">
      <c r="A1053" s="5">
        <v>26860338000107</v>
      </c>
      <c r="B1053" s="7"/>
      <c r="C1053" s="4"/>
      <c r="D1053" s="6" t="s">
        <v>959</v>
      </c>
      <c r="E1053" s="6" t="s">
        <v>960</v>
      </c>
      <c r="F1053" s="6" t="s">
        <v>15</v>
      </c>
      <c r="G1053" s="11" t="s">
        <v>36</v>
      </c>
      <c r="H1053" s="6" t="s">
        <v>17</v>
      </c>
      <c r="I1053" s="21" t="s">
        <v>1071</v>
      </c>
      <c r="J1053" s="18">
        <v>2534.1949727986243</v>
      </c>
      <c r="K1053" s="18">
        <f>VLOOKUP(A1053,[1]Export!$A:$C,3,0)</f>
        <v>349.21</v>
      </c>
      <c r="L1053" s="19">
        <f t="shared" si="34"/>
        <v>0.13779918425706283</v>
      </c>
      <c r="M1053" s="18">
        <f>VLOOKUP(A1053,[1]Export!$A:$G,7,0)</f>
        <v>0</v>
      </c>
      <c r="N1053" s="19">
        <f t="shared" si="35"/>
        <v>0</v>
      </c>
      <c r="O1053" s="17"/>
      <c r="P1053" s="17"/>
      <c r="Q1053" s="17"/>
      <c r="R1053" s="17" t="str">
        <f>VLOOKUP(A1053,[2]Export!$A:$I,9,0)</f>
        <v>Não Comprou</v>
      </c>
      <c r="S1053" s="17"/>
      <c r="T1053" s="20"/>
      <c r="U1053" s="17"/>
    </row>
    <row r="1054" spans="1:21" x14ac:dyDescent="0.35">
      <c r="A1054" s="4">
        <v>13110601000107</v>
      </c>
      <c r="B1054" s="7"/>
      <c r="C1054" s="4"/>
      <c r="D1054" s="1" t="s">
        <v>233</v>
      </c>
      <c r="E1054" s="1" t="s">
        <v>45</v>
      </c>
      <c r="F1054" s="1" t="s">
        <v>8</v>
      </c>
      <c r="G1054" s="10" t="s">
        <v>20</v>
      </c>
      <c r="H1054" s="1" t="s">
        <v>17</v>
      </c>
      <c r="I1054" s="21" t="s">
        <v>1070</v>
      </c>
      <c r="J1054" s="18">
        <v>1829.263607786185</v>
      </c>
      <c r="K1054" s="18">
        <f>VLOOKUP(A1054,[1]Export!$A:$C,3,0)</f>
        <v>582.63000000000011</v>
      </c>
      <c r="L1054" s="19">
        <f t="shared" si="34"/>
        <v>0.31850521571634594</v>
      </c>
      <c r="M1054" s="18">
        <f>VLOOKUP(A1054,[1]Export!$A:$G,7,0)</f>
        <v>0</v>
      </c>
      <c r="N1054" s="19">
        <f t="shared" si="35"/>
        <v>0</v>
      </c>
      <c r="O1054" s="17" t="s">
        <v>1027</v>
      </c>
      <c r="P1054" s="17" t="s">
        <v>1026</v>
      </c>
      <c r="Q1054" s="17" t="s">
        <v>1023</v>
      </c>
      <c r="R1054" s="17" t="str">
        <f>VLOOKUP(A1054,[2]Export!$A:$I,9,0)</f>
        <v>Não Comprou</v>
      </c>
      <c r="S1054" s="17" t="s">
        <v>1023</v>
      </c>
      <c r="T1054" s="20"/>
      <c r="U1054" s="17"/>
    </row>
    <row r="1055" spans="1:21" x14ac:dyDescent="0.35">
      <c r="A1055" s="5">
        <v>18723666000133</v>
      </c>
      <c r="B1055" s="7"/>
      <c r="C1055" s="4"/>
      <c r="D1055" s="6" t="s">
        <v>883</v>
      </c>
      <c r="E1055" s="6" t="s">
        <v>390</v>
      </c>
      <c r="F1055" s="6" t="s">
        <v>8</v>
      </c>
      <c r="G1055" s="11" t="s">
        <v>33</v>
      </c>
      <c r="H1055" s="6" t="s">
        <v>17</v>
      </c>
      <c r="I1055" s="21" t="s">
        <v>1070</v>
      </c>
      <c r="J1055" s="18">
        <v>7567.4330713901199</v>
      </c>
      <c r="K1055" s="18">
        <f>VLOOKUP(A1055,[1]Export!$A:$C,3,0)</f>
        <v>4310.7299999999996</v>
      </c>
      <c r="L1055" s="19">
        <f t="shared" si="34"/>
        <v>0.56964230265840043</v>
      </c>
      <c r="M1055" s="18">
        <f>VLOOKUP(A1055,[1]Export!$A:$G,7,0)</f>
        <v>2658.2600000000007</v>
      </c>
      <c r="N1055" s="19">
        <f t="shared" si="35"/>
        <v>0.35127631456034597</v>
      </c>
      <c r="O1055" s="17"/>
      <c r="P1055" s="17"/>
      <c r="Q1055" s="17"/>
      <c r="R1055" s="17" t="str">
        <f>VLOOKUP(A1055,[2]Export!$A:$I,9,0)</f>
        <v>Comprou Marcas e SG</v>
      </c>
      <c r="S1055" s="17"/>
      <c r="T1055" s="20"/>
      <c r="U1055" s="17"/>
    </row>
    <row r="1056" spans="1:21" x14ac:dyDescent="0.35">
      <c r="A1056" s="4">
        <v>60511756000127</v>
      </c>
      <c r="B1056" s="7"/>
      <c r="C1056" s="4"/>
      <c r="D1056" s="1" t="s">
        <v>961</v>
      </c>
      <c r="E1056" s="1" t="s">
        <v>584</v>
      </c>
      <c r="F1056" s="1" t="s">
        <v>48</v>
      </c>
      <c r="G1056" s="10" t="s">
        <v>80</v>
      </c>
      <c r="H1056" s="1" t="s">
        <v>17</v>
      </c>
      <c r="I1056" s="21" t="s">
        <v>1075</v>
      </c>
      <c r="J1056" s="18">
        <v>3801.5442265159104</v>
      </c>
      <c r="K1056" s="18">
        <f>VLOOKUP(A1056,[1]Export!$A:$C,3,0)</f>
        <v>1513.8000000000002</v>
      </c>
      <c r="L1056" s="19">
        <f t="shared" si="34"/>
        <v>0.39820659968682981</v>
      </c>
      <c r="M1056" s="18">
        <f>VLOOKUP(A1056,[1]Export!$A:$G,7,0)</f>
        <v>0</v>
      </c>
      <c r="N1056" s="19">
        <f t="shared" si="35"/>
        <v>0</v>
      </c>
      <c r="O1056" s="17"/>
      <c r="P1056" s="17"/>
      <c r="Q1056" s="17"/>
      <c r="R1056" s="17" t="str">
        <f>VLOOKUP(A1056,[2]Export!$A:$I,9,0)</f>
        <v>Não Comprou</v>
      </c>
      <c r="S1056" s="17"/>
      <c r="T1056" s="20"/>
      <c r="U1056" s="17"/>
    </row>
    <row r="1057" spans="1:21" x14ac:dyDescent="0.35">
      <c r="A1057" s="5">
        <v>61585281000186</v>
      </c>
      <c r="B1057" s="7"/>
      <c r="C1057" s="4"/>
      <c r="D1057" s="6" t="s">
        <v>962</v>
      </c>
      <c r="E1057" s="6" t="s">
        <v>61</v>
      </c>
      <c r="F1057" s="6" t="s">
        <v>8</v>
      </c>
      <c r="G1057" s="11" t="s">
        <v>16</v>
      </c>
      <c r="H1057" s="6" t="s">
        <v>17</v>
      </c>
      <c r="I1057" s="21" t="s">
        <v>1068</v>
      </c>
      <c r="J1057" s="18">
        <v>398.57773441198282</v>
      </c>
      <c r="K1057" s="18">
        <f>VLOOKUP(A1057,[1]Export!$A:$C,3,0)</f>
        <v>0</v>
      </c>
      <c r="L1057" s="19">
        <f t="shared" si="34"/>
        <v>0</v>
      </c>
      <c r="M1057" s="18">
        <f>VLOOKUP(A1057,[1]Export!$A:$G,7,0)</f>
        <v>0</v>
      </c>
      <c r="N1057" s="19">
        <f t="shared" si="35"/>
        <v>0</v>
      </c>
      <c r="O1057" s="17" t="s">
        <v>1025</v>
      </c>
      <c r="P1057" s="17" t="s">
        <v>1026</v>
      </c>
      <c r="Q1057" s="17" t="s">
        <v>1023</v>
      </c>
      <c r="R1057" s="17" t="str">
        <f>VLOOKUP(A1057,[2]Export!$A:$I,9,0)</f>
        <v>Não Comprou</v>
      </c>
      <c r="S1057" s="17" t="s">
        <v>1023</v>
      </c>
      <c r="T1057" s="20"/>
      <c r="U1057" s="17"/>
    </row>
    <row r="1058" spans="1:21" x14ac:dyDescent="0.35">
      <c r="A1058" s="4">
        <v>62668131000107</v>
      </c>
      <c r="B1058" s="7"/>
      <c r="C1058" s="4"/>
      <c r="D1058" s="1" t="s">
        <v>963</v>
      </c>
      <c r="E1058" s="1" t="s">
        <v>379</v>
      </c>
      <c r="F1058" s="1" t="s">
        <v>15</v>
      </c>
      <c r="G1058" s="10" t="s">
        <v>20</v>
      </c>
      <c r="H1058" s="1" t="s">
        <v>17</v>
      </c>
      <c r="I1058" s="21" t="s">
        <v>1075</v>
      </c>
      <c r="J1058" s="18">
        <v>948.63671221874654</v>
      </c>
      <c r="K1058" s="18">
        <f>VLOOKUP(A1058,[1]Export!$A:$C,3,0)</f>
        <v>315.48</v>
      </c>
      <c r="L1058" s="19">
        <f t="shared" si="34"/>
        <v>0.33256144943213345</v>
      </c>
      <c r="M1058" s="18">
        <f>VLOOKUP(A1058,[1]Export!$A:$G,7,0)</f>
        <v>0</v>
      </c>
      <c r="N1058" s="19">
        <f t="shared" si="35"/>
        <v>0</v>
      </c>
      <c r="O1058" s="17" t="s">
        <v>1025</v>
      </c>
      <c r="P1058" s="17" t="s">
        <v>1026</v>
      </c>
      <c r="Q1058" s="17" t="s">
        <v>1023</v>
      </c>
      <c r="R1058" s="17" t="str">
        <f>VLOOKUP(A1058,[2]Export!$A:$I,9,0)</f>
        <v>Não Comprou</v>
      </c>
      <c r="S1058" s="17" t="s">
        <v>1023</v>
      </c>
      <c r="T1058" s="20"/>
      <c r="U1058" s="17"/>
    </row>
    <row r="1059" spans="1:21" x14ac:dyDescent="0.35">
      <c r="A1059" s="5">
        <v>4578510000100</v>
      </c>
      <c r="B1059" s="7"/>
      <c r="C1059" s="4"/>
      <c r="D1059" s="6" t="s">
        <v>616</v>
      </c>
      <c r="E1059" s="6" t="s">
        <v>458</v>
      </c>
      <c r="F1059" s="6" t="s">
        <v>48</v>
      </c>
      <c r="G1059" s="11" t="s">
        <v>38</v>
      </c>
      <c r="H1059" s="6" t="s">
        <v>17</v>
      </c>
      <c r="I1059" s="21" t="s">
        <v>1075</v>
      </c>
      <c r="J1059" s="18">
        <v>1937.0483951341866</v>
      </c>
      <c r="K1059" s="18">
        <f>VLOOKUP(A1059,[1]Export!$A:$C,3,0)</f>
        <v>2598.94</v>
      </c>
      <c r="L1059" s="19">
        <f t="shared" si="34"/>
        <v>1.3417011193568871</v>
      </c>
      <c r="M1059" s="18">
        <f>VLOOKUP(A1059,[1]Export!$A:$G,7,0)</f>
        <v>2522.2400000000007</v>
      </c>
      <c r="N1059" s="19">
        <f t="shared" si="35"/>
        <v>1.3021047932182797</v>
      </c>
      <c r="O1059" s="17" t="s">
        <v>1027</v>
      </c>
      <c r="P1059" s="17" t="s">
        <v>1028</v>
      </c>
      <c r="Q1059" s="17" t="s">
        <v>1023</v>
      </c>
      <c r="R1059" s="17" t="str">
        <f>VLOOKUP(A1059,[2]Export!$A:$I,9,0)</f>
        <v>Comprou Marcas e SG</v>
      </c>
      <c r="S1059" s="17" t="s">
        <v>1022</v>
      </c>
      <c r="T1059" s="20"/>
      <c r="U1059" s="17"/>
    </row>
    <row r="1060" spans="1:21" x14ac:dyDescent="0.35">
      <c r="A1060" s="4">
        <v>59454115000107</v>
      </c>
      <c r="B1060" s="7"/>
      <c r="C1060" s="4"/>
      <c r="D1060" s="1" t="s">
        <v>965</v>
      </c>
      <c r="E1060" s="1" t="s">
        <v>166</v>
      </c>
      <c r="F1060" s="1" t="s">
        <v>8</v>
      </c>
      <c r="G1060" s="10" t="s">
        <v>36</v>
      </c>
      <c r="H1060" s="1" t="s">
        <v>17</v>
      </c>
      <c r="I1060" s="21" t="s">
        <v>1070</v>
      </c>
      <c r="J1060" s="18">
        <v>1261.0393328425446</v>
      </c>
      <c r="K1060" s="18">
        <f>VLOOKUP(A1060,[1]Export!$A:$C,3,0)</f>
        <v>485.8</v>
      </c>
      <c r="L1060" s="19">
        <f t="shared" ref="L1060:L1090" si="36">K1060/J1060</f>
        <v>0.38523778548996124</v>
      </c>
      <c r="M1060" s="18">
        <f>VLOOKUP(A1060,[1]Export!$A:$G,7,0)</f>
        <v>0</v>
      </c>
      <c r="N1060" s="19">
        <f t="shared" ref="N1060:N1090" si="37">M1060/J1060</f>
        <v>0</v>
      </c>
      <c r="O1060" s="17" t="s">
        <v>1025</v>
      </c>
      <c r="P1060" s="17" t="s">
        <v>1026</v>
      </c>
      <c r="Q1060" s="17" t="s">
        <v>1023</v>
      </c>
      <c r="R1060" s="17" t="str">
        <f>VLOOKUP(A1060,[2]Export!$A:$I,9,0)</f>
        <v>Não Comprou</v>
      </c>
      <c r="S1060" s="17" t="s">
        <v>1023</v>
      </c>
      <c r="T1060" s="20"/>
      <c r="U1060" s="17"/>
    </row>
    <row r="1061" spans="1:21" x14ac:dyDescent="0.35">
      <c r="A1061" s="5">
        <v>33184266000352</v>
      </c>
      <c r="B1061" s="7"/>
      <c r="C1061" s="4"/>
      <c r="D1061" s="6" t="s">
        <v>471</v>
      </c>
      <c r="E1061" s="6" t="s">
        <v>40</v>
      </c>
      <c r="F1061" s="6" t="s">
        <v>8</v>
      </c>
      <c r="G1061" s="11" t="s">
        <v>20</v>
      </c>
      <c r="H1061" s="6" t="s">
        <v>17</v>
      </c>
      <c r="I1061" s="21" t="s">
        <v>1072</v>
      </c>
      <c r="J1061" s="18">
        <v>6939.3925555481292</v>
      </c>
      <c r="K1061" s="18">
        <f>VLOOKUP(A1061,[1]Export!$A:$C,3,0)</f>
        <v>2232.0300000000002</v>
      </c>
      <c r="L1061" s="19">
        <f t="shared" si="36"/>
        <v>0.32164630868381483</v>
      </c>
      <c r="M1061" s="18">
        <f>VLOOKUP(A1061,[1]Export!$A:$G,7,0)</f>
        <v>2419.6099999999997</v>
      </c>
      <c r="N1061" s="19">
        <f t="shared" si="37"/>
        <v>0.34867749311364321</v>
      </c>
      <c r="O1061" s="17" t="s">
        <v>1025</v>
      </c>
      <c r="P1061" s="17" t="s">
        <v>1026</v>
      </c>
      <c r="Q1061" s="17" t="s">
        <v>1023</v>
      </c>
      <c r="R1061" s="17" t="str">
        <f>VLOOKUP(A1061,[2]Export!$A:$I,9,0)</f>
        <v>Comprou Marcas</v>
      </c>
      <c r="S1061" s="17" t="s">
        <v>1022</v>
      </c>
      <c r="T1061" s="20"/>
      <c r="U1061" s="17"/>
    </row>
    <row r="1062" spans="1:21" x14ac:dyDescent="0.35">
      <c r="A1062" s="4">
        <v>51945744000110</v>
      </c>
      <c r="B1062" s="7"/>
      <c r="C1062" s="4"/>
      <c r="D1062" s="1" t="s">
        <v>202</v>
      </c>
      <c r="E1062" s="1" t="s">
        <v>22</v>
      </c>
      <c r="F1062" s="1" t="s">
        <v>8</v>
      </c>
      <c r="G1062" s="10" t="s">
        <v>74</v>
      </c>
      <c r="H1062" s="1" t="s">
        <v>17</v>
      </c>
      <c r="I1062" s="21" t="s">
        <v>1070</v>
      </c>
      <c r="J1062" s="18">
        <v>2899.0335483115332</v>
      </c>
      <c r="K1062" s="18">
        <f>VLOOKUP(A1062,[1]Export!$A:$C,3,0)</f>
        <v>2030</v>
      </c>
      <c r="L1062" s="19">
        <f t="shared" si="36"/>
        <v>0.70023335921114838</v>
      </c>
      <c r="M1062" s="18">
        <f>VLOOKUP(A1062,[1]Export!$A:$G,7,0)</f>
        <v>779.43</v>
      </c>
      <c r="N1062" s="19">
        <f t="shared" si="37"/>
        <v>0.26885856510834749</v>
      </c>
      <c r="O1062" s="17" t="s">
        <v>1027</v>
      </c>
      <c r="P1062" s="17" t="s">
        <v>1028</v>
      </c>
      <c r="Q1062" s="17" t="s">
        <v>1023</v>
      </c>
      <c r="R1062" s="17" t="str">
        <f>VLOOKUP(A1062,[2]Export!$A:$I,9,0)</f>
        <v>Comprou Marcas</v>
      </c>
      <c r="S1062" s="17" t="s">
        <v>1023</v>
      </c>
      <c r="T1062" s="20"/>
      <c r="U1062" s="17"/>
    </row>
    <row r="1063" spans="1:21" x14ac:dyDescent="0.35">
      <c r="A1063" s="5">
        <v>53257815000117</v>
      </c>
      <c r="B1063" s="7"/>
      <c r="C1063" s="4"/>
      <c r="D1063" s="6" t="s">
        <v>966</v>
      </c>
      <c r="E1063" s="6" t="s">
        <v>584</v>
      </c>
      <c r="F1063" s="6" t="s">
        <v>48</v>
      </c>
      <c r="G1063" s="11" t="s">
        <v>20</v>
      </c>
      <c r="H1063" s="6" t="s">
        <v>17</v>
      </c>
      <c r="I1063" s="21" t="s">
        <v>1075</v>
      </c>
      <c r="J1063" s="18">
        <v>1224.6408624314297</v>
      </c>
      <c r="K1063" s="18">
        <f>VLOOKUP(A1063,[1]Export!$A:$C,3,0)</f>
        <v>180.29999999999998</v>
      </c>
      <c r="L1063" s="19">
        <f t="shared" si="36"/>
        <v>0.14722683648006671</v>
      </c>
      <c r="M1063" s="18">
        <f>VLOOKUP(A1063,[1]Export!$A:$G,7,0)</f>
        <v>0</v>
      </c>
      <c r="N1063" s="19">
        <f t="shared" si="37"/>
        <v>0</v>
      </c>
      <c r="O1063" s="17" t="s">
        <v>1025</v>
      </c>
      <c r="P1063" s="17" t="s">
        <v>1026</v>
      </c>
      <c r="Q1063" s="17" t="s">
        <v>1023</v>
      </c>
      <c r="R1063" s="17" t="str">
        <f>VLOOKUP(A1063,[2]Export!$A:$I,9,0)</f>
        <v>Não Comprou</v>
      </c>
      <c r="S1063" s="17" t="s">
        <v>1023</v>
      </c>
      <c r="T1063" s="20"/>
      <c r="U1063" s="17"/>
    </row>
    <row r="1064" spans="1:21" x14ac:dyDescent="0.35">
      <c r="A1064" s="4">
        <v>24127802000125</v>
      </c>
      <c r="B1064" s="7"/>
      <c r="C1064" s="4"/>
      <c r="D1064" s="1" t="s">
        <v>967</v>
      </c>
      <c r="E1064" s="1" t="s">
        <v>330</v>
      </c>
      <c r="F1064" s="1" t="s">
        <v>15</v>
      </c>
      <c r="G1064" s="10" t="s">
        <v>36</v>
      </c>
      <c r="H1064" s="1" t="s">
        <v>17</v>
      </c>
      <c r="I1064" s="21" t="s">
        <v>1071</v>
      </c>
      <c r="J1064" s="18">
        <v>1559.3665255502137</v>
      </c>
      <c r="K1064" s="18">
        <f>VLOOKUP(A1064,[1]Export!$A:$C,3,0)</f>
        <v>90.17</v>
      </c>
      <c r="L1064" s="19">
        <f t="shared" si="36"/>
        <v>5.7824763147447986E-2</v>
      </c>
      <c r="M1064" s="18">
        <f>VLOOKUP(A1064,[1]Export!$A:$G,7,0)</f>
        <v>2146.27</v>
      </c>
      <c r="N1064" s="19">
        <f t="shared" si="37"/>
        <v>1.3763730109845089</v>
      </c>
      <c r="O1064" s="17" t="s">
        <v>1025</v>
      </c>
      <c r="P1064" s="17" t="s">
        <v>1026</v>
      </c>
      <c r="Q1064" s="17" t="s">
        <v>1023</v>
      </c>
      <c r="R1064" s="17" t="str">
        <f>VLOOKUP(A1064,[2]Export!$A:$I,9,0)</f>
        <v>Comprou Marcas</v>
      </c>
      <c r="S1064" s="17" t="s">
        <v>1023</v>
      </c>
      <c r="T1064" s="20"/>
      <c r="U1064" s="17"/>
    </row>
    <row r="1065" spans="1:21" x14ac:dyDescent="0.35">
      <c r="A1065" s="5">
        <v>27201095000168</v>
      </c>
      <c r="B1065" s="7"/>
      <c r="C1065" s="4"/>
      <c r="D1065" s="6" t="s">
        <v>104</v>
      </c>
      <c r="E1065" s="6" t="s">
        <v>193</v>
      </c>
      <c r="F1065" s="6" t="s">
        <v>194</v>
      </c>
      <c r="G1065" s="11" t="s">
        <v>9</v>
      </c>
      <c r="H1065" s="6" t="s">
        <v>10</v>
      </c>
      <c r="I1065" s="21" t="s">
        <v>1070</v>
      </c>
      <c r="J1065" s="18">
        <v>3947.9986485042978</v>
      </c>
      <c r="K1065" s="18">
        <f>VLOOKUP(A1065,[1]Export!$A:$C,3,0)</f>
        <v>2251.8799999999997</v>
      </c>
      <c r="L1065" s="19">
        <f t="shared" si="36"/>
        <v>0.57038520032247886</v>
      </c>
      <c r="M1065" s="18">
        <f>VLOOKUP(A1065,[1]Export!$A:$G,7,0)</f>
        <v>1992.96</v>
      </c>
      <c r="N1065" s="19">
        <f t="shared" si="37"/>
        <v>0.50480260441705938</v>
      </c>
      <c r="O1065" s="17" t="s">
        <v>1027</v>
      </c>
      <c r="P1065" s="17" t="s">
        <v>1028</v>
      </c>
      <c r="Q1065" s="17" t="s">
        <v>1023</v>
      </c>
      <c r="R1065" s="17" t="str">
        <f>VLOOKUP(A1065,[2]Export!$A:$I,9,0)</f>
        <v>Comprou Marcas</v>
      </c>
      <c r="S1065" s="17" t="s">
        <v>1022</v>
      </c>
      <c r="T1065" s="20"/>
      <c r="U1065" s="17"/>
    </row>
    <row r="1066" spans="1:21" x14ac:dyDescent="0.35">
      <c r="A1066" s="4">
        <v>30455750000119</v>
      </c>
      <c r="B1066" s="7"/>
      <c r="C1066" s="4"/>
      <c r="D1066" s="1" t="s">
        <v>217</v>
      </c>
      <c r="E1066" s="1" t="s">
        <v>71</v>
      </c>
      <c r="F1066" s="1" t="s">
        <v>15</v>
      </c>
      <c r="G1066" s="10" t="s">
        <v>16</v>
      </c>
      <c r="H1066" s="1" t="s">
        <v>17</v>
      </c>
      <c r="I1066" s="21" t="s">
        <v>1071</v>
      </c>
      <c r="J1066" s="18">
        <v>1478.7775739130834</v>
      </c>
      <c r="K1066" s="18">
        <f>VLOOKUP(A1066,[1]Export!$A:$C,3,0)</f>
        <v>253.52999999999997</v>
      </c>
      <c r="L1066" s="19">
        <f t="shared" si="36"/>
        <v>0.17144566192542318</v>
      </c>
      <c r="M1066" s="18">
        <f>VLOOKUP(A1066,[1]Export!$A:$G,7,0)</f>
        <v>247.95</v>
      </c>
      <c r="N1066" s="19">
        <f t="shared" si="37"/>
        <v>0.16767227497498788</v>
      </c>
      <c r="O1066" s="17"/>
      <c r="P1066" s="17"/>
      <c r="Q1066" s="17"/>
      <c r="R1066" s="17" t="str">
        <f>VLOOKUP(A1066,[2]Export!$A:$I,9,0)</f>
        <v>Comprou Marcas</v>
      </c>
      <c r="S1066" s="17"/>
      <c r="T1066" s="20"/>
      <c r="U1066" s="17"/>
    </row>
    <row r="1067" spans="1:21" x14ac:dyDescent="0.35">
      <c r="A1067" s="5">
        <v>53933707000117</v>
      </c>
      <c r="B1067" s="7"/>
      <c r="C1067" s="4"/>
      <c r="D1067" s="6" t="s">
        <v>968</v>
      </c>
      <c r="E1067" s="6" t="s">
        <v>322</v>
      </c>
      <c r="F1067" s="6" t="s">
        <v>8</v>
      </c>
      <c r="G1067" s="11" t="s">
        <v>20</v>
      </c>
      <c r="H1067" s="6" t="s">
        <v>17</v>
      </c>
      <c r="I1067" s="21" t="s">
        <v>1068</v>
      </c>
      <c r="J1067" s="18">
        <v>2689.1745474065278</v>
      </c>
      <c r="K1067" s="18">
        <f>VLOOKUP(A1067,[1]Export!$A:$C,3,0)</f>
        <v>610.15</v>
      </c>
      <c r="L1067" s="19">
        <f t="shared" si="36"/>
        <v>0.22689118509932199</v>
      </c>
      <c r="M1067" s="18">
        <f>VLOOKUP(A1067,[1]Export!$A:$G,7,0)</f>
        <v>0</v>
      </c>
      <c r="N1067" s="19">
        <f t="shared" si="37"/>
        <v>0</v>
      </c>
      <c r="O1067" s="17" t="s">
        <v>1025</v>
      </c>
      <c r="P1067" s="17" t="s">
        <v>1026</v>
      </c>
      <c r="Q1067" s="17" t="s">
        <v>1022</v>
      </c>
      <c r="R1067" s="17" t="str">
        <f>VLOOKUP(A1067,[2]Export!$A:$I,9,0)</f>
        <v>Não Comprou</v>
      </c>
      <c r="S1067" s="17" t="s">
        <v>1023</v>
      </c>
      <c r="T1067" s="20"/>
      <c r="U1067" s="17"/>
    </row>
    <row r="1068" spans="1:21" x14ac:dyDescent="0.35">
      <c r="A1068" s="4">
        <v>55288708000181</v>
      </c>
      <c r="B1068" s="7"/>
      <c r="C1068" s="4"/>
      <c r="D1068" s="1" t="s">
        <v>969</v>
      </c>
      <c r="E1068" s="1" t="s">
        <v>384</v>
      </c>
      <c r="F1068" s="1" t="s">
        <v>48</v>
      </c>
      <c r="G1068" s="10" t="s">
        <v>20</v>
      </c>
      <c r="H1068" s="1" t="s">
        <v>17</v>
      </c>
      <c r="I1068" s="21" t="s">
        <v>1073</v>
      </c>
      <c r="J1068" s="18">
        <v>9374.3682295533181</v>
      </c>
      <c r="K1068" s="18">
        <f>VLOOKUP(A1068,[1]Export!$A:$C,3,0)</f>
        <v>3680.0299999999997</v>
      </c>
      <c r="L1068" s="19">
        <f t="shared" si="36"/>
        <v>0.39256298770070297</v>
      </c>
      <c r="M1068" s="18">
        <f>VLOOKUP(A1068,[1]Export!$A:$G,7,0)</f>
        <v>3967.67</v>
      </c>
      <c r="N1068" s="19">
        <f t="shared" si="37"/>
        <v>0.42324665543771334</v>
      </c>
      <c r="O1068" s="17" t="s">
        <v>1025</v>
      </c>
      <c r="P1068" s="17" t="s">
        <v>1026</v>
      </c>
      <c r="Q1068" s="17" t="s">
        <v>1023</v>
      </c>
      <c r="R1068" s="17" t="str">
        <f>VLOOKUP(A1068,[2]Export!$A:$I,9,0)</f>
        <v>Comprou Marcas e SG</v>
      </c>
      <c r="S1068" s="17" t="s">
        <v>1022</v>
      </c>
      <c r="T1068" s="20"/>
      <c r="U1068" s="17"/>
    </row>
    <row r="1069" spans="1:21" x14ac:dyDescent="0.35">
      <c r="A1069" s="5">
        <v>63102694000198</v>
      </c>
      <c r="B1069" s="7"/>
      <c r="C1069" s="4"/>
      <c r="D1069" s="6" t="s">
        <v>970</v>
      </c>
      <c r="E1069" s="6" t="s">
        <v>149</v>
      </c>
      <c r="F1069" s="6" t="s">
        <v>8</v>
      </c>
      <c r="G1069" s="11" t="s">
        <v>20</v>
      </c>
      <c r="H1069" s="6" t="s">
        <v>17</v>
      </c>
      <c r="I1069" s="21" t="s">
        <v>1074</v>
      </c>
      <c r="J1069" s="18">
        <v>13.784976826151807</v>
      </c>
      <c r="K1069" s="18">
        <f>VLOOKUP(A1069,[1]Export!$A:$C,3,0)</f>
        <v>0</v>
      </c>
      <c r="L1069" s="19">
        <f t="shared" si="36"/>
        <v>0</v>
      </c>
      <c r="M1069" s="18">
        <f>VLOOKUP(A1069,[1]Export!$A:$G,7,0)</f>
        <v>0</v>
      </c>
      <c r="N1069" s="19">
        <f t="shared" si="37"/>
        <v>0</v>
      </c>
      <c r="O1069" s="17" t="s">
        <v>1025</v>
      </c>
      <c r="P1069" s="17" t="s">
        <v>1026</v>
      </c>
      <c r="Q1069" s="17" t="s">
        <v>1023</v>
      </c>
      <c r="R1069" s="17" t="str">
        <f>VLOOKUP(A1069,[2]Export!$A:$I,9,0)</f>
        <v>Não Comprou</v>
      </c>
      <c r="S1069" s="17" t="s">
        <v>1023</v>
      </c>
      <c r="T1069" s="20"/>
      <c r="U1069" s="17"/>
    </row>
    <row r="1070" spans="1:21" x14ac:dyDescent="0.35">
      <c r="A1070" s="4">
        <v>66613327000147</v>
      </c>
      <c r="B1070" s="7"/>
      <c r="C1070" s="4"/>
      <c r="D1070" s="1" t="s">
        <v>971</v>
      </c>
      <c r="E1070" s="1" t="s">
        <v>98</v>
      </c>
      <c r="F1070" s="1" t="s">
        <v>15</v>
      </c>
      <c r="G1070" s="10" t="s">
        <v>36</v>
      </c>
      <c r="H1070" s="1" t="s">
        <v>17</v>
      </c>
      <c r="I1070" s="21" t="s">
        <v>1075</v>
      </c>
      <c r="J1070" s="18">
        <v>1437.232327657493</v>
      </c>
      <c r="K1070" s="18">
        <f>VLOOKUP(A1070,[1]Export!$A:$C,3,0)</f>
        <v>1716.2300000000002</v>
      </c>
      <c r="L1070" s="19">
        <f t="shared" si="36"/>
        <v>1.1941214840312131</v>
      </c>
      <c r="M1070" s="18">
        <f>VLOOKUP(A1070,[1]Export!$A:$G,7,0)</f>
        <v>845.23</v>
      </c>
      <c r="N1070" s="19">
        <f t="shared" si="37"/>
        <v>0.58809559438286363</v>
      </c>
      <c r="O1070" s="17"/>
      <c r="P1070" s="17"/>
      <c r="Q1070" s="17"/>
      <c r="R1070" s="17" t="str">
        <f>VLOOKUP(A1070,[2]Export!$A:$I,9,0)</f>
        <v>Comprou Marcas</v>
      </c>
      <c r="S1070" s="17"/>
      <c r="T1070" s="20"/>
      <c r="U1070" s="17"/>
    </row>
    <row r="1071" spans="1:21" x14ac:dyDescent="0.35">
      <c r="A1071" s="5">
        <v>65675078000585</v>
      </c>
      <c r="B1071" s="7"/>
      <c r="C1071" s="4"/>
      <c r="D1071" s="6" t="s">
        <v>380</v>
      </c>
      <c r="E1071" s="6" t="s">
        <v>14</v>
      </c>
      <c r="F1071" s="6" t="s">
        <v>15</v>
      </c>
      <c r="G1071" s="11" t="s">
        <v>20</v>
      </c>
      <c r="H1071" s="6" t="s">
        <v>17</v>
      </c>
      <c r="I1071" s="21" t="s">
        <v>1069</v>
      </c>
      <c r="J1071" s="18">
        <v>631.70405021515865</v>
      </c>
      <c r="K1071" s="18">
        <f>VLOOKUP(A1071,[1]Export!$A:$C,3,0)</f>
        <v>882.19999999999982</v>
      </c>
      <c r="L1071" s="19">
        <f t="shared" si="36"/>
        <v>1.396540040703431</v>
      </c>
      <c r="M1071" s="18">
        <f>VLOOKUP(A1071,[1]Export!$A:$G,7,0)</f>
        <v>1461.79</v>
      </c>
      <c r="N1071" s="19">
        <f t="shared" si="37"/>
        <v>2.3140424689411341</v>
      </c>
      <c r="O1071" s="17"/>
      <c r="P1071" s="17"/>
      <c r="Q1071" s="17"/>
      <c r="R1071" s="17" t="str">
        <f>VLOOKUP(A1071,[2]Export!$A:$I,9,0)</f>
        <v>Comprou Marcas</v>
      </c>
      <c r="S1071" s="17"/>
      <c r="T1071" s="20"/>
      <c r="U1071" s="17"/>
    </row>
    <row r="1072" spans="1:21" x14ac:dyDescent="0.35">
      <c r="A1072" s="4">
        <v>28846852000113</v>
      </c>
      <c r="B1072" s="7"/>
      <c r="C1072" s="4"/>
      <c r="D1072" s="1" t="s">
        <v>972</v>
      </c>
      <c r="E1072" s="1" t="s">
        <v>82</v>
      </c>
      <c r="F1072" s="1" t="s">
        <v>8</v>
      </c>
      <c r="G1072" s="10" t="s">
        <v>20</v>
      </c>
      <c r="H1072" s="1" t="s">
        <v>17</v>
      </c>
      <c r="I1072" s="21" t="s">
        <v>1072</v>
      </c>
      <c r="J1072" s="18">
        <v>13096.239280570815</v>
      </c>
      <c r="K1072" s="18">
        <f>VLOOKUP(A1072,[1]Export!$A:$C,3,0)</f>
        <v>5211.829999999999</v>
      </c>
      <c r="L1072" s="19">
        <f t="shared" si="36"/>
        <v>0.39796386491900104</v>
      </c>
      <c r="M1072" s="18">
        <f>VLOOKUP(A1072,[1]Export!$A:$G,7,0)</f>
        <v>5886.5</v>
      </c>
      <c r="N1072" s="19">
        <f t="shared" si="37"/>
        <v>0.44948018082817359</v>
      </c>
      <c r="O1072" s="17" t="s">
        <v>1027</v>
      </c>
      <c r="P1072" s="17" t="s">
        <v>1026</v>
      </c>
      <c r="Q1072" s="17" t="s">
        <v>1023</v>
      </c>
      <c r="R1072" s="17" t="str">
        <f>VLOOKUP(A1072,[2]Export!$A:$I,9,0)</f>
        <v>Comprou Marcas</v>
      </c>
      <c r="S1072" s="17" t="s">
        <v>1022</v>
      </c>
      <c r="T1072" s="20">
        <v>1</v>
      </c>
      <c r="U1072" s="17"/>
    </row>
    <row r="1073" spans="1:21" x14ac:dyDescent="0.35">
      <c r="A1073" s="5">
        <v>30274933000138</v>
      </c>
      <c r="B1073" s="7"/>
      <c r="C1073" s="4"/>
      <c r="D1073" s="6" t="s">
        <v>154</v>
      </c>
      <c r="E1073" s="6" t="s">
        <v>146</v>
      </c>
      <c r="F1073" s="6" t="s">
        <v>8</v>
      </c>
      <c r="G1073" s="11" t="s">
        <v>36</v>
      </c>
      <c r="H1073" s="6" t="s">
        <v>17</v>
      </c>
      <c r="I1073" s="21" t="s">
        <v>1074</v>
      </c>
      <c r="J1073" s="18">
        <v>4208.0376928683318</v>
      </c>
      <c r="K1073" s="18">
        <f>VLOOKUP(A1073,[1]Export!$A:$C,3,0)</f>
        <v>2111.3400000000006</v>
      </c>
      <c r="L1073" s="19">
        <f t="shared" si="36"/>
        <v>0.50173980227844495</v>
      </c>
      <c r="M1073" s="18">
        <f>VLOOKUP(A1073,[1]Export!$A:$G,7,0)</f>
        <v>1654.64</v>
      </c>
      <c r="N1073" s="19">
        <f t="shared" si="37"/>
        <v>0.3932094056106577</v>
      </c>
      <c r="O1073" s="17" t="s">
        <v>1025</v>
      </c>
      <c r="P1073" s="17" t="s">
        <v>1026</v>
      </c>
      <c r="Q1073" s="17" t="s">
        <v>1023</v>
      </c>
      <c r="R1073" s="17" t="str">
        <f>VLOOKUP(A1073,[2]Export!$A:$I,9,0)</f>
        <v>Comprou Marcas</v>
      </c>
      <c r="S1073" s="17" t="s">
        <v>1022</v>
      </c>
      <c r="T1073" s="20"/>
      <c r="U1073" s="17"/>
    </row>
    <row r="1074" spans="1:21" x14ac:dyDescent="0.35">
      <c r="A1074" s="4">
        <v>18070710000153</v>
      </c>
      <c r="B1074" s="7"/>
      <c r="C1074" s="4"/>
      <c r="D1074" s="1" t="s">
        <v>973</v>
      </c>
      <c r="E1074" s="1" t="s">
        <v>61</v>
      </c>
      <c r="F1074" s="1" t="s">
        <v>8</v>
      </c>
      <c r="G1074" s="10" t="s">
        <v>20</v>
      </c>
      <c r="H1074" s="1" t="s">
        <v>17</v>
      </c>
      <c r="I1074" s="21" t="s">
        <v>1068</v>
      </c>
      <c r="J1074" s="18">
        <v>3264.7917731947177</v>
      </c>
      <c r="K1074" s="18">
        <f>VLOOKUP(A1074,[1]Export!$A:$C,3,0)</f>
        <v>1295.8700000000001</v>
      </c>
      <c r="L1074" s="19">
        <f t="shared" si="36"/>
        <v>0.39692271055067752</v>
      </c>
      <c r="M1074" s="18">
        <f>VLOOKUP(A1074,[1]Export!$A:$G,7,0)</f>
        <v>525.67999999999995</v>
      </c>
      <c r="N1074" s="19">
        <f t="shared" si="37"/>
        <v>0.16101486297412557</v>
      </c>
      <c r="O1074" s="17" t="s">
        <v>1025</v>
      </c>
      <c r="P1074" s="17" t="s">
        <v>1026</v>
      </c>
      <c r="Q1074" s="17" t="s">
        <v>1023</v>
      </c>
      <c r="R1074" s="17" t="str">
        <f>VLOOKUP(A1074,[2]Export!$A:$I,9,0)</f>
        <v>Comprou Marcas</v>
      </c>
      <c r="S1074" s="17" t="s">
        <v>1022</v>
      </c>
      <c r="T1074" s="20"/>
      <c r="U1074" s="17"/>
    </row>
    <row r="1075" spans="1:21" x14ac:dyDescent="0.35">
      <c r="A1075" s="5">
        <v>18465867000188</v>
      </c>
      <c r="B1075" s="7" t="s">
        <v>994</v>
      </c>
      <c r="C1075" s="4"/>
      <c r="D1075" s="6" t="s">
        <v>156</v>
      </c>
      <c r="E1075" s="6" t="s">
        <v>520</v>
      </c>
      <c r="F1075" s="6" t="s">
        <v>48</v>
      </c>
      <c r="G1075" s="11" t="s">
        <v>92</v>
      </c>
      <c r="H1075" s="6" t="s">
        <v>17</v>
      </c>
      <c r="I1075" s="21" t="s">
        <v>1073</v>
      </c>
      <c r="J1075" s="18">
        <v>17863.411448727744</v>
      </c>
      <c r="K1075" s="18">
        <f>VLOOKUP(A1075,[1]Export!$A:$C,3,0)</f>
        <v>17082.429999999997</v>
      </c>
      <c r="L1075" s="19">
        <f t="shared" si="36"/>
        <v>0.95628038625380429</v>
      </c>
      <c r="M1075" s="18">
        <f>VLOOKUP(A1075,[1]Export!$A:$G,7,0)</f>
        <v>7826.04</v>
      </c>
      <c r="N1075" s="19">
        <f t="shared" si="37"/>
        <v>0.43810444732030068</v>
      </c>
      <c r="O1075" s="17" t="s">
        <v>1027</v>
      </c>
      <c r="P1075" s="17" t="s">
        <v>1028</v>
      </c>
      <c r="Q1075" s="17" t="s">
        <v>1023</v>
      </c>
      <c r="R1075" s="17" t="str">
        <f>VLOOKUP(A1075,[2]Export!$A:$I,9,0)</f>
        <v>Comprou Marcas</v>
      </c>
      <c r="S1075" s="17" t="s">
        <v>1022</v>
      </c>
      <c r="T1075" s="20"/>
      <c r="U1075" s="17"/>
    </row>
    <row r="1076" spans="1:21" x14ac:dyDescent="0.35">
      <c r="A1076" s="4">
        <v>19934714000103</v>
      </c>
      <c r="B1076" s="7"/>
      <c r="C1076" s="4"/>
      <c r="D1076" s="1" t="s">
        <v>974</v>
      </c>
      <c r="E1076" s="1" t="s">
        <v>358</v>
      </c>
      <c r="F1076" s="1" t="s">
        <v>15</v>
      </c>
      <c r="G1076" s="10" t="s">
        <v>20</v>
      </c>
      <c r="H1076" s="1" t="s">
        <v>17</v>
      </c>
      <c r="I1076" s="21" t="s">
        <v>1071</v>
      </c>
      <c r="J1076" s="18">
        <v>6909.2279262094953</v>
      </c>
      <c r="K1076" s="18">
        <f>VLOOKUP(A1076,[1]Export!$A:$C,3,0)</f>
        <v>1406.41</v>
      </c>
      <c r="L1076" s="19">
        <f t="shared" si="36"/>
        <v>0.20355530531348057</v>
      </c>
      <c r="M1076" s="18">
        <f>VLOOKUP(A1076,[1]Export!$A:$G,7,0)</f>
        <v>1597.62</v>
      </c>
      <c r="N1076" s="19">
        <f t="shared" si="37"/>
        <v>0.23122988806601405</v>
      </c>
      <c r="O1076" s="17" t="s">
        <v>1025</v>
      </c>
      <c r="P1076" s="17" t="s">
        <v>1026</v>
      </c>
      <c r="Q1076" s="17" t="s">
        <v>1023</v>
      </c>
      <c r="R1076" s="17" t="str">
        <f>VLOOKUP(A1076,[2]Export!$A:$I,9,0)</f>
        <v>Comprou Marcas</v>
      </c>
      <c r="S1076" s="17" t="s">
        <v>1022</v>
      </c>
      <c r="T1076" s="20"/>
      <c r="U1076" s="17"/>
    </row>
    <row r="1077" spans="1:21" x14ac:dyDescent="0.35">
      <c r="A1077" s="5">
        <v>6350948000153</v>
      </c>
      <c r="B1077" s="7"/>
      <c r="C1077" s="4"/>
      <c r="D1077" s="6" t="s">
        <v>892</v>
      </c>
      <c r="E1077" s="6" t="s">
        <v>152</v>
      </c>
      <c r="F1077" s="6" t="s">
        <v>8</v>
      </c>
      <c r="G1077" s="11" t="s">
        <v>9</v>
      </c>
      <c r="H1077" s="6" t="s">
        <v>10</v>
      </c>
      <c r="I1077" s="21" t="s">
        <v>1070</v>
      </c>
      <c r="J1077" s="18">
        <v>7141.2822794525682</v>
      </c>
      <c r="K1077" s="18">
        <f>VLOOKUP(A1077,[1]Export!$A:$C,3,0)</f>
        <v>2090.3000000000002</v>
      </c>
      <c r="L1077" s="19">
        <f t="shared" si="36"/>
        <v>0.29270653619369841</v>
      </c>
      <c r="M1077" s="18">
        <f>VLOOKUP(A1077,[1]Export!$A:$G,7,0)</f>
        <v>0</v>
      </c>
      <c r="N1077" s="19">
        <f t="shared" si="37"/>
        <v>0</v>
      </c>
      <c r="O1077" s="17" t="s">
        <v>1027</v>
      </c>
      <c r="P1077" s="17" t="s">
        <v>1028</v>
      </c>
      <c r="Q1077" s="17" t="s">
        <v>1023</v>
      </c>
      <c r="R1077" s="17" t="str">
        <f>VLOOKUP(A1077,[2]Export!$A:$I,9,0)</f>
        <v>Não Comprou</v>
      </c>
      <c r="S1077" s="17" t="s">
        <v>1022</v>
      </c>
      <c r="T1077" s="20"/>
      <c r="U1077" s="17"/>
    </row>
    <row r="1078" spans="1:21" x14ac:dyDescent="0.35">
      <c r="A1078" s="4">
        <v>50346593000110</v>
      </c>
      <c r="B1078" s="7"/>
      <c r="C1078" s="4"/>
      <c r="D1078" s="1" t="s">
        <v>975</v>
      </c>
      <c r="E1078" s="1" t="s">
        <v>22</v>
      </c>
      <c r="F1078" s="1" t="s">
        <v>8</v>
      </c>
      <c r="G1078" s="10" t="s">
        <v>550</v>
      </c>
      <c r="H1078" s="1" t="s">
        <v>17</v>
      </c>
      <c r="I1078" s="21" t="s">
        <v>1070</v>
      </c>
      <c r="J1078" s="18">
        <v>2314.7342242878649</v>
      </c>
      <c r="K1078" s="18">
        <f>VLOOKUP(A1078,[1]Export!$A:$C,3,0)</f>
        <v>711.17000000000007</v>
      </c>
      <c r="L1078" s="19">
        <f t="shared" si="36"/>
        <v>0.30723613645916248</v>
      </c>
      <c r="M1078" s="18">
        <f>VLOOKUP(A1078,[1]Export!$A:$G,7,0)</f>
        <v>0</v>
      </c>
      <c r="N1078" s="19">
        <f t="shared" si="37"/>
        <v>0</v>
      </c>
      <c r="O1078" s="17" t="s">
        <v>1025</v>
      </c>
      <c r="P1078" s="17" t="s">
        <v>1026</v>
      </c>
      <c r="Q1078" s="17" t="s">
        <v>1022</v>
      </c>
      <c r="R1078" s="17" t="str">
        <f>VLOOKUP(A1078,[2]Export!$A:$I,9,0)</f>
        <v>Não Comprou</v>
      </c>
      <c r="S1078" s="17" t="s">
        <v>1022</v>
      </c>
      <c r="T1078" s="20"/>
      <c r="U1078" s="17"/>
    </row>
    <row r="1079" spans="1:21" x14ac:dyDescent="0.35">
      <c r="A1079" s="5">
        <v>58230920000186</v>
      </c>
      <c r="B1079" s="7"/>
      <c r="C1079" s="4"/>
      <c r="D1079" s="6" t="s">
        <v>976</v>
      </c>
      <c r="E1079" s="6" t="s">
        <v>14</v>
      </c>
      <c r="F1079" s="6" t="s">
        <v>15</v>
      </c>
      <c r="G1079" s="11" t="s">
        <v>36</v>
      </c>
      <c r="H1079" s="6" t="s">
        <v>17</v>
      </c>
      <c r="I1079" s="21" t="s">
        <v>1069</v>
      </c>
      <c r="J1079" s="18">
        <v>1199.0290767975457</v>
      </c>
      <c r="K1079" s="18">
        <f>VLOOKUP(A1079,[1]Export!$A:$C,3,0)</f>
        <v>0</v>
      </c>
      <c r="L1079" s="19">
        <f t="shared" si="36"/>
        <v>0</v>
      </c>
      <c r="M1079" s="18">
        <f>VLOOKUP(A1079,[1]Export!$A:$G,7,0)</f>
        <v>0</v>
      </c>
      <c r="N1079" s="19">
        <f t="shared" si="37"/>
        <v>0</v>
      </c>
      <c r="O1079" s="17" t="s">
        <v>1025</v>
      </c>
      <c r="P1079" s="17" t="s">
        <v>1026</v>
      </c>
      <c r="Q1079" s="17" t="s">
        <v>1023</v>
      </c>
      <c r="R1079" s="17" t="str">
        <f>VLOOKUP(A1079,[2]Export!$A:$I,9,0)</f>
        <v>Não Comprou</v>
      </c>
      <c r="S1079" s="17" t="s">
        <v>1023</v>
      </c>
      <c r="T1079" s="20"/>
      <c r="U1079" s="17"/>
    </row>
    <row r="1080" spans="1:21" x14ac:dyDescent="0.35">
      <c r="A1080" s="4">
        <v>62210039000190</v>
      </c>
      <c r="B1080" s="7"/>
      <c r="C1080" s="4"/>
      <c r="D1080" s="1" t="s">
        <v>977</v>
      </c>
      <c r="E1080" s="1" t="s">
        <v>98</v>
      </c>
      <c r="F1080" s="1" t="s">
        <v>15</v>
      </c>
      <c r="G1080" s="10" t="s">
        <v>20</v>
      </c>
      <c r="H1080" s="1" t="s">
        <v>17</v>
      </c>
      <c r="I1080" s="21" t="s">
        <v>1075</v>
      </c>
      <c r="J1080" s="18">
        <v>4584.5559938167853</v>
      </c>
      <c r="K1080" s="18">
        <f>VLOOKUP(A1080,[1]Export!$A:$C,3,0)</f>
        <v>403.74</v>
      </c>
      <c r="L1080" s="19">
        <f t="shared" si="36"/>
        <v>8.8065234789263397E-2</v>
      </c>
      <c r="M1080" s="18">
        <f>VLOOKUP(A1080,[1]Export!$A:$G,7,0)</f>
        <v>0</v>
      </c>
      <c r="N1080" s="19">
        <f t="shared" si="37"/>
        <v>0</v>
      </c>
      <c r="O1080" s="17" t="s">
        <v>1025</v>
      </c>
      <c r="P1080" s="17" t="s">
        <v>1026</v>
      </c>
      <c r="Q1080" s="17" t="s">
        <v>1023</v>
      </c>
      <c r="R1080" s="17" t="str">
        <f>VLOOKUP(A1080,[2]Export!$A:$I,9,0)</f>
        <v>Não Comprou</v>
      </c>
      <c r="S1080" s="17" t="s">
        <v>1023</v>
      </c>
      <c r="T1080" s="20"/>
      <c r="U1080" s="17"/>
    </row>
    <row r="1081" spans="1:21" x14ac:dyDescent="0.35">
      <c r="A1081" s="5">
        <v>62670020000127</v>
      </c>
      <c r="B1081" s="7"/>
      <c r="C1081" s="4"/>
      <c r="D1081" s="6" t="s">
        <v>978</v>
      </c>
      <c r="E1081" s="6" t="s">
        <v>182</v>
      </c>
      <c r="F1081" s="6" t="s">
        <v>8</v>
      </c>
      <c r="G1081" s="11" t="s">
        <v>20</v>
      </c>
      <c r="H1081" s="6" t="s">
        <v>17</v>
      </c>
      <c r="I1081" s="21" t="s">
        <v>1074</v>
      </c>
      <c r="J1081" s="18">
        <v>1653.9917392327689</v>
      </c>
      <c r="K1081" s="18">
        <f>VLOOKUP(A1081,[1]Export!$A:$C,3,0)</f>
        <v>1063.8</v>
      </c>
      <c r="L1081" s="19">
        <f t="shared" si="36"/>
        <v>0.64317128965436132</v>
      </c>
      <c r="M1081" s="18">
        <f>VLOOKUP(A1081,[1]Export!$A:$G,7,0)</f>
        <v>0</v>
      </c>
      <c r="N1081" s="19">
        <f t="shared" si="37"/>
        <v>0</v>
      </c>
      <c r="O1081" s="17" t="s">
        <v>1025</v>
      </c>
      <c r="P1081" s="17" t="s">
        <v>1026</v>
      </c>
      <c r="Q1081" s="17" t="s">
        <v>1023</v>
      </c>
      <c r="R1081" s="17" t="str">
        <f>VLOOKUP(A1081,[2]Export!$A:$I,9,0)</f>
        <v>Não Comprou</v>
      </c>
      <c r="S1081" s="17" t="s">
        <v>1023</v>
      </c>
      <c r="T1081" s="20"/>
      <c r="U1081" s="17"/>
    </row>
    <row r="1082" spans="1:21" x14ac:dyDescent="0.35">
      <c r="A1082" s="4">
        <v>64494102000193</v>
      </c>
      <c r="B1082" s="7"/>
      <c r="C1082" s="4"/>
      <c r="D1082" s="1" t="s">
        <v>33</v>
      </c>
      <c r="E1082" s="1" t="s">
        <v>35</v>
      </c>
      <c r="F1082" s="1" t="s">
        <v>8</v>
      </c>
      <c r="G1082" s="10" t="s">
        <v>33</v>
      </c>
      <c r="H1082" s="1" t="s">
        <v>17</v>
      </c>
      <c r="I1082" s="21" t="s">
        <v>1072</v>
      </c>
      <c r="J1082" s="18">
        <v>6112.2278088370585</v>
      </c>
      <c r="K1082" s="18">
        <f>VLOOKUP(A1082,[1]Export!$A:$C,3,0)</f>
        <v>3707.4100000000003</v>
      </c>
      <c r="L1082" s="19">
        <f t="shared" si="36"/>
        <v>0.60655625345636288</v>
      </c>
      <c r="M1082" s="18">
        <f>VLOOKUP(A1082,[1]Export!$A:$G,7,0)</f>
        <v>5346</v>
      </c>
      <c r="N1082" s="19">
        <f t="shared" si="37"/>
        <v>0.87464017494091983</v>
      </c>
      <c r="O1082" s="17" t="s">
        <v>1025</v>
      </c>
      <c r="P1082" s="17" t="s">
        <v>1026</v>
      </c>
      <c r="Q1082" s="17" t="s">
        <v>1022</v>
      </c>
      <c r="R1082" s="17" t="str">
        <f>VLOOKUP(A1082,[2]Export!$A:$I,9,0)</f>
        <v>Comprou Marcas e SG</v>
      </c>
      <c r="S1082" s="17" t="s">
        <v>1022</v>
      </c>
      <c r="T1082" s="20">
        <v>5</v>
      </c>
      <c r="U1082" s="17"/>
    </row>
    <row r="1083" spans="1:21" x14ac:dyDescent="0.35">
      <c r="A1083" s="5">
        <v>96365630000139</v>
      </c>
      <c r="B1083" s="7"/>
      <c r="C1083" s="4">
        <v>48859</v>
      </c>
      <c r="D1083" s="6" t="s">
        <v>979</v>
      </c>
      <c r="E1083" s="6" t="s">
        <v>606</v>
      </c>
      <c r="F1083" s="6" t="s">
        <v>48</v>
      </c>
      <c r="G1083" s="11" t="s">
        <v>20</v>
      </c>
      <c r="H1083" s="6" t="s">
        <v>17</v>
      </c>
      <c r="I1083" s="21" t="s">
        <v>1073</v>
      </c>
      <c r="J1083" s="18">
        <v>49452.51037550129</v>
      </c>
      <c r="K1083" s="18">
        <f>VLOOKUP(A1083,[1]Export!$A:$C,3,0)</f>
        <v>32028.58</v>
      </c>
      <c r="L1083" s="19">
        <f t="shared" si="36"/>
        <v>0.64766337961008591</v>
      </c>
      <c r="M1083" s="18">
        <f>VLOOKUP(A1083,[1]Export!$A:$G,7,0)</f>
        <v>21129.209999999995</v>
      </c>
      <c r="N1083" s="19">
        <f t="shared" si="37"/>
        <v>0.42726263721623681</v>
      </c>
      <c r="O1083" s="17" t="s">
        <v>1025</v>
      </c>
      <c r="P1083" s="17" t="s">
        <v>1026</v>
      </c>
      <c r="Q1083" s="17" t="s">
        <v>1023</v>
      </c>
      <c r="R1083" s="17" t="str">
        <f>VLOOKUP(A1083,[2]Export!$A:$I,9,0)</f>
        <v>Comprou Marcas e SG</v>
      </c>
      <c r="S1083" s="17" t="s">
        <v>1022</v>
      </c>
      <c r="T1083" s="20">
        <v>8</v>
      </c>
      <c r="U1083" s="17"/>
    </row>
    <row r="1084" spans="1:21" x14ac:dyDescent="0.35">
      <c r="A1084" s="5">
        <v>9492647000314</v>
      </c>
      <c r="B1084" s="7"/>
      <c r="C1084" s="4"/>
      <c r="D1084" s="6" t="s">
        <v>104</v>
      </c>
      <c r="E1084" s="6" t="s">
        <v>909</v>
      </c>
      <c r="F1084" s="6" t="s">
        <v>8</v>
      </c>
      <c r="G1084" s="11" t="s">
        <v>9</v>
      </c>
      <c r="H1084" s="6" t="s">
        <v>10</v>
      </c>
      <c r="I1084" s="21" t="s">
        <v>1072</v>
      </c>
      <c r="J1084" s="18">
        <v>15024.364806250196</v>
      </c>
      <c r="K1084" s="18">
        <f>VLOOKUP(A1084,[1]Export!$A:$C,3,0)</f>
        <v>6214.2199999999993</v>
      </c>
      <c r="L1084" s="19">
        <f t="shared" si="36"/>
        <v>0.41360949897960803</v>
      </c>
      <c r="M1084" s="18">
        <f>VLOOKUP(A1084,[1]Export!$A:$G,7,0)</f>
        <v>13201.379999999994</v>
      </c>
      <c r="N1084" s="19">
        <f t="shared" si="37"/>
        <v>0.87866476687973971</v>
      </c>
      <c r="O1084" s="17" t="s">
        <v>1027</v>
      </c>
      <c r="P1084" s="17" t="s">
        <v>1028</v>
      </c>
      <c r="Q1084" s="17" t="s">
        <v>1023</v>
      </c>
      <c r="R1084" s="17" t="str">
        <f>VLOOKUP(A1084,[2]Export!$A:$I,9,0)</f>
        <v>Comprou Marcas</v>
      </c>
      <c r="S1084" s="17" t="s">
        <v>1022</v>
      </c>
      <c r="T1084" s="20"/>
      <c r="U1084" s="17"/>
    </row>
    <row r="1085" spans="1:21" x14ac:dyDescent="0.35">
      <c r="A1085" s="4">
        <v>9492647000667</v>
      </c>
      <c r="B1085" s="7"/>
      <c r="C1085" s="4"/>
      <c r="D1085" s="1" t="s">
        <v>104</v>
      </c>
      <c r="E1085" s="1" t="s">
        <v>910</v>
      </c>
      <c r="F1085" s="1" t="s">
        <v>8</v>
      </c>
      <c r="G1085" s="10" t="s">
        <v>9</v>
      </c>
      <c r="H1085" s="1" t="s">
        <v>10</v>
      </c>
      <c r="I1085" s="21" t="s">
        <v>1072</v>
      </c>
      <c r="J1085" s="18">
        <v>9725.4140496120617</v>
      </c>
      <c r="K1085" s="18">
        <f>VLOOKUP(A1085,[1]Export!$A:$C,3,0)</f>
        <v>4943.380000000001</v>
      </c>
      <c r="L1085" s="19">
        <f t="shared" si="36"/>
        <v>0.50829506844463734</v>
      </c>
      <c r="M1085" s="18">
        <f>VLOOKUP(A1085,[1]Export!$A:$G,7,0)</f>
        <v>5693.5099999999993</v>
      </c>
      <c r="N1085" s="19">
        <f t="shared" si="37"/>
        <v>0.58542597476629887</v>
      </c>
      <c r="O1085" s="17" t="s">
        <v>1027</v>
      </c>
      <c r="P1085" s="17" t="s">
        <v>1028</v>
      </c>
      <c r="Q1085" s="17" t="s">
        <v>1023</v>
      </c>
      <c r="R1085" s="17" t="str">
        <f>VLOOKUP(A1085,[2]Export!$A:$I,9,0)</f>
        <v>Comprou Marcas</v>
      </c>
      <c r="S1085" s="17" t="s">
        <v>1022</v>
      </c>
      <c r="T1085" s="20"/>
      <c r="U1085" s="17"/>
    </row>
    <row r="1086" spans="1:21" x14ac:dyDescent="0.35">
      <c r="A1086" s="4">
        <v>19797575000105</v>
      </c>
      <c r="B1086" s="7"/>
      <c r="C1086" s="4"/>
      <c r="D1086" s="1" t="s">
        <v>980</v>
      </c>
      <c r="E1086" s="1" t="s">
        <v>542</v>
      </c>
      <c r="F1086" s="1" t="s">
        <v>15</v>
      </c>
      <c r="G1086" s="10" t="s">
        <v>20</v>
      </c>
      <c r="H1086" s="1" t="s">
        <v>17</v>
      </c>
      <c r="I1086" s="21" t="s">
        <v>1075</v>
      </c>
      <c r="J1086" s="18">
        <v>3761.6263073864084</v>
      </c>
      <c r="K1086" s="18">
        <f>VLOOKUP(A1086,[1]Export!$A:$C,3,0)</f>
        <v>716.09</v>
      </c>
      <c r="L1086" s="19">
        <f t="shared" si="36"/>
        <v>0.19036712886494617</v>
      </c>
      <c r="M1086" s="18">
        <f>VLOOKUP(A1086,[1]Export!$A:$G,7,0)</f>
        <v>780.71000000000015</v>
      </c>
      <c r="N1086" s="19">
        <f t="shared" si="37"/>
        <v>0.20754586878206951</v>
      </c>
      <c r="O1086" s="17" t="s">
        <v>1025</v>
      </c>
      <c r="P1086" s="17" t="s">
        <v>1026</v>
      </c>
      <c r="Q1086" s="17" t="s">
        <v>1023</v>
      </c>
      <c r="R1086" s="17" t="str">
        <f>VLOOKUP(A1086,[2]Export!$A:$I,9,0)</f>
        <v>Não Comprou</v>
      </c>
      <c r="S1086" s="17" t="s">
        <v>1023</v>
      </c>
      <c r="T1086" s="20"/>
      <c r="U1086" s="17"/>
    </row>
    <row r="1087" spans="1:21" x14ac:dyDescent="0.35">
      <c r="A1087" s="5">
        <v>19955526000153</v>
      </c>
      <c r="B1087" s="7"/>
      <c r="C1087" s="4"/>
      <c r="D1087" s="6" t="s">
        <v>169</v>
      </c>
      <c r="E1087" s="6" t="s">
        <v>43</v>
      </c>
      <c r="F1087" s="6" t="s">
        <v>8</v>
      </c>
      <c r="G1087" s="11" t="s">
        <v>20</v>
      </c>
      <c r="H1087" s="6" t="s">
        <v>17</v>
      </c>
      <c r="I1087" s="21" t="s">
        <v>1070</v>
      </c>
      <c r="J1087" s="18">
        <v>2893.7092830816218</v>
      </c>
      <c r="K1087" s="18">
        <f>VLOOKUP(A1087,[1]Export!$A:$C,3,0)</f>
        <v>807.34</v>
      </c>
      <c r="L1087" s="19">
        <f t="shared" si="36"/>
        <v>0.27899831013440052</v>
      </c>
      <c r="M1087" s="18">
        <f>VLOOKUP(A1087,[1]Export!$A:$G,7,0)</f>
        <v>0</v>
      </c>
      <c r="N1087" s="19">
        <f t="shared" si="37"/>
        <v>0</v>
      </c>
      <c r="O1087" s="17" t="s">
        <v>1027</v>
      </c>
      <c r="P1087" s="17" t="s">
        <v>1026</v>
      </c>
      <c r="Q1087" s="17" t="s">
        <v>1023</v>
      </c>
      <c r="R1087" s="17" t="str">
        <f>VLOOKUP(A1087,[2]Export!$A:$I,9,0)</f>
        <v>Não Comprou</v>
      </c>
      <c r="S1087" s="17" t="s">
        <v>1022</v>
      </c>
      <c r="T1087" s="20"/>
      <c r="U1087" s="17"/>
    </row>
    <row r="1088" spans="1:21" x14ac:dyDescent="0.35">
      <c r="A1088" s="4">
        <v>37563038000182</v>
      </c>
      <c r="B1088" s="7"/>
      <c r="C1088" s="4"/>
      <c r="D1088" s="1" t="s">
        <v>981</v>
      </c>
      <c r="E1088" s="1" t="s">
        <v>24</v>
      </c>
      <c r="F1088" s="1" t="s">
        <v>15</v>
      </c>
      <c r="G1088" s="10" t="s">
        <v>16</v>
      </c>
      <c r="H1088" s="1" t="s">
        <v>17</v>
      </c>
      <c r="I1088" s="21" t="s">
        <v>1071</v>
      </c>
      <c r="J1088" s="18">
        <v>1685.9241944161727</v>
      </c>
      <c r="K1088" s="18">
        <f>VLOOKUP(A1088,[1]Export!$A:$C,3,0)</f>
        <v>0</v>
      </c>
      <c r="L1088" s="19">
        <f t="shared" si="36"/>
        <v>0</v>
      </c>
      <c r="M1088" s="18">
        <f>VLOOKUP(A1088,[1]Export!$A:$G,7,0)</f>
        <v>0</v>
      </c>
      <c r="N1088" s="19">
        <f t="shared" si="37"/>
        <v>0</v>
      </c>
      <c r="O1088" s="17" t="s">
        <v>1025</v>
      </c>
      <c r="P1088" s="17" t="s">
        <v>1026</v>
      </c>
      <c r="Q1088" s="17" t="s">
        <v>1023</v>
      </c>
      <c r="R1088" s="17" t="str">
        <f>VLOOKUP(A1088,[2]Export!$A:$I,9,0)</f>
        <v>Não Comprou</v>
      </c>
      <c r="S1088" s="17" t="s">
        <v>1023</v>
      </c>
      <c r="T1088" s="20"/>
      <c r="U1088" s="17"/>
    </row>
    <row r="1089" spans="1:21" x14ac:dyDescent="0.35">
      <c r="A1089" s="5">
        <v>38872460000263</v>
      </c>
      <c r="B1089" s="7" t="s">
        <v>308</v>
      </c>
      <c r="C1089" s="4"/>
      <c r="D1089" s="6" t="s">
        <v>308</v>
      </c>
      <c r="E1089" s="6" t="s">
        <v>166</v>
      </c>
      <c r="F1089" s="6" t="s">
        <v>8</v>
      </c>
      <c r="G1089" s="11" t="s">
        <v>74</v>
      </c>
      <c r="H1089" s="6" t="s">
        <v>17</v>
      </c>
      <c r="I1089" s="21" t="s">
        <v>1070</v>
      </c>
      <c r="J1089" s="18">
        <v>2086.4905330834708</v>
      </c>
      <c r="K1089" s="18">
        <f>VLOOKUP(A1089,[1]Export!$A:$C,3,0)</f>
        <v>677.32</v>
      </c>
      <c r="L1089" s="19">
        <f t="shared" si="36"/>
        <v>0.32462165021139044</v>
      </c>
      <c r="M1089" s="18">
        <f>VLOOKUP(A1089,[1]Export!$A:$G,7,0)</f>
        <v>909.47</v>
      </c>
      <c r="N1089" s="19">
        <f t="shared" si="37"/>
        <v>0.43588503545997942</v>
      </c>
      <c r="O1089" s="17" t="s">
        <v>1029</v>
      </c>
      <c r="P1089" s="17" t="s">
        <v>1026</v>
      </c>
      <c r="Q1089" s="17" t="s">
        <v>1022</v>
      </c>
      <c r="R1089" s="17" t="str">
        <f>VLOOKUP(A1089,[2]Export!$A:$I,9,0)</f>
        <v>Comprou Marcas e SG</v>
      </c>
      <c r="S1089" s="17" t="s">
        <v>1022</v>
      </c>
      <c r="T1089" s="20"/>
      <c r="U1089" s="17"/>
    </row>
    <row r="1090" spans="1:21" x14ac:dyDescent="0.35">
      <c r="A1090" s="4">
        <v>28760598000136</v>
      </c>
      <c r="B1090" s="7"/>
      <c r="C1090" s="4"/>
      <c r="D1090" s="1" t="s">
        <v>982</v>
      </c>
      <c r="E1090" s="1" t="s">
        <v>43</v>
      </c>
      <c r="F1090" s="1" t="s">
        <v>8</v>
      </c>
      <c r="G1090" s="10" t="s">
        <v>20</v>
      </c>
      <c r="H1090" s="1" t="s">
        <v>17</v>
      </c>
      <c r="I1090" s="21" t="s">
        <v>1070</v>
      </c>
      <c r="J1090" s="18">
        <v>3511.6412410848043</v>
      </c>
      <c r="K1090" s="18">
        <f>VLOOKUP(A1090,[1]Export!$A:$C,3,0)</f>
        <v>1463.4500000000003</v>
      </c>
      <c r="L1090" s="19">
        <f t="shared" si="36"/>
        <v>0.41674245730976672</v>
      </c>
      <c r="M1090" s="18">
        <f>VLOOKUP(A1090,[1]Export!$A:$G,7,0)</f>
        <v>0</v>
      </c>
      <c r="N1090" s="19">
        <f t="shared" si="37"/>
        <v>0</v>
      </c>
      <c r="O1090" s="17" t="s">
        <v>1027</v>
      </c>
      <c r="P1090" s="17" t="s">
        <v>1026</v>
      </c>
      <c r="Q1090" s="17" t="s">
        <v>1023</v>
      </c>
      <c r="R1090" s="17" t="str">
        <f>VLOOKUP(A1090,[2]Export!$A:$I,9,0)</f>
        <v>Não Comprou</v>
      </c>
      <c r="S1090" s="17" t="s">
        <v>1023</v>
      </c>
      <c r="T1090" s="20"/>
      <c r="U1090" s="17"/>
    </row>
    <row r="1091" spans="1:21" x14ac:dyDescent="0.35">
      <c r="A1091" s="5">
        <v>32975740000130</v>
      </c>
      <c r="B1091" s="7"/>
      <c r="C1091" s="4"/>
      <c r="D1091" s="6" t="s">
        <v>983</v>
      </c>
      <c r="E1091" s="6" t="s">
        <v>152</v>
      </c>
      <c r="F1091" s="6" t="s">
        <v>8</v>
      </c>
      <c r="G1091" s="11" t="s">
        <v>20</v>
      </c>
      <c r="H1091" s="6" t="s">
        <v>17</v>
      </c>
      <c r="I1091" s="21" t="s">
        <v>1070</v>
      </c>
      <c r="J1091" s="18">
        <v>4861.6628781984464</v>
      </c>
      <c r="K1091" s="18">
        <f>VLOOKUP(A1091,[1]Export!$A:$C,3,0)</f>
        <v>1196.5500000000002</v>
      </c>
      <c r="L1091" s="19">
        <f t="shared" ref="L1091:L1098" si="38">K1091/J1091</f>
        <v>0.24611949244070119</v>
      </c>
      <c r="M1091" s="18">
        <f>VLOOKUP(A1091,[1]Export!$A:$G,7,0)</f>
        <v>0</v>
      </c>
      <c r="N1091" s="19">
        <f t="shared" ref="N1091:N1098" si="39">M1091/J1091</f>
        <v>0</v>
      </c>
      <c r="O1091" s="17" t="s">
        <v>1025</v>
      </c>
      <c r="P1091" s="17" t="s">
        <v>1026</v>
      </c>
      <c r="Q1091" s="17" t="s">
        <v>1023</v>
      </c>
      <c r="R1091" s="17" t="str">
        <f>VLOOKUP(A1091,[2]Export!$A:$I,9,0)</f>
        <v>Não Comprou</v>
      </c>
      <c r="S1091" s="17" t="s">
        <v>1022</v>
      </c>
      <c r="T1091" s="20"/>
      <c r="U1091" s="17"/>
    </row>
    <row r="1092" spans="1:21" x14ac:dyDescent="0.35">
      <c r="A1092" s="4">
        <v>13159261000109</v>
      </c>
      <c r="B1092" s="7"/>
      <c r="C1092" s="4"/>
      <c r="D1092" s="1" t="s">
        <v>179</v>
      </c>
      <c r="E1092" s="1" t="s">
        <v>984</v>
      </c>
      <c r="F1092" s="1" t="s">
        <v>15</v>
      </c>
      <c r="G1092" s="10" t="s">
        <v>36</v>
      </c>
      <c r="H1092" s="1" t="s">
        <v>17</v>
      </c>
      <c r="I1092" s="21" t="s">
        <v>1069</v>
      </c>
      <c r="J1092" s="18">
        <v>6408.2385661138205</v>
      </c>
      <c r="K1092" s="18">
        <f>VLOOKUP(A1092,[1]Export!$A:$C,3,0)</f>
        <v>1202.49</v>
      </c>
      <c r="L1092" s="19">
        <f t="shared" si="38"/>
        <v>0.18764750837440058</v>
      </c>
      <c r="M1092" s="18">
        <f>VLOOKUP(A1092,[1]Export!$A:$G,7,0)</f>
        <v>7018.4500000000016</v>
      </c>
      <c r="N1092" s="19">
        <f t="shared" si="39"/>
        <v>1.0952229583200792</v>
      </c>
      <c r="O1092" s="17" t="s">
        <v>1025</v>
      </c>
      <c r="P1092" s="17" t="s">
        <v>1026</v>
      </c>
      <c r="Q1092" s="17" t="s">
        <v>1022</v>
      </c>
      <c r="R1092" s="17" t="str">
        <f>VLOOKUP(A1092,[2]Export!$A:$I,9,0)</f>
        <v>Comprou Marcas</v>
      </c>
      <c r="S1092" s="17" t="s">
        <v>1022</v>
      </c>
      <c r="T1092" s="20"/>
      <c r="U1092" s="17"/>
    </row>
    <row r="1093" spans="1:21" x14ac:dyDescent="0.35">
      <c r="A1093" s="5">
        <v>13435712000185</v>
      </c>
      <c r="B1093" s="7"/>
      <c r="C1093" s="4"/>
      <c r="D1093" s="6" t="s">
        <v>985</v>
      </c>
      <c r="E1093" s="6" t="s">
        <v>474</v>
      </c>
      <c r="F1093" s="6" t="s">
        <v>8</v>
      </c>
      <c r="G1093" s="11" t="s">
        <v>74</v>
      </c>
      <c r="H1093" s="6" t="s">
        <v>17</v>
      </c>
      <c r="I1093" s="21" t="s">
        <v>1068</v>
      </c>
      <c r="J1093" s="18">
        <v>54670.826736833631</v>
      </c>
      <c r="K1093" s="18">
        <f>VLOOKUP(A1093,[1]Export!$A:$C,3,0)</f>
        <v>10657.169999999998</v>
      </c>
      <c r="L1093" s="19">
        <f t="shared" si="38"/>
        <v>0.19493339750100933</v>
      </c>
      <c r="M1093" s="18">
        <f>VLOOKUP(A1093,[1]Export!$A:$G,7,0)</f>
        <v>14010.620000000003</v>
      </c>
      <c r="N1093" s="19">
        <f t="shared" si="39"/>
        <v>0.25627232724030791</v>
      </c>
      <c r="O1093" s="17" t="s">
        <v>1029</v>
      </c>
      <c r="P1093" s="17" t="s">
        <v>1026</v>
      </c>
      <c r="Q1093" s="17" t="s">
        <v>1022</v>
      </c>
      <c r="R1093" s="17" t="str">
        <f>VLOOKUP(A1093,[2]Export!$A:$I,9,0)</f>
        <v>Comprou Marcas</v>
      </c>
      <c r="S1093" s="17" t="s">
        <v>1022</v>
      </c>
      <c r="T1093" s="20">
        <v>4</v>
      </c>
      <c r="U1093" s="17">
        <v>2</v>
      </c>
    </row>
    <row r="1094" spans="1:21" x14ac:dyDescent="0.35">
      <c r="A1094" s="4">
        <v>22166562000304</v>
      </c>
      <c r="B1094" s="7"/>
      <c r="C1094" s="4"/>
      <c r="D1094" s="1" t="s">
        <v>59</v>
      </c>
      <c r="E1094" s="1" t="s">
        <v>52</v>
      </c>
      <c r="F1094" s="1" t="s">
        <v>8</v>
      </c>
      <c r="G1094" s="10" t="s">
        <v>9</v>
      </c>
      <c r="H1094" s="1" t="s">
        <v>10</v>
      </c>
      <c r="I1094" s="21" t="s">
        <v>1074</v>
      </c>
      <c r="J1094" s="18">
        <v>15212.068976052678</v>
      </c>
      <c r="K1094" s="18">
        <f>VLOOKUP(A1094,[1]Export!$A:$C,3,0)</f>
        <v>5958.3400000000011</v>
      </c>
      <c r="L1094" s="19">
        <f t="shared" si="38"/>
        <v>0.39168505016508992</v>
      </c>
      <c r="M1094" s="18">
        <f>VLOOKUP(A1094,[1]Export!$A:$G,7,0)</f>
        <v>6660.1500000000024</v>
      </c>
      <c r="N1094" s="19">
        <f t="shared" si="39"/>
        <v>0.43782012890453109</v>
      </c>
      <c r="O1094" s="17"/>
      <c r="P1094" s="17"/>
      <c r="Q1094" s="17"/>
      <c r="R1094" s="17" t="str">
        <f>VLOOKUP(A1094,[2]Export!$A:$I,9,0)</f>
        <v>Comprou Marcas</v>
      </c>
      <c r="S1094" s="17"/>
      <c r="T1094" s="20"/>
      <c r="U1094" s="17"/>
    </row>
    <row r="1095" spans="1:21" x14ac:dyDescent="0.35">
      <c r="A1095" s="5">
        <v>49687096000105</v>
      </c>
      <c r="B1095" s="7"/>
      <c r="C1095" s="4"/>
      <c r="D1095" s="6" t="s">
        <v>986</v>
      </c>
      <c r="E1095" s="6" t="s">
        <v>206</v>
      </c>
      <c r="F1095" s="6" t="s">
        <v>48</v>
      </c>
      <c r="G1095" s="11" t="s">
        <v>20</v>
      </c>
      <c r="H1095" s="6" t="s">
        <v>17</v>
      </c>
      <c r="I1095" s="21" t="s">
        <v>1075</v>
      </c>
      <c r="J1095" s="18">
        <v>1993.0371006902137</v>
      </c>
      <c r="K1095" s="18">
        <f>VLOOKUP(A1095,[1]Export!$A:$C,3,0)</f>
        <v>1105.3800000000001</v>
      </c>
      <c r="L1095" s="19">
        <f t="shared" si="38"/>
        <v>0.55462088468759219</v>
      </c>
      <c r="M1095" s="18">
        <f>VLOOKUP(A1095,[1]Export!$A:$G,7,0)</f>
        <v>0</v>
      </c>
      <c r="N1095" s="19">
        <f t="shared" si="39"/>
        <v>0</v>
      </c>
      <c r="O1095" s="17" t="s">
        <v>1025</v>
      </c>
      <c r="P1095" s="17" t="s">
        <v>1026</v>
      </c>
      <c r="Q1095" s="17" t="s">
        <v>1023</v>
      </c>
      <c r="R1095" s="17" t="str">
        <f>VLOOKUP(A1095,[2]Export!$A:$I,9,0)</f>
        <v>Não Comprou</v>
      </c>
      <c r="S1095" s="17" t="s">
        <v>1023</v>
      </c>
      <c r="T1095" s="20"/>
      <c r="U1095" s="17"/>
    </row>
    <row r="1096" spans="1:21" x14ac:dyDescent="0.35">
      <c r="A1096" s="4">
        <v>62623466000109</v>
      </c>
      <c r="B1096" s="7"/>
      <c r="C1096" s="4"/>
      <c r="D1096" s="1" t="s">
        <v>987</v>
      </c>
      <c r="E1096" s="1" t="s">
        <v>443</v>
      </c>
      <c r="F1096" s="1" t="s">
        <v>15</v>
      </c>
      <c r="G1096" s="10" t="s">
        <v>20</v>
      </c>
      <c r="H1096" s="1" t="s">
        <v>17</v>
      </c>
      <c r="I1096" s="21" t="s">
        <v>1071</v>
      </c>
      <c r="J1096" s="18">
        <v>454.70671250160689</v>
      </c>
      <c r="K1096" s="18">
        <f>VLOOKUP(A1096,[1]Export!$A:$C,3,0)</f>
        <v>110.21000000000001</v>
      </c>
      <c r="L1096" s="19">
        <f t="shared" si="38"/>
        <v>0.24237601286699839</v>
      </c>
      <c r="M1096" s="18">
        <f>VLOOKUP(A1096,[1]Export!$A:$G,7,0)</f>
        <v>57.93</v>
      </c>
      <c r="N1096" s="19">
        <f t="shared" si="39"/>
        <v>0.1274008023354071</v>
      </c>
      <c r="O1096" s="17" t="s">
        <v>1027</v>
      </c>
      <c r="P1096" s="17" t="s">
        <v>1028</v>
      </c>
      <c r="Q1096" s="17" t="s">
        <v>1023</v>
      </c>
      <c r="R1096" s="17" t="str">
        <f>VLOOKUP(A1096,[2]Export!$A:$I,9,0)</f>
        <v>Comprou Marcas</v>
      </c>
      <c r="S1096" s="17" t="s">
        <v>1023</v>
      </c>
      <c r="T1096" s="20"/>
      <c r="U1096" s="17"/>
    </row>
    <row r="1097" spans="1:21" x14ac:dyDescent="0.35">
      <c r="A1097" s="5">
        <v>62811078000143</v>
      </c>
      <c r="B1097" s="7"/>
      <c r="C1097" s="4"/>
      <c r="D1097" s="6" t="s">
        <v>988</v>
      </c>
      <c r="E1097" s="6" t="s">
        <v>129</v>
      </c>
      <c r="F1097" s="6" t="s">
        <v>15</v>
      </c>
      <c r="G1097" s="11" t="s">
        <v>16</v>
      </c>
      <c r="H1097" s="6" t="s">
        <v>17</v>
      </c>
      <c r="I1097" s="21" t="s">
        <v>1071</v>
      </c>
      <c r="J1097" s="18">
        <v>2213.8146998172892</v>
      </c>
      <c r="K1097" s="18">
        <f>VLOOKUP(A1097,[1]Export!$A:$C,3,0)</f>
        <v>933.43999999999994</v>
      </c>
      <c r="L1097" s="19">
        <f t="shared" si="38"/>
        <v>0.42164323873946574</v>
      </c>
      <c r="M1097" s="18">
        <f>VLOOKUP(A1097,[1]Export!$A:$G,7,0)</f>
        <v>0</v>
      </c>
      <c r="N1097" s="19">
        <f t="shared" si="39"/>
        <v>0</v>
      </c>
      <c r="O1097" s="17"/>
      <c r="P1097" s="17"/>
      <c r="Q1097" s="17"/>
      <c r="R1097" s="17" t="str">
        <f>VLOOKUP(A1097,[2]Export!$A:$I,9,0)</f>
        <v>Não Comprou</v>
      </c>
      <c r="S1097" s="17"/>
      <c r="T1097" s="20"/>
      <c r="U1097" s="17"/>
    </row>
    <row r="1098" spans="1:21" x14ac:dyDescent="0.35">
      <c r="A1098" s="4">
        <v>63261786000110</v>
      </c>
      <c r="B1098" s="7"/>
      <c r="C1098" s="4"/>
      <c r="D1098" s="1" t="s">
        <v>59</v>
      </c>
      <c r="E1098" s="1" t="s">
        <v>436</v>
      </c>
      <c r="F1098" s="1" t="s">
        <v>8</v>
      </c>
      <c r="G1098" s="10" t="s">
        <v>9</v>
      </c>
      <c r="H1098" s="1" t="s">
        <v>10</v>
      </c>
      <c r="I1098" s="21" t="s">
        <v>1072</v>
      </c>
      <c r="J1098" s="18">
        <v>2667.091627665684</v>
      </c>
      <c r="K1098" s="18">
        <f>VLOOKUP(A1098,[1]Export!$A:$C,3,0)</f>
        <v>3073.12</v>
      </c>
      <c r="L1098" s="19">
        <f t="shared" si="38"/>
        <v>1.1522363791789501</v>
      </c>
      <c r="M1098" s="18">
        <f>VLOOKUP(A1098,[1]Export!$A:$G,7,0)</f>
        <v>3688.4300000000003</v>
      </c>
      <c r="N1098" s="19">
        <f t="shared" si="39"/>
        <v>1.3829408640258158</v>
      </c>
      <c r="O1098" s="17" t="s">
        <v>1027</v>
      </c>
      <c r="P1098" s="17" t="s">
        <v>1028</v>
      </c>
      <c r="Q1098" s="17" t="s">
        <v>1023</v>
      </c>
      <c r="R1098" s="17" t="str">
        <f>VLOOKUP(A1098,[2]Export!$A:$I,9,0)</f>
        <v>Comprou Marcas</v>
      </c>
      <c r="S1098" s="17" t="s">
        <v>1022</v>
      </c>
      <c r="T1098" s="20"/>
      <c r="U1098" s="17"/>
    </row>
  </sheetData>
  <autoFilter ref="A1:U1098" xr:uid="{D43A9C5C-ED47-4C76-AED3-72E15EBC0E52}">
    <sortState xmlns:xlrd2="http://schemas.microsoft.com/office/spreadsheetml/2017/richdata2" ref="A13:U1059">
      <sortCondition ref="I1:I1098"/>
    </sortState>
  </autoFilter>
  <conditionalFormatting sqref="O1:Q1">
    <cfRule type="iconSet" priority="2">
      <iconSet>
        <cfvo type="percent" val="0"/>
        <cfvo type="percent" val="33"/>
        <cfvo type="percent" val="67"/>
      </iconSet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B7744-6877-4684-929B-1DD937ED63B3}">
  <sheetPr codeName="Planilha3"/>
  <dimension ref="A1:M47"/>
  <sheetViews>
    <sheetView zoomScale="80" zoomScaleNormal="80" workbookViewId="0">
      <selection activeCell="D49" sqref="D49"/>
    </sheetView>
  </sheetViews>
  <sheetFormatPr defaultRowHeight="14.5" x14ac:dyDescent="0.35"/>
  <cols>
    <col min="1" max="1" width="46.1796875" bestFit="1" customWidth="1"/>
    <col min="2" max="3" width="15.90625" bestFit="1" customWidth="1"/>
    <col min="4" max="4" width="16.08984375" bestFit="1" customWidth="1"/>
    <col min="5" max="5" width="15.54296875" bestFit="1" customWidth="1"/>
    <col min="6" max="6" width="8.90625" bestFit="1" customWidth="1"/>
    <col min="7" max="7" width="16.453125" bestFit="1" customWidth="1"/>
    <col min="8" max="8" width="10.7265625" bestFit="1" customWidth="1"/>
    <col min="9" max="10" width="15.90625" bestFit="1" customWidth="1"/>
  </cols>
  <sheetData>
    <row r="1" spans="1:10" x14ac:dyDescent="0.35">
      <c r="C1" s="22" t="s">
        <v>1079</v>
      </c>
      <c r="E1" s="22" t="s">
        <v>1080</v>
      </c>
      <c r="F1" s="23"/>
    </row>
    <row r="2" spans="1:10" x14ac:dyDescent="0.35">
      <c r="A2" s="24" t="s">
        <v>1034</v>
      </c>
      <c r="B2" s="24" t="s">
        <v>1035</v>
      </c>
      <c r="C2" s="24" t="s">
        <v>1036</v>
      </c>
      <c r="D2" s="24" t="s">
        <v>1037</v>
      </c>
      <c r="E2" s="24" t="s">
        <v>1038</v>
      </c>
      <c r="F2" s="24" t="s">
        <v>1039</v>
      </c>
      <c r="G2" s="25" t="s">
        <v>1040</v>
      </c>
      <c r="H2" s="26" t="s">
        <v>1041</v>
      </c>
      <c r="I2" s="26" t="s">
        <v>1042</v>
      </c>
      <c r="J2" s="25" t="s">
        <v>1043</v>
      </c>
    </row>
    <row r="3" spans="1:10" x14ac:dyDescent="0.35">
      <c r="A3" s="27" t="s">
        <v>1044</v>
      </c>
      <c r="B3" s="28">
        <v>942882.94171524979</v>
      </c>
      <c r="C3" s="28">
        <v>327944.20000000088</v>
      </c>
      <c r="D3" s="35">
        <v>0.34781008913303668</v>
      </c>
      <c r="E3" s="28">
        <v>280283.56999999995</v>
      </c>
      <c r="F3" s="30">
        <v>0.29726231921230944</v>
      </c>
      <c r="G3" s="31">
        <f t="shared" ref="G3:G10" si="0">C3-B3</f>
        <v>-614938.74171524891</v>
      </c>
      <c r="H3" s="29">
        <v>0.55000000000000004</v>
      </c>
      <c r="I3" s="66">
        <f>B3*H3</f>
        <v>518585.61794338742</v>
      </c>
      <c r="J3" s="67">
        <f t="shared" ref="J3:J11" si="1">E3-I3</f>
        <v>-238302.04794338747</v>
      </c>
    </row>
    <row r="4" spans="1:10" x14ac:dyDescent="0.35">
      <c r="A4" s="27" t="s">
        <v>1045</v>
      </c>
      <c r="B4" s="28">
        <v>848780.31891508936</v>
      </c>
      <c r="C4" s="28">
        <v>296156.53000000096</v>
      </c>
      <c r="D4" s="35">
        <v>0.34892011914054288</v>
      </c>
      <c r="E4" s="28">
        <v>302765.19000000064</v>
      </c>
      <c r="F4" s="30">
        <v>0.35670618563233769</v>
      </c>
      <c r="G4" s="31">
        <f t="shared" si="0"/>
        <v>-552623.7889150884</v>
      </c>
      <c r="H4" s="29">
        <v>0.55000000000000004</v>
      </c>
      <c r="I4" s="66">
        <f t="shared" ref="I4:I10" si="2">B4*H4</f>
        <v>466829.17540329916</v>
      </c>
      <c r="J4" s="67">
        <f t="shared" si="1"/>
        <v>-164063.98540329852</v>
      </c>
    </row>
    <row r="5" spans="1:10" x14ac:dyDescent="0.35">
      <c r="A5" s="32" t="s">
        <v>1046</v>
      </c>
      <c r="B5" s="33">
        <v>1122794.3616697115</v>
      </c>
      <c r="C5" s="33">
        <v>408983.57000000105</v>
      </c>
      <c r="D5" s="44">
        <v>0.36425509778282117</v>
      </c>
      <c r="E5" s="33">
        <v>308612.10999999929</v>
      </c>
      <c r="F5" s="34">
        <v>0.27486075859969683</v>
      </c>
      <c r="G5" s="31">
        <f t="shared" si="0"/>
        <v>-713810.79166971054</v>
      </c>
      <c r="H5" s="29">
        <v>0.69</v>
      </c>
      <c r="I5" s="66">
        <f t="shared" si="2"/>
        <v>774728.10955210088</v>
      </c>
      <c r="J5" s="67">
        <f t="shared" si="1"/>
        <v>-466115.9995521016</v>
      </c>
    </row>
    <row r="6" spans="1:10" x14ac:dyDescent="0.35">
      <c r="A6" s="32" t="s">
        <v>1047</v>
      </c>
      <c r="B6" s="33">
        <v>1060357.1144239279</v>
      </c>
      <c r="C6" s="33">
        <v>412209.76000000013</v>
      </c>
      <c r="D6" s="44">
        <v>0.38874616333757139</v>
      </c>
      <c r="E6" s="33">
        <v>359366.33000000077</v>
      </c>
      <c r="F6" s="34">
        <v>0.33891066048558344</v>
      </c>
      <c r="G6" s="31">
        <f t="shared" si="0"/>
        <v>-648147.35442392773</v>
      </c>
      <c r="H6" s="29">
        <v>0.69</v>
      </c>
      <c r="I6" s="66">
        <f t="shared" si="2"/>
        <v>731646.40895251022</v>
      </c>
      <c r="J6" s="67">
        <f t="shared" si="1"/>
        <v>-372280.07895250944</v>
      </c>
    </row>
    <row r="7" spans="1:10" x14ac:dyDescent="0.35">
      <c r="A7" s="27" t="s">
        <v>1048</v>
      </c>
      <c r="B7" s="28">
        <v>1363710.7275587814</v>
      </c>
      <c r="C7" s="28">
        <v>544159.63999999932</v>
      </c>
      <c r="D7" s="35">
        <v>0.39902864222100493</v>
      </c>
      <c r="E7" s="28">
        <v>522638.38000000332</v>
      </c>
      <c r="F7" s="30">
        <v>0.38324724550315276</v>
      </c>
      <c r="G7" s="31">
        <f t="shared" si="0"/>
        <v>-819551.08755878208</v>
      </c>
      <c r="H7" s="29">
        <v>0.69</v>
      </c>
      <c r="I7" s="66">
        <f t="shared" si="2"/>
        <v>940960.40201555914</v>
      </c>
      <c r="J7" s="67">
        <f t="shared" si="1"/>
        <v>-418322.02201555582</v>
      </c>
    </row>
    <row r="8" spans="1:10" x14ac:dyDescent="0.35">
      <c r="A8" s="27" t="s">
        <v>1052</v>
      </c>
      <c r="B8" s="28">
        <v>556481.27167090611</v>
      </c>
      <c r="C8" s="28">
        <v>218220.96000000133</v>
      </c>
      <c r="D8" s="35">
        <v>0.39214430225974184</v>
      </c>
      <c r="E8" s="28">
        <v>125418.64000000013</v>
      </c>
      <c r="F8" s="30">
        <v>0.22537800710420072</v>
      </c>
      <c r="G8" s="31">
        <f t="shared" si="0"/>
        <v>-338260.31167090475</v>
      </c>
      <c r="H8" s="29">
        <v>0.34</v>
      </c>
      <c r="I8" s="66">
        <f t="shared" si="2"/>
        <v>189203.63236810808</v>
      </c>
      <c r="J8" s="67">
        <f t="shared" si="1"/>
        <v>-63784.992368107953</v>
      </c>
    </row>
    <row r="9" spans="1:10" x14ac:dyDescent="0.35">
      <c r="A9" s="32" t="s">
        <v>1049</v>
      </c>
      <c r="B9" s="33">
        <v>1090998.1281434761</v>
      </c>
      <c r="C9" s="33">
        <v>431127.9300000018</v>
      </c>
      <c r="D9" s="44">
        <v>0.39516834986109584</v>
      </c>
      <c r="E9" s="33">
        <v>299562.00000000064</v>
      </c>
      <c r="F9" s="34">
        <v>0.27457608979564219</v>
      </c>
      <c r="G9" s="31">
        <f t="shared" si="0"/>
        <v>-659870.19814347429</v>
      </c>
      <c r="H9" s="29">
        <v>0.69</v>
      </c>
      <c r="I9" s="66">
        <f t="shared" si="2"/>
        <v>752788.7084189984</v>
      </c>
      <c r="J9" s="67">
        <f t="shared" si="1"/>
        <v>-453226.70841899776</v>
      </c>
    </row>
    <row r="10" spans="1:10" x14ac:dyDescent="0.35">
      <c r="A10" s="27" t="s">
        <v>1050</v>
      </c>
      <c r="B10" s="28">
        <v>1085968.4474262306</v>
      </c>
      <c r="C10" s="28">
        <v>409946.78000000084</v>
      </c>
      <c r="D10" s="35">
        <v>0.3774941905278959</v>
      </c>
      <c r="E10" s="28">
        <v>195882.21</v>
      </c>
      <c r="F10" s="30">
        <v>0.18037559973703213</v>
      </c>
      <c r="G10" s="31">
        <f t="shared" si="0"/>
        <v>-676021.6674262298</v>
      </c>
      <c r="H10" s="29">
        <v>0.65</v>
      </c>
      <c r="I10" s="66">
        <f t="shared" si="2"/>
        <v>705879.49082704994</v>
      </c>
      <c r="J10" s="67">
        <f t="shared" si="1"/>
        <v>-509997.28082704998</v>
      </c>
    </row>
    <row r="11" spans="1:10" x14ac:dyDescent="0.35">
      <c r="A11" s="24" t="s">
        <v>1051</v>
      </c>
      <c r="B11" s="36">
        <f>SUM(B3:B10)</f>
        <v>8071973.3115233732</v>
      </c>
      <c r="C11" s="36">
        <f>SUM(C3:C10)</f>
        <v>3048749.3700000062</v>
      </c>
      <c r="D11" s="37">
        <f>C11/B11</f>
        <v>0.3776956702331607</v>
      </c>
      <c r="E11" s="36">
        <f>SUM(E3:E10)</f>
        <v>2394528.4300000048</v>
      </c>
      <c r="F11" s="38">
        <f>E11/B11</f>
        <v>0.29664721841704161</v>
      </c>
      <c r="G11" s="39">
        <f>SUM(G3:G10)</f>
        <v>-5023223.9415233666</v>
      </c>
      <c r="H11" s="40">
        <f>AVERAGE(H3:H10)</f>
        <v>0.60624999999999996</v>
      </c>
      <c r="I11" s="36">
        <f>B11*H11</f>
        <v>4893633.8201110447</v>
      </c>
      <c r="J11" s="36">
        <f t="shared" si="1"/>
        <v>-2499105.3901110399</v>
      </c>
    </row>
    <row r="12" spans="1:10" ht="15" thickBot="1" x14ac:dyDescent="0.4"/>
    <row r="13" spans="1:10" ht="16.5" thickBot="1" x14ac:dyDescent="0.45">
      <c r="A13" s="57" t="s">
        <v>1076</v>
      </c>
    </row>
    <row r="14" spans="1:10" x14ac:dyDescent="0.35">
      <c r="A14" s="24" t="s">
        <v>1034</v>
      </c>
      <c r="B14" s="24" t="s">
        <v>1035</v>
      </c>
      <c r="C14" s="24" t="s">
        <v>1036</v>
      </c>
      <c r="D14" s="24" t="s">
        <v>1037</v>
      </c>
      <c r="E14" s="24" t="s">
        <v>1038</v>
      </c>
      <c r="F14" s="24" t="s">
        <v>1039</v>
      </c>
      <c r="G14" s="24" t="s">
        <v>1053</v>
      </c>
    </row>
    <row r="15" spans="1:10" x14ac:dyDescent="0.35">
      <c r="A15" s="32" t="s">
        <v>1044</v>
      </c>
      <c r="B15" s="41">
        <v>16544.962853860012</v>
      </c>
      <c r="C15" s="41">
        <v>4542.1200000000008</v>
      </c>
      <c r="D15" s="42">
        <v>0.27453189469931655</v>
      </c>
      <c r="E15" s="41">
        <v>4766.8600000000006</v>
      </c>
      <c r="F15" s="42">
        <v>0.28811548518453589</v>
      </c>
      <c r="G15" s="31">
        <f t="shared" ref="G15:G23" si="3">C15-B15</f>
        <v>-12002.842853860011</v>
      </c>
    </row>
    <row r="16" spans="1:10" x14ac:dyDescent="0.35">
      <c r="A16" s="32" t="s">
        <v>1045</v>
      </c>
      <c r="B16" s="41">
        <v>16950.730145210033</v>
      </c>
      <c r="C16" s="41">
        <v>5605.4099999999989</v>
      </c>
      <c r="D16" s="42">
        <v>0.33068840999654436</v>
      </c>
      <c r="E16" s="41">
        <v>8375.7599999999984</v>
      </c>
      <c r="F16" s="42">
        <v>0.4941238476601455</v>
      </c>
      <c r="G16" s="31">
        <f t="shared" si="3"/>
        <v>-11345.320145210033</v>
      </c>
    </row>
    <row r="17" spans="1:9" x14ac:dyDescent="0.35">
      <c r="A17" s="32" t="s">
        <v>1046</v>
      </c>
      <c r="B17" s="41">
        <v>22637.825220460003</v>
      </c>
      <c r="C17" s="41">
        <v>4065.0599999999977</v>
      </c>
      <c r="D17" s="42">
        <v>0.17956936942538138</v>
      </c>
      <c r="E17" s="41">
        <v>4663.280000000007</v>
      </c>
      <c r="F17" s="42">
        <v>0.20599505273083157</v>
      </c>
      <c r="G17" s="31">
        <f t="shared" si="3"/>
        <v>-18572.765220460005</v>
      </c>
    </row>
    <row r="18" spans="1:9" x14ac:dyDescent="0.35">
      <c r="A18" s="32" t="s">
        <v>1047</v>
      </c>
      <c r="B18" s="41">
        <v>17357.259244520013</v>
      </c>
      <c r="C18" s="41">
        <v>7405.6799999999994</v>
      </c>
      <c r="D18" s="42">
        <v>0.4266618304003324</v>
      </c>
      <c r="E18" s="41">
        <v>10792.239999999998</v>
      </c>
      <c r="F18" s="42">
        <v>0.62177097478147625</v>
      </c>
      <c r="G18" s="31">
        <f t="shared" si="3"/>
        <v>-9951.5792445200132</v>
      </c>
    </row>
    <row r="19" spans="1:9" x14ac:dyDescent="0.35">
      <c r="A19" s="32" t="s">
        <v>1048</v>
      </c>
      <c r="B19" s="41">
        <v>21783.333637210006</v>
      </c>
      <c r="C19" s="41">
        <v>13988.910000000003</v>
      </c>
      <c r="D19" s="42">
        <v>0.64218407673398215</v>
      </c>
      <c r="E19" s="41">
        <v>17449.140000000029</v>
      </c>
      <c r="F19" s="42">
        <v>0.80103166441860096</v>
      </c>
      <c r="G19" s="31">
        <f t="shared" si="3"/>
        <v>-7794.4236372100022</v>
      </c>
    </row>
    <row r="20" spans="1:9" x14ac:dyDescent="0.35">
      <c r="A20" s="32" t="s">
        <v>1054</v>
      </c>
      <c r="B20" s="41">
        <v>7180.4227216399986</v>
      </c>
      <c r="C20" s="41">
        <v>1081.5599999999997</v>
      </c>
      <c r="D20" s="42">
        <v>0.15062622939182235</v>
      </c>
      <c r="E20" s="41">
        <v>517.96</v>
      </c>
      <c r="F20" s="42">
        <v>7.2135028824834801E-2</v>
      </c>
      <c r="G20" s="31">
        <f t="shared" si="3"/>
        <v>-6098.8627216399991</v>
      </c>
    </row>
    <row r="21" spans="1:9" x14ac:dyDescent="0.35">
      <c r="A21" s="32" t="s">
        <v>1049</v>
      </c>
      <c r="B21" s="41">
        <v>16635.414790140047</v>
      </c>
      <c r="C21" s="41">
        <v>2540.6699999999996</v>
      </c>
      <c r="D21" s="42">
        <v>0.15272657953235266</v>
      </c>
      <c r="E21" s="41">
        <v>2067.0100000000002</v>
      </c>
      <c r="F21" s="42">
        <v>0.12425358947016667</v>
      </c>
      <c r="G21" s="31">
        <f t="shared" si="3"/>
        <v>-14094.744790140046</v>
      </c>
    </row>
    <row r="22" spans="1:9" x14ac:dyDescent="0.35">
      <c r="A22" s="32" t="s">
        <v>1050</v>
      </c>
      <c r="B22" s="41">
        <v>16789.363340320007</v>
      </c>
      <c r="C22" s="41">
        <v>3565.7299999999982</v>
      </c>
      <c r="D22" s="42">
        <v>0.2123802986285265</v>
      </c>
      <c r="E22" s="41">
        <v>4370.8599999999997</v>
      </c>
      <c r="F22" s="42">
        <v>0.26033506520782046</v>
      </c>
      <c r="G22" s="31">
        <f t="shared" si="3"/>
        <v>-13223.63334032001</v>
      </c>
    </row>
    <row r="23" spans="1:9" x14ac:dyDescent="0.35">
      <c r="A23" s="24" t="s">
        <v>1051</v>
      </c>
      <c r="B23" s="43">
        <f>SUM(B15:B22)</f>
        <v>135879.3119533601</v>
      </c>
      <c r="C23" s="43">
        <f>SUM(C15:C22)</f>
        <v>42795.139999999992</v>
      </c>
      <c r="D23" s="37">
        <f>C23/B23</f>
        <v>0.31494963718015595</v>
      </c>
      <c r="E23" s="43">
        <f>SUM(E15:E22)</f>
        <v>53003.11000000003</v>
      </c>
      <c r="F23" s="37">
        <f>E23/B23</f>
        <v>0.39007490719553456</v>
      </c>
      <c r="G23" s="45">
        <f t="shared" si="3"/>
        <v>-93084.171953360114</v>
      </c>
    </row>
    <row r="24" spans="1:9" ht="15" thickBot="1" x14ac:dyDescent="0.4"/>
    <row r="25" spans="1:9" ht="16.5" thickBot="1" x14ac:dyDescent="0.45">
      <c r="A25" s="48" t="s">
        <v>1065</v>
      </c>
    </row>
    <row r="26" spans="1:9" x14ac:dyDescent="0.35">
      <c r="A26" s="24" t="s">
        <v>1034</v>
      </c>
      <c r="B26" s="24" t="s">
        <v>1035</v>
      </c>
      <c r="C26" s="24" t="s">
        <v>1036</v>
      </c>
      <c r="D26" s="24" t="s">
        <v>1037</v>
      </c>
      <c r="E26" s="24" t="s">
        <v>1038</v>
      </c>
      <c r="F26" s="24" t="s">
        <v>1039</v>
      </c>
      <c r="G26" s="49" t="s">
        <v>1053</v>
      </c>
      <c r="H26" s="52" t="s">
        <v>1066</v>
      </c>
      <c r="I26" s="52" t="s">
        <v>1067</v>
      </c>
    </row>
    <row r="27" spans="1:9" x14ac:dyDescent="0.35">
      <c r="A27" s="32" t="s">
        <v>1044</v>
      </c>
      <c r="B27" s="41">
        <v>42061.438376239996</v>
      </c>
      <c r="C27" s="41">
        <v>3772.8899999999994</v>
      </c>
      <c r="D27" s="42">
        <v>8.969950019900555E-2</v>
      </c>
      <c r="E27" s="41">
        <v>2417.8200000000002</v>
      </c>
      <c r="F27" s="42">
        <v>5.7483055581042559E-2</v>
      </c>
      <c r="G27" s="50">
        <f t="shared" ref="G27:G35" si="4">C27-B27</f>
        <v>-38288.548376239996</v>
      </c>
      <c r="H27" s="53">
        <v>87.763481491680608</v>
      </c>
      <c r="I27" s="54">
        <v>9</v>
      </c>
    </row>
    <row r="28" spans="1:9" x14ac:dyDescent="0.35">
      <c r="A28" s="32" t="s">
        <v>1045</v>
      </c>
      <c r="B28" s="41">
        <v>32590.320166779999</v>
      </c>
      <c r="C28" s="41">
        <v>917.73</v>
      </c>
      <c r="D28" s="42">
        <v>2.815958834720076E-2</v>
      </c>
      <c r="E28" s="41">
        <v>2014.84</v>
      </c>
      <c r="F28" s="42">
        <v>6.1823264996757193E-2</v>
      </c>
      <c r="G28" s="50">
        <f t="shared" si="4"/>
        <v>-31672.590166779999</v>
      </c>
      <c r="H28" s="53">
        <v>68.001477628518217</v>
      </c>
      <c r="I28" s="54">
        <v>3</v>
      </c>
    </row>
    <row r="29" spans="1:9" x14ac:dyDescent="0.35">
      <c r="A29" s="32" t="s">
        <v>1046</v>
      </c>
      <c r="B29" s="41">
        <v>29384.650264920023</v>
      </c>
      <c r="C29" s="41">
        <v>8463.510000000002</v>
      </c>
      <c r="D29" s="42">
        <v>0.28802486753105611</v>
      </c>
      <c r="E29" s="41">
        <v>7253.4599999999991</v>
      </c>
      <c r="F29" s="42">
        <v>0.24684520437050508</v>
      </c>
      <c r="G29" s="50">
        <f t="shared" si="4"/>
        <v>-20921.140264920021</v>
      </c>
      <c r="H29" s="53">
        <v>61.312672823902425</v>
      </c>
      <c r="I29" s="54">
        <v>21</v>
      </c>
    </row>
    <row r="30" spans="1:9" x14ac:dyDescent="0.35">
      <c r="A30" s="32" t="s">
        <v>1047</v>
      </c>
      <c r="B30" s="41">
        <v>36986.122949359997</v>
      </c>
      <c r="C30" s="41">
        <v>23860.979999999996</v>
      </c>
      <c r="D30" s="42">
        <v>0.64513331209841995</v>
      </c>
      <c r="E30" s="41">
        <v>22163.280000000002</v>
      </c>
      <c r="F30" s="42">
        <v>0.599232312895978</v>
      </c>
      <c r="G30" s="50">
        <f t="shared" si="4"/>
        <v>-13125.142949360001</v>
      </c>
      <c r="H30" s="53">
        <v>77.173559493576533</v>
      </c>
      <c r="I30" s="54">
        <v>56</v>
      </c>
    </row>
    <row r="31" spans="1:9" x14ac:dyDescent="0.35">
      <c r="A31" s="32" t="s">
        <v>1048</v>
      </c>
      <c r="B31" s="41">
        <v>29457.596012979997</v>
      </c>
      <c r="C31" s="41">
        <v>18252.63</v>
      </c>
      <c r="D31" s="42">
        <v>0.61962388213747266</v>
      </c>
      <c r="E31" s="41">
        <v>4029.6800000000003</v>
      </c>
      <c r="F31" s="42">
        <v>0.13679595572647507</v>
      </c>
      <c r="G31" s="50">
        <f t="shared" si="4"/>
        <v>-11204.966012979996</v>
      </c>
      <c r="H31" s="53">
        <v>61.464878099244885</v>
      </c>
      <c r="I31" s="54">
        <v>37</v>
      </c>
    </row>
    <row r="32" spans="1:9" x14ac:dyDescent="0.35">
      <c r="A32" s="32" t="s">
        <v>1054</v>
      </c>
      <c r="B32" s="41">
        <v>16368.105831450001</v>
      </c>
      <c r="C32" s="41">
        <v>6118.2</v>
      </c>
      <c r="D32" s="42">
        <v>0.37378790576026028</v>
      </c>
      <c r="E32" s="41">
        <v>7555.67</v>
      </c>
      <c r="F32" s="42">
        <v>0.46160930762571117</v>
      </c>
      <c r="G32" s="50">
        <f t="shared" si="4"/>
        <v>-10249.90583145</v>
      </c>
      <c r="H32" s="53">
        <v>34.152944089601519</v>
      </c>
      <c r="I32" s="54">
        <v>14</v>
      </c>
    </row>
    <row r="33" spans="1:13" x14ac:dyDescent="0.35">
      <c r="A33" s="32" t="s">
        <v>1049</v>
      </c>
      <c r="B33" s="41">
        <v>33634.56155138</v>
      </c>
      <c r="C33" s="41">
        <v>12746.249999999998</v>
      </c>
      <c r="D33" s="42">
        <v>0.37896287069266194</v>
      </c>
      <c r="E33" s="41">
        <v>3365.01</v>
      </c>
      <c r="F33" s="42">
        <v>0.10004619786286277</v>
      </c>
      <c r="G33" s="50">
        <f t="shared" si="4"/>
        <v>-20888.31155138</v>
      </c>
      <c r="H33" s="53">
        <v>70.180344138275956</v>
      </c>
      <c r="I33" s="54">
        <v>27</v>
      </c>
      <c r="M33" s="55"/>
    </row>
    <row r="34" spans="1:13" x14ac:dyDescent="0.35">
      <c r="A34" s="32" t="s">
        <v>1050</v>
      </c>
      <c r="B34" s="41">
        <v>59061.083522080058</v>
      </c>
      <c r="C34" s="41">
        <v>19782.18</v>
      </c>
      <c r="D34" s="42">
        <v>0.33494441382207979</v>
      </c>
      <c r="E34" s="41">
        <v>2345.31</v>
      </c>
      <c r="F34" s="42">
        <v>3.9709904731483683E-2</v>
      </c>
      <c r="G34" s="50">
        <f t="shared" si="4"/>
        <v>-39278.903522080058</v>
      </c>
      <c r="H34" s="53">
        <v>123.23416674917446</v>
      </c>
      <c r="I34" s="54">
        <v>42</v>
      </c>
      <c r="M34" s="55"/>
    </row>
    <row r="35" spans="1:13" x14ac:dyDescent="0.35">
      <c r="A35" s="24" t="s">
        <v>1051</v>
      </c>
      <c r="B35" s="43">
        <f>SUM(B27:B34)</f>
        <v>279543.87867519009</v>
      </c>
      <c r="C35" s="43">
        <f>SUM(C27:C34)</f>
        <v>93914.37</v>
      </c>
      <c r="D35" s="37">
        <f>C35/B35</f>
        <v>0.33595573777210752</v>
      </c>
      <c r="E35" s="43">
        <f>SUM(E27:E34)</f>
        <v>51145.07</v>
      </c>
      <c r="F35" s="37">
        <f>E35/B35</f>
        <v>0.1829590053711278</v>
      </c>
      <c r="G35" s="51">
        <f t="shared" si="4"/>
        <v>-185629.5086751901</v>
      </c>
      <c r="H35" s="56">
        <f>SUM(H27:H34)</f>
        <v>583.28352451397461</v>
      </c>
      <c r="I35" s="52">
        <f>SUM(I27:I34)</f>
        <v>209</v>
      </c>
    </row>
    <row r="36" spans="1:13" ht="15" thickBot="1" x14ac:dyDescent="0.4"/>
    <row r="37" spans="1:13" ht="16.5" thickBot="1" x14ac:dyDescent="0.45">
      <c r="A37" s="58" t="s">
        <v>1077</v>
      </c>
    </row>
    <row r="38" spans="1:13" x14ac:dyDescent="0.35">
      <c r="A38" s="24" t="s">
        <v>1034</v>
      </c>
      <c r="B38" s="24" t="s">
        <v>1035</v>
      </c>
      <c r="C38" s="24" t="s">
        <v>1036</v>
      </c>
      <c r="D38" s="24" t="s">
        <v>1037</v>
      </c>
      <c r="E38" s="24" t="s">
        <v>1038</v>
      </c>
      <c r="F38" s="49" t="s">
        <v>1039</v>
      </c>
      <c r="G38" s="61" t="s">
        <v>1053</v>
      </c>
    </row>
    <row r="39" spans="1:13" x14ac:dyDescent="0.35">
      <c r="A39" s="32" t="s">
        <v>1044</v>
      </c>
      <c r="B39" s="41">
        <v>171023.80229135</v>
      </c>
      <c r="C39" s="41">
        <v>59845.470000000016</v>
      </c>
      <c r="D39" s="42">
        <v>0.34992480109902729</v>
      </c>
      <c r="E39" s="41">
        <v>65685.540000000008</v>
      </c>
      <c r="F39" s="59">
        <v>0.38407250406057797</v>
      </c>
      <c r="G39" s="62">
        <f t="shared" ref="G39:G47" si="5">C39-B39</f>
        <v>-111178.33229134999</v>
      </c>
    </row>
    <row r="40" spans="1:13" x14ac:dyDescent="0.35">
      <c r="A40" s="32" t="s">
        <v>1045</v>
      </c>
      <c r="B40" s="41">
        <v>153051.77591002994</v>
      </c>
      <c r="C40" s="41">
        <v>55145.069999999971</v>
      </c>
      <c r="D40" s="42">
        <v>0.36030336578659816</v>
      </c>
      <c r="E40" s="41">
        <v>72625.76999999996</v>
      </c>
      <c r="F40" s="59">
        <v>0.47451765631711679</v>
      </c>
      <c r="G40" s="62">
        <f t="shared" si="5"/>
        <v>-97906.705910029967</v>
      </c>
    </row>
    <row r="41" spans="1:13" x14ac:dyDescent="0.35">
      <c r="A41" s="32" t="s">
        <v>1046</v>
      </c>
      <c r="B41" s="41">
        <v>199946.41615327995</v>
      </c>
      <c r="C41" s="41">
        <v>78530.11</v>
      </c>
      <c r="D41" s="42">
        <v>0.39275577682671947</v>
      </c>
      <c r="E41" s="41">
        <v>58669.11</v>
      </c>
      <c r="F41" s="59">
        <v>0.29342416397713256</v>
      </c>
      <c r="G41" s="62">
        <f t="shared" si="5"/>
        <v>-121416.30615327995</v>
      </c>
    </row>
    <row r="42" spans="1:13" x14ac:dyDescent="0.35">
      <c r="A42" s="32" t="s">
        <v>1047</v>
      </c>
      <c r="B42" s="41">
        <v>162299.79752081004</v>
      </c>
      <c r="C42" s="41">
        <v>58385.339999999982</v>
      </c>
      <c r="D42" s="42">
        <v>0.35973760221428391</v>
      </c>
      <c r="E42" s="41">
        <v>51104.849999999991</v>
      </c>
      <c r="F42" s="59">
        <v>0.31487932074251257</v>
      </c>
      <c r="G42" s="62">
        <f t="shared" si="5"/>
        <v>-103914.45752081006</v>
      </c>
    </row>
    <row r="43" spans="1:13" x14ac:dyDescent="0.35">
      <c r="A43" s="32" t="s">
        <v>1048</v>
      </c>
      <c r="B43" s="41">
        <v>233087.33997966949</v>
      </c>
      <c r="C43" s="41">
        <v>99596.720000000103</v>
      </c>
      <c r="D43" s="42">
        <v>0.42729356304245097</v>
      </c>
      <c r="E43" s="41">
        <v>98099.129999999888</v>
      </c>
      <c r="F43" s="59">
        <v>0.42086854656523326</v>
      </c>
      <c r="G43" s="62">
        <f t="shared" si="5"/>
        <v>-133490.6199796694</v>
      </c>
    </row>
    <row r="44" spans="1:13" x14ac:dyDescent="0.35">
      <c r="A44" s="32" t="s">
        <v>1054</v>
      </c>
      <c r="B44" s="41">
        <v>95226.80318309</v>
      </c>
      <c r="C44" s="41">
        <v>37364.119999999988</v>
      </c>
      <c r="D44" s="42">
        <v>0.39236978194218075</v>
      </c>
      <c r="E44" s="41">
        <v>28075.63</v>
      </c>
      <c r="F44" s="59">
        <v>0.2948290718740158</v>
      </c>
      <c r="G44" s="62">
        <f t="shared" si="5"/>
        <v>-57862.683183090012</v>
      </c>
    </row>
    <row r="45" spans="1:13" x14ac:dyDescent="0.35">
      <c r="A45" s="32" t="s">
        <v>1049</v>
      </c>
      <c r="B45" s="41">
        <v>228012.82156408962</v>
      </c>
      <c r="C45" s="41">
        <v>90974.24000000018</v>
      </c>
      <c r="D45" s="42">
        <v>0.39898738753350865</v>
      </c>
      <c r="E45" s="41">
        <v>61213.20999999997</v>
      </c>
      <c r="F45" s="59">
        <v>0.26846389417971489</v>
      </c>
      <c r="G45" s="62">
        <f t="shared" si="5"/>
        <v>-137038.58156408946</v>
      </c>
    </row>
    <row r="46" spans="1:13" x14ac:dyDescent="0.35">
      <c r="A46" s="32" t="s">
        <v>1050</v>
      </c>
      <c r="B46" s="41">
        <v>191639.54536119927</v>
      </c>
      <c r="C46" s="41">
        <v>72225.390000000087</v>
      </c>
      <c r="D46" s="42">
        <v>0.37688145139287815</v>
      </c>
      <c r="E46" s="41">
        <v>43674.05</v>
      </c>
      <c r="F46" s="59">
        <v>0.22789685666225007</v>
      </c>
      <c r="G46" s="62">
        <f t="shared" si="5"/>
        <v>-119414.15536119918</v>
      </c>
    </row>
    <row r="47" spans="1:13" x14ac:dyDescent="0.35">
      <c r="A47" s="24" t="s">
        <v>1051</v>
      </c>
      <c r="B47" s="43">
        <f>SUM(B39:B46)</f>
        <v>1434288.3019635181</v>
      </c>
      <c r="C47" s="43">
        <f>SUM(C39:C46)</f>
        <v>552066.46000000031</v>
      </c>
      <c r="D47" s="37">
        <f>C47/B47</f>
        <v>0.38490619999077591</v>
      </c>
      <c r="E47" s="43">
        <f>SUM(E39:E46)</f>
        <v>479147.2899999998</v>
      </c>
      <c r="F47" s="60">
        <f>E47/B47</f>
        <v>0.33406623294915999</v>
      </c>
      <c r="G47" s="63">
        <f t="shared" si="5"/>
        <v>-882221.84196351783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904BC-C343-44C1-AA97-F9D907206F66}">
  <sheetPr codeName="Planilha4"/>
  <dimension ref="A1:I10"/>
  <sheetViews>
    <sheetView zoomScale="90" zoomScaleNormal="90" workbookViewId="0">
      <selection activeCell="G14" sqref="G14"/>
    </sheetView>
  </sheetViews>
  <sheetFormatPr defaultColWidth="41.54296875" defaultRowHeight="14.5" x14ac:dyDescent="0.35"/>
  <cols>
    <col min="1" max="1" width="40.81640625" customWidth="1"/>
    <col min="2" max="2" width="15" bestFit="1" customWidth="1"/>
    <col min="3" max="3" width="13.26953125" bestFit="1" customWidth="1"/>
    <col min="4" max="4" width="15.7265625" bestFit="1" customWidth="1"/>
    <col min="5" max="5" width="8.90625" bestFit="1" customWidth="1"/>
    <col min="6" max="6" width="20" bestFit="1" customWidth="1"/>
    <col min="7" max="8" width="16.81640625" bestFit="1" customWidth="1"/>
    <col min="9" max="9" width="15.6328125" bestFit="1" customWidth="1"/>
  </cols>
  <sheetData>
    <row r="1" spans="1:9" x14ac:dyDescent="0.35">
      <c r="A1" s="24" t="s">
        <v>1055</v>
      </c>
      <c r="B1" s="24" t="s">
        <v>1056</v>
      </c>
      <c r="C1" s="24" t="s">
        <v>1057</v>
      </c>
      <c r="D1" s="24" t="s">
        <v>1058</v>
      </c>
      <c r="E1" s="24" t="s">
        <v>1059</v>
      </c>
      <c r="F1" s="24" t="s">
        <v>1060</v>
      </c>
      <c r="G1" s="24" t="s">
        <v>1061</v>
      </c>
      <c r="H1" s="24" t="s">
        <v>1062</v>
      </c>
      <c r="I1" s="24" t="s">
        <v>1063</v>
      </c>
    </row>
    <row r="2" spans="1:9" x14ac:dyDescent="0.35">
      <c r="A2" s="46" t="s">
        <v>1044</v>
      </c>
      <c r="B2" s="73">
        <v>114.4</v>
      </c>
      <c r="C2" s="73">
        <v>85</v>
      </c>
      <c r="D2" s="74">
        <v>0.74300699300699302</v>
      </c>
      <c r="E2" s="75">
        <f>C2-B2</f>
        <v>-29.400000000000006</v>
      </c>
      <c r="F2" s="68">
        <v>490299.12969193101</v>
      </c>
      <c r="G2" s="68">
        <v>288788.99999999988</v>
      </c>
      <c r="H2" s="69">
        <v>0.58900573652140542</v>
      </c>
      <c r="I2" s="70">
        <f>G2-F2</f>
        <v>-201510.12969193113</v>
      </c>
    </row>
    <row r="3" spans="1:9" x14ac:dyDescent="0.35">
      <c r="A3" s="46" t="s">
        <v>1045</v>
      </c>
      <c r="B3" s="73">
        <v>112</v>
      </c>
      <c r="C3" s="73">
        <v>87</v>
      </c>
      <c r="D3" s="74">
        <v>0.7767857142857143</v>
      </c>
      <c r="E3" s="75">
        <f t="shared" ref="E3:E9" si="0">C3-B3</f>
        <v>-25</v>
      </c>
      <c r="F3" s="68">
        <v>441365.76583584753</v>
      </c>
      <c r="G3" s="68">
        <v>310008.93999999983</v>
      </c>
      <c r="H3" s="69">
        <v>0.70238555863731889</v>
      </c>
      <c r="I3" s="70">
        <f t="shared" ref="I3:I9" si="1">G3-F3</f>
        <v>-131356.8258358477</v>
      </c>
    </row>
    <row r="4" spans="1:9" x14ac:dyDescent="0.35">
      <c r="A4" s="46" t="s">
        <v>1046</v>
      </c>
      <c r="B4" s="73">
        <v>111.2</v>
      </c>
      <c r="C4" s="73">
        <v>95</v>
      </c>
      <c r="D4" s="74">
        <v>0.85431654676258995</v>
      </c>
      <c r="E4" s="75">
        <f t="shared" si="0"/>
        <v>-16.200000000000003</v>
      </c>
      <c r="F4" s="68">
        <v>583853.06806826347</v>
      </c>
      <c r="G4" s="68">
        <v>314040.18999999901</v>
      </c>
      <c r="H4" s="69">
        <v>0.53787537854178369</v>
      </c>
      <c r="I4" s="70">
        <f t="shared" si="1"/>
        <v>-269812.87806826446</v>
      </c>
    </row>
    <row r="5" spans="1:9" x14ac:dyDescent="0.35">
      <c r="A5" s="46" t="s">
        <v>1047</v>
      </c>
      <c r="B5" s="79">
        <v>104</v>
      </c>
      <c r="C5" s="79">
        <v>100</v>
      </c>
      <c r="D5" s="80">
        <v>0.96153846153846156</v>
      </c>
      <c r="E5" s="81">
        <f t="shared" si="0"/>
        <v>-4</v>
      </c>
      <c r="F5" s="68">
        <v>551385.69950044504</v>
      </c>
      <c r="G5" s="68">
        <v>356955.55</v>
      </c>
      <c r="H5" s="69">
        <v>0.64737904940842939</v>
      </c>
      <c r="I5" s="70">
        <f t="shared" si="1"/>
        <v>-194430.14950044506</v>
      </c>
    </row>
    <row r="6" spans="1:9" x14ac:dyDescent="0.35">
      <c r="A6" s="46" t="s">
        <v>1048</v>
      </c>
      <c r="B6" s="79">
        <v>112</v>
      </c>
      <c r="C6" s="79">
        <v>102</v>
      </c>
      <c r="D6" s="80">
        <v>0.9107142857142857</v>
      </c>
      <c r="E6" s="81">
        <f t="shared" si="0"/>
        <v>-10</v>
      </c>
      <c r="F6" s="68">
        <v>709129.57833056583</v>
      </c>
      <c r="G6" s="68">
        <v>542474.97999999986</v>
      </c>
      <c r="H6" s="69">
        <v>0.76498710049169782</v>
      </c>
      <c r="I6" s="70">
        <f t="shared" si="1"/>
        <v>-166654.59833056596</v>
      </c>
    </row>
    <row r="7" spans="1:9" x14ac:dyDescent="0.35">
      <c r="A7" s="46" t="s">
        <v>1064</v>
      </c>
      <c r="B7" s="73">
        <v>105.60000000000001</v>
      </c>
      <c r="C7" s="73">
        <v>40</v>
      </c>
      <c r="D7" s="74">
        <v>0.37878787878787878</v>
      </c>
      <c r="E7" s="75">
        <f t="shared" si="0"/>
        <v>-65.600000000000009</v>
      </c>
      <c r="F7" s="68">
        <v>289370.26126887085</v>
      </c>
      <c r="G7" s="68">
        <v>126734.31000000003</v>
      </c>
      <c r="H7" s="69">
        <v>0.43796591067885776</v>
      </c>
      <c r="I7" s="70">
        <f t="shared" si="1"/>
        <v>-162635.95126887082</v>
      </c>
    </row>
    <row r="8" spans="1:9" x14ac:dyDescent="0.35">
      <c r="A8" s="46" t="s">
        <v>1049</v>
      </c>
      <c r="B8" s="79">
        <v>108</v>
      </c>
      <c r="C8" s="79">
        <v>98</v>
      </c>
      <c r="D8" s="80">
        <v>0.90740740740740744</v>
      </c>
      <c r="E8" s="81">
        <f t="shared" si="0"/>
        <v>-10</v>
      </c>
      <c r="F8" s="68">
        <v>567319.02663460572</v>
      </c>
      <c r="G8" s="68">
        <v>382004.04</v>
      </c>
      <c r="H8" s="69">
        <v>0.67334960060494864</v>
      </c>
      <c r="I8" s="70">
        <f t="shared" si="1"/>
        <v>-185314.98663460574</v>
      </c>
    </row>
    <row r="9" spans="1:9" x14ac:dyDescent="0.35">
      <c r="A9" s="47" t="s">
        <v>1050</v>
      </c>
      <c r="B9" s="76">
        <v>110.4</v>
      </c>
      <c r="C9" s="76">
        <v>85</v>
      </c>
      <c r="D9" s="74">
        <v>0.76992753623188404</v>
      </c>
      <c r="E9" s="77">
        <f t="shared" si="0"/>
        <v>-25.400000000000006</v>
      </c>
      <c r="F9" s="71">
        <v>564703.592661637</v>
      </c>
      <c r="G9" s="71">
        <v>221854.92000000007</v>
      </c>
      <c r="H9" s="69">
        <v>0.39286968045364046</v>
      </c>
      <c r="I9" s="72">
        <f t="shared" si="1"/>
        <v>-342848.67266163696</v>
      </c>
    </row>
    <row r="10" spans="1:9" x14ac:dyDescent="0.35">
      <c r="A10" s="24" t="s">
        <v>1051</v>
      </c>
      <c r="B10" s="64">
        <f>SUM(B2:B9)</f>
        <v>877.6</v>
      </c>
      <c r="C10" s="24">
        <f>SUM(C2:C9)</f>
        <v>692</v>
      </c>
      <c r="D10" s="37">
        <f>C10/B10</f>
        <v>0.78851412944393795</v>
      </c>
      <c r="E10" s="65">
        <f>SUM(E2:E9)</f>
        <v>-185.60000000000002</v>
      </c>
      <c r="F10" s="43">
        <f>SUM(F2:F9)</f>
        <v>4197426.1219921662</v>
      </c>
      <c r="G10" s="43">
        <f>SUM(G2:G9)</f>
        <v>2542861.9299999988</v>
      </c>
      <c r="H10" s="37">
        <f>G10/F10</f>
        <v>0.60581457686100149</v>
      </c>
      <c r="I10" s="45">
        <f>SUM(I2:I9)</f>
        <v>-1654564.1919921678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600</vt:lpstr>
      <vt:lpstr>RESUMO</vt:lpstr>
      <vt:lpstr>HYMPAR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Cabral Neto</dc:creator>
  <cp:lastModifiedBy>Jose Cabral Neto</cp:lastModifiedBy>
  <dcterms:created xsi:type="dcterms:W3CDTF">2026-10-05T11:09:15Z</dcterms:created>
  <dcterms:modified xsi:type="dcterms:W3CDTF">2026-10-23T10:49:56Z</dcterms:modified>
</cp:coreProperties>
</file>